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showPivotChartFilter="1" defaultThemeVersion="124226"/>
  <bookViews>
    <workbookView xWindow="480" yWindow="255" windowWidth="24480" windowHeight="12150" tabRatio="601"/>
  </bookViews>
  <sheets>
    <sheet name="report COMPLETE ISO DATA" sheetId="1" r:id="rId1"/>
    <sheet name="BM3D" sheetId="2" r:id="rId2"/>
    <sheet name="SROU03" sheetId="3" r:id="rId3"/>
    <sheet name="TICO09" sheetId="4" r:id="rId4"/>
    <sheet name="BM3D - average SNR vs ISO" sheetId="5" r:id="rId5"/>
    <sheet name="AVG methods vs ISO" sheetId="6" r:id="rId6"/>
    <sheet name="AVG methods vs PSF size" sheetId="7" r:id="rId7"/>
    <sheet name="Surface TICO09" sheetId="8" r:id="rId8"/>
    <sheet name="Surface SROU03" sheetId="9" r:id="rId9"/>
    <sheet name="Surface BM3D" sheetId="10" r:id="rId10"/>
    <sheet name="Winners" sheetId="11" r:id="rId11"/>
    <sheet name="Winning counts" sheetId="14" r:id="rId12"/>
    <sheet name="Color codes" sheetId="12" r:id="rId13"/>
  </sheets>
  <functionGroups builtInGroupCount="17"/>
  <definedNames>
    <definedName name="_xlnm._FilterDatabase" localSheetId="1" hidden="1">BM3D!$A$1:$O$769</definedName>
    <definedName name="_xlnm._FilterDatabase" localSheetId="0" hidden="1">'report COMPLETE ISO DATA'!$A$1:$V$577</definedName>
    <definedName name="_xlnm._FilterDatabase" localSheetId="2" hidden="1">SROU03!$A$1:$O$577</definedName>
    <definedName name="_xlnm._FilterDatabase" localSheetId="3" hidden="1">TICO09!$A$1:$O$701</definedName>
  </definedNames>
  <calcPr calcId="145621"/>
  <pivotCaches>
    <pivotCache cacheId="0" r:id="rId14"/>
  </pivotCaches>
</workbook>
</file>

<file path=xl/calcChain.xml><?xml version="1.0" encoding="utf-8"?>
<calcChain xmlns="http://schemas.openxmlformats.org/spreadsheetml/2006/main">
  <c r="O28" i="11" l="1"/>
  <c r="G5" i="7"/>
  <c r="F5" i="7"/>
  <c r="E5" i="7"/>
  <c r="G5" i="6"/>
  <c r="F5" i="6"/>
  <c r="E5" i="6"/>
  <c r="O29" i="11"/>
  <c r="B12" i="14"/>
  <c r="A16" i="6" l="1"/>
  <c r="A11" i="7"/>
  <c r="O30" i="11"/>
  <c r="B28" i="11" l="1"/>
  <c r="O12" i="11"/>
  <c r="B12" i="11"/>
  <c r="B29" i="11"/>
  <c r="O13" i="11"/>
  <c r="B30" i="11" l="1"/>
  <c r="O14" i="1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301" i="4"/>
  <c r="F257" i="4"/>
  <c r="F345" i="4"/>
  <c r="F213" i="4"/>
  <c r="F289" i="3"/>
  <c r="F181" i="3"/>
  <c r="F253" i="3"/>
  <c r="F217" i="3"/>
  <c r="F433" i="4"/>
  <c r="F424" i="4"/>
  <c r="F415" i="4"/>
  <c r="F406" i="4"/>
  <c r="F477" i="4"/>
  <c r="F468" i="4"/>
  <c r="F459" i="4"/>
  <c r="F450" i="4"/>
  <c r="F521" i="4"/>
  <c r="F512" i="4"/>
  <c r="F503" i="4"/>
  <c r="F494" i="4"/>
  <c r="F389" i="4"/>
  <c r="F380" i="4"/>
  <c r="F371" i="4"/>
  <c r="F362" i="4"/>
  <c r="F81" i="4"/>
  <c r="F72" i="4"/>
  <c r="F63" i="4"/>
  <c r="F54" i="4"/>
  <c r="F125" i="4"/>
  <c r="F116" i="4"/>
  <c r="F107" i="4"/>
  <c r="F98" i="4"/>
  <c r="F169" i="4"/>
  <c r="F160" i="4"/>
  <c r="F151" i="4"/>
  <c r="F142" i="4"/>
  <c r="F37" i="4"/>
  <c r="F28" i="4"/>
  <c r="F19" i="4"/>
  <c r="F10" i="4"/>
  <c r="F609" i="4"/>
  <c r="F600" i="4"/>
  <c r="F591" i="4"/>
  <c r="F582" i="4"/>
  <c r="F653" i="4"/>
  <c r="F644" i="4"/>
  <c r="F635" i="4"/>
  <c r="F626" i="4"/>
  <c r="F697" i="4"/>
  <c r="F688" i="4"/>
  <c r="F679" i="4"/>
  <c r="F670" i="4"/>
  <c r="F565" i="4"/>
  <c r="F556" i="4"/>
  <c r="F547" i="4"/>
  <c r="F538" i="4"/>
  <c r="F361" i="3"/>
  <c r="F352" i="3"/>
  <c r="F334" i="3"/>
  <c r="F343" i="3"/>
  <c r="F397" i="3"/>
  <c r="F388" i="3"/>
  <c r="F370" i="3"/>
  <c r="F379" i="3"/>
  <c r="F433" i="3"/>
  <c r="F424" i="3"/>
  <c r="F406" i="3"/>
  <c r="F415" i="3"/>
  <c r="F325" i="3"/>
  <c r="F316" i="3"/>
  <c r="F298" i="3"/>
  <c r="F307" i="3"/>
  <c r="F505" i="3"/>
  <c r="F496" i="3"/>
  <c r="F487" i="3"/>
  <c r="F478" i="3"/>
  <c r="F541" i="3"/>
  <c r="F532" i="3"/>
  <c r="F523" i="3"/>
  <c r="F514" i="3"/>
  <c r="F577" i="3"/>
  <c r="F568" i="3"/>
  <c r="F559" i="3"/>
  <c r="F550" i="3"/>
  <c r="F469" i="3"/>
  <c r="F460" i="3"/>
  <c r="F451" i="3"/>
  <c r="F442" i="3"/>
  <c r="F73" i="3"/>
  <c r="F64" i="3"/>
  <c r="F55" i="3"/>
  <c r="F46" i="3"/>
  <c r="F109" i="3"/>
  <c r="F100" i="3"/>
  <c r="F91" i="3"/>
  <c r="F82" i="3"/>
  <c r="F145" i="3"/>
  <c r="F136" i="3"/>
  <c r="F127" i="3"/>
  <c r="F118" i="3"/>
  <c r="F37" i="3"/>
  <c r="F28" i="3"/>
  <c r="F19" i="3"/>
  <c r="F10" i="3"/>
  <c r="B28" i="8"/>
  <c r="B13" i="11"/>
  <c r="B28" i="10"/>
  <c r="B28" i="9"/>
  <c r="B14" i="11" l="1"/>
  <c r="B34" i="11" s="1"/>
  <c r="B27" i="10"/>
  <c r="B27" i="9"/>
  <c r="B27" i="8"/>
  <c r="B29" i="10" l="1"/>
  <c r="B29" i="9"/>
  <c r="F219" i="2"/>
  <c r="F220" i="2"/>
  <c r="F221" i="2"/>
  <c r="F222" i="2"/>
  <c r="F225" i="2"/>
  <c r="F226" i="2"/>
  <c r="F227" i="2"/>
  <c r="F228" i="2"/>
  <c r="F229" i="2"/>
  <c r="F230" i="2"/>
  <c r="F231" i="2"/>
  <c r="F232" i="2"/>
  <c r="F234" i="2"/>
  <c r="F235" i="2"/>
  <c r="F236" i="2"/>
  <c r="F237" i="2"/>
  <c r="F238" i="2"/>
  <c r="F239" i="2"/>
  <c r="F240" i="2"/>
  <c r="F241" i="2"/>
  <c r="F627" i="2"/>
  <c r="F628" i="2"/>
  <c r="F629" i="2"/>
  <c r="F630" i="2"/>
  <c r="F631" i="2"/>
  <c r="F632" i="2"/>
  <c r="F633" i="2"/>
  <c r="F634" i="2"/>
  <c r="F637" i="2"/>
  <c r="F638" i="2"/>
  <c r="F639" i="2"/>
  <c r="F640" i="2"/>
  <c r="F641" i="2"/>
  <c r="F642" i="2"/>
  <c r="F643" i="2"/>
  <c r="F644" i="2"/>
  <c r="F647" i="2"/>
  <c r="F648" i="2"/>
  <c r="F649" i="2"/>
  <c r="F650" i="2"/>
  <c r="F651" i="2"/>
  <c r="F652" i="2"/>
  <c r="F653" i="2"/>
  <c r="F654" i="2"/>
  <c r="F657" i="2"/>
  <c r="F658" i="2"/>
  <c r="F659" i="2"/>
  <c r="F660" i="2"/>
  <c r="F661" i="2"/>
  <c r="F662" i="2"/>
  <c r="F663" i="2"/>
  <c r="F664" i="2"/>
  <c r="F666" i="2"/>
  <c r="F667" i="2"/>
  <c r="F668" i="2"/>
  <c r="F669" i="2"/>
  <c r="F670" i="2"/>
  <c r="F671" i="2"/>
  <c r="F672" i="2"/>
  <c r="F673" i="2"/>
  <c r="F675" i="2"/>
  <c r="F676" i="2"/>
  <c r="F677" i="2"/>
  <c r="F678" i="2"/>
  <c r="F679" i="2"/>
  <c r="F680" i="2"/>
  <c r="F681" i="2"/>
  <c r="F682" i="2"/>
  <c r="F685" i="2"/>
  <c r="F686" i="2"/>
  <c r="F687" i="2"/>
  <c r="F688" i="2"/>
  <c r="F689" i="2"/>
  <c r="F690" i="2"/>
  <c r="F691" i="2"/>
  <c r="F692" i="2"/>
  <c r="F695" i="2"/>
  <c r="F696" i="2"/>
  <c r="F697" i="2"/>
  <c r="F698" i="2"/>
  <c r="F699" i="2"/>
  <c r="F700" i="2"/>
  <c r="F701" i="2"/>
  <c r="F702" i="2"/>
  <c r="F705" i="2"/>
  <c r="F706" i="2"/>
  <c r="F707" i="2"/>
  <c r="F708" i="2"/>
  <c r="F709" i="2"/>
  <c r="F710" i="2"/>
  <c r="F711" i="2"/>
  <c r="F712" i="2"/>
  <c r="F714" i="2"/>
  <c r="F715" i="2"/>
  <c r="F716" i="2"/>
  <c r="F717" i="2"/>
  <c r="F718" i="2"/>
  <c r="F719" i="2"/>
  <c r="F720" i="2"/>
  <c r="F721" i="2"/>
  <c r="F723" i="2"/>
  <c r="F724" i="2"/>
  <c r="F725" i="2"/>
  <c r="F726" i="2"/>
  <c r="F727" i="2"/>
  <c r="F728" i="2"/>
  <c r="F729" i="2"/>
  <c r="F730" i="2"/>
  <c r="F733" i="2"/>
  <c r="F734" i="2"/>
  <c r="F735" i="2"/>
  <c r="F736" i="2"/>
  <c r="F737" i="2"/>
  <c r="F738" i="2"/>
  <c r="F739" i="2"/>
  <c r="F740" i="2"/>
  <c r="F743" i="2"/>
  <c r="F744" i="2"/>
  <c r="F745" i="2"/>
  <c r="F746" i="2"/>
  <c r="F747" i="2"/>
  <c r="F748" i="2"/>
  <c r="F749" i="2"/>
  <c r="F750" i="2"/>
  <c r="F753" i="2"/>
  <c r="F754" i="2"/>
  <c r="F755" i="2"/>
  <c r="F756" i="2"/>
  <c r="F757" i="2"/>
  <c r="F758" i="2"/>
  <c r="F759" i="2"/>
  <c r="F760" i="2"/>
  <c r="F762" i="2"/>
  <c r="F763" i="2"/>
  <c r="F764" i="2"/>
  <c r="F765" i="2"/>
  <c r="F766" i="2"/>
  <c r="F767" i="2"/>
  <c r="F768" i="2"/>
  <c r="F769" i="2"/>
  <c r="F579" i="2"/>
  <c r="F580" i="2"/>
  <c r="F581" i="2"/>
  <c r="F582" i="2"/>
  <c r="F583" i="2"/>
  <c r="F584" i="2"/>
  <c r="F585" i="2"/>
  <c r="F586" i="2"/>
  <c r="F589" i="2"/>
  <c r="F590" i="2"/>
  <c r="F591" i="2"/>
  <c r="F592" i="2"/>
  <c r="F593" i="2"/>
  <c r="F594" i="2"/>
  <c r="F595" i="2"/>
  <c r="F596" i="2"/>
  <c r="F599" i="2"/>
  <c r="F600" i="2"/>
  <c r="F601" i="2"/>
  <c r="F602" i="2"/>
  <c r="F603" i="2"/>
  <c r="F604" i="2"/>
  <c r="F605" i="2"/>
  <c r="F606" i="2"/>
  <c r="F609" i="2"/>
  <c r="F610" i="2"/>
  <c r="F611" i="2"/>
  <c r="F612" i="2"/>
  <c r="F613" i="2"/>
  <c r="F614" i="2"/>
  <c r="F615" i="2"/>
  <c r="F616" i="2"/>
  <c r="F618" i="2"/>
  <c r="F619" i="2"/>
  <c r="F620" i="2"/>
  <c r="F621" i="2"/>
  <c r="F622" i="2"/>
  <c r="F623" i="2"/>
  <c r="F624" i="2"/>
  <c r="F625" i="2"/>
  <c r="F435" i="2"/>
  <c r="F436" i="2"/>
  <c r="F437" i="2"/>
  <c r="F438" i="2"/>
  <c r="F439" i="2"/>
  <c r="F440" i="2"/>
  <c r="F441" i="2"/>
  <c r="F442" i="2"/>
  <c r="F445" i="2"/>
  <c r="F446" i="2"/>
  <c r="F447" i="2"/>
  <c r="F448" i="2"/>
  <c r="F449" i="2"/>
  <c r="F450" i="2"/>
  <c r="F451" i="2"/>
  <c r="F452" i="2"/>
  <c r="F455" i="2"/>
  <c r="F456" i="2"/>
  <c r="F457" i="2"/>
  <c r="F458" i="2"/>
  <c r="F459" i="2"/>
  <c r="F460" i="2"/>
  <c r="F461" i="2"/>
  <c r="F462" i="2"/>
  <c r="F465" i="2"/>
  <c r="F466" i="2"/>
  <c r="F467" i="2"/>
  <c r="F468" i="2"/>
  <c r="F469" i="2"/>
  <c r="F470" i="2"/>
  <c r="F471" i="2"/>
  <c r="F472" i="2"/>
  <c r="F474" i="2"/>
  <c r="F475" i="2"/>
  <c r="F476" i="2"/>
  <c r="F477" i="2"/>
  <c r="F478" i="2"/>
  <c r="F479" i="2"/>
  <c r="F480" i="2"/>
  <c r="F481" i="2"/>
  <c r="F483" i="2"/>
  <c r="F484" i="2"/>
  <c r="F485" i="2"/>
  <c r="F486" i="2"/>
  <c r="F487" i="2"/>
  <c r="F488" i="2"/>
  <c r="F489" i="2"/>
  <c r="F490" i="2"/>
  <c r="F493" i="2"/>
  <c r="F494" i="2"/>
  <c r="F495" i="2"/>
  <c r="F496" i="2"/>
  <c r="F497" i="2"/>
  <c r="F498" i="2"/>
  <c r="F499" i="2"/>
  <c r="F500" i="2"/>
  <c r="F503" i="2"/>
  <c r="F504" i="2"/>
  <c r="F505" i="2"/>
  <c r="F506" i="2"/>
  <c r="F507" i="2"/>
  <c r="F508" i="2"/>
  <c r="F509" i="2"/>
  <c r="F510" i="2"/>
  <c r="F513" i="2"/>
  <c r="F514" i="2"/>
  <c r="F515" i="2"/>
  <c r="F516" i="2"/>
  <c r="F517" i="2"/>
  <c r="F518" i="2"/>
  <c r="F519" i="2"/>
  <c r="F520" i="2"/>
  <c r="F522" i="2"/>
  <c r="F523" i="2"/>
  <c r="F524" i="2"/>
  <c r="F525" i="2"/>
  <c r="F526" i="2"/>
  <c r="F527" i="2"/>
  <c r="F528" i="2"/>
  <c r="F529" i="2"/>
  <c r="F531" i="2"/>
  <c r="F532" i="2"/>
  <c r="F533" i="2"/>
  <c r="F534" i="2"/>
  <c r="F535" i="2"/>
  <c r="F536" i="2"/>
  <c r="F537" i="2"/>
  <c r="F538" i="2"/>
  <c r="F541" i="2"/>
  <c r="F542" i="2"/>
  <c r="F543" i="2"/>
  <c r="F544" i="2"/>
  <c r="F545" i="2"/>
  <c r="F546" i="2"/>
  <c r="F547" i="2"/>
  <c r="F548" i="2"/>
  <c r="F551" i="2"/>
  <c r="F552" i="2"/>
  <c r="F553" i="2"/>
  <c r="F554" i="2"/>
  <c r="F555" i="2"/>
  <c r="F556" i="2"/>
  <c r="F557" i="2"/>
  <c r="F558" i="2"/>
  <c r="F561" i="2"/>
  <c r="F562" i="2"/>
  <c r="F563" i="2"/>
  <c r="F564" i="2"/>
  <c r="F565" i="2"/>
  <c r="F566" i="2"/>
  <c r="F567" i="2"/>
  <c r="F568" i="2"/>
  <c r="F570" i="2"/>
  <c r="F571" i="2"/>
  <c r="F572" i="2"/>
  <c r="F573" i="2"/>
  <c r="F574" i="2"/>
  <c r="F575" i="2"/>
  <c r="F576" i="2"/>
  <c r="F577" i="2"/>
  <c r="F387" i="2"/>
  <c r="F388" i="2"/>
  <c r="F389" i="2"/>
  <c r="F390" i="2"/>
  <c r="F391" i="2"/>
  <c r="F392" i="2"/>
  <c r="F393" i="2"/>
  <c r="F394" i="2"/>
  <c r="F397" i="2"/>
  <c r="F398" i="2"/>
  <c r="F399" i="2"/>
  <c r="F400" i="2"/>
  <c r="F401" i="2"/>
  <c r="F402" i="2"/>
  <c r="F403" i="2"/>
  <c r="F404" i="2"/>
  <c r="F407" i="2"/>
  <c r="F408" i="2"/>
  <c r="F409" i="2"/>
  <c r="F410" i="2"/>
  <c r="F411" i="2"/>
  <c r="F412" i="2"/>
  <c r="F413" i="2"/>
  <c r="F414" i="2"/>
  <c r="F417" i="2"/>
  <c r="F418" i="2"/>
  <c r="F419" i="2"/>
  <c r="F420" i="2"/>
  <c r="F421" i="2"/>
  <c r="F422" i="2"/>
  <c r="F423" i="2"/>
  <c r="F424" i="2"/>
  <c r="F426" i="2"/>
  <c r="F427" i="2"/>
  <c r="F428" i="2"/>
  <c r="F429" i="2"/>
  <c r="F430" i="2"/>
  <c r="F431" i="2"/>
  <c r="F432" i="2"/>
  <c r="F433" i="2"/>
  <c r="F51" i="2"/>
  <c r="F52" i="2"/>
  <c r="F53" i="2"/>
  <c r="F54" i="2"/>
  <c r="F55" i="2"/>
  <c r="F56" i="2"/>
  <c r="F57" i="2"/>
  <c r="F58" i="2"/>
  <c r="F61" i="2"/>
  <c r="F62" i="2"/>
  <c r="F63" i="2"/>
  <c r="F64" i="2"/>
  <c r="F65" i="2"/>
  <c r="F66" i="2"/>
  <c r="F67" i="2"/>
  <c r="F68" i="2"/>
  <c r="F71" i="2"/>
  <c r="F72" i="2"/>
  <c r="F73" i="2"/>
  <c r="F74" i="2"/>
  <c r="F75" i="2"/>
  <c r="F76" i="2"/>
  <c r="F77" i="2"/>
  <c r="F78" i="2"/>
  <c r="F81" i="2"/>
  <c r="F82" i="2"/>
  <c r="F83" i="2"/>
  <c r="F84" i="2"/>
  <c r="F85" i="2"/>
  <c r="F86" i="2"/>
  <c r="F87" i="2"/>
  <c r="F88" i="2"/>
  <c r="F90" i="2"/>
  <c r="F91" i="2"/>
  <c r="F92" i="2"/>
  <c r="F93" i="2"/>
  <c r="F94" i="2"/>
  <c r="F95" i="2"/>
  <c r="F96" i="2"/>
  <c r="F97" i="2"/>
  <c r="F99" i="2"/>
  <c r="F100" i="2"/>
  <c r="F101" i="2"/>
  <c r="F102" i="2"/>
  <c r="F103" i="2"/>
  <c r="F104" i="2"/>
  <c r="F105" i="2"/>
  <c r="F106" i="2"/>
  <c r="F109" i="2"/>
  <c r="F110" i="2"/>
  <c r="F111" i="2"/>
  <c r="F112" i="2"/>
  <c r="F113" i="2"/>
  <c r="F114" i="2"/>
  <c r="F115" i="2"/>
  <c r="F116" i="2"/>
  <c r="F119" i="2"/>
  <c r="F120" i="2"/>
  <c r="F121" i="2"/>
  <c r="F122" i="2"/>
  <c r="F123" i="2"/>
  <c r="F124" i="2"/>
  <c r="F125" i="2"/>
  <c r="F126" i="2"/>
  <c r="F129" i="2"/>
  <c r="F130" i="2"/>
  <c r="F131" i="2"/>
  <c r="F132" i="2"/>
  <c r="F133" i="2"/>
  <c r="F134" i="2"/>
  <c r="F135" i="2"/>
  <c r="F136" i="2"/>
  <c r="F138" i="2"/>
  <c r="F139" i="2"/>
  <c r="F140" i="2"/>
  <c r="F141" i="2"/>
  <c r="F142" i="2"/>
  <c r="F143" i="2"/>
  <c r="F144" i="2"/>
  <c r="F145" i="2"/>
  <c r="F147" i="2"/>
  <c r="F148" i="2"/>
  <c r="F149" i="2"/>
  <c r="F150" i="2"/>
  <c r="F151" i="2"/>
  <c r="F152" i="2"/>
  <c r="F153" i="2"/>
  <c r="F154" i="2"/>
  <c r="F157" i="2"/>
  <c r="F158" i="2"/>
  <c r="F159" i="2"/>
  <c r="F160" i="2"/>
  <c r="F161" i="2"/>
  <c r="F162" i="2"/>
  <c r="F163" i="2"/>
  <c r="F164" i="2"/>
  <c r="F167" i="2"/>
  <c r="F168" i="2"/>
  <c r="F169" i="2"/>
  <c r="F170" i="2"/>
  <c r="F171" i="2"/>
  <c r="F172" i="2"/>
  <c r="F173" i="2"/>
  <c r="F174" i="2"/>
  <c r="F177" i="2"/>
  <c r="F178" i="2"/>
  <c r="F179" i="2"/>
  <c r="F180" i="2"/>
  <c r="F181" i="2"/>
  <c r="F182" i="2"/>
  <c r="F183" i="2"/>
  <c r="F184" i="2"/>
  <c r="F186" i="2"/>
  <c r="F187" i="2"/>
  <c r="F188" i="2"/>
  <c r="F189" i="2"/>
  <c r="F190" i="2"/>
  <c r="F191" i="2"/>
  <c r="F192" i="2"/>
  <c r="F193" i="2"/>
  <c r="F3" i="2"/>
  <c r="F4" i="2"/>
  <c r="F5" i="2"/>
  <c r="F6" i="2"/>
  <c r="F7" i="2"/>
  <c r="F8" i="2"/>
  <c r="F9" i="2"/>
  <c r="F10" i="2"/>
  <c r="F13" i="2"/>
  <c r="F14" i="2"/>
  <c r="F15" i="2"/>
  <c r="F16" i="2"/>
  <c r="F17" i="2"/>
  <c r="F18" i="2"/>
  <c r="F19" i="2"/>
  <c r="F20" i="2"/>
  <c r="F23" i="2"/>
  <c r="F24" i="2"/>
  <c r="F25" i="2"/>
  <c r="F26" i="2"/>
  <c r="F27" i="2"/>
  <c r="F28" i="2"/>
  <c r="F29" i="2"/>
  <c r="F30" i="2"/>
  <c r="F33" i="2"/>
  <c r="F34" i="2"/>
  <c r="F35" i="2"/>
  <c r="F36" i="2"/>
  <c r="F37" i="2"/>
  <c r="F38" i="2"/>
  <c r="F39" i="2"/>
  <c r="F40" i="2"/>
  <c r="F42" i="2"/>
  <c r="F43" i="2"/>
  <c r="F44" i="2"/>
  <c r="F45" i="2"/>
  <c r="F46" i="2"/>
  <c r="F47" i="2"/>
  <c r="F48" i="2"/>
  <c r="F49" i="2"/>
  <c r="F242" i="2"/>
  <c r="F252" i="2"/>
  <c r="F262" i="2"/>
  <c r="F272" i="2"/>
  <c r="F290" i="2"/>
  <c r="F300" i="2"/>
  <c r="F310" i="2"/>
  <c r="F320" i="2"/>
  <c r="F338" i="2"/>
  <c r="F348" i="2"/>
  <c r="F358" i="2"/>
  <c r="F368" i="2"/>
  <c r="F194" i="2"/>
  <c r="F204" i="2"/>
  <c r="F214" i="2"/>
  <c r="F224" i="2"/>
  <c r="F626" i="2"/>
  <c r="F636" i="2"/>
  <c r="F646" i="2"/>
  <c r="F656" i="2"/>
  <c r="F674" i="2"/>
  <c r="F684" i="2"/>
  <c r="F694" i="2"/>
  <c r="F704" i="2"/>
  <c r="F722" i="2"/>
  <c r="F732" i="2"/>
  <c r="F742" i="2"/>
  <c r="F752" i="2"/>
  <c r="F578" i="2"/>
  <c r="F588" i="2"/>
  <c r="F598" i="2"/>
  <c r="F608" i="2"/>
  <c r="F434" i="2"/>
  <c r="F444" i="2"/>
  <c r="F454" i="2"/>
  <c r="F464" i="2"/>
  <c r="F482" i="2"/>
  <c r="F492" i="2"/>
  <c r="F502" i="2"/>
  <c r="F512" i="2"/>
  <c r="F530" i="2"/>
  <c r="F540" i="2"/>
  <c r="F550" i="2"/>
  <c r="F560" i="2"/>
  <c r="F386" i="2"/>
  <c r="F396" i="2"/>
  <c r="F406" i="2"/>
  <c r="F416" i="2"/>
  <c r="F50" i="2"/>
  <c r="F60" i="2"/>
  <c r="F70" i="2"/>
  <c r="F80" i="2"/>
  <c r="F98" i="2"/>
  <c r="F108" i="2"/>
  <c r="F118" i="2"/>
  <c r="F128" i="2"/>
  <c r="F146" i="2"/>
  <c r="F156" i="2"/>
  <c r="F166" i="2"/>
  <c r="F176" i="2"/>
  <c r="F2" i="2"/>
  <c r="F12" i="2"/>
  <c r="F22" i="2"/>
  <c r="F32" i="2"/>
  <c r="F251" i="2"/>
  <c r="F261" i="2"/>
  <c r="F271" i="2"/>
  <c r="F299" i="2"/>
  <c r="F309" i="2"/>
  <c r="F319" i="2"/>
  <c r="F347" i="2"/>
  <c r="F357" i="2"/>
  <c r="F367" i="2"/>
  <c r="F203" i="2"/>
  <c r="F213" i="2"/>
  <c r="F223" i="2"/>
  <c r="F635" i="2"/>
  <c r="F645" i="2"/>
  <c r="F655" i="2"/>
  <c r="F665" i="2"/>
  <c r="F683" i="2"/>
  <c r="F693" i="2"/>
  <c r="F703" i="2"/>
  <c r="F713" i="2"/>
  <c r="F731" i="2"/>
  <c r="F741" i="2"/>
  <c r="F751" i="2"/>
  <c r="F761" i="2"/>
  <c r="F587" i="2"/>
  <c r="F597" i="2"/>
  <c r="F607" i="2"/>
  <c r="F617" i="2"/>
  <c r="F443" i="2"/>
  <c r="F453" i="2"/>
  <c r="F463" i="2"/>
  <c r="F473" i="2"/>
  <c r="F491" i="2"/>
  <c r="F501" i="2"/>
  <c r="F511" i="2"/>
  <c r="F521" i="2"/>
  <c r="F539" i="2"/>
  <c r="F549" i="2"/>
  <c r="F559" i="2"/>
  <c r="F569" i="2"/>
  <c r="F395" i="2"/>
  <c r="F405" i="2"/>
  <c r="F415" i="2"/>
  <c r="F425" i="2"/>
  <c r="F59" i="2"/>
  <c r="F69" i="2"/>
  <c r="F79" i="2"/>
  <c r="F89" i="2"/>
  <c r="F107" i="2"/>
  <c r="F117" i="2"/>
  <c r="F127" i="2"/>
  <c r="F137" i="2"/>
  <c r="F155" i="2"/>
  <c r="F165" i="2"/>
  <c r="F175" i="2"/>
  <c r="F185" i="2"/>
  <c r="F11" i="2"/>
  <c r="F21" i="2"/>
  <c r="F31" i="2"/>
  <c r="F41" i="2"/>
  <c r="F281" i="2"/>
  <c r="F329" i="2"/>
  <c r="F377" i="2"/>
  <c r="F233" i="2"/>
  <c r="F244" i="2"/>
  <c r="F245" i="2"/>
  <c r="F246" i="2"/>
  <c r="F247" i="2"/>
  <c r="F248" i="2"/>
  <c r="F249" i="2"/>
  <c r="F250" i="2"/>
  <c r="F253" i="2"/>
  <c r="F254" i="2"/>
  <c r="F255" i="2"/>
  <c r="F256" i="2"/>
  <c r="F257" i="2"/>
  <c r="F258" i="2"/>
  <c r="F259" i="2"/>
  <c r="F260" i="2"/>
  <c r="F263" i="2"/>
  <c r="F264" i="2"/>
  <c r="F265" i="2"/>
  <c r="F266" i="2"/>
  <c r="F267" i="2"/>
  <c r="F268" i="2"/>
  <c r="F269" i="2"/>
  <c r="F270" i="2"/>
  <c r="F273" i="2"/>
  <c r="F274" i="2"/>
  <c r="F275" i="2"/>
  <c r="F276" i="2"/>
  <c r="F277" i="2"/>
  <c r="F278" i="2"/>
  <c r="F279" i="2"/>
  <c r="F280" i="2"/>
  <c r="F282" i="2"/>
  <c r="F283" i="2"/>
  <c r="F284" i="2"/>
  <c r="F285" i="2"/>
  <c r="F286" i="2"/>
  <c r="F287" i="2"/>
  <c r="F288" i="2"/>
  <c r="F289" i="2"/>
  <c r="F291" i="2"/>
  <c r="F292" i="2"/>
  <c r="F293" i="2"/>
  <c r="F294" i="2"/>
  <c r="F295" i="2"/>
  <c r="F296" i="2"/>
  <c r="F297" i="2"/>
  <c r="F298" i="2"/>
  <c r="F301" i="2"/>
  <c r="F302" i="2"/>
  <c r="F303" i="2"/>
  <c r="F304" i="2"/>
  <c r="F305" i="2"/>
  <c r="F306" i="2"/>
  <c r="F307" i="2"/>
  <c r="F308" i="2"/>
  <c r="F311" i="2"/>
  <c r="F312" i="2"/>
  <c r="F313" i="2"/>
  <c r="F314" i="2"/>
  <c r="F315" i="2"/>
  <c r="F316" i="2"/>
  <c r="F317" i="2"/>
  <c r="F318" i="2"/>
  <c r="F321" i="2"/>
  <c r="F322" i="2"/>
  <c r="F323" i="2"/>
  <c r="F324" i="2"/>
  <c r="F325" i="2"/>
  <c r="F326" i="2"/>
  <c r="F327" i="2"/>
  <c r="F328" i="2"/>
  <c r="F330" i="2"/>
  <c r="F331" i="2"/>
  <c r="F332" i="2"/>
  <c r="F333" i="2"/>
  <c r="F334" i="2"/>
  <c r="F335" i="2"/>
  <c r="F336" i="2"/>
  <c r="F337" i="2"/>
  <c r="F339" i="2"/>
  <c r="F340" i="2"/>
  <c r="F341" i="2"/>
  <c r="F342" i="2"/>
  <c r="F343" i="2"/>
  <c r="F344" i="2"/>
  <c r="F345" i="2"/>
  <c r="F346" i="2"/>
  <c r="F349" i="2"/>
  <c r="F350" i="2"/>
  <c r="F351" i="2"/>
  <c r="F352" i="2"/>
  <c r="F353" i="2"/>
  <c r="F354" i="2"/>
  <c r="F355" i="2"/>
  <c r="F356" i="2"/>
  <c r="F359" i="2"/>
  <c r="F360" i="2"/>
  <c r="F361" i="2"/>
  <c r="F362" i="2"/>
  <c r="F363" i="2"/>
  <c r="F364" i="2"/>
  <c r="F365" i="2"/>
  <c r="F366" i="2"/>
  <c r="F369" i="2"/>
  <c r="F370" i="2"/>
  <c r="F371" i="2"/>
  <c r="F372" i="2"/>
  <c r="F373" i="2"/>
  <c r="F374" i="2"/>
  <c r="F375" i="2"/>
  <c r="F376" i="2"/>
  <c r="F378" i="2"/>
  <c r="F379" i="2"/>
  <c r="F380" i="2"/>
  <c r="F381" i="2"/>
  <c r="F382" i="2"/>
  <c r="F383" i="2"/>
  <c r="F384" i="2"/>
  <c r="F385" i="2"/>
  <c r="F195" i="2"/>
  <c r="F196" i="2"/>
  <c r="F197" i="2"/>
  <c r="F198" i="2"/>
  <c r="F199" i="2"/>
  <c r="F200" i="2"/>
  <c r="F201" i="2"/>
  <c r="F202" i="2"/>
  <c r="F205" i="2"/>
  <c r="F206" i="2"/>
  <c r="F207" i="2"/>
  <c r="F208" i="2"/>
  <c r="F209" i="2"/>
  <c r="F210" i="2"/>
  <c r="F211" i="2"/>
  <c r="F212" i="2"/>
  <c r="F215" i="2"/>
  <c r="F216" i="2"/>
  <c r="F217" i="2"/>
  <c r="F218" i="2"/>
  <c r="F354" i="3"/>
  <c r="F356" i="3"/>
  <c r="F358" i="3"/>
  <c r="F360" i="3"/>
  <c r="F390" i="3"/>
  <c r="F392" i="3"/>
  <c r="F394" i="3"/>
  <c r="F396" i="3"/>
  <c r="F426" i="3"/>
  <c r="F428" i="3"/>
  <c r="F430" i="3"/>
  <c r="F432" i="3"/>
  <c r="F318" i="3"/>
  <c r="F320" i="3"/>
  <c r="F322" i="3"/>
  <c r="F324" i="3"/>
  <c r="F66" i="3"/>
  <c r="F68" i="3"/>
  <c r="F70" i="3"/>
  <c r="F72" i="3"/>
  <c r="F102" i="3"/>
  <c r="F104" i="3"/>
  <c r="F106" i="3"/>
  <c r="F108" i="3"/>
  <c r="F138" i="3"/>
  <c r="F140" i="3"/>
  <c r="F142" i="3"/>
  <c r="F144" i="3"/>
  <c r="F30" i="3"/>
  <c r="F32" i="3"/>
  <c r="F34" i="3"/>
  <c r="F36" i="3"/>
  <c r="F210" i="3"/>
  <c r="F212" i="3"/>
  <c r="F214" i="3"/>
  <c r="F216" i="3"/>
  <c r="F246" i="3"/>
  <c r="F248" i="3"/>
  <c r="F250" i="3"/>
  <c r="F252" i="3"/>
  <c r="F282" i="3"/>
  <c r="F284" i="3"/>
  <c r="F286" i="3"/>
  <c r="F288" i="3"/>
  <c r="F174" i="3"/>
  <c r="F176" i="3"/>
  <c r="F178" i="3"/>
  <c r="F180" i="3"/>
  <c r="F498" i="3"/>
  <c r="F500" i="3"/>
  <c r="F502" i="3"/>
  <c r="F504" i="3"/>
  <c r="F534" i="3"/>
  <c r="F536" i="3"/>
  <c r="F538" i="3"/>
  <c r="F540" i="3"/>
  <c r="F570" i="3"/>
  <c r="F572" i="3"/>
  <c r="F574" i="3"/>
  <c r="F576" i="3"/>
  <c r="F462" i="3"/>
  <c r="F464" i="3"/>
  <c r="F466" i="3"/>
  <c r="F468" i="3"/>
  <c r="B29" i="8" l="1"/>
  <c r="F230" i="4"/>
  <c r="F239" i="4"/>
  <c r="F248" i="4"/>
  <c r="F274" i="4"/>
  <c r="F283" i="4"/>
  <c r="F292" i="4"/>
  <c r="F318" i="4"/>
  <c r="F327" i="4"/>
  <c r="F336" i="4"/>
  <c r="F186" i="4"/>
  <c r="F195" i="4"/>
  <c r="F204" i="4"/>
  <c r="F243" i="2"/>
  <c r="F223" i="4" l="1"/>
  <c r="F224" i="4"/>
  <c r="F225" i="4"/>
  <c r="F226" i="4"/>
  <c r="F227" i="4"/>
  <c r="F228" i="4"/>
  <c r="F229" i="4"/>
  <c r="F231" i="4"/>
  <c r="F232" i="4"/>
  <c r="F233" i="4"/>
  <c r="F234" i="4"/>
  <c r="F235" i="4"/>
  <c r="F236" i="4"/>
  <c r="F237" i="4"/>
  <c r="F238" i="4"/>
  <c r="F240" i="4"/>
  <c r="F241" i="4"/>
  <c r="F242" i="4"/>
  <c r="F243" i="4"/>
  <c r="F244" i="4"/>
  <c r="F245" i="4"/>
  <c r="F246" i="4"/>
  <c r="F247" i="4"/>
  <c r="F249" i="4"/>
  <c r="F250" i="4"/>
  <c r="F251" i="4"/>
  <c r="F252" i="4"/>
  <c r="F253" i="4"/>
  <c r="F254" i="4"/>
  <c r="F255" i="4"/>
  <c r="F256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5" i="4"/>
  <c r="F276" i="4"/>
  <c r="F277" i="4"/>
  <c r="F278" i="4"/>
  <c r="F279" i="4"/>
  <c r="F280" i="4"/>
  <c r="F281" i="4"/>
  <c r="F282" i="4"/>
  <c r="F284" i="4"/>
  <c r="F285" i="4"/>
  <c r="F286" i="4"/>
  <c r="F287" i="4"/>
  <c r="F288" i="4"/>
  <c r="F289" i="4"/>
  <c r="F290" i="4"/>
  <c r="F291" i="4"/>
  <c r="F293" i="4"/>
  <c r="F294" i="4"/>
  <c r="F295" i="4"/>
  <c r="F296" i="4"/>
  <c r="F297" i="4"/>
  <c r="F298" i="4"/>
  <c r="F299" i="4"/>
  <c r="F300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9" i="4"/>
  <c r="F320" i="4"/>
  <c r="F321" i="4"/>
  <c r="F322" i="4"/>
  <c r="F323" i="4"/>
  <c r="F324" i="4"/>
  <c r="F325" i="4"/>
  <c r="F326" i="4"/>
  <c r="F328" i="4"/>
  <c r="F329" i="4"/>
  <c r="F330" i="4"/>
  <c r="F331" i="4"/>
  <c r="F332" i="4"/>
  <c r="F333" i="4"/>
  <c r="F334" i="4"/>
  <c r="F335" i="4"/>
  <c r="F337" i="4"/>
  <c r="F338" i="4"/>
  <c r="F339" i="4"/>
  <c r="F340" i="4"/>
  <c r="F341" i="4"/>
  <c r="F342" i="4"/>
  <c r="F343" i="4"/>
  <c r="F344" i="4"/>
  <c r="F346" i="4"/>
  <c r="F347" i="4"/>
  <c r="F348" i="4"/>
  <c r="F349" i="4"/>
  <c r="F350" i="4"/>
  <c r="F351" i="4"/>
  <c r="F352" i="4"/>
  <c r="F353" i="4"/>
  <c r="F178" i="4"/>
  <c r="F179" i="4"/>
  <c r="F180" i="4"/>
  <c r="F181" i="4"/>
  <c r="F182" i="4"/>
  <c r="F183" i="4"/>
  <c r="F184" i="4"/>
  <c r="F185" i="4"/>
  <c r="F187" i="4"/>
  <c r="F188" i="4"/>
  <c r="F189" i="4"/>
  <c r="F190" i="4"/>
  <c r="F191" i="4"/>
  <c r="F192" i="4"/>
  <c r="F193" i="4"/>
  <c r="F194" i="4"/>
  <c r="F196" i="4"/>
  <c r="F197" i="4"/>
  <c r="F198" i="4"/>
  <c r="F199" i="4"/>
  <c r="F200" i="4"/>
  <c r="F201" i="4"/>
  <c r="F202" i="4"/>
  <c r="F203" i="4"/>
  <c r="F205" i="4"/>
  <c r="F206" i="4"/>
  <c r="F207" i="4"/>
  <c r="F208" i="4"/>
  <c r="F209" i="4"/>
  <c r="F210" i="4"/>
  <c r="F211" i="4"/>
  <c r="F212" i="4"/>
  <c r="F214" i="4"/>
  <c r="F215" i="4"/>
  <c r="F216" i="4"/>
  <c r="F217" i="4"/>
  <c r="F218" i="4"/>
  <c r="F219" i="4"/>
  <c r="F220" i="4"/>
  <c r="F221" i="4"/>
  <c r="F574" i="4"/>
  <c r="F575" i="4"/>
  <c r="F576" i="4"/>
  <c r="F577" i="4"/>
  <c r="F578" i="4"/>
  <c r="F579" i="4"/>
  <c r="F580" i="4"/>
  <c r="F581" i="4"/>
  <c r="F583" i="4"/>
  <c r="F584" i="4"/>
  <c r="F585" i="4"/>
  <c r="F586" i="4"/>
  <c r="F587" i="4"/>
  <c r="F588" i="4"/>
  <c r="F589" i="4"/>
  <c r="F590" i="4"/>
  <c r="F592" i="4"/>
  <c r="F593" i="4"/>
  <c r="F594" i="4"/>
  <c r="F595" i="4"/>
  <c r="F596" i="4"/>
  <c r="F597" i="4"/>
  <c r="F598" i="4"/>
  <c r="F599" i="4"/>
  <c r="F601" i="4"/>
  <c r="F602" i="4"/>
  <c r="F603" i="4"/>
  <c r="F604" i="4"/>
  <c r="F605" i="4"/>
  <c r="F606" i="4"/>
  <c r="F607" i="4"/>
  <c r="F608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7" i="4"/>
  <c r="F628" i="4"/>
  <c r="F629" i="4"/>
  <c r="F630" i="4"/>
  <c r="F631" i="4"/>
  <c r="F632" i="4"/>
  <c r="F633" i="4"/>
  <c r="F634" i="4"/>
  <c r="F636" i="4"/>
  <c r="F637" i="4"/>
  <c r="F638" i="4"/>
  <c r="F639" i="4"/>
  <c r="F640" i="4"/>
  <c r="F641" i="4"/>
  <c r="F642" i="4"/>
  <c r="F643" i="4"/>
  <c r="F645" i="4"/>
  <c r="F646" i="4"/>
  <c r="F647" i="4"/>
  <c r="F648" i="4"/>
  <c r="F649" i="4"/>
  <c r="F650" i="4"/>
  <c r="F651" i="4"/>
  <c r="F652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1" i="4"/>
  <c r="F672" i="4"/>
  <c r="F673" i="4"/>
  <c r="F674" i="4"/>
  <c r="F675" i="4"/>
  <c r="F676" i="4"/>
  <c r="F677" i="4"/>
  <c r="F678" i="4"/>
  <c r="F680" i="4"/>
  <c r="F681" i="4"/>
  <c r="F682" i="4"/>
  <c r="F683" i="4"/>
  <c r="F684" i="4"/>
  <c r="F685" i="4"/>
  <c r="F686" i="4"/>
  <c r="F687" i="4"/>
  <c r="F689" i="4"/>
  <c r="F690" i="4"/>
  <c r="F691" i="4"/>
  <c r="F692" i="4"/>
  <c r="F693" i="4"/>
  <c r="F694" i="4"/>
  <c r="F695" i="4"/>
  <c r="F696" i="4"/>
  <c r="F698" i="4"/>
  <c r="F699" i="4"/>
  <c r="F700" i="4"/>
  <c r="F701" i="4"/>
  <c r="F702" i="4"/>
  <c r="F703" i="4"/>
  <c r="F704" i="4"/>
  <c r="F705" i="4"/>
  <c r="F530" i="4"/>
  <c r="F531" i="4"/>
  <c r="F532" i="4"/>
  <c r="F533" i="4"/>
  <c r="F534" i="4"/>
  <c r="F535" i="4"/>
  <c r="F536" i="4"/>
  <c r="F537" i="4"/>
  <c r="F539" i="4"/>
  <c r="F540" i="4"/>
  <c r="F541" i="4"/>
  <c r="F542" i="4"/>
  <c r="F543" i="4"/>
  <c r="F544" i="4"/>
  <c r="F545" i="4"/>
  <c r="F546" i="4"/>
  <c r="F548" i="4"/>
  <c r="F549" i="4"/>
  <c r="F550" i="4"/>
  <c r="F551" i="4"/>
  <c r="F552" i="4"/>
  <c r="F553" i="4"/>
  <c r="F554" i="4"/>
  <c r="F555" i="4"/>
  <c r="F557" i="4"/>
  <c r="F558" i="4"/>
  <c r="F559" i="4"/>
  <c r="F560" i="4"/>
  <c r="F561" i="4"/>
  <c r="F562" i="4"/>
  <c r="F563" i="4"/>
  <c r="F564" i="4"/>
  <c r="F566" i="4"/>
  <c r="F567" i="4"/>
  <c r="F568" i="4"/>
  <c r="F569" i="4"/>
  <c r="F570" i="4"/>
  <c r="F571" i="4"/>
  <c r="F572" i="4"/>
  <c r="F573" i="4"/>
  <c r="F398" i="4"/>
  <c r="F399" i="4"/>
  <c r="F400" i="4"/>
  <c r="F401" i="4"/>
  <c r="F402" i="4"/>
  <c r="F403" i="4"/>
  <c r="F404" i="4"/>
  <c r="F405" i="4"/>
  <c r="F407" i="4"/>
  <c r="F408" i="4"/>
  <c r="F409" i="4"/>
  <c r="F410" i="4"/>
  <c r="F411" i="4"/>
  <c r="F412" i="4"/>
  <c r="F413" i="4"/>
  <c r="F414" i="4"/>
  <c r="F416" i="4"/>
  <c r="F417" i="4"/>
  <c r="F418" i="4"/>
  <c r="F419" i="4"/>
  <c r="F420" i="4"/>
  <c r="F421" i="4"/>
  <c r="F422" i="4"/>
  <c r="F423" i="4"/>
  <c r="F425" i="4"/>
  <c r="F426" i="4"/>
  <c r="F427" i="4"/>
  <c r="F428" i="4"/>
  <c r="F429" i="4"/>
  <c r="F430" i="4"/>
  <c r="F431" i="4"/>
  <c r="F432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1" i="4"/>
  <c r="F452" i="4"/>
  <c r="F453" i="4"/>
  <c r="F454" i="4"/>
  <c r="F455" i="4"/>
  <c r="F456" i="4"/>
  <c r="F457" i="4"/>
  <c r="F458" i="4"/>
  <c r="F460" i="4"/>
  <c r="F461" i="4"/>
  <c r="F462" i="4"/>
  <c r="F463" i="4"/>
  <c r="F464" i="4"/>
  <c r="F465" i="4"/>
  <c r="F466" i="4"/>
  <c r="F467" i="4"/>
  <c r="F469" i="4"/>
  <c r="F470" i="4"/>
  <c r="F471" i="4"/>
  <c r="F472" i="4"/>
  <c r="F473" i="4"/>
  <c r="F474" i="4"/>
  <c r="F475" i="4"/>
  <c r="F476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5" i="4"/>
  <c r="F496" i="4"/>
  <c r="F497" i="4"/>
  <c r="F498" i="4"/>
  <c r="F499" i="4"/>
  <c r="F500" i="4"/>
  <c r="F501" i="4"/>
  <c r="F502" i="4"/>
  <c r="F504" i="4"/>
  <c r="F505" i="4"/>
  <c r="F506" i="4"/>
  <c r="F507" i="4"/>
  <c r="F508" i="4"/>
  <c r="F509" i="4"/>
  <c r="F510" i="4"/>
  <c r="F511" i="4"/>
  <c r="F513" i="4"/>
  <c r="F514" i="4"/>
  <c r="F515" i="4"/>
  <c r="F516" i="4"/>
  <c r="F517" i="4"/>
  <c r="F518" i="4"/>
  <c r="F519" i="4"/>
  <c r="F520" i="4"/>
  <c r="F522" i="4"/>
  <c r="F523" i="4"/>
  <c r="F524" i="4"/>
  <c r="F525" i="4"/>
  <c r="F526" i="4"/>
  <c r="F527" i="4"/>
  <c r="F528" i="4"/>
  <c r="F529" i="4"/>
  <c r="F354" i="4"/>
  <c r="F355" i="4"/>
  <c r="F356" i="4"/>
  <c r="F357" i="4"/>
  <c r="F358" i="4"/>
  <c r="F359" i="4"/>
  <c r="F360" i="4"/>
  <c r="F361" i="4"/>
  <c r="F363" i="4"/>
  <c r="F364" i="4"/>
  <c r="F365" i="4"/>
  <c r="F366" i="4"/>
  <c r="F367" i="4"/>
  <c r="F368" i="4"/>
  <c r="F369" i="4"/>
  <c r="F370" i="4"/>
  <c r="F372" i="4"/>
  <c r="F373" i="4"/>
  <c r="F374" i="4"/>
  <c r="F375" i="4"/>
  <c r="F376" i="4"/>
  <c r="F377" i="4"/>
  <c r="F378" i="4"/>
  <c r="F379" i="4"/>
  <c r="F381" i="4"/>
  <c r="F382" i="4"/>
  <c r="F383" i="4"/>
  <c r="F384" i="4"/>
  <c r="F385" i="4"/>
  <c r="F386" i="4"/>
  <c r="F387" i="4"/>
  <c r="F388" i="4"/>
  <c r="F390" i="4"/>
  <c r="F391" i="4"/>
  <c r="F392" i="4"/>
  <c r="F393" i="4"/>
  <c r="F394" i="4"/>
  <c r="F395" i="4"/>
  <c r="F396" i="4"/>
  <c r="F397" i="4"/>
  <c r="F46" i="4"/>
  <c r="F47" i="4"/>
  <c r="F48" i="4"/>
  <c r="F49" i="4"/>
  <c r="F50" i="4"/>
  <c r="F51" i="4"/>
  <c r="F52" i="4"/>
  <c r="F53" i="4"/>
  <c r="F55" i="4"/>
  <c r="F56" i="4"/>
  <c r="F57" i="4"/>
  <c r="F58" i="4"/>
  <c r="F59" i="4"/>
  <c r="F60" i="4"/>
  <c r="F61" i="4"/>
  <c r="F62" i="4"/>
  <c r="F64" i="4"/>
  <c r="F65" i="4"/>
  <c r="F66" i="4"/>
  <c r="F67" i="4"/>
  <c r="F68" i="4"/>
  <c r="F69" i="4"/>
  <c r="F70" i="4"/>
  <c r="F71" i="4"/>
  <c r="F73" i="4"/>
  <c r="F74" i="4"/>
  <c r="F75" i="4"/>
  <c r="F76" i="4"/>
  <c r="F77" i="4"/>
  <c r="F78" i="4"/>
  <c r="F79" i="4"/>
  <c r="F80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9" i="4"/>
  <c r="F100" i="4"/>
  <c r="F101" i="4"/>
  <c r="F102" i="4"/>
  <c r="F103" i="4"/>
  <c r="F104" i="4"/>
  <c r="F105" i="4"/>
  <c r="F106" i="4"/>
  <c r="F108" i="4"/>
  <c r="F109" i="4"/>
  <c r="F110" i="4"/>
  <c r="F111" i="4"/>
  <c r="F112" i="4"/>
  <c r="F113" i="4"/>
  <c r="F114" i="4"/>
  <c r="F115" i="4"/>
  <c r="F117" i="4"/>
  <c r="F118" i="4"/>
  <c r="F119" i="4"/>
  <c r="F120" i="4"/>
  <c r="F121" i="4"/>
  <c r="F122" i="4"/>
  <c r="F123" i="4"/>
  <c r="F124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3" i="4"/>
  <c r="F144" i="4"/>
  <c r="F145" i="4"/>
  <c r="F146" i="4"/>
  <c r="F147" i="4"/>
  <c r="F148" i="4"/>
  <c r="F149" i="4"/>
  <c r="F150" i="4"/>
  <c r="F152" i="4"/>
  <c r="F153" i="4"/>
  <c r="F154" i="4"/>
  <c r="F155" i="4"/>
  <c r="F156" i="4"/>
  <c r="F157" i="4"/>
  <c r="F158" i="4"/>
  <c r="F159" i="4"/>
  <c r="F161" i="4"/>
  <c r="F162" i="4"/>
  <c r="F163" i="4"/>
  <c r="F164" i="4"/>
  <c r="F165" i="4"/>
  <c r="F166" i="4"/>
  <c r="F167" i="4"/>
  <c r="F168" i="4"/>
  <c r="F170" i="4"/>
  <c r="F171" i="4"/>
  <c r="F172" i="4"/>
  <c r="F173" i="4"/>
  <c r="F174" i="4"/>
  <c r="F175" i="4"/>
  <c r="F176" i="4"/>
  <c r="F177" i="4"/>
  <c r="F2" i="4"/>
  <c r="F3" i="4"/>
  <c r="F4" i="4"/>
  <c r="F5" i="4"/>
  <c r="F6" i="4"/>
  <c r="F7" i="4"/>
  <c r="F8" i="4"/>
  <c r="F9" i="4"/>
  <c r="F11" i="4"/>
  <c r="F12" i="4"/>
  <c r="F13" i="4"/>
  <c r="F14" i="4"/>
  <c r="F15" i="4"/>
  <c r="F16" i="4"/>
  <c r="F17" i="4"/>
  <c r="F18" i="4"/>
  <c r="F20" i="4"/>
  <c r="F21" i="4"/>
  <c r="F22" i="4"/>
  <c r="F23" i="4"/>
  <c r="F24" i="4"/>
  <c r="F25" i="4"/>
  <c r="F26" i="4"/>
  <c r="F27" i="4"/>
  <c r="F29" i="4"/>
  <c r="F30" i="4"/>
  <c r="F31" i="4"/>
  <c r="F32" i="4"/>
  <c r="F33" i="4"/>
  <c r="F34" i="4"/>
  <c r="F35" i="4"/>
  <c r="F36" i="4"/>
  <c r="F38" i="4"/>
  <c r="F39" i="4"/>
  <c r="F40" i="4"/>
  <c r="F41" i="4"/>
  <c r="F42" i="4"/>
  <c r="F43" i="4"/>
  <c r="F44" i="4"/>
  <c r="F45" i="4"/>
  <c r="F222" i="4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2" i="1"/>
  <c r="F183" i="3"/>
  <c r="F184" i="3"/>
  <c r="F185" i="3"/>
  <c r="F186" i="3"/>
  <c r="F187" i="3"/>
  <c r="F188" i="3"/>
  <c r="F189" i="3"/>
  <c r="F191" i="3"/>
  <c r="F192" i="3"/>
  <c r="F193" i="3"/>
  <c r="F194" i="3"/>
  <c r="F195" i="3"/>
  <c r="F196" i="3"/>
  <c r="F197" i="3"/>
  <c r="F198" i="3"/>
  <c r="F218" i="3"/>
  <c r="F219" i="3"/>
  <c r="F220" i="3"/>
  <c r="F221" i="3"/>
  <c r="F222" i="3"/>
  <c r="F223" i="3"/>
  <c r="F224" i="3"/>
  <c r="F225" i="3"/>
  <c r="F227" i="3"/>
  <c r="F228" i="3"/>
  <c r="F229" i="3"/>
  <c r="F230" i="3"/>
  <c r="F231" i="3"/>
  <c r="F232" i="3"/>
  <c r="F233" i="3"/>
  <c r="F234" i="3"/>
  <c r="F254" i="3"/>
  <c r="F255" i="3"/>
  <c r="F256" i="3"/>
  <c r="F257" i="3"/>
  <c r="F258" i="3"/>
  <c r="F259" i="3"/>
  <c r="F260" i="3"/>
  <c r="F261" i="3"/>
  <c r="F263" i="3"/>
  <c r="F264" i="3"/>
  <c r="F265" i="3"/>
  <c r="F266" i="3"/>
  <c r="F267" i="3"/>
  <c r="F268" i="3"/>
  <c r="F269" i="3"/>
  <c r="F270" i="3"/>
  <c r="F146" i="3"/>
  <c r="F147" i="3"/>
  <c r="F148" i="3"/>
  <c r="F149" i="3"/>
  <c r="F150" i="3"/>
  <c r="F151" i="3"/>
  <c r="F152" i="3"/>
  <c r="F153" i="3"/>
  <c r="F155" i="3"/>
  <c r="F156" i="3"/>
  <c r="F157" i="3"/>
  <c r="F158" i="3"/>
  <c r="F159" i="3"/>
  <c r="F160" i="3"/>
  <c r="F161" i="3"/>
  <c r="F162" i="3"/>
  <c r="F470" i="3"/>
  <c r="F471" i="3"/>
  <c r="F472" i="3"/>
  <c r="F473" i="3"/>
  <c r="F474" i="3"/>
  <c r="F475" i="3"/>
  <c r="F476" i="3"/>
  <c r="F477" i="3"/>
  <c r="F479" i="3"/>
  <c r="F480" i="3"/>
  <c r="F481" i="3"/>
  <c r="F482" i="3"/>
  <c r="F483" i="3"/>
  <c r="F484" i="3"/>
  <c r="F485" i="3"/>
  <c r="F486" i="3"/>
  <c r="F506" i="3"/>
  <c r="F507" i="3"/>
  <c r="F508" i="3"/>
  <c r="F509" i="3"/>
  <c r="F510" i="3"/>
  <c r="F511" i="3"/>
  <c r="F512" i="3"/>
  <c r="F513" i="3"/>
  <c r="F515" i="3"/>
  <c r="F516" i="3"/>
  <c r="F517" i="3"/>
  <c r="F518" i="3"/>
  <c r="F519" i="3"/>
  <c r="F520" i="3"/>
  <c r="F521" i="3"/>
  <c r="F522" i="3"/>
  <c r="F542" i="3"/>
  <c r="F543" i="3"/>
  <c r="F544" i="3"/>
  <c r="F545" i="3"/>
  <c r="F546" i="3"/>
  <c r="F547" i="3"/>
  <c r="F548" i="3"/>
  <c r="F549" i="3"/>
  <c r="F551" i="3"/>
  <c r="F552" i="3"/>
  <c r="F553" i="3"/>
  <c r="F554" i="3"/>
  <c r="F555" i="3"/>
  <c r="F556" i="3"/>
  <c r="F557" i="3"/>
  <c r="F558" i="3"/>
  <c r="F434" i="3"/>
  <c r="F435" i="3"/>
  <c r="F436" i="3"/>
  <c r="F437" i="3"/>
  <c r="F438" i="3"/>
  <c r="F439" i="3"/>
  <c r="F440" i="3"/>
  <c r="F441" i="3"/>
  <c r="F443" i="3"/>
  <c r="F444" i="3"/>
  <c r="F445" i="3"/>
  <c r="F446" i="3"/>
  <c r="F447" i="3"/>
  <c r="F448" i="3"/>
  <c r="F449" i="3"/>
  <c r="F450" i="3"/>
  <c r="F326" i="3"/>
  <c r="F327" i="3"/>
  <c r="F328" i="3"/>
  <c r="F329" i="3"/>
  <c r="F330" i="3"/>
  <c r="F331" i="3"/>
  <c r="F332" i="3"/>
  <c r="F333" i="3"/>
  <c r="F335" i="3"/>
  <c r="F336" i="3"/>
  <c r="F337" i="3"/>
  <c r="F338" i="3"/>
  <c r="F339" i="3"/>
  <c r="F340" i="3"/>
  <c r="F341" i="3"/>
  <c r="F342" i="3"/>
  <c r="F362" i="3"/>
  <c r="F363" i="3"/>
  <c r="F364" i="3"/>
  <c r="F365" i="3"/>
  <c r="F366" i="3"/>
  <c r="F367" i="3"/>
  <c r="F368" i="3"/>
  <c r="F369" i="3"/>
  <c r="F371" i="3"/>
  <c r="F372" i="3"/>
  <c r="F373" i="3"/>
  <c r="F374" i="3"/>
  <c r="F375" i="3"/>
  <c r="F376" i="3"/>
  <c r="F377" i="3"/>
  <c r="F378" i="3"/>
  <c r="F398" i="3"/>
  <c r="F399" i="3"/>
  <c r="F400" i="3"/>
  <c r="F401" i="3"/>
  <c r="F402" i="3"/>
  <c r="F403" i="3"/>
  <c r="F404" i="3"/>
  <c r="F405" i="3"/>
  <c r="F407" i="3"/>
  <c r="F408" i="3"/>
  <c r="F409" i="3"/>
  <c r="F410" i="3"/>
  <c r="F411" i="3"/>
  <c r="F412" i="3"/>
  <c r="F413" i="3"/>
  <c r="F414" i="3"/>
  <c r="F290" i="3"/>
  <c r="F291" i="3"/>
  <c r="F292" i="3"/>
  <c r="F293" i="3"/>
  <c r="F294" i="3"/>
  <c r="F295" i="3"/>
  <c r="F296" i="3"/>
  <c r="F297" i="3"/>
  <c r="F299" i="3"/>
  <c r="F300" i="3"/>
  <c r="F301" i="3"/>
  <c r="F302" i="3"/>
  <c r="F303" i="3"/>
  <c r="F304" i="3"/>
  <c r="F305" i="3"/>
  <c r="F306" i="3"/>
  <c r="F38" i="3"/>
  <c r="F39" i="3"/>
  <c r="F40" i="3"/>
  <c r="F41" i="3"/>
  <c r="F42" i="3"/>
  <c r="F43" i="3"/>
  <c r="F44" i="3"/>
  <c r="F45" i="3"/>
  <c r="F47" i="3"/>
  <c r="F48" i="3"/>
  <c r="F49" i="3"/>
  <c r="F50" i="3"/>
  <c r="F51" i="3"/>
  <c r="F52" i="3"/>
  <c r="F53" i="3"/>
  <c r="F54" i="3"/>
  <c r="F74" i="3"/>
  <c r="F75" i="3"/>
  <c r="F76" i="3"/>
  <c r="F77" i="3"/>
  <c r="F78" i="3"/>
  <c r="F79" i="3"/>
  <c r="F80" i="3"/>
  <c r="F81" i="3"/>
  <c r="F83" i="3"/>
  <c r="F84" i="3"/>
  <c r="F85" i="3"/>
  <c r="F86" i="3"/>
  <c r="F87" i="3"/>
  <c r="F88" i="3"/>
  <c r="F89" i="3"/>
  <c r="F90" i="3"/>
  <c r="F110" i="3"/>
  <c r="F111" i="3"/>
  <c r="F112" i="3"/>
  <c r="F113" i="3"/>
  <c r="F114" i="3"/>
  <c r="F115" i="3"/>
  <c r="F116" i="3"/>
  <c r="F117" i="3"/>
  <c r="F119" i="3"/>
  <c r="F120" i="3"/>
  <c r="F121" i="3"/>
  <c r="F122" i="3"/>
  <c r="F123" i="3"/>
  <c r="F124" i="3"/>
  <c r="F125" i="3"/>
  <c r="F126" i="3"/>
  <c r="F2" i="3"/>
  <c r="F3" i="3"/>
  <c r="F4" i="3"/>
  <c r="F5" i="3"/>
  <c r="F6" i="3"/>
  <c r="F7" i="3"/>
  <c r="F8" i="3"/>
  <c r="F9" i="3"/>
  <c r="F11" i="3"/>
  <c r="F12" i="3"/>
  <c r="F13" i="3"/>
  <c r="F14" i="3"/>
  <c r="F15" i="3"/>
  <c r="F16" i="3"/>
  <c r="F17" i="3"/>
  <c r="F18" i="3"/>
  <c r="F190" i="3"/>
  <c r="F199" i="3"/>
  <c r="F208" i="3"/>
  <c r="F226" i="3"/>
  <c r="F235" i="3"/>
  <c r="F244" i="3"/>
  <c r="F262" i="3"/>
  <c r="F271" i="3"/>
  <c r="F280" i="3"/>
  <c r="F154" i="3"/>
  <c r="F163" i="3"/>
  <c r="F172" i="3"/>
  <c r="F201" i="3"/>
  <c r="F203" i="3"/>
  <c r="F205" i="3"/>
  <c r="F207" i="3"/>
  <c r="F237" i="3"/>
  <c r="F239" i="3"/>
  <c r="F241" i="3"/>
  <c r="F243" i="3"/>
  <c r="F273" i="3"/>
  <c r="F275" i="3"/>
  <c r="F277" i="3"/>
  <c r="F279" i="3"/>
  <c r="F165" i="3"/>
  <c r="F167" i="3"/>
  <c r="F169" i="3"/>
  <c r="F171" i="3"/>
  <c r="F489" i="3"/>
  <c r="F491" i="3"/>
  <c r="F493" i="3"/>
  <c r="F495" i="3"/>
  <c r="F525" i="3"/>
  <c r="F527" i="3"/>
  <c r="F529" i="3"/>
  <c r="F531" i="3"/>
  <c r="F561" i="3"/>
  <c r="F563" i="3"/>
  <c r="F565" i="3"/>
  <c r="F567" i="3"/>
  <c r="F453" i="3"/>
  <c r="F455" i="3"/>
  <c r="F457" i="3"/>
  <c r="F459" i="3"/>
  <c r="F345" i="3"/>
  <c r="F347" i="3"/>
  <c r="F349" i="3"/>
  <c r="F351" i="3"/>
  <c r="F381" i="3"/>
  <c r="F383" i="3"/>
  <c r="F385" i="3"/>
  <c r="F387" i="3"/>
  <c r="F417" i="3"/>
  <c r="F419" i="3"/>
  <c r="F421" i="3"/>
  <c r="F423" i="3"/>
  <c r="F309" i="3"/>
  <c r="F311" i="3"/>
  <c r="F313" i="3"/>
  <c r="F315" i="3"/>
  <c r="F57" i="3"/>
  <c r="F59" i="3"/>
  <c r="F61" i="3"/>
  <c r="F63" i="3"/>
  <c r="F93" i="3"/>
  <c r="F95" i="3"/>
  <c r="F97" i="3"/>
  <c r="F99" i="3"/>
  <c r="F129" i="3"/>
  <c r="F131" i="3"/>
  <c r="F133" i="3"/>
  <c r="F135" i="3"/>
  <c r="F21" i="3"/>
  <c r="F23" i="3"/>
  <c r="F25" i="3"/>
  <c r="F27" i="3"/>
  <c r="F200" i="3"/>
  <c r="F202" i="3"/>
  <c r="F204" i="3"/>
  <c r="F206" i="3"/>
  <c r="F209" i="3"/>
  <c r="F211" i="3"/>
  <c r="F213" i="3"/>
  <c r="F215" i="3"/>
  <c r="F236" i="3"/>
  <c r="F238" i="3"/>
  <c r="F240" i="3"/>
  <c r="F242" i="3"/>
  <c r="F245" i="3"/>
  <c r="F247" i="3"/>
  <c r="F249" i="3"/>
  <c r="F251" i="3"/>
  <c r="F272" i="3"/>
  <c r="F274" i="3"/>
  <c r="F276" i="3"/>
  <c r="F278" i="3"/>
  <c r="F281" i="3"/>
  <c r="F283" i="3"/>
  <c r="F285" i="3"/>
  <c r="F287" i="3"/>
  <c r="F164" i="3"/>
  <c r="F166" i="3"/>
  <c r="F168" i="3"/>
  <c r="F170" i="3"/>
  <c r="F173" i="3"/>
  <c r="F175" i="3"/>
  <c r="F177" i="3"/>
  <c r="F179" i="3"/>
  <c r="F488" i="3"/>
  <c r="F490" i="3"/>
  <c r="F492" i="3"/>
  <c r="F494" i="3"/>
  <c r="F497" i="3"/>
  <c r="F499" i="3"/>
  <c r="F501" i="3"/>
  <c r="F503" i="3"/>
  <c r="F524" i="3"/>
  <c r="F526" i="3"/>
  <c r="F528" i="3"/>
  <c r="F530" i="3"/>
  <c r="F533" i="3"/>
  <c r="F535" i="3"/>
  <c r="F537" i="3"/>
  <c r="F539" i="3"/>
  <c r="F560" i="3"/>
  <c r="F562" i="3"/>
  <c r="F564" i="3"/>
  <c r="F566" i="3"/>
  <c r="F569" i="3"/>
  <c r="F571" i="3"/>
  <c r="F573" i="3"/>
  <c r="F575" i="3"/>
  <c r="F452" i="3"/>
  <c r="F454" i="3"/>
  <c r="F456" i="3"/>
  <c r="F458" i="3"/>
  <c r="F461" i="3"/>
  <c r="F463" i="3"/>
  <c r="F465" i="3"/>
  <c r="F467" i="3"/>
  <c r="F344" i="3"/>
  <c r="F346" i="3"/>
  <c r="F348" i="3"/>
  <c r="F350" i="3"/>
  <c r="F353" i="3"/>
  <c r="F355" i="3"/>
  <c r="F357" i="3"/>
  <c r="F359" i="3"/>
  <c r="F380" i="3"/>
  <c r="F382" i="3"/>
  <c r="F384" i="3"/>
  <c r="F386" i="3"/>
  <c r="F389" i="3"/>
  <c r="F391" i="3"/>
  <c r="F393" i="3"/>
  <c r="F395" i="3"/>
  <c r="F416" i="3"/>
  <c r="F418" i="3"/>
  <c r="F420" i="3"/>
  <c r="F422" i="3"/>
  <c r="F425" i="3"/>
  <c r="F427" i="3"/>
  <c r="F429" i="3"/>
  <c r="F431" i="3"/>
  <c r="F308" i="3"/>
  <c r="F310" i="3"/>
  <c r="F312" i="3"/>
  <c r="F314" i="3"/>
  <c r="F317" i="3"/>
  <c r="F319" i="3"/>
  <c r="F321" i="3"/>
  <c r="F323" i="3"/>
  <c r="F56" i="3"/>
  <c r="F58" i="3"/>
  <c r="F60" i="3"/>
  <c r="F62" i="3"/>
  <c r="F65" i="3"/>
  <c r="F67" i="3"/>
  <c r="F69" i="3"/>
  <c r="F71" i="3"/>
  <c r="F92" i="3"/>
  <c r="F94" i="3"/>
  <c r="F96" i="3"/>
  <c r="F98" i="3"/>
  <c r="F101" i="3"/>
  <c r="F103" i="3"/>
  <c r="F105" i="3"/>
  <c r="F107" i="3"/>
  <c r="F128" i="3"/>
  <c r="F130" i="3"/>
  <c r="F132" i="3"/>
  <c r="F134" i="3"/>
  <c r="F137" i="3"/>
  <c r="F139" i="3"/>
  <c r="F141" i="3"/>
  <c r="F143" i="3"/>
  <c r="F20" i="3"/>
  <c r="F22" i="3"/>
  <c r="F24" i="3"/>
  <c r="F26" i="3"/>
  <c r="F29" i="3"/>
  <c r="F31" i="3"/>
  <c r="F33" i="3"/>
  <c r="F35" i="3"/>
  <c r="F182" i="3"/>
  <c r="M472" i="1" l="1"/>
  <c r="M448" i="1"/>
  <c r="M528" i="1"/>
  <c r="M519" i="1"/>
  <c r="M526" i="1"/>
  <c r="M533" i="1"/>
  <c r="M540" i="1"/>
  <c r="M555" i="1"/>
  <c r="M562" i="1"/>
  <c r="M577" i="1"/>
  <c r="M567" i="1"/>
  <c r="M574" i="1"/>
  <c r="M517" i="1"/>
  <c r="M524" i="1"/>
  <c r="M539" i="1"/>
  <c r="M546" i="1"/>
  <c r="M561" i="1"/>
  <c r="M570" i="1"/>
  <c r="M575" i="1"/>
  <c r="M544" i="1"/>
  <c r="M518" i="1"/>
  <c r="M525" i="1"/>
  <c r="M532" i="1"/>
  <c r="M547" i="1"/>
  <c r="M554" i="1"/>
  <c r="M569" i="1"/>
  <c r="M536" i="1"/>
  <c r="M553" i="1"/>
  <c r="M548" i="1"/>
  <c r="M541" i="1"/>
  <c r="M559" i="1"/>
  <c r="M566" i="1"/>
  <c r="M573" i="1"/>
  <c r="M568" i="1"/>
  <c r="M516" i="1"/>
  <c r="M531" i="1"/>
  <c r="M538" i="1"/>
  <c r="M534" i="1"/>
  <c r="M551" i="1"/>
  <c r="M558" i="1"/>
  <c r="M565" i="1"/>
  <c r="M572" i="1"/>
  <c r="M576" i="1"/>
  <c r="M523" i="1"/>
  <c r="M530" i="1"/>
  <c r="M545" i="1"/>
  <c r="M527" i="1"/>
  <c r="M521" i="1"/>
  <c r="M543" i="1"/>
  <c r="M550" i="1"/>
  <c r="M557" i="1"/>
  <c r="M564" i="1"/>
  <c r="M520" i="1"/>
  <c r="M515" i="1"/>
  <c r="M522" i="1"/>
  <c r="M537" i="1"/>
  <c r="M563" i="1"/>
  <c r="M535" i="1"/>
  <c r="M542" i="1"/>
  <c r="M549" i="1"/>
  <c r="M556" i="1"/>
  <c r="M571" i="1"/>
  <c r="M552" i="1"/>
  <c r="M514" i="1"/>
  <c r="M529" i="1"/>
  <c r="M560" i="1"/>
  <c r="G574" i="1"/>
  <c r="G570" i="1"/>
  <c r="G566" i="1"/>
  <c r="G562" i="1"/>
  <c r="G558" i="1"/>
  <c r="G554" i="1"/>
  <c r="G550" i="1"/>
  <c r="G546" i="1"/>
  <c r="G542" i="1"/>
  <c r="G538" i="1"/>
  <c r="G534" i="1"/>
  <c r="G530" i="1"/>
  <c r="G526" i="1"/>
  <c r="G522" i="1"/>
  <c r="G518" i="1"/>
  <c r="G514" i="1"/>
  <c r="N570" i="1"/>
  <c r="V570" i="1" s="1"/>
  <c r="N562" i="1"/>
  <c r="V562" i="1" s="1"/>
  <c r="N554" i="1"/>
  <c r="V554" i="1" s="1"/>
  <c r="N546" i="1"/>
  <c r="V546" i="1" s="1"/>
  <c r="N538" i="1"/>
  <c r="V538" i="1" s="1"/>
  <c r="N530" i="1"/>
  <c r="V530" i="1" s="1"/>
  <c r="N522" i="1"/>
  <c r="V522" i="1" s="1"/>
  <c r="N514" i="1"/>
  <c r="V514" i="1" s="1"/>
  <c r="G573" i="1"/>
  <c r="G565" i="1"/>
  <c r="G557" i="1"/>
  <c r="G549" i="1"/>
  <c r="G541" i="1"/>
  <c r="G533" i="1"/>
  <c r="G525" i="1"/>
  <c r="G517" i="1"/>
  <c r="N560" i="1"/>
  <c r="V560" i="1" s="1"/>
  <c r="N544" i="1"/>
  <c r="V544" i="1" s="1"/>
  <c r="N528" i="1"/>
  <c r="V528" i="1" s="1"/>
  <c r="H564" i="1"/>
  <c r="H540" i="1"/>
  <c r="H528" i="1"/>
  <c r="H516" i="1"/>
  <c r="N551" i="1"/>
  <c r="V551" i="1" s="1"/>
  <c r="N519" i="1"/>
  <c r="V519" i="1" s="1"/>
  <c r="G548" i="1"/>
  <c r="G532" i="1"/>
  <c r="N566" i="1"/>
  <c r="V566" i="1" s="1"/>
  <c r="N534" i="1"/>
  <c r="V534" i="1" s="1"/>
  <c r="N557" i="1"/>
  <c r="V557" i="1" s="1"/>
  <c r="N564" i="1"/>
  <c r="V564" i="1" s="1"/>
  <c r="H570" i="1"/>
  <c r="H542" i="1"/>
  <c r="N571" i="1"/>
  <c r="V571" i="1" s="1"/>
  <c r="H577" i="1"/>
  <c r="H573" i="1"/>
  <c r="H569" i="1"/>
  <c r="H565" i="1"/>
  <c r="H561" i="1"/>
  <c r="H557" i="1"/>
  <c r="H553" i="1"/>
  <c r="H549" i="1"/>
  <c r="H545" i="1"/>
  <c r="H541" i="1"/>
  <c r="H537" i="1"/>
  <c r="H533" i="1"/>
  <c r="H529" i="1"/>
  <c r="H525" i="1"/>
  <c r="H521" i="1"/>
  <c r="H517" i="1"/>
  <c r="N577" i="1"/>
  <c r="V577" i="1" s="1"/>
  <c r="N569" i="1"/>
  <c r="V569" i="1" s="1"/>
  <c r="N561" i="1"/>
  <c r="V561" i="1" s="1"/>
  <c r="N553" i="1"/>
  <c r="V553" i="1" s="1"/>
  <c r="N545" i="1"/>
  <c r="V545" i="1" s="1"/>
  <c r="N537" i="1"/>
  <c r="V537" i="1" s="1"/>
  <c r="N529" i="1"/>
  <c r="V529" i="1" s="1"/>
  <c r="N521" i="1"/>
  <c r="V521" i="1" s="1"/>
  <c r="G577" i="1"/>
  <c r="G569" i="1"/>
  <c r="G561" i="1"/>
  <c r="G553" i="1"/>
  <c r="G545" i="1"/>
  <c r="G537" i="1"/>
  <c r="G529" i="1"/>
  <c r="G521" i="1"/>
  <c r="N576" i="1"/>
  <c r="V576" i="1" s="1"/>
  <c r="N568" i="1"/>
  <c r="V568" i="1" s="1"/>
  <c r="N552" i="1"/>
  <c r="V552" i="1" s="1"/>
  <c r="N536" i="1"/>
  <c r="V536" i="1" s="1"/>
  <c r="N520" i="1"/>
  <c r="V520" i="1" s="1"/>
  <c r="H568" i="1"/>
  <c r="H556" i="1"/>
  <c r="H544" i="1"/>
  <c r="H532" i="1"/>
  <c r="H520" i="1"/>
  <c r="N567" i="1"/>
  <c r="V567" i="1" s="1"/>
  <c r="N535" i="1"/>
  <c r="V535" i="1" s="1"/>
  <c r="G544" i="1"/>
  <c r="G528" i="1"/>
  <c r="N558" i="1"/>
  <c r="V558" i="1" s="1"/>
  <c r="N518" i="1"/>
  <c r="V518" i="1" s="1"/>
  <c r="H515" i="1"/>
  <c r="N517" i="1"/>
  <c r="V517" i="1" s="1"/>
  <c r="N540" i="1"/>
  <c r="V540" i="1" s="1"/>
  <c r="H566" i="1"/>
  <c r="H534" i="1"/>
  <c r="N563" i="1"/>
  <c r="V563" i="1" s="1"/>
  <c r="H548" i="1"/>
  <c r="N559" i="1"/>
  <c r="V559" i="1" s="1"/>
  <c r="N527" i="1"/>
  <c r="V527" i="1" s="1"/>
  <c r="G552" i="1"/>
  <c r="G536" i="1"/>
  <c r="G524" i="1"/>
  <c r="G516" i="1"/>
  <c r="N550" i="1"/>
  <c r="V550" i="1" s="1"/>
  <c r="N526" i="1"/>
  <c r="V526" i="1" s="1"/>
  <c r="N573" i="1"/>
  <c r="V573" i="1" s="1"/>
  <c r="N541" i="1"/>
  <c r="V541" i="1" s="1"/>
  <c r="N556" i="1"/>
  <c r="V556" i="1" s="1"/>
  <c r="N516" i="1"/>
  <c r="V516" i="1" s="1"/>
  <c r="H554" i="1"/>
  <c r="H538" i="1"/>
  <c r="H518" i="1"/>
  <c r="N539" i="1"/>
  <c r="V539" i="1" s="1"/>
  <c r="H576" i="1"/>
  <c r="H572" i="1"/>
  <c r="H560" i="1"/>
  <c r="H552" i="1"/>
  <c r="H536" i="1"/>
  <c r="H524" i="1"/>
  <c r="N575" i="1"/>
  <c r="V575" i="1" s="1"/>
  <c r="N543" i="1"/>
  <c r="V543" i="1" s="1"/>
  <c r="N574" i="1"/>
  <c r="V574" i="1" s="1"/>
  <c r="H519" i="1"/>
  <c r="N533" i="1"/>
  <c r="V533" i="1" s="1"/>
  <c r="N548" i="1"/>
  <c r="V548" i="1" s="1"/>
  <c r="H558" i="1"/>
  <c r="H526" i="1"/>
  <c r="N547" i="1"/>
  <c r="V547" i="1" s="1"/>
  <c r="G576" i="1"/>
  <c r="G572" i="1"/>
  <c r="G568" i="1"/>
  <c r="G564" i="1"/>
  <c r="G560" i="1"/>
  <c r="G556" i="1"/>
  <c r="G540" i="1"/>
  <c r="G520" i="1"/>
  <c r="N542" i="1"/>
  <c r="V542" i="1" s="1"/>
  <c r="N549" i="1"/>
  <c r="V549" i="1" s="1"/>
  <c r="N572" i="1"/>
  <c r="V572" i="1" s="1"/>
  <c r="H550" i="1"/>
  <c r="H522" i="1"/>
  <c r="N531" i="1"/>
  <c r="V531" i="1" s="1"/>
  <c r="H575" i="1"/>
  <c r="H571" i="1"/>
  <c r="H567" i="1"/>
  <c r="H563" i="1"/>
  <c r="H559" i="1"/>
  <c r="H555" i="1"/>
  <c r="H551" i="1"/>
  <c r="H547" i="1"/>
  <c r="H543" i="1"/>
  <c r="H539" i="1"/>
  <c r="H535" i="1"/>
  <c r="H531" i="1"/>
  <c r="H527" i="1"/>
  <c r="H523" i="1"/>
  <c r="N565" i="1"/>
  <c r="V565" i="1" s="1"/>
  <c r="N525" i="1"/>
  <c r="V525" i="1" s="1"/>
  <c r="N532" i="1"/>
  <c r="V532" i="1" s="1"/>
  <c r="H562" i="1"/>
  <c r="H530" i="1"/>
  <c r="N555" i="1"/>
  <c r="V555" i="1" s="1"/>
  <c r="G575" i="1"/>
  <c r="G571" i="1"/>
  <c r="G567" i="1"/>
  <c r="G563" i="1"/>
  <c r="G559" i="1"/>
  <c r="G555" i="1"/>
  <c r="G551" i="1"/>
  <c r="G547" i="1"/>
  <c r="G543" i="1"/>
  <c r="G539" i="1"/>
  <c r="G535" i="1"/>
  <c r="G531" i="1"/>
  <c r="G527" i="1"/>
  <c r="G523" i="1"/>
  <c r="G519" i="1"/>
  <c r="G515" i="1"/>
  <c r="N524" i="1"/>
  <c r="V524" i="1" s="1"/>
  <c r="H574" i="1"/>
  <c r="H546" i="1"/>
  <c r="H514" i="1"/>
  <c r="N523" i="1"/>
  <c r="V523" i="1" s="1"/>
  <c r="N515" i="1"/>
  <c r="V515" i="1" s="1"/>
  <c r="M480" i="1"/>
  <c r="N480" i="1"/>
  <c r="G508" i="1"/>
  <c r="H508" i="1"/>
  <c r="M511" i="1"/>
  <c r="G511" i="1"/>
  <c r="H511" i="1"/>
  <c r="M503" i="1"/>
  <c r="G503" i="1"/>
  <c r="H503" i="1"/>
  <c r="M495" i="1"/>
  <c r="G495" i="1"/>
  <c r="H495" i="1"/>
  <c r="M487" i="1"/>
  <c r="G487" i="1"/>
  <c r="H487" i="1"/>
  <c r="G479" i="1"/>
  <c r="H479" i="1"/>
  <c r="G471" i="1"/>
  <c r="H471" i="1"/>
  <c r="G463" i="1"/>
  <c r="H463" i="1"/>
  <c r="G455" i="1"/>
  <c r="H455" i="1"/>
  <c r="G447" i="1"/>
  <c r="H447" i="1"/>
  <c r="G439" i="1"/>
  <c r="H439" i="1"/>
  <c r="G431" i="1"/>
  <c r="H431" i="1"/>
  <c r="G423" i="1"/>
  <c r="H423" i="1"/>
  <c r="G415" i="1"/>
  <c r="H415" i="1"/>
  <c r="G407" i="1"/>
  <c r="H407" i="1"/>
  <c r="G399" i="1"/>
  <c r="H399" i="1"/>
  <c r="G391" i="1"/>
  <c r="H391" i="1"/>
  <c r="G383" i="1"/>
  <c r="H383" i="1"/>
  <c r="G375" i="1"/>
  <c r="H375" i="1"/>
  <c r="G367" i="1"/>
  <c r="H367" i="1"/>
  <c r="G359" i="1"/>
  <c r="H359" i="1"/>
  <c r="G351" i="1"/>
  <c r="H351" i="1"/>
  <c r="G343" i="1"/>
  <c r="H343" i="1"/>
  <c r="G335" i="1"/>
  <c r="H335" i="1"/>
  <c r="G327" i="1"/>
  <c r="H327" i="1"/>
  <c r="G319" i="1"/>
  <c r="H319" i="1"/>
  <c r="G311" i="1"/>
  <c r="H311" i="1"/>
  <c r="G303" i="1"/>
  <c r="H303" i="1"/>
  <c r="G295" i="1"/>
  <c r="H295" i="1"/>
  <c r="G287" i="1"/>
  <c r="H287" i="1"/>
  <c r="G279" i="1"/>
  <c r="H279" i="1"/>
  <c r="G271" i="1"/>
  <c r="H271" i="1"/>
  <c r="G263" i="1"/>
  <c r="H263" i="1"/>
  <c r="G255" i="1"/>
  <c r="H255" i="1"/>
  <c r="G247" i="1"/>
  <c r="H247" i="1"/>
  <c r="G239" i="1"/>
  <c r="H239" i="1"/>
  <c r="G231" i="1"/>
  <c r="H231" i="1"/>
  <c r="G223" i="1"/>
  <c r="H223" i="1"/>
  <c r="G215" i="1"/>
  <c r="H215" i="1"/>
  <c r="G207" i="1"/>
  <c r="H207" i="1"/>
  <c r="G199" i="1"/>
  <c r="H199" i="1"/>
  <c r="G191" i="1"/>
  <c r="H191" i="1"/>
  <c r="G183" i="1"/>
  <c r="H183" i="1"/>
  <c r="G175" i="1"/>
  <c r="H175" i="1"/>
  <c r="G167" i="1"/>
  <c r="H167" i="1"/>
  <c r="G159" i="1"/>
  <c r="H159" i="1"/>
  <c r="G151" i="1"/>
  <c r="H151" i="1"/>
  <c r="G143" i="1"/>
  <c r="H143" i="1"/>
  <c r="G135" i="1"/>
  <c r="H135" i="1"/>
  <c r="G127" i="1"/>
  <c r="H127" i="1"/>
  <c r="G119" i="1"/>
  <c r="H119" i="1"/>
  <c r="G111" i="1"/>
  <c r="H111" i="1"/>
  <c r="G103" i="1"/>
  <c r="H103" i="1"/>
  <c r="G95" i="1"/>
  <c r="H95" i="1"/>
  <c r="G87" i="1"/>
  <c r="H87" i="1"/>
  <c r="G79" i="1"/>
  <c r="H79" i="1"/>
  <c r="G71" i="1"/>
  <c r="H71" i="1"/>
  <c r="G63" i="1"/>
  <c r="H63" i="1"/>
  <c r="G55" i="1"/>
  <c r="H55" i="1"/>
  <c r="G47" i="1"/>
  <c r="H47" i="1"/>
  <c r="G39" i="1"/>
  <c r="H39" i="1"/>
  <c r="G31" i="1"/>
  <c r="H31" i="1"/>
  <c r="G23" i="1"/>
  <c r="H23" i="1"/>
  <c r="G15" i="1"/>
  <c r="H15" i="1"/>
  <c r="G7" i="1"/>
  <c r="H7" i="1"/>
  <c r="H502" i="1"/>
  <c r="G502" i="1"/>
  <c r="H478" i="1"/>
  <c r="G478" i="1"/>
  <c r="H422" i="1"/>
  <c r="G422" i="1"/>
  <c r="M398" i="1"/>
  <c r="G398" i="1"/>
  <c r="H398" i="1"/>
  <c r="G366" i="1"/>
  <c r="H366" i="1"/>
  <c r="G342" i="1"/>
  <c r="H342" i="1"/>
  <c r="G318" i="1"/>
  <c r="H318" i="1"/>
  <c r="G262" i="1"/>
  <c r="H262" i="1"/>
  <c r="M238" i="1"/>
  <c r="G238" i="1"/>
  <c r="H238" i="1"/>
  <c r="G214" i="1"/>
  <c r="H214" i="1"/>
  <c r="M190" i="1"/>
  <c r="G190" i="1"/>
  <c r="H190" i="1"/>
  <c r="M134" i="1"/>
  <c r="H134" i="1"/>
  <c r="G134" i="1"/>
  <c r="G110" i="1"/>
  <c r="H110" i="1"/>
  <c r="M86" i="1"/>
  <c r="G86" i="1"/>
  <c r="H86" i="1"/>
  <c r="G62" i="1"/>
  <c r="H62" i="1"/>
  <c r="G38" i="1"/>
  <c r="H38" i="1"/>
  <c r="H22" i="1"/>
  <c r="G22" i="1"/>
  <c r="G485" i="1"/>
  <c r="H485" i="1"/>
  <c r="G461" i="1"/>
  <c r="H461" i="1"/>
  <c r="G437" i="1"/>
  <c r="H437" i="1"/>
  <c r="G413" i="1"/>
  <c r="H413" i="1"/>
  <c r="G365" i="1"/>
  <c r="H365" i="1"/>
  <c r="H341" i="1"/>
  <c r="G341" i="1"/>
  <c r="G317" i="1"/>
  <c r="H317" i="1"/>
  <c r="G293" i="1"/>
  <c r="H293" i="1"/>
  <c r="G261" i="1"/>
  <c r="H261" i="1"/>
  <c r="G237" i="1"/>
  <c r="H237" i="1"/>
  <c r="G213" i="1"/>
  <c r="H213" i="1"/>
  <c r="H189" i="1"/>
  <c r="G189" i="1"/>
  <c r="H133" i="1"/>
  <c r="G133" i="1"/>
  <c r="G109" i="1"/>
  <c r="H109" i="1"/>
  <c r="H85" i="1"/>
  <c r="G85" i="1"/>
  <c r="G61" i="1"/>
  <c r="H61" i="1"/>
  <c r="G21" i="1"/>
  <c r="H21" i="1"/>
  <c r="H500" i="1"/>
  <c r="G500" i="1"/>
  <c r="G492" i="1"/>
  <c r="H492" i="1"/>
  <c r="H484" i="1"/>
  <c r="G484" i="1"/>
  <c r="G476" i="1"/>
  <c r="H476" i="1"/>
  <c r="G468" i="1"/>
  <c r="H468" i="1"/>
  <c r="H460" i="1"/>
  <c r="G460" i="1"/>
  <c r="G452" i="1"/>
  <c r="H452" i="1"/>
  <c r="G444" i="1"/>
  <c r="H444" i="1"/>
  <c r="H436" i="1"/>
  <c r="G436" i="1"/>
  <c r="G428" i="1"/>
  <c r="H428" i="1"/>
  <c r="G420" i="1"/>
  <c r="H420" i="1"/>
  <c r="G412" i="1"/>
  <c r="H412" i="1"/>
  <c r="G404" i="1"/>
  <c r="H404" i="1"/>
  <c r="G396" i="1"/>
  <c r="H396" i="1"/>
  <c r="H388" i="1"/>
  <c r="G388" i="1"/>
  <c r="G380" i="1"/>
  <c r="H380" i="1"/>
  <c r="G372" i="1"/>
  <c r="H372" i="1"/>
  <c r="G364" i="1"/>
  <c r="H364" i="1"/>
  <c r="G356" i="1"/>
  <c r="H356" i="1"/>
  <c r="G348" i="1"/>
  <c r="H348" i="1"/>
  <c r="H340" i="1"/>
  <c r="G340" i="1"/>
  <c r="G332" i="1"/>
  <c r="H332" i="1"/>
  <c r="G324" i="1"/>
  <c r="H324" i="1"/>
  <c r="H316" i="1"/>
  <c r="G316" i="1"/>
  <c r="G308" i="1"/>
  <c r="H308" i="1"/>
  <c r="H300" i="1"/>
  <c r="G300" i="1"/>
  <c r="G292" i="1"/>
  <c r="H292" i="1"/>
  <c r="G284" i="1"/>
  <c r="H284" i="1"/>
  <c r="H276" i="1"/>
  <c r="G276" i="1"/>
  <c r="G268" i="1"/>
  <c r="H268" i="1"/>
  <c r="G260" i="1"/>
  <c r="H260" i="1"/>
  <c r="G252" i="1"/>
  <c r="H252" i="1"/>
  <c r="G244" i="1"/>
  <c r="H244" i="1"/>
  <c r="G236" i="1"/>
  <c r="H236" i="1"/>
  <c r="G228" i="1"/>
  <c r="H228" i="1"/>
  <c r="G220" i="1"/>
  <c r="H220" i="1"/>
  <c r="H212" i="1"/>
  <c r="G212" i="1"/>
  <c r="G204" i="1"/>
  <c r="H204" i="1"/>
  <c r="G196" i="1"/>
  <c r="H196" i="1"/>
  <c r="H188" i="1"/>
  <c r="G188" i="1"/>
  <c r="H180" i="1"/>
  <c r="G180" i="1"/>
  <c r="H172" i="1"/>
  <c r="G172" i="1"/>
  <c r="H164" i="1"/>
  <c r="G164" i="1"/>
  <c r="H156" i="1"/>
  <c r="G156" i="1"/>
  <c r="H148" i="1"/>
  <c r="G148" i="1"/>
  <c r="H140" i="1"/>
  <c r="G140" i="1"/>
  <c r="H132" i="1"/>
  <c r="G132" i="1"/>
  <c r="H124" i="1"/>
  <c r="G124" i="1"/>
  <c r="H116" i="1"/>
  <c r="G116" i="1"/>
  <c r="H108" i="1"/>
  <c r="G108" i="1"/>
  <c r="H100" i="1"/>
  <c r="G100" i="1"/>
  <c r="H92" i="1"/>
  <c r="G92" i="1"/>
  <c r="H84" i="1"/>
  <c r="G84" i="1"/>
  <c r="H76" i="1"/>
  <c r="G76" i="1"/>
  <c r="H68" i="1"/>
  <c r="G68" i="1"/>
  <c r="H60" i="1"/>
  <c r="G60" i="1"/>
  <c r="H52" i="1"/>
  <c r="G52" i="1"/>
  <c r="H44" i="1"/>
  <c r="G44" i="1"/>
  <c r="H36" i="1"/>
  <c r="G36" i="1"/>
  <c r="H28" i="1"/>
  <c r="G28" i="1"/>
  <c r="H20" i="1"/>
  <c r="G20" i="1"/>
  <c r="H12" i="1"/>
  <c r="G12" i="1"/>
  <c r="H4" i="1"/>
  <c r="G4" i="1"/>
  <c r="G510" i="1"/>
  <c r="H510" i="1"/>
  <c r="G486" i="1"/>
  <c r="H486" i="1"/>
  <c r="G470" i="1"/>
  <c r="H470" i="1"/>
  <c r="G454" i="1"/>
  <c r="H454" i="1"/>
  <c r="G438" i="1"/>
  <c r="H438" i="1"/>
  <c r="G406" i="1"/>
  <c r="H406" i="1"/>
  <c r="M374" i="1"/>
  <c r="H374" i="1"/>
  <c r="G374" i="1"/>
  <c r="G334" i="1"/>
  <c r="H334" i="1"/>
  <c r="G302" i="1"/>
  <c r="H302" i="1"/>
  <c r="H286" i="1"/>
  <c r="G286" i="1"/>
  <c r="G270" i="1"/>
  <c r="H270" i="1"/>
  <c r="G254" i="1"/>
  <c r="H254" i="1"/>
  <c r="M230" i="1"/>
  <c r="G230" i="1"/>
  <c r="H230" i="1"/>
  <c r="M222" i="1"/>
  <c r="G222" i="1"/>
  <c r="H222" i="1"/>
  <c r="G198" i="1"/>
  <c r="H198" i="1"/>
  <c r="M182" i="1"/>
  <c r="G182" i="1"/>
  <c r="H182" i="1"/>
  <c r="M166" i="1"/>
  <c r="G166" i="1"/>
  <c r="H166" i="1"/>
  <c r="G150" i="1"/>
  <c r="H150" i="1"/>
  <c r="M118" i="1"/>
  <c r="G118" i="1"/>
  <c r="H118" i="1"/>
  <c r="M78" i="1"/>
  <c r="G78" i="1"/>
  <c r="H78" i="1"/>
  <c r="G46" i="1"/>
  <c r="H46" i="1"/>
  <c r="M30" i="1"/>
  <c r="G30" i="1"/>
  <c r="H30" i="1"/>
  <c r="M14" i="1"/>
  <c r="G14" i="1"/>
  <c r="H14" i="1"/>
  <c r="G509" i="1"/>
  <c r="H509" i="1"/>
  <c r="H493" i="1"/>
  <c r="G493" i="1"/>
  <c r="H477" i="1"/>
  <c r="G477" i="1"/>
  <c r="H453" i="1"/>
  <c r="G453" i="1"/>
  <c r="H445" i="1"/>
  <c r="G445" i="1"/>
  <c r="G421" i="1"/>
  <c r="H421" i="1"/>
  <c r="G405" i="1"/>
  <c r="H405" i="1"/>
  <c r="G389" i="1"/>
  <c r="H389" i="1"/>
  <c r="G373" i="1"/>
  <c r="H373" i="1"/>
  <c r="G357" i="1"/>
  <c r="H357" i="1"/>
  <c r="G349" i="1"/>
  <c r="H349" i="1"/>
  <c r="M325" i="1"/>
  <c r="H325" i="1"/>
  <c r="G325" i="1"/>
  <c r="G309" i="1"/>
  <c r="H309" i="1"/>
  <c r="M277" i="1"/>
  <c r="G277" i="1"/>
  <c r="H277" i="1"/>
  <c r="G245" i="1"/>
  <c r="H245" i="1"/>
  <c r="G205" i="1"/>
  <c r="H205" i="1"/>
  <c r="G173" i="1"/>
  <c r="H173" i="1"/>
  <c r="G157" i="1"/>
  <c r="H157" i="1"/>
  <c r="G141" i="1"/>
  <c r="H141" i="1"/>
  <c r="G125" i="1"/>
  <c r="H125" i="1"/>
  <c r="G101" i="1"/>
  <c r="H101" i="1"/>
  <c r="H93" i="1"/>
  <c r="G93" i="1"/>
  <c r="G69" i="1"/>
  <c r="H69" i="1"/>
  <c r="G53" i="1"/>
  <c r="H53" i="1"/>
  <c r="G37" i="1"/>
  <c r="H37" i="1"/>
  <c r="H29" i="1"/>
  <c r="G29" i="1"/>
  <c r="G13" i="1"/>
  <c r="H13" i="1"/>
  <c r="G459" i="1"/>
  <c r="H459" i="1"/>
  <c r="G451" i="1"/>
  <c r="H451" i="1"/>
  <c r="G443" i="1"/>
  <c r="H443" i="1"/>
  <c r="G435" i="1"/>
  <c r="H435" i="1"/>
  <c r="G427" i="1"/>
  <c r="H427" i="1"/>
  <c r="G419" i="1"/>
  <c r="H419" i="1"/>
  <c r="G411" i="1"/>
  <c r="H411" i="1"/>
  <c r="G403" i="1"/>
  <c r="H403" i="1"/>
  <c r="G395" i="1"/>
  <c r="H395" i="1"/>
  <c r="G387" i="1"/>
  <c r="H387" i="1"/>
  <c r="G379" i="1"/>
  <c r="H379" i="1"/>
  <c r="G371" i="1"/>
  <c r="H371" i="1"/>
  <c r="G363" i="1"/>
  <c r="H363" i="1"/>
  <c r="G355" i="1"/>
  <c r="H355" i="1"/>
  <c r="G347" i="1"/>
  <c r="H347" i="1"/>
  <c r="G339" i="1"/>
  <c r="H339" i="1"/>
  <c r="G331" i="1"/>
  <c r="H331" i="1"/>
  <c r="G323" i="1"/>
  <c r="H323" i="1"/>
  <c r="G315" i="1"/>
  <c r="H315" i="1"/>
  <c r="G307" i="1"/>
  <c r="H307" i="1"/>
  <c r="G299" i="1"/>
  <c r="H299" i="1"/>
  <c r="G291" i="1"/>
  <c r="H291" i="1"/>
  <c r="G283" i="1"/>
  <c r="H283" i="1"/>
  <c r="G275" i="1"/>
  <c r="H275" i="1"/>
  <c r="G267" i="1"/>
  <c r="H267" i="1"/>
  <c r="G259" i="1"/>
  <c r="H259" i="1"/>
  <c r="G251" i="1"/>
  <c r="H251" i="1"/>
  <c r="G243" i="1"/>
  <c r="H243" i="1"/>
  <c r="G235" i="1"/>
  <c r="H235" i="1"/>
  <c r="G227" i="1"/>
  <c r="H227" i="1"/>
  <c r="G219" i="1"/>
  <c r="H219" i="1"/>
  <c r="G211" i="1"/>
  <c r="H211" i="1"/>
  <c r="G203" i="1"/>
  <c r="H203" i="1"/>
  <c r="G195" i="1"/>
  <c r="H195" i="1"/>
  <c r="G187" i="1"/>
  <c r="H187" i="1"/>
  <c r="G179" i="1"/>
  <c r="H179" i="1"/>
  <c r="G171" i="1"/>
  <c r="H171" i="1"/>
  <c r="G163" i="1"/>
  <c r="H163" i="1"/>
  <c r="G155" i="1"/>
  <c r="H155" i="1"/>
  <c r="G147" i="1"/>
  <c r="H147" i="1"/>
  <c r="G139" i="1"/>
  <c r="H139" i="1"/>
  <c r="G131" i="1"/>
  <c r="H131" i="1"/>
  <c r="G123" i="1"/>
  <c r="H123" i="1"/>
  <c r="G115" i="1"/>
  <c r="H115" i="1"/>
  <c r="G107" i="1"/>
  <c r="H107" i="1"/>
  <c r="G99" i="1"/>
  <c r="H99" i="1"/>
  <c r="G91" i="1"/>
  <c r="H91" i="1"/>
  <c r="G83" i="1"/>
  <c r="H83" i="1"/>
  <c r="G75" i="1"/>
  <c r="H75" i="1"/>
  <c r="G67" i="1"/>
  <c r="H67" i="1"/>
  <c r="G59" i="1"/>
  <c r="H59" i="1"/>
  <c r="G51" i="1"/>
  <c r="H51" i="1"/>
  <c r="G43" i="1"/>
  <c r="H43" i="1"/>
  <c r="G35" i="1"/>
  <c r="H35" i="1"/>
  <c r="G27" i="1"/>
  <c r="H27" i="1"/>
  <c r="G19" i="1"/>
  <c r="H19" i="1"/>
  <c r="G11" i="1"/>
  <c r="H11" i="1"/>
  <c r="G3" i="1"/>
  <c r="H3" i="1"/>
  <c r="G483" i="1"/>
  <c r="H483" i="1"/>
  <c r="M2" i="1"/>
  <c r="H2" i="1"/>
  <c r="G2" i="1"/>
  <c r="G498" i="1"/>
  <c r="H498" i="1"/>
  <c r="G482" i="1"/>
  <c r="H482" i="1"/>
  <c r="G474" i="1"/>
  <c r="H474" i="1"/>
  <c r="G466" i="1"/>
  <c r="H466" i="1"/>
  <c r="G458" i="1"/>
  <c r="H458" i="1"/>
  <c r="G450" i="1"/>
  <c r="H450" i="1"/>
  <c r="G442" i="1"/>
  <c r="H442" i="1"/>
  <c r="H434" i="1"/>
  <c r="G434" i="1"/>
  <c r="H426" i="1"/>
  <c r="G426" i="1"/>
  <c r="G418" i="1"/>
  <c r="H418" i="1"/>
  <c r="M410" i="1"/>
  <c r="G410" i="1"/>
  <c r="H410" i="1"/>
  <c r="H402" i="1"/>
  <c r="G402" i="1"/>
  <c r="M394" i="1"/>
  <c r="H394" i="1"/>
  <c r="G394" i="1"/>
  <c r="M386" i="1"/>
  <c r="G386" i="1"/>
  <c r="H386" i="1"/>
  <c r="G378" i="1"/>
  <c r="H378" i="1"/>
  <c r="M370" i="1"/>
  <c r="G370" i="1"/>
  <c r="H370" i="1"/>
  <c r="M362" i="1"/>
  <c r="G362" i="1"/>
  <c r="H362" i="1"/>
  <c r="M354" i="1"/>
  <c r="G354" i="1"/>
  <c r="H354" i="1"/>
  <c r="M346" i="1"/>
  <c r="H346" i="1"/>
  <c r="G346" i="1"/>
  <c r="M338" i="1"/>
  <c r="G338" i="1"/>
  <c r="H338" i="1"/>
  <c r="M330" i="1"/>
  <c r="G330" i="1"/>
  <c r="H330" i="1"/>
  <c r="G322" i="1"/>
  <c r="H322" i="1"/>
  <c r="M314" i="1"/>
  <c r="G314" i="1"/>
  <c r="H314" i="1"/>
  <c r="M306" i="1"/>
  <c r="G306" i="1"/>
  <c r="H306" i="1"/>
  <c r="G298" i="1"/>
  <c r="H298" i="1"/>
  <c r="M290" i="1"/>
  <c r="G290" i="1"/>
  <c r="H290" i="1"/>
  <c r="M282" i="1"/>
  <c r="G282" i="1"/>
  <c r="H282" i="1"/>
  <c r="H274" i="1"/>
  <c r="G274" i="1"/>
  <c r="M266" i="1"/>
  <c r="G266" i="1"/>
  <c r="H266" i="1"/>
  <c r="M258" i="1"/>
  <c r="G258" i="1"/>
  <c r="H258" i="1"/>
  <c r="M250" i="1"/>
  <c r="H250" i="1"/>
  <c r="G250" i="1"/>
  <c r="G242" i="1"/>
  <c r="H242" i="1"/>
  <c r="M234" i="1"/>
  <c r="H234" i="1"/>
  <c r="G234" i="1"/>
  <c r="H226" i="1"/>
  <c r="G226" i="1"/>
  <c r="M218" i="1"/>
  <c r="G218" i="1"/>
  <c r="H218" i="1"/>
  <c r="M210" i="1"/>
  <c r="H210" i="1"/>
  <c r="G210" i="1"/>
  <c r="H202" i="1"/>
  <c r="G202" i="1"/>
  <c r="M194" i="1"/>
  <c r="H194" i="1"/>
  <c r="G194" i="1"/>
  <c r="M186" i="1"/>
  <c r="G186" i="1"/>
  <c r="H186" i="1"/>
  <c r="G178" i="1"/>
  <c r="H178" i="1"/>
  <c r="G170" i="1"/>
  <c r="H170" i="1"/>
  <c r="M162" i="1"/>
  <c r="G162" i="1"/>
  <c r="H162" i="1"/>
  <c r="H154" i="1"/>
  <c r="G154" i="1"/>
  <c r="M146" i="1"/>
  <c r="H146" i="1"/>
  <c r="G146" i="1"/>
  <c r="G138" i="1"/>
  <c r="H138" i="1"/>
  <c r="M130" i="1"/>
  <c r="G130" i="1"/>
  <c r="H130" i="1"/>
  <c r="G122" i="1"/>
  <c r="H122" i="1"/>
  <c r="M114" i="1"/>
  <c r="G114" i="1"/>
  <c r="H114" i="1"/>
  <c r="M106" i="1"/>
  <c r="G106" i="1"/>
  <c r="H106" i="1"/>
  <c r="H98" i="1"/>
  <c r="G98" i="1"/>
  <c r="G90" i="1"/>
  <c r="H90" i="1"/>
  <c r="M82" i="1"/>
  <c r="G82" i="1"/>
  <c r="H82" i="1"/>
  <c r="G74" i="1"/>
  <c r="H74" i="1"/>
  <c r="G66" i="1"/>
  <c r="H66" i="1"/>
  <c r="M58" i="1"/>
  <c r="H58" i="1"/>
  <c r="G58" i="1"/>
  <c r="H50" i="1"/>
  <c r="G50" i="1"/>
  <c r="M42" i="1"/>
  <c r="H42" i="1"/>
  <c r="G42" i="1"/>
  <c r="G34" i="1"/>
  <c r="H34" i="1"/>
  <c r="G26" i="1"/>
  <c r="H26" i="1"/>
  <c r="G18" i="1"/>
  <c r="H18" i="1"/>
  <c r="M10" i="1"/>
  <c r="H10" i="1"/>
  <c r="G10" i="1"/>
  <c r="M499" i="1"/>
  <c r="G499" i="1"/>
  <c r="H499" i="1"/>
  <c r="G475" i="1"/>
  <c r="H475" i="1"/>
  <c r="H490" i="1"/>
  <c r="G490" i="1"/>
  <c r="G505" i="1"/>
  <c r="H505" i="1"/>
  <c r="H497" i="1"/>
  <c r="G497" i="1"/>
  <c r="G481" i="1"/>
  <c r="H481" i="1"/>
  <c r="H473" i="1"/>
  <c r="G473" i="1"/>
  <c r="G465" i="1"/>
  <c r="H465" i="1"/>
  <c r="H457" i="1"/>
  <c r="G457" i="1"/>
  <c r="G449" i="1"/>
  <c r="H449" i="1"/>
  <c r="G441" i="1"/>
  <c r="H441" i="1"/>
  <c r="H433" i="1"/>
  <c r="G433" i="1"/>
  <c r="G425" i="1"/>
  <c r="H425" i="1"/>
  <c r="G417" i="1"/>
  <c r="H417" i="1"/>
  <c r="H409" i="1"/>
  <c r="G409" i="1"/>
  <c r="M401" i="1"/>
  <c r="G401" i="1"/>
  <c r="H401" i="1"/>
  <c r="M393" i="1"/>
  <c r="G393" i="1"/>
  <c r="H393" i="1"/>
  <c r="H385" i="1"/>
  <c r="G385" i="1"/>
  <c r="M377" i="1"/>
  <c r="G377" i="1"/>
  <c r="H377" i="1"/>
  <c r="M369" i="1"/>
  <c r="H369" i="1"/>
  <c r="G369" i="1"/>
  <c r="M361" i="1"/>
  <c r="G361" i="1"/>
  <c r="H361" i="1"/>
  <c r="M353" i="1"/>
  <c r="G353" i="1"/>
  <c r="H353" i="1"/>
  <c r="M345" i="1"/>
  <c r="G345" i="1"/>
  <c r="H345" i="1"/>
  <c r="M337" i="1"/>
  <c r="G337" i="1"/>
  <c r="H337" i="1"/>
  <c r="G329" i="1"/>
  <c r="H329" i="1"/>
  <c r="M321" i="1"/>
  <c r="G321" i="1"/>
  <c r="H321" i="1"/>
  <c r="M313" i="1"/>
  <c r="G313" i="1"/>
  <c r="H313" i="1"/>
  <c r="G305" i="1"/>
  <c r="H305" i="1"/>
  <c r="M297" i="1"/>
  <c r="G297" i="1"/>
  <c r="H297" i="1"/>
  <c r="M289" i="1"/>
  <c r="G289" i="1"/>
  <c r="H289" i="1"/>
  <c r="H281" i="1"/>
  <c r="G281" i="1"/>
  <c r="G273" i="1"/>
  <c r="H273" i="1"/>
  <c r="M265" i="1"/>
  <c r="H265" i="1"/>
  <c r="G265" i="1"/>
  <c r="H257" i="1"/>
  <c r="G257" i="1"/>
  <c r="H249" i="1"/>
  <c r="G249" i="1"/>
  <c r="M241" i="1"/>
  <c r="H241" i="1"/>
  <c r="G241" i="1"/>
  <c r="G233" i="1"/>
  <c r="H233" i="1"/>
  <c r="G225" i="1"/>
  <c r="H225" i="1"/>
  <c r="M217" i="1"/>
  <c r="H217" i="1"/>
  <c r="G217" i="1"/>
  <c r="G209" i="1"/>
  <c r="H209" i="1"/>
  <c r="G201" i="1"/>
  <c r="H201" i="1"/>
  <c r="M193" i="1"/>
  <c r="G193" i="1"/>
  <c r="H193" i="1"/>
  <c r="G185" i="1"/>
  <c r="H185" i="1"/>
  <c r="M177" i="1"/>
  <c r="G177" i="1"/>
  <c r="H177" i="1"/>
  <c r="H169" i="1"/>
  <c r="G169" i="1"/>
  <c r="H161" i="1"/>
  <c r="G161" i="1"/>
  <c r="G153" i="1"/>
  <c r="H153" i="1"/>
  <c r="G145" i="1"/>
  <c r="H145" i="1"/>
  <c r="M137" i="1"/>
  <c r="G137" i="1"/>
  <c r="H137" i="1"/>
  <c r="M129" i="1"/>
  <c r="G129" i="1"/>
  <c r="H129" i="1"/>
  <c r="G121" i="1"/>
  <c r="H121" i="1"/>
  <c r="M113" i="1"/>
  <c r="G113" i="1"/>
  <c r="H113" i="1"/>
  <c r="H105" i="1"/>
  <c r="G105" i="1"/>
  <c r="M97" i="1"/>
  <c r="G97" i="1"/>
  <c r="H97" i="1"/>
  <c r="M89" i="1"/>
  <c r="G89" i="1"/>
  <c r="H89" i="1"/>
  <c r="G81" i="1"/>
  <c r="H81" i="1"/>
  <c r="M73" i="1"/>
  <c r="G73" i="1"/>
  <c r="H73" i="1"/>
  <c r="M65" i="1"/>
  <c r="G65" i="1"/>
  <c r="H65" i="1"/>
  <c r="H57" i="1"/>
  <c r="G57" i="1"/>
  <c r="G49" i="1"/>
  <c r="H49" i="1"/>
  <c r="G41" i="1"/>
  <c r="H41" i="1"/>
  <c r="G33" i="1"/>
  <c r="H33" i="1"/>
  <c r="M25" i="1"/>
  <c r="G25" i="1"/>
  <c r="H25" i="1"/>
  <c r="G17" i="1"/>
  <c r="H17" i="1"/>
  <c r="M9" i="1"/>
  <c r="G9" i="1"/>
  <c r="H9" i="1"/>
  <c r="G494" i="1"/>
  <c r="H494" i="1"/>
  <c r="G462" i="1"/>
  <c r="H462" i="1"/>
  <c r="G446" i="1"/>
  <c r="H446" i="1"/>
  <c r="H430" i="1"/>
  <c r="G430" i="1"/>
  <c r="G414" i="1"/>
  <c r="H414" i="1"/>
  <c r="G390" i="1"/>
  <c r="H390" i="1"/>
  <c r="G382" i="1"/>
  <c r="H382" i="1"/>
  <c r="G358" i="1"/>
  <c r="H358" i="1"/>
  <c r="M350" i="1"/>
  <c r="H350" i="1"/>
  <c r="G350" i="1"/>
  <c r="G326" i="1"/>
  <c r="H326" i="1"/>
  <c r="G310" i="1"/>
  <c r="H310" i="1"/>
  <c r="M294" i="1"/>
  <c r="H294" i="1"/>
  <c r="G294" i="1"/>
  <c r="G278" i="1"/>
  <c r="H278" i="1"/>
  <c r="G246" i="1"/>
  <c r="H246" i="1"/>
  <c r="M206" i="1"/>
  <c r="H206" i="1"/>
  <c r="G206" i="1"/>
  <c r="H174" i="1"/>
  <c r="G174" i="1"/>
  <c r="M158" i="1"/>
  <c r="G158" i="1"/>
  <c r="H158" i="1"/>
  <c r="G142" i="1"/>
  <c r="H142" i="1"/>
  <c r="H126" i="1"/>
  <c r="G126" i="1"/>
  <c r="M102" i="1"/>
  <c r="G102" i="1"/>
  <c r="H102" i="1"/>
  <c r="G94" i="1"/>
  <c r="H94" i="1"/>
  <c r="H70" i="1"/>
  <c r="G70" i="1"/>
  <c r="M54" i="1"/>
  <c r="G54" i="1"/>
  <c r="H54" i="1"/>
  <c r="G6" i="1"/>
  <c r="H6" i="1"/>
  <c r="G501" i="1"/>
  <c r="H501" i="1"/>
  <c r="H469" i="1"/>
  <c r="G469" i="1"/>
  <c r="G429" i="1"/>
  <c r="H429" i="1"/>
  <c r="H397" i="1"/>
  <c r="G397" i="1"/>
  <c r="M381" i="1"/>
  <c r="H381" i="1"/>
  <c r="G381" i="1"/>
  <c r="H333" i="1"/>
  <c r="G333" i="1"/>
  <c r="G301" i="1"/>
  <c r="H301" i="1"/>
  <c r="G285" i="1"/>
  <c r="H285" i="1"/>
  <c r="M269" i="1"/>
  <c r="H269" i="1"/>
  <c r="G269" i="1"/>
  <c r="H253" i="1"/>
  <c r="G253" i="1"/>
  <c r="H229" i="1"/>
  <c r="G229" i="1"/>
  <c r="G221" i="1"/>
  <c r="H221" i="1"/>
  <c r="G197" i="1"/>
  <c r="H197" i="1"/>
  <c r="H181" i="1"/>
  <c r="G181" i="1"/>
  <c r="G165" i="1"/>
  <c r="H165" i="1"/>
  <c r="G149" i="1"/>
  <c r="H149" i="1"/>
  <c r="G117" i="1"/>
  <c r="H117" i="1"/>
  <c r="H77" i="1"/>
  <c r="G77" i="1"/>
  <c r="H45" i="1"/>
  <c r="G45" i="1"/>
  <c r="G5" i="1"/>
  <c r="H5" i="1"/>
  <c r="M507" i="1"/>
  <c r="G507" i="1"/>
  <c r="H507" i="1"/>
  <c r="M491" i="1"/>
  <c r="G491" i="1"/>
  <c r="H491" i="1"/>
  <c r="G467" i="1"/>
  <c r="H467" i="1"/>
  <c r="G506" i="1"/>
  <c r="H506" i="1"/>
  <c r="G513" i="1"/>
  <c r="H513" i="1"/>
  <c r="G489" i="1"/>
  <c r="H489" i="1"/>
  <c r="M512" i="1"/>
  <c r="G512" i="1"/>
  <c r="H512" i="1"/>
  <c r="M504" i="1"/>
  <c r="G504" i="1"/>
  <c r="H504" i="1"/>
  <c r="H496" i="1"/>
  <c r="G496" i="1"/>
  <c r="M488" i="1"/>
  <c r="G488" i="1"/>
  <c r="H488" i="1"/>
  <c r="H480" i="1"/>
  <c r="G480" i="1"/>
  <c r="G472" i="1"/>
  <c r="H472" i="1"/>
  <c r="H464" i="1"/>
  <c r="G464" i="1"/>
  <c r="G456" i="1"/>
  <c r="H456" i="1"/>
  <c r="G448" i="1"/>
  <c r="H448" i="1"/>
  <c r="G440" i="1"/>
  <c r="H440" i="1"/>
  <c r="G432" i="1"/>
  <c r="H432" i="1"/>
  <c r="H424" i="1"/>
  <c r="G424" i="1"/>
  <c r="H416" i="1"/>
  <c r="G416" i="1"/>
  <c r="M408" i="1"/>
  <c r="G408" i="1"/>
  <c r="H408" i="1"/>
  <c r="M400" i="1"/>
  <c r="G400" i="1"/>
  <c r="H400" i="1"/>
  <c r="M392" i="1"/>
  <c r="H392" i="1"/>
  <c r="G392" i="1"/>
  <c r="M384" i="1"/>
  <c r="G384" i="1"/>
  <c r="H384" i="1"/>
  <c r="M376" i="1"/>
  <c r="G376" i="1"/>
  <c r="H376" i="1"/>
  <c r="M368" i="1"/>
  <c r="H368" i="1"/>
  <c r="G368" i="1"/>
  <c r="H360" i="1"/>
  <c r="G360" i="1"/>
  <c r="M352" i="1"/>
  <c r="G352" i="1"/>
  <c r="H352" i="1"/>
  <c r="M344" i="1"/>
  <c r="G344" i="1"/>
  <c r="H344" i="1"/>
  <c r="G336" i="1"/>
  <c r="H336" i="1"/>
  <c r="M328" i="1"/>
  <c r="H328" i="1"/>
  <c r="G328" i="1"/>
  <c r="M320" i="1"/>
  <c r="H320" i="1"/>
  <c r="G320" i="1"/>
  <c r="G312" i="1"/>
  <c r="H312" i="1"/>
  <c r="M304" i="1"/>
  <c r="G304" i="1"/>
  <c r="H304" i="1"/>
  <c r="M296" i="1"/>
  <c r="G296" i="1"/>
  <c r="H296" i="1"/>
  <c r="H288" i="1"/>
  <c r="G288" i="1"/>
  <c r="M280" i="1"/>
  <c r="G280" i="1"/>
  <c r="H280" i="1"/>
  <c r="H272" i="1"/>
  <c r="G272" i="1"/>
  <c r="G264" i="1"/>
  <c r="H264" i="1"/>
  <c r="M256" i="1"/>
  <c r="G256" i="1"/>
  <c r="H256" i="1"/>
  <c r="G248" i="1"/>
  <c r="H248" i="1"/>
  <c r="M240" i="1"/>
  <c r="G240" i="1"/>
  <c r="H240" i="1"/>
  <c r="H232" i="1"/>
  <c r="G232" i="1"/>
  <c r="G224" i="1"/>
  <c r="H224" i="1"/>
  <c r="G216" i="1"/>
  <c r="H216" i="1"/>
  <c r="M208" i="1"/>
  <c r="H208" i="1"/>
  <c r="G208" i="1"/>
  <c r="M200" i="1"/>
  <c r="G200" i="1"/>
  <c r="H200" i="1"/>
  <c r="M192" i="1"/>
  <c r="H192" i="1"/>
  <c r="G192" i="1"/>
  <c r="H184" i="1"/>
  <c r="G184" i="1"/>
  <c r="M176" i="1"/>
  <c r="H176" i="1"/>
  <c r="G176" i="1"/>
  <c r="H168" i="1"/>
  <c r="G168" i="1"/>
  <c r="M160" i="1"/>
  <c r="H160" i="1"/>
  <c r="G160" i="1"/>
  <c r="M152" i="1"/>
  <c r="H152" i="1"/>
  <c r="G152" i="1"/>
  <c r="H144" i="1"/>
  <c r="G144" i="1"/>
  <c r="M136" i="1"/>
  <c r="H136" i="1"/>
  <c r="G136" i="1"/>
  <c r="M128" i="1"/>
  <c r="H128" i="1"/>
  <c r="G128" i="1"/>
  <c r="H120" i="1"/>
  <c r="G120" i="1"/>
  <c r="H112" i="1"/>
  <c r="G112" i="1"/>
  <c r="M104" i="1"/>
  <c r="H104" i="1"/>
  <c r="G104" i="1"/>
  <c r="H96" i="1"/>
  <c r="G96" i="1"/>
  <c r="M88" i="1"/>
  <c r="H88" i="1"/>
  <c r="G88" i="1"/>
  <c r="H80" i="1"/>
  <c r="G80" i="1"/>
  <c r="M72" i="1"/>
  <c r="H72" i="1"/>
  <c r="G72" i="1"/>
  <c r="H64" i="1"/>
  <c r="G64" i="1"/>
  <c r="M56" i="1"/>
  <c r="H56" i="1"/>
  <c r="G56" i="1"/>
  <c r="M48" i="1"/>
  <c r="H48" i="1"/>
  <c r="G48" i="1"/>
  <c r="H40" i="1"/>
  <c r="G40" i="1"/>
  <c r="H32" i="1"/>
  <c r="G32" i="1"/>
  <c r="M24" i="1"/>
  <c r="H24" i="1"/>
  <c r="G24" i="1"/>
  <c r="H16" i="1"/>
  <c r="G16" i="1"/>
  <c r="H8" i="1"/>
  <c r="G8" i="1"/>
  <c r="M105" i="1"/>
  <c r="N477" i="1"/>
  <c r="V477" i="1" s="1"/>
  <c r="N445" i="1"/>
  <c r="V445" i="1" s="1"/>
  <c r="N405" i="1"/>
  <c r="V405" i="1" s="1"/>
  <c r="N309" i="1"/>
  <c r="V309" i="1" s="1"/>
  <c r="N502" i="1"/>
  <c r="V502" i="1" s="1"/>
  <c r="N478" i="1"/>
  <c r="V478" i="1" s="1"/>
  <c r="N422" i="1"/>
  <c r="V422" i="1" s="1"/>
  <c r="N334" i="1"/>
  <c r="V334" i="1" s="1"/>
  <c r="N286" i="1"/>
  <c r="V286" i="1" s="1"/>
  <c r="N365" i="1"/>
  <c r="V365" i="1" s="1"/>
  <c r="N333" i="1"/>
  <c r="V333" i="1" s="1"/>
  <c r="N317" i="1"/>
  <c r="V317" i="1" s="1"/>
  <c r="N482" i="1"/>
  <c r="V482" i="1" s="1"/>
  <c r="N466" i="1"/>
  <c r="V466" i="1" s="1"/>
  <c r="N426" i="1"/>
  <c r="V426" i="1" s="1"/>
  <c r="N494" i="1"/>
  <c r="V494" i="1" s="1"/>
  <c r="N470" i="1"/>
  <c r="V470" i="1" s="1"/>
  <c r="N446" i="1"/>
  <c r="V446" i="1" s="1"/>
  <c r="N382" i="1"/>
  <c r="V382" i="1" s="1"/>
  <c r="N310" i="1"/>
  <c r="V310" i="1" s="1"/>
  <c r="N501" i="1"/>
  <c r="V501" i="1" s="1"/>
  <c r="N469" i="1"/>
  <c r="V469" i="1" s="1"/>
  <c r="N437" i="1"/>
  <c r="V437" i="1" s="1"/>
  <c r="N389" i="1"/>
  <c r="V389" i="1" s="1"/>
  <c r="N301" i="1"/>
  <c r="V301" i="1" s="1"/>
  <c r="N376" i="1"/>
  <c r="N513" i="1"/>
  <c r="V513" i="1" s="1"/>
  <c r="N505" i="1"/>
  <c r="V505" i="1" s="1"/>
  <c r="N497" i="1"/>
  <c r="V497" i="1" s="1"/>
  <c r="N489" i="1"/>
  <c r="V489" i="1" s="1"/>
  <c r="N481" i="1"/>
  <c r="V481" i="1" s="1"/>
  <c r="N473" i="1"/>
  <c r="V473" i="1" s="1"/>
  <c r="N465" i="1"/>
  <c r="V465" i="1" s="1"/>
  <c r="N457" i="1"/>
  <c r="V457" i="1" s="1"/>
  <c r="N449" i="1"/>
  <c r="V449" i="1" s="1"/>
  <c r="N441" i="1"/>
  <c r="V441" i="1" s="1"/>
  <c r="N433" i="1"/>
  <c r="V433" i="1" s="1"/>
  <c r="N425" i="1"/>
  <c r="V425" i="1" s="1"/>
  <c r="N417" i="1"/>
  <c r="V417" i="1" s="1"/>
  <c r="N249" i="1"/>
  <c r="V249" i="1" s="1"/>
  <c r="N225" i="1"/>
  <c r="V225" i="1" s="1"/>
  <c r="N209" i="1"/>
  <c r="V209" i="1" s="1"/>
  <c r="N169" i="1"/>
  <c r="V169" i="1" s="1"/>
  <c r="N161" i="1"/>
  <c r="V161" i="1" s="1"/>
  <c r="N145" i="1"/>
  <c r="V145" i="1" s="1"/>
  <c r="N121" i="1"/>
  <c r="V121" i="1" s="1"/>
  <c r="N105" i="1"/>
  <c r="V105" i="1" s="1"/>
  <c r="N57" i="1"/>
  <c r="V57" i="1" s="1"/>
  <c r="N41" i="1"/>
  <c r="V41" i="1" s="1"/>
  <c r="N17" i="1"/>
  <c r="V17" i="1" s="1"/>
  <c r="N510" i="1"/>
  <c r="V510" i="1" s="1"/>
  <c r="N454" i="1"/>
  <c r="V454" i="1" s="1"/>
  <c r="N430" i="1"/>
  <c r="V430" i="1" s="1"/>
  <c r="N406" i="1"/>
  <c r="V406" i="1" s="1"/>
  <c r="N302" i="1"/>
  <c r="V302" i="1" s="1"/>
  <c r="N509" i="1"/>
  <c r="V509" i="1" s="1"/>
  <c r="N485" i="1"/>
  <c r="V485" i="1" s="1"/>
  <c r="N453" i="1"/>
  <c r="V453" i="1" s="1"/>
  <c r="N421" i="1"/>
  <c r="V421" i="1" s="1"/>
  <c r="N357" i="1"/>
  <c r="V357" i="1" s="1"/>
  <c r="N506" i="1"/>
  <c r="V506" i="1" s="1"/>
  <c r="N490" i="1"/>
  <c r="V490" i="1" s="1"/>
  <c r="N474" i="1"/>
  <c r="V474" i="1" s="1"/>
  <c r="N450" i="1"/>
  <c r="V450" i="1" s="1"/>
  <c r="N434" i="1"/>
  <c r="V434" i="1" s="1"/>
  <c r="N496" i="1"/>
  <c r="V496" i="1" s="1"/>
  <c r="N472" i="1"/>
  <c r="Q472" i="1" s="1"/>
  <c r="N464" i="1"/>
  <c r="V464" i="1" s="1"/>
  <c r="N456" i="1"/>
  <c r="V456" i="1" s="1"/>
  <c r="N448" i="1"/>
  <c r="N440" i="1"/>
  <c r="V440" i="1" s="1"/>
  <c r="N432" i="1"/>
  <c r="V432" i="1" s="1"/>
  <c r="N424" i="1"/>
  <c r="V424" i="1" s="1"/>
  <c r="N416" i="1"/>
  <c r="V416" i="1" s="1"/>
  <c r="N272" i="1"/>
  <c r="V272" i="1" s="1"/>
  <c r="N486" i="1"/>
  <c r="V486" i="1" s="1"/>
  <c r="N462" i="1"/>
  <c r="V462" i="1" s="1"/>
  <c r="N438" i="1"/>
  <c r="V438" i="1" s="1"/>
  <c r="N414" i="1"/>
  <c r="V414" i="1" s="1"/>
  <c r="N358" i="1"/>
  <c r="V358" i="1" s="1"/>
  <c r="N326" i="1"/>
  <c r="V326" i="1" s="1"/>
  <c r="N493" i="1"/>
  <c r="V493" i="1" s="1"/>
  <c r="N461" i="1"/>
  <c r="V461" i="1" s="1"/>
  <c r="N429" i="1"/>
  <c r="V429" i="1" s="1"/>
  <c r="N413" i="1"/>
  <c r="V413" i="1" s="1"/>
  <c r="N341" i="1"/>
  <c r="V341" i="1" s="1"/>
  <c r="N285" i="1"/>
  <c r="V285" i="1" s="1"/>
  <c r="N498" i="1"/>
  <c r="V498" i="1" s="1"/>
  <c r="N458" i="1"/>
  <c r="V458" i="1" s="1"/>
  <c r="N442" i="1"/>
  <c r="V442" i="1" s="1"/>
  <c r="N418" i="1"/>
  <c r="V418" i="1" s="1"/>
  <c r="M501" i="1"/>
  <c r="M301" i="1"/>
  <c r="N495" i="1"/>
  <c r="V495" i="1" s="1"/>
  <c r="M424" i="1"/>
  <c r="M473" i="1"/>
  <c r="Q473" i="1" s="1"/>
  <c r="M209" i="1"/>
  <c r="M493" i="1"/>
  <c r="N361" i="1"/>
  <c r="N88" i="1"/>
  <c r="V88" i="1" s="1"/>
  <c r="M449" i="1"/>
  <c r="N313" i="1"/>
  <c r="V313" i="1" s="1"/>
  <c r="N65" i="1"/>
  <c r="V65" i="1" s="1"/>
  <c r="M456" i="1"/>
  <c r="M432" i="1"/>
  <c r="N393" i="1"/>
  <c r="V393" i="1" s="1"/>
  <c r="M333" i="1"/>
  <c r="Q333" i="1" s="1"/>
  <c r="N265" i="1"/>
  <c r="V265" i="1" s="1"/>
  <c r="N129" i="1"/>
  <c r="V129" i="1" s="1"/>
  <c r="N512" i="1"/>
  <c r="V512" i="1" s="1"/>
  <c r="M481" i="1"/>
  <c r="M425" i="1"/>
  <c r="N392" i="1"/>
  <c r="V392" i="1" s="1"/>
  <c r="M249" i="1"/>
  <c r="N128" i="1"/>
  <c r="N488" i="1"/>
  <c r="V488" i="1" s="1"/>
  <c r="M465" i="1"/>
  <c r="M441" i="1"/>
  <c r="M417" i="1"/>
  <c r="Q417" i="1" s="1"/>
  <c r="N192" i="1"/>
  <c r="V192" i="1" s="1"/>
  <c r="M41" i="1"/>
  <c r="Q41" i="1" s="1"/>
  <c r="N487" i="1"/>
  <c r="M464" i="1"/>
  <c r="M440" i="1"/>
  <c r="M416" i="1"/>
  <c r="N345" i="1"/>
  <c r="M285" i="1"/>
  <c r="Q285" i="1" s="1"/>
  <c r="N25" i="1"/>
  <c r="M457" i="1"/>
  <c r="M433" i="1"/>
  <c r="M405" i="1"/>
  <c r="Q405" i="1" s="1"/>
  <c r="N344" i="1"/>
  <c r="V344" i="1" s="1"/>
  <c r="N269" i="1"/>
  <c r="M145" i="1"/>
  <c r="N24" i="1"/>
  <c r="V24" i="1" s="1"/>
  <c r="M508" i="1"/>
  <c r="N508" i="1"/>
  <c r="V508" i="1" s="1"/>
  <c r="M500" i="1"/>
  <c r="N500" i="1"/>
  <c r="V500" i="1" s="1"/>
  <c r="M492" i="1"/>
  <c r="N492" i="1"/>
  <c r="V492" i="1" s="1"/>
  <c r="M484" i="1"/>
  <c r="N484" i="1"/>
  <c r="V484" i="1" s="1"/>
  <c r="M476" i="1"/>
  <c r="N476" i="1"/>
  <c r="V476" i="1" s="1"/>
  <c r="M468" i="1"/>
  <c r="N468" i="1"/>
  <c r="V468" i="1" s="1"/>
  <c r="M460" i="1"/>
  <c r="N460" i="1"/>
  <c r="V460" i="1" s="1"/>
  <c r="M452" i="1"/>
  <c r="N452" i="1"/>
  <c r="V452" i="1" s="1"/>
  <c r="M444" i="1"/>
  <c r="N444" i="1"/>
  <c r="V444" i="1" s="1"/>
  <c r="M436" i="1"/>
  <c r="N436" i="1"/>
  <c r="V436" i="1" s="1"/>
  <c r="M428" i="1"/>
  <c r="N428" i="1"/>
  <c r="V428" i="1" s="1"/>
  <c r="M420" i="1"/>
  <c r="N420" i="1"/>
  <c r="V420" i="1" s="1"/>
  <c r="M412" i="1"/>
  <c r="N412" i="1"/>
  <c r="V412" i="1" s="1"/>
  <c r="M404" i="1"/>
  <c r="N404" i="1"/>
  <c r="V404" i="1" s="1"/>
  <c r="M396" i="1"/>
  <c r="N396" i="1"/>
  <c r="V396" i="1" s="1"/>
  <c r="M388" i="1"/>
  <c r="N388" i="1"/>
  <c r="V388" i="1" s="1"/>
  <c r="M380" i="1"/>
  <c r="N380" i="1"/>
  <c r="V380" i="1" s="1"/>
  <c r="M372" i="1"/>
  <c r="N372" i="1"/>
  <c r="V372" i="1" s="1"/>
  <c r="M364" i="1"/>
  <c r="N364" i="1"/>
  <c r="V364" i="1" s="1"/>
  <c r="M356" i="1"/>
  <c r="N356" i="1"/>
  <c r="V356" i="1" s="1"/>
  <c r="M348" i="1"/>
  <c r="N348" i="1"/>
  <c r="V348" i="1" s="1"/>
  <c r="M340" i="1"/>
  <c r="N340" i="1"/>
  <c r="V340" i="1" s="1"/>
  <c r="M332" i="1"/>
  <c r="N332" i="1"/>
  <c r="V332" i="1" s="1"/>
  <c r="M324" i="1"/>
  <c r="N324" i="1"/>
  <c r="V324" i="1" s="1"/>
  <c r="M316" i="1"/>
  <c r="N316" i="1"/>
  <c r="V316" i="1" s="1"/>
  <c r="M308" i="1"/>
  <c r="N308" i="1"/>
  <c r="V308" i="1" s="1"/>
  <c r="M300" i="1"/>
  <c r="N300" i="1"/>
  <c r="V300" i="1" s="1"/>
  <c r="M292" i="1"/>
  <c r="N292" i="1"/>
  <c r="V292" i="1" s="1"/>
  <c r="M284" i="1"/>
  <c r="N284" i="1"/>
  <c r="V284" i="1" s="1"/>
  <c r="M276" i="1"/>
  <c r="N276" i="1"/>
  <c r="V276" i="1" s="1"/>
  <c r="M268" i="1"/>
  <c r="N268" i="1"/>
  <c r="V268" i="1" s="1"/>
  <c r="M260" i="1"/>
  <c r="N260" i="1"/>
  <c r="V260" i="1" s="1"/>
  <c r="M252" i="1"/>
  <c r="N252" i="1"/>
  <c r="V252" i="1" s="1"/>
  <c r="M244" i="1"/>
  <c r="N244" i="1"/>
  <c r="V244" i="1" s="1"/>
  <c r="M236" i="1"/>
  <c r="N236" i="1"/>
  <c r="V236" i="1" s="1"/>
  <c r="M228" i="1"/>
  <c r="N228" i="1"/>
  <c r="V228" i="1" s="1"/>
  <c r="M220" i="1"/>
  <c r="N220" i="1"/>
  <c r="V220" i="1" s="1"/>
  <c r="M212" i="1"/>
  <c r="N212" i="1"/>
  <c r="V212" i="1" s="1"/>
  <c r="M204" i="1"/>
  <c r="N204" i="1"/>
  <c r="V204" i="1" s="1"/>
  <c r="M196" i="1"/>
  <c r="N196" i="1"/>
  <c r="V196" i="1" s="1"/>
  <c r="M188" i="1"/>
  <c r="N188" i="1"/>
  <c r="V188" i="1" s="1"/>
  <c r="M180" i="1"/>
  <c r="N180" i="1"/>
  <c r="V180" i="1" s="1"/>
  <c r="M172" i="1"/>
  <c r="N172" i="1"/>
  <c r="V172" i="1" s="1"/>
  <c r="M164" i="1"/>
  <c r="N164" i="1"/>
  <c r="V164" i="1" s="1"/>
  <c r="M156" i="1"/>
  <c r="N156" i="1"/>
  <c r="V156" i="1" s="1"/>
  <c r="M148" i="1"/>
  <c r="N148" i="1"/>
  <c r="V148" i="1" s="1"/>
  <c r="M140" i="1"/>
  <c r="N140" i="1"/>
  <c r="V140" i="1" s="1"/>
  <c r="M132" i="1"/>
  <c r="N132" i="1"/>
  <c r="V132" i="1" s="1"/>
  <c r="M124" i="1"/>
  <c r="N124" i="1"/>
  <c r="V124" i="1" s="1"/>
  <c r="M116" i="1"/>
  <c r="N116" i="1"/>
  <c r="V116" i="1" s="1"/>
  <c r="M108" i="1"/>
  <c r="N108" i="1"/>
  <c r="V108" i="1" s="1"/>
  <c r="M100" i="1"/>
  <c r="N100" i="1"/>
  <c r="V100" i="1" s="1"/>
  <c r="M92" i="1"/>
  <c r="N92" i="1"/>
  <c r="V92" i="1" s="1"/>
  <c r="M84" i="1"/>
  <c r="N84" i="1"/>
  <c r="V84" i="1" s="1"/>
  <c r="M76" i="1"/>
  <c r="N76" i="1"/>
  <c r="V76" i="1" s="1"/>
  <c r="M68" i="1"/>
  <c r="N68" i="1"/>
  <c r="V68" i="1" s="1"/>
  <c r="M390" i="1"/>
  <c r="N390" i="1"/>
  <c r="V390" i="1" s="1"/>
  <c r="M366" i="1"/>
  <c r="N366" i="1"/>
  <c r="V366" i="1" s="1"/>
  <c r="M342" i="1"/>
  <c r="N342" i="1"/>
  <c r="V342" i="1" s="1"/>
  <c r="M318" i="1"/>
  <c r="N318" i="1"/>
  <c r="V318" i="1" s="1"/>
  <c r="M278" i="1"/>
  <c r="N278" i="1"/>
  <c r="V278" i="1" s="1"/>
  <c r="M270" i="1"/>
  <c r="N270" i="1"/>
  <c r="V270" i="1" s="1"/>
  <c r="M262" i="1"/>
  <c r="N262" i="1"/>
  <c r="V262" i="1" s="1"/>
  <c r="M254" i="1"/>
  <c r="N254" i="1"/>
  <c r="V254" i="1" s="1"/>
  <c r="M246" i="1"/>
  <c r="N246" i="1"/>
  <c r="V246" i="1" s="1"/>
  <c r="M214" i="1"/>
  <c r="N214" i="1"/>
  <c r="V214" i="1" s="1"/>
  <c r="M198" i="1"/>
  <c r="N198" i="1"/>
  <c r="V198" i="1" s="1"/>
  <c r="M174" i="1"/>
  <c r="N174" i="1"/>
  <c r="V174" i="1" s="1"/>
  <c r="M150" i="1"/>
  <c r="N150" i="1"/>
  <c r="V150" i="1" s="1"/>
  <c r="M142" i="1"/>
  <c r="N142" i="1"/>
  <c r="V142" i="1" s="1"/>
  <c r="M126" i="1"/>
  <c r="N126" i="1"/>
  <c r="V126" i="1" s="1"/>
  <c r="M110" i="1"/>
  <c r="N110" i="1"/>
  <c r="V110" i="1" s="1"/>
  <c r="M94" i="1"/>
  <c r="N94" i="1"/>
  <c r="V94" i="1" s="1"/>
  <c r="M70" i="1"/>
  <c r="N70" i="1"/>
  <c r="V70" i="1" s="1"/>
  <c r="M62" i="1"/>
  <c r="N62" i="1"/>
  <c r="V62" i="1" s="1"/>
  <c r="M46" i="1"/>
  <c r="N46" i="1"/>
  <c r="V46" i="1" s="1"/>
  <c r="M38" i="1"/>
  <c r="N38" i="1"/>
  <c r="V38" i="1" s="1"/>
  <c r="M22" i="1"/>
  <c r="N22" i="1"/>
  <c r="V22" i="1" s="1"/>
  <c r="M6" i="1"/>
  <c r="N6" i="1"/>
  <c r="V6" i="1" s="1"/>
  <c r="M397" i="1"/>
  <c r="N397" i="1"/>
  <c r="V397" i="1" s="1"/>
  <c r="M373" i="1"/>
  <c r="N373" i="1"/>
  <c r="V373" i="1" s="1"/>
  <c r="M349" i="1"/>
  <c r="N349" i="1"/>
  <c r="V349" i="1" s="1"/>
  <c r="M293" i="1"/>
  <c r="N293" i="1"/>
  <c r="V293" i="1" s="1"/>
  <c r="M261" i="1"/>
  <c r="N261" i="1"/>
  <c r="V261" i="1" s="1"/>
  <c r="M253" i="1"/>
  <c r="N253" i="1"/>
  <c r="V253" i="1" s="1"/>
  <c r="M245" i="1"/>
  <c r="N245" i="1"/>
  <c r="V245" i="1" s="1"/>
  <c r="M237" i="1"/>
  <c r="N237" i="1"/>
  <c r="V237" i="1" s="1"/>
  <c r="M229" i="1"/>
  <c r="N229" i="1"/>
  <c r="V229" i="1" s="1"/>
  <c r="M221" i="1"/>
  <c r="N221" i="1"/>
  <c r="V221" i="1" s="1"/>
  <c r="M213" i="1"/>
  <c r="N213" i="1"/>
  <c r="V213" i="1" s="1"/>
  <c r="M205" i="1"/>
  <c r="N205" i="1"/>
  <c r="V205" i="1" s="1"/>
  <c r="M197" i="1"/>
  <c r="N197" i="1"/>
  <c r="V197" i="1" s="1"/>
  <c r="M189" i="1"/>
  <c r="N189" i="1"/>
  <c r="V189" i="1" s="1"/>
  <c r="M181" i="1"/>
  <c r="N181" i="1"/>
  <c r="V181" i="1" s="1"/>
  <c r="M173" i="1"/>
  <c r="N173" i="1"/>
  <c r="V173" i="1" s="1"/>
  <c r="M165" i="1"/>
  <c r="N165" i="1"/>
  <c r="V165" i="1" s="1"/>
  <c r="M157" i="1"/>
  <c r="N157" i="1"/>
  <c r="V157" i="1" s="1"/>
  <c r="M149" i="1"/>
  <c r="N149" i="1"/>
  <c r="V149" i="1" s="1"/>
  <c r="M141" i="1"/>
  <c r="N141" i="1"/>
  <c r="V141" i="1" s="1"/>
  <c r="M133" i="1"/>
  <c r="N133" i="1"/>
  <c r="V133" i="1" s="1"/>
  <c r="M125" i="1"/>
  <c r="N125" i="1"/>
  <c r="V125" i="1" s="1"/>
  <c r="M117" i="1"/>
  <c r="N117" i="1"/>
  <c r="V117" i="1" s="1"/>
  <c r="M109" i="1"/>
  <c r="N109" i="1"/>
  <c r="V109" i="1" s="1"/>
  <c r="M101" i="1"/>
  <c r="N101" i="1"/>
  <c r="V101" i="1" s="1"/>
  <c r="M93" i="1"/>
  <c r="N93" i="1"/>
  <c r="V93" i="1" s="1"/>
  <c r="M85" i="1"/>
  <c r="N85" i="1"/>
  <c r="V85" i="1" s="1"/>
  <c r="M77" i="1"/>
  <c r="N77" i="1"/>
  <c r="V77" i="1" s="1"/>
  <c r="M69" i="1"/>
  <c r="N69" i="1"/>
  <c r="V69" i="1" s="1"/>
  <c r="M61" i="1"/>
  <c r="N61" i="1"/>
  <c r="V61" i="1" s="1"/>
  <c r="M53" i="1"/>
  <c r="N53" i="1"/>
  <c r="V53" i="1" s="1"/>
  <c r="M45" i="1"/>
  <c r="N45" i="1"/>
  <c r="V45" i="1" s="1"/>
  <c r="M37" i="1"/>
  <c r="N37" i="1"/>
  <c r="V37" i="1" s="1"/>
  <c r="M29" i="1"/>
  <c r="N29" i="1"/>
  <c r="V29" i="1" s="1"/>
  <c r="M21" i="1"/>
  <c r="N21" i="1"/>
  <c r="V21" i="1" s="1"/>
  <c r="M13" i="1"/>
  <c r="N13" i="1"/>
  <c r="V13" i="1" s="1"/>
  <c r="M5" i="1"/>
  <c r="N5" i="1"/>
  <c r="V5" i="1" s="1"/>
  <c r="M502" i="1"/>
  <c r="M496" i="1"/>
  <c r="M489" i="1"/>
  <c r="M482" i="1"/>
  <c r="M474" i="1"/>
  <c r="M466" i="1"/>
  <c r="M458" i="1"/>
  <c r="M450" i="1"/>
  <c r="M442" i="1"/>
  <c r="M434" i="1"/>
  <c r="Q434" i="1" s="1"/>
  <c r="M426" i="1"/>
  <c r="M418" i="1"/>
  <c r="Q418" i="1" s="1"/>
  <c r="N408" i="1"/>
  <c r="V408" i="1" s="1"/>
  <c r="N394" i="1"/>
  <c r="N377" i="1"/>
  <c r="V377" i="1" s="1"/>
  <c r="M365" i="1"/>
  <c r="N346" i="1"/>
  <c r="V346" i="1" s="1"/>
  <c r="M334" i="1"/>
  <c r="M317" i="1"/>
  <c r="N304" i="1"/>
  <c r="V304" i="1" s="1"/>
  <c r="N290" i="1"/>
  <c r="V290" i="1" s="1"/>
  <c r="M286" i="1"/>
  <c r="M272" i="1"/>
  <c r="N256" i="1"/>
  <c r="V256" i="1" s="1"/>
  <c r="N230" i="1"/>
  <c r="V230" i="1" s="1"/>
  <c r="N210" i="1"/>
  <c r="N193" i="1"/>
  <c r="V193" i="1" s="1"/>
  <c r="M169" i="1"/>
  <c r="Q169" i="1" s="1"/>
  <c r="N152" i="1"/>
  <c r="V152" i="1" s="1"/>
  <c r="N106" i="1"/>
  <c r="V106" i="1" s="1"/>
  <c r="N89" i="1"/>
  <c r="N48" i="1"/>
  <c r="V48" i="1" s="1"/>
  <c r="N30" i="1"/>
  <c r="M60" i="1"/>
  <c r="N60" i="1"/>
  <c r="V60" i="1" s="1"/>
  <c r="M52" i="1"/>
  <c r="N52" i="1"/>
  <c r="V52" i="1" s="1"/>
  <c r="M44" i="1"/>
  <c r="N44" i="1"/>
  <c r="V44" i="1" s="1"/>
  <c r="M36" i="1"/>
  <c r="N36" i="1"/>
  <c r="V36" i="1" s="1"/>
  <c r="M28" i="1"/>
  <c r="N28" i="1"/>
  <c r="V28" i="1" s="1"/>
  <c r="M20" i="1"/>
  <c r="N20" i="1"/>
  <c r="V20" i="1" s="1"/>
  <c r="M12" i="1"/>
  <c r="N12" i="1"/>
  <c r="V12" i="1" s="1"/>
  <c r="M4" i="1"/>
  <c r="N4" i="1"/>
  <c r="V4" i="1" s="1"/>
  <c r="M406" i="1"/>
  <c r="N362" i="1"/>
  <c r="N314" i="1"/>
  <c r="M302" i="1"/>
  <c r="N250" i="1"/>
  <c r="V250" i="1" s="1"/>
  <c r="N166" i="1"/>
  <c r="V166" i="1" s="1"/>
  <c r="N146" i="1"/>
  <c r="V146" i="1" s="1"/>
  <c r="N42" i="1"/>
  <c r="V42" i="1" s="1"/>
  <c r="M483" i="1"/>
  <c r="N483" i="1"/>
  <c r="V483" i="1" s="1"/>
  <c r="M475" i="1"/>
  <c r="N475" i="1"/>
  <c r="V475" i="1" s="1"/>
  <c r="M467" i="1"/>
  <c r="N467" i="1"/>
  <c r="V467" i="1" s="1"/>
  <c r="M459" i="1"/>
  <c r="N459" i="1"/>
  <c r="V459" i="1" s="1"/>
  <c r="M451" i="1"/>
  <c r="N451" i="1"/>
  <c r="V451" i="1" s="1"/>
  <c r="M443" i="1"/>
  <c r="N443" i="1"/>
  <c r="V443" i="1" s="1"/>
  <c r="M435" i="1"/>
  <c r="N435" i="1"/>
  <c r="V435" i="1" s="1"/>
  <c r="M427" i="1"/>
  <c r="N427" i="1"/>
  <c r="V427" i="1" s="1"/>
  <c r="M419" i="1"/>
  <c r="N419" i="1"/>
  <c r="V419" i="1" s="1"/>
  <c r="M411" i="1"/>
  <c r="N411" i="1"/>
  <c r="V411" i="1" s="1"/>
  <c r="M403" i="1"/>
  <c r="N403" i="1"/>
  <c r="V403" i="1" s="1"/>
  <c r="M395" i="1"/>
  <c r="N395" i="1"/>
  <c r="V395" i="1" s="1"/>
  <c r="M387" i="1"/>
  <c r="N387" i="1"/>
  <c r="V387" i="1" s="1"/>
  <c r="M379" i="1"/>
  <c r="N379" i="1"/>
  <c r="V379" i="1" s="1"/>
  <c r="M371" i="1"/>
  <c r="N371" i="1"/>
  <c r="V371" i="1" s="1"/>
  <c r="M363" i="1"/>
  <c r="N363" i="1"/>
  <c r="V363" i="1" s="1"/>
  <c r="M355" i="1"/>
  <c r="N355" i="1"/>
  <c r="V355" i="1" s="1"/>
  <c r="M347" i="1"/>
  <c r="N347" i="1"/>
  <c r="V347" i="1" s="1"/>
  <c r="M339" i="1"/>
  <c r="N339" i="1"/>
  <c r="V339" i="1" s="1"/>
  <c r="M331" i="1"/>
  <c r="N331" i="1"/>
  <c r="V331" i="1" s="1"/>
  <c r="M323" i="1"/>
  <c r="N323" i="1"/>
  <c r="V323" i="1" s="1"/>
  <c r="M315" i="1"/>
  <c r="N315" i="1"/>
  <c r="V315" i="1" s="1"/>
  <c r="M307" i="1"/>
  <c r="N307" i="1"/>
  <c r="V307" i="1" s="1"/>
  <c r="M299" i="1"/>
  <c r="N299" i="1"/>
  <c r="V299" i="1" s="1"/>
  <c r="M291" i="1"/>
  <c r="N291" i="1"/>
  <c r="V291" i="1" s="1"/>
  <c r="M283" i="1"/>
  <c r="N283" i="1"/>
  <c r="V283" i="1" s="1"/>
  <c r="M275" i="1"/>
  <c r="N275" i="1"/>
  <c r="V275" i="1" s="1"/>
  <c r="M267" i="1"/>
  <c r="N267" i="1"/>
  <c r="V267" i="1" s="1"/>
  <c r="M259" i="1"/>
  <c r="N259" i="1"/>
  <c r="V259" i="1" s="1"/>
  <c r="M251" i="1"/>
  <c r="N251" i="1"/>
  <c r="V251" i="1" s="1"/>
  <c r="M243" i="1"/>
  <c r="N243" i="1"/>
  <c r="V243" i="1" s="1"/>
  <c r="M235" i="1"/>
  <c r="N235" i="1"/>
  <c r="V235" i="1" s="1"/>
  <c r="M227" i="1"/>
  <c r="N227" i="1"/>
  <c r="V227" i="1" s="1"/>
  <c r="M219" i="1"/>
  <c r="N219" i="1"/>
  <c r="V219" i="1" s="1"/>
  <c r="M211" i="1"/>
  <c r="N211" i="1"/>
  <c r="V211" i="1" s="1"/>
  <c r="M203" i="1"/>
  <c r="N203" i="1"/>
  <c r="V203" i="1" s="1"/>
  <c r="M195" i="1"/>
  <c r="N195" i="1"/>
  <c r="V195" i="1" s="1"/>
  <c r="M187" i="1"/>
  <c r="N187" i="1"/>
  <c r="V187" i="1" s="1"/>
  <c r="M179" i="1"/>
  <c r="N179" i="1"/>
  <c r="V179" i="1" s="1"/>
  <c r="M171" i="1"/>
  <c r="N171" i="1"/>
  <c r="V171" i="1" s="1"/>
  <c r="M163" i="1"/>
  <c r="N163" i="1"/>
  <c r="V163" i="1" s="1"/>
  <c r="M155" i="1"/>
  <c r="N155" i="1"/>
  <c r="V155" i="1" s="1"/>
  <c r="M147" i="1"/>
  <c r="N147" i="1"/>
  <c r="V147" i="1" s="1"/>
  <c r="M139" i="1"/>
  <c r="N139" i="1"/>
  <c r="V139" i="1" s="1"/>
  <c r="M131" i="1"/>
  <c r="N131" i="1"/>
  <c r="V131" i="1" s="1"/>
  <c r="M123" i="1"/>
  <c r="N123" i="1"/>
  <c r="V123" i="1" s="1"/>
  <c r="M115" i="1"/>
  <c r="N115" i="1"/>
  <c r="V115" i="1" s="1"/>
  <c r="M107" i="1"/>
  <c r="N107" i="1"/>
  <c r="V107" i="1" s="1"/>
  <c r="M99" i="1"/>
  <c r="N99" i="1"/>
  <c r="V99" i="1" s="1"/>
  <c r="M91" i="1"/>
  <c r="N91" i="1"/>
  <c r="V91" i="1" s="1"/>
  <c r="M83" i="1"/>
  <c r="N83" i="1"/>
  <c r="V83" i="1" s="1"/>
  <c r="M75" i="1"/>
  <c r="N75" i="1"/>
  <c r="V75" i="1" s="1"/>
  <c r="M67" i="1"/>
  <c r="N67" i="1"/>
  <c r="V67" i="1" s="1"/>
  <c r="M59" i="1"/>
  <c r="N59" i="1"/>
  <c r="V59" i="1" s="1"/>
  <c r="M51" i="1"/>
  <c r="N51" i="1"/>
  <c r="V51" i="1" s="1"/>
  <c r="M43" i="1"/>
  <c r="N43" i="1"/>
  <c r="V43" i="1" s="1"/>
  <c r="M35" i="1"/>
  <c r="N35" i="1"/>
  <c r="V35" i="1" s="1"/>
  <c r="M27" i="1"/>
  <c r="N27" i="1"/>
  <c r="V27" i="1" s="1"/>
  <c r="M19" i="1"/>
  <c r="N19" i="1"/>
  <c r="V19" i="1" s="1"/>
  <c r="M11" i="1"/>
  <c r="N11" i="1"/>
  <c r="V11" i="1" s="1"/>
  <c r="M3" i="1"/>
  <c r="N3" i="1"/>
  <c r="V3" i="1" s="1"/>
  <c r="M513" i="1"/>
  <c r="Q513" i="1" s="1"/>
  <c r="N507" i="1"/>
  <c r="M494" i="1"/>
  <c r="N374" i="1"/>
  <c r="N266" i="1"/>
  <c r="V266" i="1" s="1"/>
  <c r="N208" i="1"/>
  <c r="N190" i="1"/>
  <c r="N162" i="1"/>
  <c r="V162" i="1" s="1"/>
  <c r="N104" i="1"/>
  <c r="N86" i="1"/>
  <c r="V86" i="1" s="1"/>
  <c r="M233" i="1"/>
  <c r="N233" i="1"/>
  <c r="V233" i="1" s="1"/>
  <c r="M201" i="1"/>
  <c r="N201" i="1"/>
  <c r="V201" i="1" s="1"/>
  <c r="M505" i="1"/>
  <c r="N499" i="1"/>
  <c r="V499" i="1" s="1"/>
  <c r="M486" i="1"/>
  <c r="M478" i="1"/>
  <c r="M470" i="1"/>
  <c r="M462" i="1"/>
  <c r="M454" i="1"/>
  <c r="M446" i="1"/>
  <c r="M438" i="1"/>
  <c r="M430" i="1"/>
  <c r="M422" i="1"/>
  <c r="M414" i="1"/>
  <c r="N401" i="1"/>
  <c r="V401" i="1" s="1"/>
  <c r="M389" i="1"/>
  <c r="N384" i="1"/>
  <c r="N370" i="1"/>
  <c r="M358" i="1"/>
  <c r="N353" i="1"/>
  <c r="V353" i="1" s="1"/>
  <c r="M341" i="1"/>
  <c r="N328" i="1"/>
  <c r="V328" i="1" s="1"/>
  <c r="M310" i="1"/>
  <c r="N297" i="1"/>
  <c r="N280" i="1"/>
  <c r="N258" i="1"/>
  <c r="V258" i="1" s="1"/>
  <c r="N241" i="1"/>
  <c r="V241" i="1" s="1"/>
  <c r="M225" i="1"/>
  <c r="N200" i="1"/>
  <c r="V200" i="1" s="1"/>
  <c r="N182" i="1"/>
  <c r="V182" i="1" s="1"/>
  <c r="N137" i="1"/>
  <c r="V137" i="1" s="1"/>
  <c r="M121" i="1"/>
  <c r="Q121" i="1" s="1"/>
  <c r="N78" i="1"/>
  <c r="V78" i="1" s="1"/>
  <c r="N58" i="1"/>
  <c r="V58" i="1" s="1"/>
  <c r="M17" i="1"/>
  <c r="M402" i="1"/>
  <c r="N402" i="1"/>
  <c r="V402" i="1" s="1"/>
  <c r="M242" i="1"/>
  <c r="N242" i="1"/>
  <c r="V242" i="1" s="1"/>
  <c r="M138" i="1"/>
  <c r="N138" i="1"/>
  <c r="V138" i="1" s="1"/>
  <c r="M90" i="1"/>
  <c r="N90" i="1"/>
  <c r="V90" i="1" s="1"/>
  <c r="M34" i="1"/>
  <c r="N34" i="1"/>
  <c r="V34" i="1" s="1"/>
  <c r="M506" i="1"/>
  <c r="N282" i="1"/>
  <c r="V282" i="1" s="1"/>
  <c r="N102" i="1"/>
  <c r="V102" i="1" s="1"/>
  <c r="N82" i="1"/>
  <c r="M409" i="1"/>
  <c r="N409" i="1"/>
  <c r="V409" i="1" s="1"/>
  <c r="M385" i="1"/>
  <c r="N385" i="1"/>
  <c r="V385" i="1" s="1"/>
  <c r="M281" i="1"/>
  <c r="N281" i="1"/>
  <c r="V281" i="1" s="1"/>
  <c r="N273" i="1"/>
  <c r="V273" i="1" s="1"/>
  <c r="M273" i="1"/>
  <c r="M257" i="1"/>
  <c r="N257" i="1"/>
  <c r="V257" i="1" s="1"/>
  <c r="M153" i="1"/>
  <c r="N153" i="1"/>
  <c r="V153" i="1" s="1"/>
  <c r="M81" i="1"/>
  <c r="N81" i="1"/>
  <c r="V81" i="1" s="1"/>
  <c r="M33" i="1"/>
  <c r="N33" i="1"/>
  <c r="V33" i="1" s="1"/>
  <c r="M360" i="1"/>
  <c r="N360" i="1"/>
  <c r="V360" i="1" s="1"/>
  <c r="M336" i="1"/>
  <c r="N336" i="1"/>
  <c r="V336" i="1" s="1"/>
  <c r="M312" i="1"/>
  <c r="N312" i="1"/>
  <c r="V312" i="1" s="1"/>
  <c r="M288" i="1"/>
  <c r="N288" i="1"/>
  <c r="V288" i="1" s="1"/>
  <c r="M264" i="1"/>
  <c r="N264" i="1"/>
  <c r="V264" i="1" s="1"/>
  <c r="M248" i="1"/>
  <c r="N248" i="1"/>
  <c r="V248" i="1" s="1"/>
  <c r="M232" i="1"/>
  <c r="N232" i="1"/>
  <c r="V232" i="1" s="1"/>
  <c r="M224" i="1"/>
  <c r="N224" i="1"/>
  <c r="V224" i="1" s="1"/>
  <c r="M216" i="1"/>
  <c r="N216" i="1"/>
  <c r="V216" i="1" s="1"/>
  <c r="M184" i="1"/>
  <c r="N184" i="1"/>
  <c r="V184" i="1" s="1"/>
  <c r="M168" i="1"/>
  <c r="N168" i="1"/>
  <c r="V168" i="1" s="1"/>
  <c r="M144" i="1"/>
  <c r="N144" i="1"/>
  <c r="V144" i="1" s="1"/>
  <c r="M120" i="1"/>
  <c r="N120" i="1"/>
  <c r="V120" i="1" s="1"/>
  <c r="M112" i="1"/>
  <c r="N112" i="1"/>
  <c r="V112" i="1" s="1"/>
  <c r="M96" i="1"/>
  <c r="N96" i="1"/>
  <c r="V96" i="1" s="1"/>
  <c r="M80" i="1"/>
  <c r="N80" i="1"/>
  <c r="V80" i="1" s="1"/>
  <c r="M64" i="1"/>
  <c r="N64" i="1"/>
  <c r="V64" i="1" s="1"/>
  <c r="M40" i="1"/>
  <c r="N40" i="1"/>
  <c r="V40" i="1" s="1"/>
  <c r="M32" i="1"/>
  <c r="N32" i="1"/>
  <c r="V32" i="1" s="1"/>
  <c r="M16" i="1"/>
  <c r="N16" i="1"/>
  <c r="V16" i="1" s="1"/>
  <c r="M8" i="1"/>
  <c r="N8" i="1"/>
  <c r="V8" i="1" s="1"/>
  <c r="N511" i="1"/>
  <c r="V511" i="1" s="1"/>
  <c r="N504" i="1"/>
  <c r="M498" i="1"/>
  <c r="M485" i="1"/>
  <c r="M477" i="1"/>
  <c r="M469" i="1"/>
  <c r="M461" i="1"/>
  <c r="M453" i="1"/>
  <c r="M445" i="1"/>
  <c r="Q445" i="1" s="1"/>
  <c r="M437" i="1"/>
  <c r="M429" i="1"/>
  <c r="Q429" i="1" s="1"/>
  <c r="M421" i="1"/>
  <c r="M413" i="1"/>
  <c r="N400" i="1"/>
  <c r="N386" i="1"/>
  <c r="M382" i="1"/>
  <c r="N369" i="1"/>
  <c r="V369" i="1" s="1"/>
  <c r="M357" i="1"/>
  <c r="N352" i="1"/>
  <c r="N338" i="1"/>
  <c r="M326" i="1"/>
  <c r="N321" i="1"/>
  <c r="M309" i="1"/>
  <c r="N296" i="1"/>
  <c r="V296" i="1" s="1"/>
  <c r="N277" i="1"/>
  <c r="V277" i="1" s="1"/>
  <c r="N240" i="1"/>
  <c r="V240" i="1" s="1"/>
  <c r="N222" i="1"/>
  <c r="V222" i="1" s="1"/>
  <c r="N194" i="1"/>
  <c r="V194" i="1" s="1"/>
  <c r="N177" i="1"/>
  <c r="V177" i="1" s="1"/>
  <c r="M161" i="1"/>
  <c r="N136" i="1"/>
  <c r="V136" i="1" s="1"/>
  <c r="N118" i="1"/>
  <c r="V118" i="1" s="1"/>
  <c r="N73" i="1"/>
  <c r="M57" i="1"/>
  <c r="N14" i="1"/>
  <c r="V14" i="1" s="1"/>
  <c r="M378" i="1"/>
  <c r="N378" i="1"/>
  <c r="V378" i="1" s="1"/>
  <c r="M322" i="1"/>
  <c r="N322" i="1"/>
  <c r="V322" i="1" s="1"/>
  <c r="M298" i="1"/>
  <c r="N298" i="1"/>
  <c r="V298" i="1" s="1"/>
  <c r="M274" i="1"/>
  <c r="N274" i="1"/>
  <c r="V274" i="1" s="1"/>
  <c r="M226" i="1"/>
  <c r="N226" i="1"/>
  <c r="V226" i="1" s="1"/>
  <c r="M202" i="1"/>
  <c r="N202" i="1"/>
  <c r="V202" i="1" s="1"/>
  <c r="M178" i="1"/>
  <c r="N178" i="1"/>
  <c r="V178" i="1" s="1"/>
  <c r="M170" i="1"/>
  <c r="N170" i="1"/>
  <c r="V170" i="1" s="1"/>
  <c r="M154" i="1"/>
  <c r="N154" i="1"/>
  <c r="V154" i="1" s="1"/>
  <c r="M122" i="1"/>
  <c r="N122" i="1"/>
  <c r="V122" i="1" s="1"/>
  <c r="M98" i="1"/>
  <c r="N98" i="1"/>
  <c r="V98" i="1" s="1"/>
  <c r="M74" i="1"/>
  <c r="N74" i="1"/>
  <c r="V74" i="1" s="1"/>
  <c r="M66" i="1"/>
  <c r="N66" i="1"/>
  <c r="V66" i="1" s="1"/>
  <c r="M50" i="1"/>
  <c r="N50" i="1"/>
  <c r="V50" i="1" s="1"/>
  <c r="M26" i="1"/>
  <c r="N26" i="1"/>
  <c r="V26" i="1" s="1"/>
  <c r="M18" i="1"/>
  <c r="N18" i="1"/>
  <c r="V18" i="1" s="1"/>
  <c r="N330" i="1"/>
  <c r="N206" i="1"/>
  <c r="V206" i="1" s="1"/>
  <c r="N186" i="1"/>
  <c r="M329" i="1"/>
  <c r="N329" i="1"/>
  <c r="V329" i="1" s="1"/>
  <c r="M305" i="1"/>
  <c r="N305" i="1"/>
  <c r="V305" i="1" s="1"/>
  <c r="M185" i="1"/>
  <c r="N185" i="1"/>
  <c r="V185" i="1" s="1"/>
  <c r="M49" i="1"/>
  <c r="N49" i="1"/>
  <c r="V49" i="1" s="1"/>
  <c r="M479" i="1"/>
  <c r="N479" i="1"/>
  <c r="V479" i="1" s="1"/>
  <c r="M471" i="1"/>
  <c r="N471" i="1"/>
  <c r="V471" i="1" s="1"/>
  <c r="M463" i="1"/>
  <c r="N463" i="1"/>
  <c r="V463" i="1" s="1"/>
  <c r="M455" i="1"/>
  <c r="N455" i="1"/>
  <c r="V455" i="1" s="1"/>
  <c r="M447" i="1"/>
  <c r="N447" i="1"/>
  <c r="V447" i="1" s="1"/>
  <c r="M439" i="1"/>
  <c r="N439" i="1"/>
  <c r="V439" i="1" s="1"/>
  <c r="M431" i="1"/>
  <c r="N431" i="1"/>
  <c r="V431" i="1" s="1"/>
  <c r="M423" i="1"/>
  <c r="N423" i="1"/>
  <c r="V423" i="1" s="1"/>
  <c r="M415" i="1"/>
  <c r="N415" i="1"/>
  <c r="V415" i="1" s="1"/>
  <c r="M407" i="1"/>
  <c r="N407" i="1"/>
  <c r="V407" i="1" s="1"/>
  <c r="M399" i="1"/>
  <c r="N399" i="1"/>
  <c r="V399" i="1" s="1"/>
  <c r="M391" i="1"/>
  <c r="N391" i="1"/>
  <c r="V391" i="1" s="1"/>
  <c r="M383" i="1"/>
  <c r="N383" i="1"/>
  <c r="V383" i="1" s="1"/>
  <c r="M375" i="1"/>
  <c r="N375" i="1"/>
  <c r="V375" i="1" s="1"/>
  <c r="M367" i="1"/>
  <c r="N367" i="1"/>
  <c r="V367" i="1" s="1"/>
  <c r="M359" i="1"/>
  <c r="N359" i="1"/>
  <c r="V359" i="1" s="1"/>
  <c r="M351" i="1"/>
  <c r="N351" i="1"/>
  <c r="V351" i="1" s="1"/>
  <c r="M343" i="1"/>
  <c r="N343" i="1"/>
  <c r="V343" i="1" s="1"/>
  <c r="M335" i="1"/>
  <c r="N335" i="1"/>
  <c r="V335" i="1" s="1"/>
  <c r="M327" i="1"/>
  <c r="N327" i="1"/>
  <c r="V327" i="1" s="1"/>
  <c r="M319" i="1"/>
  <c r="N319" i="1"/>
  <c r="V319" i="1" s="1"/>
  <c r="M311" i="1"/>
  <c r="N311" i="1"/>
  <c r="V311" i="1" s="1"/>
  <c r="M303" i="1"/>
  <c r="N303" i="1"/>
  <c r="V303" i="1" s="1"/>
  <c r="M295" i="1"/>
  <c r="N295" i="1"/>
  <c r="V295" i="1" s="1"/>
  <c r="M287" i="1"/>
  <c r="N287" i="1"/>
  <c r="V287" i="1" s="1"/>
  <c r="M279" i="1"/>
  <c r="N279" i="1"/>
  <c r="V279" i="1" s="1"/>
  <c r="M271" i="1"/>
  <c r="N271" i="1"/>
  <c r="V271" i="1" s="1"/>
  <c r="M263" i="1"/>
  <c r="N263" i="1"/>
  <c r="V263" i="1" s="1"/>
  <c r="M255" i="1"/>
  <c r="N255" i="1"/>
  <c r="V255" i="1" s="1"/>
  <c r="M247" i="1"/>
  <c r="N247" i="1"/>
  <c r="V247" i="1" s="1"/>
  <c r="M239" i="1"/>
  <c r="N239" i="1"/>
  <c r="V239" i="1" s="1"/>
  <c r="M231" i="1"/>
  <c r="N231" i="1"/>
  <c r="V231" i="1" s="1"/>
  <c r="M223" i="1"/>
  <c r="N223" i="1"/>
  <c r="V223" i="1" s="1"/>
  <c r="M215" i="1"/>
  <c r="N215" i="1"/>
  <c r="V215" i="1" s="1"/>
  <c r="M207" i="1"/>
  <c r="N207" i="1"/>
  <c r="V207" i="1" s="1"/>
  <c r="M199" i="1"/>
  <c r="N199" i="1"/>
  <c r="V199" i="1" s="1"/>
  <c r="M191" i="1"/>
  <c r="N191" i="1"/>
  <c r="V191" i="1" s="1"/>
  <c r="M183" i="1"/>
  <c r="N183" i="1"/>
  <c r="V183" i="1" s="1"/>
  <c r="M175" i="1"/>
  <c r="N175" i="1"/>
  <c r="V175" i="1" s="1"/>
  <c r="M167" i="1"/>
  <c r="N167" i="1"/>
  <c r="V167" i="1" s="1"/>
  <c r="M159" i="1"/>
  <c r="N159" i="1"/>
  <c r="V159" i="1" s="1"/>
  <c r="M151" i="1"/>
  <c r="N151" i="1"/>
  <c r="V151" i="1" s="1"/>
  <c r="M143" i="1"/>
  <c r="N143" i="1"/>
  <c r="V143" i="1" s="1"/>
  <c r="M135" i="1"/>
  <c r="N135" i="1"/>
  <c r="V135" i="1" s="1"/>
  <c r="M127" i="1"/>
  <c r="N127" i="1"/>
  <c r="V127" i="1" s="1"/>
  <c r="M119" i="1"/>
  <c r="N119" i="1"/>
  <c r="V119" i="1" s="1"/>
  <c r="M111" i="1"/>
  <c r="N111" i="1"/>
  <c r="V111" i="1" s="1"/>
  <c r="M103" i="1"/>
  <c r="N103" i="1"/>
  <c r="V103" i="1" s="1"/>
  <c r="M95" i="1"/>
  <c r="N95" i="1"/>
  <c r="V95" i="1" s="1"/>
  <c r="M87" i="1"/>
  <c r="N87" i="1"/>
  <c r="V87" i="1" s="1"/>
  <c r="M79" i="1"/>
  <c r="N79" i="1"/>
  <c r="V79" i="1" s="1"/>
  <c r="M71" i="1"/>
  <c r="N71" i="1"/>
  <c r="V71" i="1" s="1"/>
  <c r="M63" i="1"/>
  <c r="N63" i="1"/>
  <c r="V63" i="1" s="1"/>
  <c r="M55" i="1"/>
  <c r="N55" i="1"/>
  <c r="V55" i="1" s="1"/>
  <c r="M47" i="1"/>
  <c r="N47" i="1"/>
  <c r="V47" i="1" s="1"/>
  <c r="M39" i="1"/>
  <c r="N39" i="1"/>
  <c r="V39" i="1" s="1"/>
  <c r="M31" i="1"/>
  <c r="N31" i="1"/>
  <c r="V31" i="1" s="1"/>
  <c r="M23" i="1"/>
  <c r="N23" i="1"/>
  <c r="V23" i="1" s="1"/>
  <c r="M15" i="1"/>
  <c r="N15" i="1"/>
  <c r="V15" i="1" s="1"/>
  <c r="M7" i="1"/>
  <c r="N7" i="1"/>
  <c r="V7" i="1" s="1"/>
  <c r="N2" i="1"/>
  <c r="V2" i="1" s="1"/>
  <c r="M510" i="1"/>
  <c r="M497" i="1"/>
  <c r="N491" i="1"/>
  <c r="V491" i="1" s="1"/>
  <c r="N398" i="1"/>
  <c r="V398" i="1" s="1"/>
  <c r="N381" i="1"/>
  <c r="V381" i="1" s="1"/>
  <c r="N350" i="1"/>
  <c r="N325" i="1"/>
  <c r="V325" i="1" s="1"/>
  <c r="N294" i="1"/>
  <c r="V294" i="1" s="1"/>
  <c r="N238" i="1"/>
  <c r="V238" i="1" s="1"/>
  <c r="N218" i="1"/>
  <c r="N160" i="1"/>
  <c r="V160" i="1" s="1"/>
  <c r="N134" i="1"/>
  <c r="V134" i="1" s="1"/>
  <c r="N114" i="1"/>
  <c r="N97" i="1"/>
  <c r="V97" i="1" s="1"/>
  <c r="N56" i="1"/>
  <c r="V56" i="1" s="1"/>
  <c r="N10" i="1"/>
  <c r="M509" i="1"/>
  <c r="N503" i="1"/>
  <c r="V503" i="1" s="1"/>
  <c r="M490" i="1"/>
  <c r="N410" i="1"/>
  <c r="N368" i="1"/>
  <c r="N354" i="1"/>
  <c r="V354" i="1" s="1"/>
  <c r="N337" i="1"/>
  <c r="N320" i="1"/>
  <c r="N306" i="1"/>
  <c r="V306" i="1" s="1"/>
  <c r="N289" i="1"/>
  <c r="V289" i="1" s="1"/>
  <c r="N234" i="1"/>
  <c r="N217" i="1"/>
  <c r="N176" i="1"/>
  <c r="N158" i="1"/>
  <c r="N130" i="1"/>
  <c r="V130" i="1" s="1"/>
  <c r="N113" i="1"/>
  <c r="V113" i="1" s="1"/>
  <c r="N72" i="1"/>
  <c r="N54" i="1"/>
  <c r="V54" i="1" s="1"/>
  <c r="N9" i="1"/>
  <c r="Q448" i="1" l="1"/>
  <c r="Q493" i="1"/>
  <c r="Q481" i="1"/>
  <c r="Q453" i="1"/>
  <c r="Q446" i="1"/>
  <c r="Q442" i="1"/>
  <c r="Q466" i="1"/>
  <c r="Q413" i="1"/>
  <c r="Q462" i="1"/>
  <c r="Q505" i="1"/>
  <c r="Q310" i="1"/>
  <c r="Q326" i="1"/>
  <c r="Q477" i="1"/>
  <c r="Q485" i="1"/>
  <c r="Q470" i="1"/>
  <c r="Q286" i="1"/>
  <c r="Q497" i="1"/>
  <c r="Q225" i="1"/>
  <c r="Q430" i="1"/>
  <c r="Q317" i="1"/>
  <c r="Q489" i="1"/>
  <c r="Q406" i="1"/>
  <c r="Q309" i="1"/>
  <c r="Q502" i="1"/>
  <c r="Q456" i="1"/>
  <c r="Q438" i="1"/>
  <c r="Q161" i="1"/>
  <c r="Q469" i="1"/>
  <c r="Q454" i="1"/>
  <c r="Q17" i="1"/>
  <c r="Q365" i="1"/>
  <c r="Q425" i="1"/>
  <c r="Q273" i="1"/>
  <c r="Q510" i="1"/>
  <c r="Q382" i="1"/>
  <c r="Q496" i="1"/>
  <c r="Q461" i="1"/>
  <c r="Q421" i="1"/>
  <c r="Q506" i="1"/>
  <c r="Q414" i="1"/>
  <c r="Q478" i="1"/>
  <c r="Q302" i="1"/>
  <c r="Q474" i="1"/>
  <c r="Q501" i="1"/>
  <c r="Q440" i="1"/>
  <c r="Q490" i="1"/>
  <c r="Q357" i="1"/>
  <c r="Q437" i="1"/>
  <c r="Q341" i="1"/>
  <c r="Q422" i="1"/>
  <c r="Q486" i="1"/>
  <c r="Q482" i="1"/>
  <c r="Q464" i="1"/>
  <c r="Q426" i="1"/>
  <c r="Q457" i="1"/>
  <c r="Q209" i="1"/>
  <c r="Q416" i="1"/>
  <c r="Q465" i="1"/>
  <c r="Q301" i="1"/>
  <c r="Q57" i="1"/>
  <c r="Q433" i="1"/>
  <c r="Q249" i="1"/>
  <c r="Q509" i="1"/>
  <c r="Q358" i="1"/>
  <c r="Q334" i="1"/>
  <c r="Q432" i="1"/>
  <c r="Q450" i="1"/>
  <c r="Q389" i="1"/>
  <c r="Q494" i="1"/>
  <c r="Q498" i="1"/>
  <c r="P514" i="1"/>
  <c r="Q514" i="1"/>
  <c r="P537" i="1"/>
  <c r="Q537" i="1"/>
  <c r="P521" i="1"/>
  <c r="Q521" i="1"/>
  <c r="P558" i="1"/>
  <c r="Q558" i="1"/>
  <c r="P566" i="1"/>
  <c r="Q566" i="1"/>
  <c r="P547" i="1"/>
  <c r="Q547" i="1"/>
  <c r="P546" i="1"/>
  <c r="Q546" i="1"/>
  <c r="P555" i="1"/>
  <c r="Q555" i="1"/>
  <c r="P552" i="1"/>
  <c r="Q552" i="1"/>
  <c r="P522" i="1"/>
  <c r="Q522" i="1"/>
  <c r="P527" i="1"/>
  <c r="Q527" i="1"/>
  <c r="P551" i="1"/>
  <c r="Q551" i="1"/>
  <c r="P559" i="1"/>
  <c r="Q559" i="1"/>
  <c r="P532" i="1"/>
  <c r="Q532" i="1"/>
  <c r="P539" i="1"/>
  <c r="Q539" i="1"/>
  <c r="P540" i="1"/>
  <c r="Q540" i="1"/>
  <c r="P571" i="1"/>
  <c r="Q571" i="1"/>
  <c r="P515" i="1"/>
  <c r="Q515" i="1"/>
  <c r="P545" i="1"/>
  <c r="Q545" i="1"/>
  <c r="P534" i="1"/>
  <c r="Q534" i="1"/>
  <c r="P541" i="1"/>
  <c r="Q541" i="1"/>
  <c r="P525" i="1"/>
  <c r="Q525" i="1"/>
  <c r="P524" i="1"/>
  <c r="Q524" i="1"/>
  <c r="P533" i="1"/>
  <c r="Q533" i="1"/>
  <c r="P556" i="1"/>
  <c r="Q556" i="1"/>
  <c r="P520" i="1"/>
  <c r="Q520" i="1"/>
  <c r="P530" i="1"/>
  <c r="Q530" i="1"/>
  <c r="P538" i="1"/>
  <c r="Q538" i="1"/>
  <c r="P548" i="1"/>
  <c r="Q548" i="1"/>
  <c r="P518" i="1"/>
  <c r="Q518" i="1"/>
  <c r="P517" i="1"/>
  <c r="Q517" i="1"/>
  <c r="P526" i="1"/>
  <c r="Q526" i="1"/>
  <c r="Q424" i="1"/>
  <c r="P549" i="1"/>
  <c r="Q549" i="1"/>
  <c r="P564" i="1"/>
  <c r="Q564" i="1"/>
  <c r="P523" i="1"/>
  <c r="Q523" i="1"/>
  <c r="P531" i="1"/>
  <c r="Q531" i="1"/>
  <c r="P553" i="1"/>
  <c r="Q553" i="1"/>
  <c r="P544" i="1"/>
  <c r="Q544" i="1"/>
  <c r="P574" i="1"/>
  <c r="Q574" i="1"/>
  <c r="P519" i="1"/>
  <c r="Q519" i="1"/>
  <c r="Q272" i="1"/>
  <c r="Q458" i="1"/>
  <c r="Q145" i="1"/>
  <c r="Q441" i="1"/>
  <c r="P542" i="1"/>
  <c r="Q542" i="1"/>
  <c r="P557" i="1"/>
  <c r="Q557" i="1"/>
  <c r="P576" i="1"/>
  <c r="Q576" i="1"/>
  <c r="P516" i="1"/>
  <c r="Q516" i="1"/>
  <c r="P536" i="1"/>
  <c r="Q536" i="1"/>
  <c r="P575" i="1"/>
  <c r="Q575" i="1"/>
  <c r="P567" i="1"/>
  <c r="Q567" i="1"/>
  <c r="P528" i="1"/>
  <c r="Q528" i="1"/>
  <c r="Q449" i="1"/>
  <c r="P560" i="1"/>
  <c r="Q560" i="1"/>
  <c r="P535" i="1"/>
  <c r="Q535" i="1"/>
  <c r="P550" i="1"/>
  <c r="Q550" i="1"/>
  <c r="P572" i="1"/>
  <c r="Q572" i="1"/>
  <c r="P568" i="1"/>
  <c r="Q568" i="1"/>
  <c r="P569" i="1"/>
  <c r="Q569" i="1"/>
  <c r="P570" i="1"/>
  <c r="Q570" i="1"/>
  <c r="P577" i="1"/>
  <c r="Q577" i="1"/>
  <c r="P529" i="1"/>
  <c r="Q529" i="1"/>
  <c r="P563" i="1"/>
  <c r="Q563" i="1"/>
  <c r="P543" i="1"/>
  <c r="Q543" i="1"/>
  <c r="P565" i="1"/>
  <c r="Q565" i="1"/>
  <c r="P573" i="1"/>
  <c r="Q573" i="1"/>
  <c r="P554" i="1"/>
  <c r="Q554" i="1"/>
  <c r="P561" i="1"/>
  <c r="Q561" i="1"/>
  <c r="P562" i="1"/>
  <c r="Q562" i="1"/>
  <c r="Q7" i="1"/>
  <c r="Q15" i="1"/>
  <c r="Q23" i="1"/>
  <c r="Q31" i="1"/>
  <c r="Q39" i="1"/>
  <c r="Q47" i="1"/>
  <c r="Q55" i="1"/>
  <c r="Q63" i="1"/>
  <c r="Q71" i="1"/>
  <c r="Q79" i="1"/>
  <c r="Q87" i="1"/>
  <c r="Q95" i="1"/>
  <c r="Q103" i="1"/>
  <c r="Q111" i="1"/>
  <c r="Q119" i="1"/>
  <c r="Q127" i="1"/>
  <c r="Q135" i="1"/>
  <c r="Q143" i="1"/>
  <c r="Q151" i="1"/>
  <c r="Q159" i="1"/>
  <c r="Q167" i="1"/>
  <c r="Q175" i="1"/>
  <c r="Q183" i="1"/>
  <c r="Q191" i="1"/>
  <c r="Q199" i="1"/>
  <c r="Q207" i="1"/>
  <c r="Q215" i="1"/>
  <c r="Q223" i="1"/>
  <c r="Q231" i="1"/>
  <c r="Q239" i="1"/>
  <c r="Q247" i="1"/>
  <c r="Q255" i="1"/>
  <c r="Q263" i="1"/>
  <c r="Q271" i="1"/>
  <c r="Q279" i="1"/>
  <c r="Q287" i="1"/>
  <c r="Q295" i="1"/>
  <c r="Q303" i="1"/>
  <c r="Q311" i="1"/>
  <c r="Q319" i="1"/>
  <c r="Q327" i="1"/>
  <c r="Q335" i="1"/>
  <c r="Q343" i="1"/>
  <c r="Q351" i="1"/>
  <c r="Q359" i="1"/>
  <c r="Q367" i="1"/>
  <c r="Q375" i="1"/>
  <c r="Q383" i="1"/>
  <c r="Q391" i="1"/>
  <c r="Q399" i="1"/>
  <c r="Q407" i="1"/>
  <c r="Q415" i="1"/>
  <c r="Q423" i="1"/>
  <c r="Q431" i="1"/>
  <c r="Q439" i="1"/>
  <c r="Q447" i="1"/>
  <c r="Q455" i="1"/>
  <c r="Q463" i="1"/>
  <c r="Q471" i="1"/>
  <c r="Q479" i="1"/>
  <c r="Q49" i="1"/>
  <c r="Q185" i="1"/>
  <c r="Q305" i="1"/>
  <c r="Q329" i="1"/>
  <c r="Q18" i="1"/>
  <c r="Q26" i="1"/>
  <c r="Q50" i="1"/>
  <c r="Q66" i="1"/>
  <c r="Q74" i="1"/>
  <c r="Q98" i="1"/>
  <c r="Q122" i="1"/>
  <c r="Q154" i="1"/>
  <c r="Q170" i="1"/>
  <c r="Q178" i="1"/>
  <c r="Q202" i="1"/>
  <c r="Q226" i="1"/>
  <c r="Q274" i="1"/>
  <c r="Q298" i="1"/>
  <c r="Q322" i="1"/>
  <c r="Q378" i="1"/>
  <c r="Q8" i="1"/>
  <c r="Q16" i="1"/>
  <c r="Q32" i="1"/>
  <c r="Q40" i="1"/>
  <c r="Q64" i="1"/>
  <c r="Q80" i="1"/>
  <c r="Q96" i="1"/>
  <c r="Q112" i="1"/>
  <c r="Q120" i="1"/>
  <c r="Q144" i="1"/>
  <c r="Q168" i="1"/>
  <c r="Q184" i="1"/>
  <c r="Q216" i="1"/>
  <c r="Q224" i="1"/>
  <c r="Q232" i="1"/>
  <c r="Q248" i="1"/>
  <c r="Q264" i="1"/>
  <c r="Q288" i="1"/>
  <c r="Q312" i="1"/>
  <c r="Q336" i="1"/>
  <c r="Q360" i="1"/>
  <c r="Q33" i="1"/>
  <c r="Q81" i="1"/>
  <c r="Q153" i="1"/>
  <c r="Q257" i="1"/>
  <c r="Q281" i="1"/>
  <c r="Q385" i="1"/>
  <c r="Q409" i="1"/>
  <c r="Q34" i="1"/>
  <c r="Q90" i="1"/>
  <c r="Q138" i="1"/>
  <c r="Q242" i="1"/>
  <c r="Q402" i="1"/>
  <c r="Q201" i="1"/>
  <c r="Q233" i="1"/>
  <c r="Q3" i="1"/>
  <c r="Q11" i="1"/>
  <c r="Q19" i="1"/>
  <c r="Q27" i="1"/>
  <c r="Q35" i="1"/>
  <c r="Q43" i="1"/>
  <c r="Q51" i="1"/>
  <c r="Q59" i="1"/>
  <c r="Q67" i="1"/>
  <c r="Q75" i="1"/>
  <c r="Q83" i="1"/>
  <c r="Q91" i="1"/>
  <c r="Q99" i="1"/>
  <c r="Q107" i="1"/>
  <c r="Q115" i="1"/>
  <c r="Q123" i="1"/>
  <c r="Q131" i="1"/>
  <c r="Q139" i="1"/>
  <c r="Q147" i="1"/>
  <c r="Q155" i="1"/>
  <c r="Q163" i="1"/>
  <c r="Q171" i="1"/>
  <c r="Q179" i="1"/>
  <c r="Q187" i="1"/>
  <c r="Q195" i="1"/>
  <c r="Q203" i="1"/>
  <c r="Q211" i="1"/>
  <c r="Q219" i="1"/>
  <c r="Q227" i="1"/>
  <c r="Q235" i="1"/>
  <c r="Q243" i="1"/>
  <c r="Q251" i="1"/>
  <c r="Q259" i="1"/>
  <c r="Q267" i="1"/>
  <c r="Q275" i="1"/>
  <c r="Q283" i="1"/>
  <c r="Q291" i="1"/>
  <c r="Q299" i="1"/>
  <c r="Q307" i="1"/>
  <c r="Q315" i="1"/>
  <c r="Q323" i="1"/>
  <c r="Q331" i="1"/>
  <c r="Q339" i="1"/>
  <c r="Q347" i="1"/>
  <c r="Q355" i="1"/>
  <c r="Q363" i="1"/>
  <c r="Q371" i="1"/>
  <c r="Q379" i="1"/>
  <c r="Q387" i="1"/>
  <c r="Q395" i="1"/>
  <c r="Q403" i="1"/>
  <c r="Q411" i="1"/>
  <c r="Q419" i="1"/>
  <c r="Q427" i="1"/>
  <c r="Q435" i="1"/>
  <c r="Q443" i="1"/>
  <c r="Q451" i="1"/>
  <c r="Q459" i="1"/>
  <c r="Q467" i="1"/>
  <c r="Q475" i="1"/>
  <c r="Q483" i="1"/>
  <c r="Q4" i="1"/>
  <c r="Q12" i="1"/>
  <c r="Q20" i="1"/>
  <c r="Q28" i="1"/>
  <c r="Q36" i="1"/>
  <c r="Q44" i="1"/>
  <c r="Q52" i="1"/>
  <c r="Q60" i="1"/>
  <c r="Q5" i="1"/>
  <c r="Q13" i="1"/>
  <c r="Q21" i="1"/>
  <c r="Q29" i="1"/>
  <c r="Q37" i="1"/>
  <c r="Q45" i="1"/>
  <c r="Q53" i="1"/>
  <c r="Q61" i="1"/>
  <c r="Q69" i="1"/>
  <c r="Q77" i="1"/>
  <c r="Q85" i="1"/>
  <c r="Q93" i="1"/>
  <c r="Q101" i="1"/>
  <c r="Q109" i="1"/>
  <c r="Q117" i="1"/>
  <c r="Q125" i="1"/>
  <c r="Q133" i="1"/>
  <c r="Q141" i="1"/>
  <c r="Q149" i="1"/>
  <c r="Q157" i="1"/>
  <c r="Q165" i="1"/>
  <c r="Q173" i="1"/>
  <c r="Q181" i="1"/>
  <c r="Q189" i="1"/>
  <c r="Q197" i="1"/>
  <c r="Q205" i="1"/>
  <c r="Q213" i="1"/>
  <c r="Q221" i="1"/>
  <c r="Q229" i="1"/>
  <c r="Q237" i="1"/>
  <c r="Q245" i="1"/>
  <c r="Q253" i="1"/>
  <c r="Q261" i="1"/>
  <c r="Q293" i="1"/>
  <c r="Q349" i="1"/>
  <c r="Q373" i="1"/>
  <c r="Q397" i="1"/>
  <c r="Q6" i="1"/>
  <c r="Q22" i="1"/>
  <c r="Q38" i="1"/>
  <c r="Q46" i="1"/>
  <c r="Q62" i="1"/>
  <c r="Q70" i="1"/>
  <c r="Q94" i="1"/>
  <c r="Q110" i="1"/>
  <c r="Q126" i="1"/>
  <c r="Q142" i="1"/>
  <c r="Q150" i="1"/>
  <c r="Q174" i="1"/>
  <c r="Q198" i="1"/>
  <c r="Q214" i="1"/>
  <c r="Q246" i="1"/>
  <c r="Q254" i="1"/>
  <c r="Q262" i="1"/>
  <c r="Q270" i="1"/>
  <c r="Q278" i="1"/>
  <c r="Q318" i="1"/>
  <c r="Q342" i="1"/>
  <c r="Q366" i="1"/>
  <c r="Q390" i="1"/>
  <c r="Q68" i="1"/>
  <c r="Q76" i="1"/>
  <c r="Q84" i="1"/>
  <c r="Q92" i="1"/>
  <c r="Q100" i="1"/>
  <c r="Q108" i="1"/>
  <c r="Q116" i="1"/>
  <c r="Q124" i="1"/>
  <c r="Q132" i="1"/>
  <c r="Q140" i="1"/>
  <c r="Q148" i="1"/>
  <c r="Q156" i="1"/>
  <c r="Q164" i="1"/>
  <c r="Q172" i="1"/>
  <c r="Q180" i="1"/>
  <c r="Q188" i="1"/>
  <c r="Q196" i="1"/>
  <c r="Q204" i="1"/>
  <c r="Q212" i="1"/>
  <c r="Q220" i="1"/>
  <c r="Q228" i="1"/>
  <c r="Q236" i="1"/>
  <c r="Q244" i="1"/>
  <c r="Q252" i="1"/>
  <c r="Q260" i="1"/>
  <c r="Q268" i="1"/>
  <c r="Q276" i="1"/>
  <c r="Q284" i="1"/>
  <c r="Q292" i="1"/>
  <c r="Q300" i="1"/>
  <c r="Q308" i="1"/>
  <c r="Q316" i="1"/>
  <c r="Q324" i="1"/>
  <c r="Q332" i="1"/>
  <c r="Q340" i="1"/>
  <c r="Q348" i="1"/>
  <c r="Q356" i="1"/>
  <c r="Q364" i="1"/>
  <c r="Q372" i="1"/>
  <c r="Q380" i="1"/>
  <c r="Q388" i="1"/>
  <c r="Q396" i="1"/>
  <c r="Q404" i="1"/>
  <c r="Q412" i="1"/>
  <c r="Q420" i="1"/>
  <c r="Q428" i="1"/>
  <c r="Q436" i="1"/>
  <c r="Q444" i="1"/>
  <c r="Q452" i="1"/>
  <c r="Q460" i="1"/>
  <c r="Q468" i="1"/>
  <c r="Q476" i="1"/>
  <c r="Q484" i="1"/>
  <c r="Q492" i="1"/>
  <c r="Q500" i="1"/>
  <c r="Q508" i="1"/>
  <c r="Q105" i="1"/>
  <c r="Q24" i="1"/>
  <c r="Q48" i="1"/>
  <c r="Q56" i="1"/>
  <c r="Q72" i="1"/>
  <c r="Q88" i="1"/>
  <c r="Q104" i="1"/>
  <c r="Q128" i="1"/>
  <c r="Q136" i="1"/>
  <c r="Q152" i="1"/>
  <c r="Q160" i="1"/>
  <c r="Q176" i="1"/>
  <c r="Q192" i="1"/>
  <c r="Q200" i="1"/>
  <c r="Q208" i="1"/>
  <c r="Q240" i="1"/>
  <c r="Q256" i="1"/>
  <c r="Q280" i="1"/>
  <c r="Q296" i="1"/>
  <c r="Q304" i="1"/>
  <c r="Q320" i="1"/>
  <c r="Q328" i="1"/>
  <c r="Q344" i="1"/>
  <c r="Q352" i="1"/>
  <c r="Q368" i="1"/>
  <c r="Q376" i="1"/>
  <c r="Q384" i="1"/>
  <c r="Q392" i="1"/>
  <c r="Q400" i="1"/>
  <c r="Q408" i="1"/>
  <c r="Q488" i="1"/>
  <c r="Q504" i="1"/>
  <c r="Q512" i="1"/>
  <c r="Q491" i="1"/>
  <c r="Q507" i="1"/>
  <c r="Q269" i="1"/>
  <c r="Q381" i="1"/>
  <c r="Q54" i="1"/>
  <c r="Q102" i="1"/>
  <c r="Q158" i="1"/>
  <c r="Q206" i="1"/>
  <c r="Q294" i="1"/>
  <c r="Q350" i="1"/>
  <c r="Q9" i="1"/>
  <c r="Q25" i="1"/>
  <c r="Q65" i="1"/>
  <c r="Q73" i="1"/>
  <c r="Q89" i="1"/>
  <c r="Q97" i="1"/>
  <c r="Q113" i="1"/>
  <c r="Q129" i="1"/>
  <c r="Q137" i="1"/>
  <c r="Q177" i="1"/>
  <c r="Q193" i="1"/>
  <c r="Q217" i="1"/>
  <c r="Q241" i="1"/>
  <c r="Q265" i="1"/>
  <c r="Q289" i="1"/>
  <c r="Q297" i="1"/>
  <c r="Q313" i="1"/>
  <c r="Q321" i="1"/>
  <c r="Q337" i="1"/>
  <c r="Q345" i="1"/>
  <c r="Q353" i="1"/>
  <c r="Q361" i="1"/>
  <c r="Q369" i="1"/>
  <c r="Q377" i="1"/>
  <c r="Q393" i="1"/>
  <c r="Q401" i="1"/>
  <c r="Q499" i="1"/>
  <c r="Q10" i="1"/>
  <c r="Q42" i="1"/>
  <c r="Q58" i="1"/>
  <c r="Q82" i="1"/>
  <c r="Q106" i="1"/>
  <c r="Q114" i="1"/>
  <c r="Q130" i="1"/>
  <c r="Q146" i="1"/>
  <c r="Q162" i="1"/>
  <c r="Q186" i="1"/>
  <c r="Q194" i="1"/>
  <c r="Q210" i="1"/>
  <c r="Q218" i="1"/>
  <c r="Q234" i="1"/>
  <c r="Q250" i="1"/>
  <c r="Q258" i="1"/>
  <c r="Q266" i="1"/>
  <c r="Q282" i="1"/>
  <c r="Q290" i="1"/>
  <c r="Q306" i="1"/>
  <c r="Q314" i="1"/>
  <c r="Q330" i="1"/>
  <c r="Q338" i="1"/>
  <c r="Q346" i="1"/>
  <c r="Q354" i="1"/>
  <c r="Q362" i="1"/>
  <c r="Q370" i="1"/>
  <c r="Q386" i="1"/>
  <c r="Q394" i="1"/>
  <c r="Q410" i="1"/>
  <c r="Q2" i="1"/>
  <c r="Q277" i="1"/>
  <c r="Q325" i="1"/>
  <c r="Q14" i="1"/>
  <c r="Q30" i="1"/>
  <c r="Q78" i="1"/>
  <c r="Q118" i="1"/>
  <c r="Q166" i="1"/>
  <c r="Q182" i="1"/>
  <c r="Q222" i="1"/>
  <c r="Q230" i="1"/>
  <c r="Q374" i="1"/>
  <c r="Q86" i="1"/>
  <c r="Q134" i="1"/>
  <c r="Q190" i="1"/>
  <c r="Q238" i="1"/>
  <c r="Q398" i="1"/>
  <c r="Q487" i="1"/>
  <c r="Q495" i="1"/>
  <c r="Q503" i="1"/>
  <c r="Q511" i="1"/>
  <c r="Q480" i="1"/>
  <c r="P9" i="1"/>
  <c r="V9" i="1"/>
  <c r="P72" i="1"/>
  <c r="V72" i="1"/>
  <c r="P158" i="1"/>
  <c r="V158" i="1"/>
  <c r="P176" i="1"/>
  <c r="V176" i="1"/>
  <c r="P217" i="1"/>
  <c r="V217" i="1"/>
  <c r="P234" i="1"/>
  <c r="V234" i="1"/>
  <c r="P320" i="1"/>
  <c r="V320" i="1"/>
  <c r="P337" i="1"/>
  <c r="V337" i="1"/>
  <c r="P368" i="1"/>
  <c r="V368" i="1"/>
  <c r="P410" i="1"/>
  <c r="V410" i="1"/>
  <c r="P10" i="1"/>
  <c r="V10" i="1"/>
  <c r="P114" i="1"/>
  <c r="V114" i="1"/>
  <c r="P218" i="1"/>
  <c r="V218" i="1"/>
  <c r="P350" i="1"/>
  <c r="V350" i="1"/>
  <c r="P186" i="1"/>
  <c r="V186" i="1"/>
  <c r="P330" i="1"/>
  <c r="V330" i="1"/>
  <c r="P73" i="1"/>
  <c r="V73" i="1"/>
  <c r="P321" i="1"/>
  <c r="V321" i="1"/>
  <c r="P338" i="1"/>
  <c r="V338" i="1"/>
  <c r="P352" i="1"/>
  <c r="V352" i="1"/>
  <c r="P386" i="1"/>
  <c r="V386" i="1"/>
  <c r="P400" i="1"/>
  <c r="V400" i="1"/>
  <c r="P504" i="1"/>
  <c r="V504" i="1"/>
  <c r="P82" i="1"/>
  <c r="V82" i="1"/>
  <c r="P280" i="1"/>
  <c r="V280" i="1"/>
  <c r="P297" i="1"/>
  <c r="V297" i="1"/>
  <c r="P370" i="1"/>
  <c r="V370" i="1"/>
  <c r="P384" i="1"/>
  <c r="V384" i="1"/>
  <c r="P104" i="1"/>
  <c r="V104" i="1"/>
  <c r="P190" i="1"/>
  <c r="V190" i="1"/>
  <c r="P208" i="1"/>
  <c r="V208" i="1"/>
  <c r="P374" i="1"/>
  <c r="V374" i="1"/>
  <c r="P507" i="1"/>
  <c r="V507" i="1"/>
  <c r="P314" i="1"/>
  <c r="V314" i="1"/>
  <c r="P362" i="1"/>
  <c r="V362" i="1"/>
  <c r="P30" i="1"/>
  <c r="V30" i="1"/>
  <c r="P89" i="1"/>
  <c r="V89" i="1"/>
  <c r="P210" i="1"/>
  <c r="V210" i="1"/>
  <c r="P394" i="1"/>
  <c r="V394" i="1"/>
  <c r="P269" i="1"/>
  <c r="V269" i="1"/>
  <c r="P25" i="1"/>
  <c r="V25" i="1"/>
  <c r="P345" i="1"/>
  <c r="V345" i="1"/>
  <c r="P487" i="1"/>
  <c r="V487" i="1"/>
  <c r="P128" i="1"/>
  <c r="V128" i="1"/>
  <c r="P361" i="1"/>
  <c r="V361" i="1"/>
  <c r="P448" i="1"/>
  <c r="V448" i="1"/>
  <c r="P472" i="1"/>
  <c r="V472" i="1"/>
  <c r="P480" i="1"/>
  <c r="V480" i="1"/>
  <c r="P376" i="1"/>
  <c r="V376" i="1"/>
  <c r="P54" i="1"/>
  <c r="P130" i="1"/>
  <c r="P354" i="1"/>
  <c r="P238" i="1"/>
  <c r="P325" i="1"/>
  <c r="P2" i="1"/>
  <c r="P206" i="1"/>
  <c r="P194" i="1"/>
  <c r="P511" i="1"/>
  <c r="P102" i="1"/>
  <c r="P78" i="1"/>
  <c r="P182" i="1"/>
  <c r="P162" i="1"/>
  <c r="P230" i="1"/>
  <c r="P290" i="1"/>
  <c r="P192" i="1"/>
  <c r="P137" i="1"/>
  <c r="P256" i="1"/>
  <c r="P265" i="1"/>
  <c r="P86" i="1"/>
  <c r="P282" i="1"/>
  <c r="P328" i="1"/>
  <c r="P145" i="1"/>
  <c r="P177" i="1"/>
  <c r="P377" i="1"/>
  <c r="P113" i="1"/>
  <c r="P258" i="1"/>
  <c r="P48" i="1"/>
  <c r="P396" i="1"/>
  <c r="P420" i="1"/>
  <c r="P476" i="1"/>
  <c r="P500" i="1"/>
  <c r="P449" i="1"/>
  <c r="P393" i="1"/>
  <c r="P58" i="1"/>
  <c r="P495" i="1"/>
  <c r="P134" i="1"/>
  <c r="P8" i="1"/>
  <c r="P64" i="1"/>
  <c r="P112" i="1"/>
  <c r="P216" i="1"/>
  <c r="P264" i="1"/>
  <c r="P360" i="1"/>
  <c r="P153" i="1"/>
  <c r="P385" i="1"/>
  <c r="P34" i="1"/>
  <c r="P242" i="1"/>
  <c r="P353" i="1"/>
  <c r="P233" i="1"/>
  <c r="P3" i="1"/>
  <c r="P59" i="1"/>
  <c r="P83" i="1"/>
  <c r="P107" i="1"/>
  <c r="P131" i="1"/>
  <c r="P187" i="1"/>
  <c r="P211" i="1"/>
  <c r="P235" i="1"/>
  <c r="P259" i="1"/>
  <c r="P315" i="1"/>
  <c r="P339" i="1"/>
  <c r="P363" i="1"/>
  <c r="P387" i="1"/>
  <c r="P443" i="1"/>
  <c r="P467" i="1"/>
  <c r="P408" i="1"/>
  <c r="P285" i="1"/>
  <c r="P424" i="1"/>
  <c r="P425" i="1"/>
  <c r="P333" i="1"/>
  <c r="P369" i="1"/>
  <c r="P296" i="1"/>
  <c r="P32" i="1"/>
  <c r="P80" i="1"/>
  <c r="P184" i="1"/>
  <c r="P232" i="1"/>
  <c r="P312" i="1"/>
  <c r="P33" i="1"/>
  <c r="P138" i="1"/>
  <c r="P67" i="1"/>
  <c r="P147" i="1"/>
  <c r="P171" i="1"/>
  <c r="P195" i="1"/>
  <c r="P251" i="1"/>
  <c r="P275" i="1"/>
  <c r="P299" i="1"/>
  <c r="P323" i="1"/>
  <c r="P379" i="1"/>
  <c r="P403" i="1"/>
  <c r="P427" i="1"/>
  <c r="P451" i="1"/>
  <c r="P414" i="1"/>
  <c r="P509" i="1"/>
  <c r="P161" i="1"/>
  <c r="P446" i="1"/>
  <c r="P477" i="1"/>
  <c r="P289" i="1"/>
  <c r="P7" i="1"/>
  <c r="P63" i="1"/>
  <c r="P87" i="1"/>
  <c r="P111" i="1"/>
  <c r="P135" i="1"/>
  <c r="P191" i="1"/>
  <c r="P215" i="1"/>
  <c r="P239" i="1"/>
  <c r="P263" i="1"/>
  <c r="P319" i="1"/>
  <c r="P343" i="1"/>
  <c r="P367" i="1"/>
  <c r="P391" i="1"/>
  <c r="P447" i="1"/>
  <c r="P471" i="1"/>
  <c r="P329" i="1"/>
  <c r="P26" i="1"/>
  <c r="P98" i="1"/>
  <c r="P170" i="1"/>
  <c r="P226" i="1"/>
  <c r="P322" i="1"/>
  <c r="P222" i="1"/>
  <c r="P241" i="1"/>
  <c r="P20" i="1"/>
  <c r="P44" i="1"/>
  <c r="P193" i="1"/>
  <c r="P29" i="1"/>
  <c r="P53" i="1"/>
  <c r="P77" i="1"/>
  <c r="P101" i="1"/>
  <c r="P157" i="1"/>
  <c r="P181" i="1"/>
  <c r="P205" i="1"/>
  <c r="P229" i="1"/>
  <c r="P349" i="1"/>
  <c r="P22" i="1"/>
  <c r="P70" i="1"/>
  <c r="P126" i="1"/>
  <c r="P174" i="1"/>
  <c r="P270" i="1"/>
  <c r="P342" i="1"/>
  <c r="P76" i="1"/>
  <c r="P100" i="1"/>
  <c r="P156" i="1"/>
  <c r="P180" i="1"/>
  <c r="P204" i="1"/>
  <c r="P228" i="1"/>
  <c r="P284" i="1"/>
  <c r="P308" i="1"/>
  <c r="P332" i="1"/>
  <c r="P356" i="1"/>
  <c r="P412" i="1"/>
  <c r="P436" i="1"/>
  <c r="P460" i="1"/>
  <c r="P484" i="1"/>
  <c r="P358" i="1"/>
  <c r="P474" i="1"/>
  <c r="P485" i="1"/>
  <c r="P510" i="1"/>
  <c r="P473" i="1"/>
  <c r="P445" i="1"/>
  <c r="P129" i="1"/>
  <c r="P23" i="1"/>
  <c r="P47" i="1"/>
  <c r="P71" i="1"/>
  <c r="P127" i="1"/>
  <c r="P151" i="1"/>
  <c r="P175" i="1"/>
  <c r="P199" i="1"/>
  <c r="P255" i="1"/>
  <c r="P279" i="1"/>
  <c r="P303" i="1"/>
  <c r="P327" i="1"/>
  <c r="P383" i="1"/>
  <c r="P407" i="1"/>
  <c r="P431" i="1"/>
  <c r="P455" i="1"/>
  <c r="P185" i="1"/>
  <c r="P66" i="1"/>
  <c r="P202" i="1"/>
  <c r="P274" i="1"/>
  <c r="P378" i="1"/>
  <c r="P442" i="1"/>
  <c r="P406" i="1"/>
  <c r="P19" i="1"/>
  <c r="P43" i="1"/>
  <c r="P123" i="1"/>
  <c r="P344" i="1"/>
  <c r="P97" i="1"/>
  <c r="P304" i="1"/>
  <c r="P15" i="1"/>
  <c r="P39" i="1"/>
  <c r="P95" i="1"/>
  <c r="P119" i="1"/>
  <c r="P143" i="1"/>
  <c r="P167" i="1"/>
  <c r="P223" i="1"/>
  <c r="P247" i="1"/>
  <c r="P271" i="1"/>
  <c r="P295" i="1"/>
  <c r="P351" i="1"/>
  <c r="P375" i="1"/>
  <c r="P399" i="1"/>
  <c r="P423" i="1"/>
  <c r="P479" i="1"/>
  <c r="P50" i="1"/>
  <c r="P122" i="1"/>
  <c r="P178" i="1"/>
  <c r="P24" i="1"/>
  <c r="P348" i="1"/>
  <c r="P372" i="1"/>
  <c r="P499" i="1"/>
  <c r="P55" i="1"/>
  <c r="P79" i="1"/>
  <c r="P103" i="1"/>
  <c r="P159" i="1"/>
  <c r="P183" i="1"/>
  <c r="P207" i="1"/>
  <c r="P231" i="1"/>
  <c r="P287" i="1"/>
  <c r="P311" i="1"/>
  <c r="P335" i="1"/>
  <c r="P359" i="1"/>
  <c r="P415" i="1"/>
  <c r="P439" i="1"/>
  <c r="P463" i="1"/>
  <c r="P49" i="1"/>
  <c r="P305" i="1"/>
  <c r="P18" i="1"/>
  <c r="P74" i="1"/>
  <c r="P154" i="1"/>
  <c r="P298" i="1"/>
  <c r="P152" i="1"/>
  <c r="P452" i="1"/>
  <c r="P508" i="1"/>
  <c r="P42" i="1"/>
  <c r="P28" i="1"/>
  <c r="P52" i="1"/>
  <c r="P5" i="1"/>
  <c r="P61" i="1"/>
  <c r="P85" i="1"/>
  <c r="P109" i="1"/>
  <c r="P133" i="1"/>
  <c r="P189" i="1"/>
  <c r="P213" i="1"/>
  <c r="P237" i="1"/>
  <c r="P261" i="1"/>
  <c r="P373" i="1"/>
  <c r="P38" i="1"/>
  <c r="P94" i="1"/>
  <c r="P142" i="1"/>
  <c r="P246" i="1"/>
  <c r="P278" i="1"/>
  <c r="P366" i="1"/>
  <c r="P84" i="1"/>
  <c r="P108" i="1"/>
  <c r="P132" i="1"/>
  <c r="P188" i="1"/>
  <c r="P212" i="1"/>
  <c r="P236" i="1"/>
  <c r="P260" i="1"/>
  <c r="P316" i="1"/>
  <c r="P340" i="1"/>
  <c r="P364" i="1"/>
  <c r="P388" i="1"/>
  <c r="P444" i="1"/>
  <c r="P468" i="1"/>
  <c r="P492" i="1"/>
  <c r="P488" i="1"/>
  <c r="P512" i="1"/>
  <c r="P341" i="1"/>
  <c r="P438" i="1"/>
  <c r="P432" i="1"/>
  <c r="P506" i="1"/>
  <c r="P302" i="1"/>
  <c r="P17" i="1"/>
  <c r="P169" i="1"/>
  <c r="P433" i="1"/>
  <c r="P389" i="1"/>
  <c r="P470" i="1"/>
  <c r="P365" i="1"/>
  <c r="P490" i="1"/>
  <c r="P481" i="1"/>
  <c r="P301" i="1"/>
  <c r="P422" i="1"/>
  <c r="P160" i="1"/>
  <c r="P381" i="1"/>
  <c r="P398" i="1"/>
  <c r="P118" i="1"/>
  <c r="P277" i="1"/>
  <c r="P16" i="1"/>
  <c r="P120" i="1"/>
  <c r="P168" i="1"/>
  <c r="P224" i="1"/>
  <c r="P288" i="1"/>
  <c r="P257" i="1"/>
  <c r="P409" i="1"/>
  <c r="P90" i="1"/>
  <c r="P402" i="1"/>
  <c r="P266" i="1"/>
  <c r="P11" i="1"/>
  <c r="P35" i="1"/>
  <c r="P91" i="1"/>
  <c r="P115" i="1"/>
  <c r="P139" i="1"/>
  <c r="P163" i="1"/>
  <c r="P219" i="1"/>
  <c r="P243" i="1"/>
  <c r="P267" i="1"/>
  <c r="P291" i="1"/>
  <c r="P347" i="1"/>
  <c r="P371" i="1"/>
  <c r="P395" i="1"/>
  <c r="P419" i="1"/>
  <c r="P475" i="1"/>
  <c r="P146" i="1"/>
  <c r="P346" i="1"/>
  <c r="P65" i="1"/>
  <c r="P418" i="1"/>
  <c r="P413" i="1"/>
  <c r="P462" i="1"/>
  <c r="P440" i="1"/>
  <c r="P496" i="1"/>
  <c r="P41" i="1"/>
  <c r="P209" i="1"/>
  <c r="P441" i="1"/>
  <c r="P489" i="1"/>
  <c r="P437" i="1"/>
  <c r="P494" i="1"/>
  <c r="P478" i="1"/>
  <c r="P166" i="1"/>
  <c r="P4" i="1"/>
  <c r="P60" i="1"/>
  <c r="P106" i="1"/>
  <c r="P13" i="1"/>
  <c r="P37" i="1"/>
  <c r="P93" i="1"/>
  <c r="P117" i="1"/>
  <c r="P141" i="1"/>
  <c r="P165" i="1"/>
  <c r="P221" i="1"/>
  <c r="P245" i="1"/>
  <c r="P293" i="1"/>
  <c r="P397" i="1"/>
  <c r="P46" i="1"/>
  <c r="P150" i="1"/>
  <c r="P198" i="1"/>
  <c r="P254" i="1"/>
  <c r="P390" i="1"/>
  <c r="P92" i="1"/>
  <c r="P116" i="1"/>
  <c r="P140" i="1"/>
  <c r="P164" i="1"/>
  <c r="P220" i="1"/>
  <c r="P244" i="1"/>
  <c r="P268" i="1"/>
  <c r="P292" i="1"/>
  <c r="P313" i="1"/>
  <c r="P429" i="1"/>
  <c r="P486" i="1"/>
  <c r="P357" i="1"/>
  <c r="P57" i="1"/>
  <c r="P225" i="1"/>
  <c r="P497" i="1"/>
  <c r="P469" i="1"/>
  <c r="P426" i="1"/>
  <c r="P502" i="1"/>
  <c r="P250" i="1"/>
  <c r="P458" i="1"/>
  <c r="P461" i="1"/>
  <c r="P430" i="1"/>
  <c r="P249" i="1"/>
  <c r="P505" i="1"/>
  <c r="P501" i="1"/>
  <c r="P309" i="1"/>
  <c r="P317" i="1"/>
  <c r="P306" i="1"/>
  <c r="P503" i="1"/>
  <c r="P31" i="1"/>
  <c r="P14" i="1"/>
  <c r="P273" i="1"/>
  <c r="P200" i="1"/>
  <c r="P401" i="1"/>
  <c r="P12" i="1"/>
  <c r="P36" i="1"/>
  <c r="P21" i="1"/>
  <c r="P45" i="1"/>
  <c r="P69" i="1"/>
  <c r="P125" i="1"/>
  <c r="P149" i="1"/>
  <c r="P173" i="1"/>
  <c r="P197" i="1"/>
  <c r="P253" i="1"/>
  <c r="P6" i="1"/>
  <c r="P62" i="1"/>
  <c r="P110" i="1"/>
  <c r="P214" i="1"/>
  <c r="P262" i="1"/>
  <c r="P318" i="1"/>
  <c r="P68" i="1"/>
  <c r="P124" i="1"/>
  <c r="P148" i="1"/>
  <c r="P172" i="1"/>
  <c r="P196" i="1"/>
  <c r="P252" i="1"/>
  <c r="P276" i="1"/>
  <c r="P300" i="1"/>
  <c r="P324" i="1"/>
  <c r="P380" i="1"/>
  <c r="P404" i="1"/>
  <c r="P428" i="1"/>
  <c r="P392" i="1"/>
  <c r="P88" i="1"/>
  <c r="P493" i="1"/>
  <c r="P272" i="1"/>
  <c r="P456" i="1"/>
  <c r="P434" i="1"/>
  <c r="P421" i="1"/>
  <c r="P454" i="1"/>
  <c r="P105" i="1"/>
  <c r="P457" i="1"/>
  <c r="P513" i="1"/>
  <c r="P310" i="1"/>
  <c r="P466" i="1"/>
  <c r="P286" i="1"/>
  <c r="P240" i="1"/>
  <c r="P491" i="1"/>
  <c r="P136" i="1"/>
  <c r="P56" i="1"/>
  <c r="P294" i="1"/>
  <c r="P40" i="1"/>
  <c r="P96" i="1"/>
  <c r="P144" i="1"/>
  <c r="P248" i="1"/>
  <c r="P336" i="1"/>
  <c r="P81" i="1"/>
  <c r="P281" i="1"/>
  <c r="P201" i="1"/>
  <c r="P27" i="1"/>
  <c r="P51" i="1"/>
  <c r="P75" i="1"/>
  <c r="P99" i="1"/>
  <c r="P155" i="1"/>
  <c r="P179" i="1"/>
  <c r="P203" i="1"/>
  <c r="P227" i="1"/>
  <c r="P283" i="1"/>
  <c r="P307" i="1"/>
  <c r="P331" i="1"/>
  <c r="P355" i="1"/>
  <c r="P411" i="1"/>
  <c r="P435" i="1"/>
  <c r="P459" i="1"/>
  <c r="P483" i="1"/>
  <c r="P498" i="1"/>
  <c r="P326" i="1"/>
  <c r="P416" i="1"/>
  <c r="P464" i="1"/>
  <c r="P450" i="1"/>
  <c r="P453" i="1"/>
  <c r="P121" i="1"/>
  <c r="P417" i="1"/>
  <c r="P465" i="1"/>
  <c r="P382" i="1"/>
  <c r="P482" i="1"/>
  <c r="P334" i="1"/>
  <c r="P405" i="1"/>
  <c r="D3" i="14" l="1"/>
  <c r="C10" i="14"/>
  <c r="D10" i="14"/>
  <c r="B6" i="14"/>
  <c r="E3" i="14"/>
  <c r="B8" i="14"/>
  <c r="D5" i="14"/>
  <c r="E7" i="14"/>
  <c r="C8" i="14"/>
  <c r="D7" i="14"/>
  <c r="D9" i="14"/>
  <c r="B9" i="14"/>
  <c r="E10" i="14"/>
  <c r="C4" i="14"/>
  <c r="D6" i="14"/>
  <c r="D8" i="14"/>
  <c r="C5" i="14"/>
  <c r="E5" i="14"/>
  <c r="C2" i="14"/>
  <c r="B10" i="14"/>
  <c r="E6" i="14"/>
  <c r="C7" i="14"/>
  <c r="B3" i="14"/>
  <c r="B2" i="14"/>
  <c r="E9" i="14"/>
  <c r="B5" i="14"/>
  <c r="E4" i="14"/>
  <c r="E2" i="14"/>
  <c r="B7" i="14"/>
  <c r="C3" i="14"/>
  <c r="D2" i="14"/>
  <c r="C6" i="14"/>
  <c r="B4" i="14"/>
  <c r="C9" i="14"/>
  <c r="D4" i="14"/>
  <c r="E8" i="14"/>
  <c r="R281" i="1"/>
  <c r="U281" i="1"/>
  <c r="S281" i="1"/>
  <c r="T281" i="1"/>
  <c r="R252" i="1"/>
  <c r="T252" i="1"/>
  <c r="U252" i="1"/>
  <c r="S252" i="1"/>
  <c r="U273" i="1"/>
  <c r="T273" i="1"/>
  <c r="S273" i="1"/>
  <c r="R221" i="1"/>
  <c r="S221" i="1"/>
  <c r="T221" i="1"/>
  <c r="U221" i="1"/>
  <c r="R267" i="1"/>
  <c r="T267" i="1"/>
  <c r="S267" i="1"/>
  <c r="U267" i="1"/>
  <c r="T422" i="1"/>
  <c r="U422" i="1"/>
  <c r="S422" i="1"/>
  <c r="R260" i="1"/>
  <c r="T260" i="1"/>
  <c r="U260" i="1"/>
  <c r="S260" i="1"/>
  <c r="R213" i="1"/>
  <c r="U213" i="1"/>
  <c r="S213" i="1"/>
  <c r="T213" i="1"/>
  <c r="R18" i="1"/>
  <c r="S18" i="1"/>
  <c r="T18" i="1"/>
  <c r="U18" i="1"/>
  <c r="R311" i="1"/>
  <c r="S311" i="1"/>
  <c r="U311" i="1"/>
  <c r="T311" i="1"/>
  <c r="R203" i="1"/>
  <c r="U203" i="1"/>
  <c r="S203" i="1"/>
  <c r="T203" i="1"/>
  <c r="R214" i="1"/>
  <c r="T214" i="1"/>
  <c r="S214" i="1"/>
  <c r="U214" i="1"/>
  <c r="R390" i="1"/>
  <c r="S390" i="1"/>
  <c r="T390" i="1"/>
  <c r="U390" i="1"/>
  <c r="R346" i="1"/>
  <c r="U346" i="1"/>
  <c r="S346" i="1"/>
  <c r="T346" i="1"/>
  <c r="S169" i="1"/>
  <c r="U169" i="1"/>
  <c r="T169" i="1"/>
  <c r="R278" i="1"/>
  <c r="T278" i="1"/>
  <c r="U278" i="1"/>
  <c r="S278" i="1"/>
  <c r="R28" i="1"/>
  <c r="U28" i="1"/>
  <c r="S28" i="1"/>
  <c r="T28" i="1"/>
  <c r="R55" i="1"/>
  <c r="T55" i="1"/>
  <c r="S55" i="1"/>
  <c r="U55" i="1"/>
  <c r="R479" i="1"/>
  <c r="T479" i="1"/>
  <c r="U479" i="1"/>
  <c r="S479" i="1"/>
  <c r="R223" i="1"/>
  <c r="T223" i="1"/>
  <c r="S223" i="1"/>
  <c r="U223" i="1"/>
  <c r="R97" i="1"/>
  <c r="S97" i="1"/>
  <c r="U97" i="1"/>
  <c r="T97" i="1"/>
  <c r="R274" i="1"/>
  <c r="U274" i="1"/>
  <c r="S274" i="1"/>
  <c r="T274" i="1"/>
  <c r="R327" i="1"/>
  <c r="S327" i="1"/>
  <c r="U327" i="1"/>
  <c r="T327" i="1"/>
  <c r="R71" i="1"/>
  <c r="T71" i="1"/>
  <c r="U71" i="1"/>
  <c r="S71" i="1"/>
  <c r="S474" i="1"/>
  <c r="T474" i="1"/>
  <c r="U474" i="1"/>
  <c r="R308" i="1"/>
  <c r="T308" i="1"/>
  <c r="U308" i="1"/>
  <c r="S308" i="1"/>
  <c r="R342" i="1"/>
  <c r="S342" i="1"/>
  <c r="T342" i="1"/>
  <c r="U342" i="1"/>
  <c r="R205" i="1"/>
  <c r="U205" i="1"/>
  <c r="T205" i="1"/>
  <c r="S205" i="1"/>
  <c r="R44" i="1"/>
  <c r="U44" i="1"/>
  <c r="T44" i="1"/>
  <c r="S44" i="1"/>
  <c r="R26" i="1"/>
  <c r="S26" i="1"/>
  <c r="U26" i="1"/>
  <c r="T26" i="1"/>
  <c r="R263" i="1"/>
  <c r="S263" i="1"/>
  <c r="T263" i="1"/>
  <c r="U263" i="1"/>
  <c r="R7" i="1"/>
  <c r="T7" i="1"/>
  <c r="U7" i="1"/>
  <c r="S7" i="1"/>
  <c r="R427" i="1"/>
  <c r="S427" i="1"/>
  <c r="T427" i="1"/>
  <c r="U427" i="1"/>
  <c r="R171" i="1"/>
  <c r="U171" i="1"/>
  <c r="S171" i="1"/>
  <c r="T171" i="1"/>
  <c r="R80" i="1"/>
  <c r="S80" i="1"/>
  <c r="U80" i="1"/>
  <c r="T80" i="1"/>
  <c r="R408" i="1"/>
  <c r="T408" i="1"/>
  <c r="S408" i="1"/>
  <c r="U408" i="1"/>
  <c r="R235" i="1"/>
  <c r="U235" i="1"/>
  <c r="S235" i="1"/>
  <c r="T235" i="1"/>
  <c r="R233" i="1"/>
  <c r="U233" i="1"/>
  <c r="S233" i="1"/>
  <c r="T233" i="1"/>
  <c r="R216" i="1"/>
  <c r="U216" i="1"/>
  <c r="T216" i="1"/>
  <c r="S216" i="1"/>
  <c r="T449" i="1"/>
  <c r="U449" i="1"/>
  <c r="S449" i="1"/>
  <c r="R377" i="1"/>
  <c r="S377" i="1"/>
  <c r="T377" i="1"/>
  <c r="U377" i="1"/>
  <c r="R137" i="1"/>
  <c r="S137" i="1"/>
  <c r="U137" i="1"/>
  <c r="T137" i="1"/>
  <c r="R511" i="1"/>
  <c r="T511" i="1"/>
  <c r="U511" i="1"/>
  <c r="S511" i="1"/>
  <c r="R54" i="1"/>
  <c r="T54" i="1"/>
  <c r="S54" i="1"/>
  <c r="U54" i="1"/>
  <c r="T448" i="1"/>
  <c r="S448" i="1"/>
  <c r="U448" i="1"/>
  <c r="R345" i="1"/>
  <c r="U345" i="1"/>
  <c r="T345" i="1"/>
  <c r="S345" i="1"/>
  <c r="R210" i="1"/>
  <c r="S210" i="1"/>
  <c r="T210" i="1"/>
  <c r="U210" i="1"/>
  <c r="R314" i="1"/>
  <c r="S314" i="1"/>
  <c r="T314" i="1"/>
  <c r="U314" i="1"/>
  <c r="R190" i="1"/>
  <c r="T190" i="1"/>
  <c r="S190" i="1"/>
  <c r="U190" i="1"/>
  <c r="R297" i="1"/>
  <c r="U297" i="1"/>
  <c r="T297" i="1"/>
  <c r="S297" i="1"/>
  <c r="R400" i="1"/>
  <c r="T400" i="1"/>
  <c r="S400" i="1"/>
  <c r="U400" i="1"/>
  <c r="R321" i="1"/>
  <c r="U321" i="1"/>
  <c r="T321" i="1"/>
  <c r="S321" i="1"/>
  <c r="R350" i="1"/>
  <c r="S350" i="1"/>
  <c r="T350" i="1"/>
  <c r="U350" i="1"/>
  <c r="R410" i="1"/>
  <c r="S410" i="1"/>
  <c r="T410" i="1"/>
  <c r="U410" i="1"/>
  <c r="R234" i="1"/>
  <c r="U234" i="1"/>
  <c r="S234" i="1"/>
  <c r="T234" i="1"/>
  <c r="R72" i="1"/>
  <c r="U72" i="1"/>
  <c r="S72" i="1"/>
  <c r="T72" i="1"/>
  <c r="R573" i="1"/>
  <c r="U573" i="1"/>
  <c r="S573" i="1"/>
  <c r="T573" i="1"/>
  <c r="R529" i="1"/>
  <c r="S529" i="1"/>
  <c r="T529" i="1"/>
  <c r="U529" i="1"/>
  <c r="R568" i="1"/>
  <c r="T568" i="1"/>
  <c r="S568" i="1"/>
  <c r="U568" i="1"/>
  <c r="R560" i="1"/>
  <c r="T560" i="1"/>
  <c r="U560" i="1"/>
  <c r="S560" i="1"/>
  <c r="R526" i="1"/>
  <c r="T526" i="1"/>
  <c r="U526" i="1"/>
  <c r="S526" i="1"/>
  <c r="R538" i="1"/>
  <c r="S538" i="1"/>
  <c r="T538" i="1"/>
  <c r="U538" i="1"/>
  <c r="R533" i="1"/>
  <c r="U533" i="1"/>
  <c r="S533" i="1"/>
  <c r="T533" i="1"/>
  <c r="R534" i="1"/>
  <c r="U534" i="1"/>
  <c r="S534" i="1"/>
  <c r="T534" i="1"/>
  <c r="R540" i="1"/>
  <c r="U540" i="1"/>
  <c r="S540" i="1"/>
  <c r="T540" i="1"/>
  <c r="R551" i="1"/>
  <c r="T551" i="1"/>
  <c r="U551" i="1"/>
  <c r="S551" i="1"/>
  <c r="R555" i="1"/>
  <c r="S555" i="1"/>
  <c r="T555" i="1"/>
  <c r="U555" i="1"/>
  <c r="R558" i="1"/>
  <c r="U558" i="1"/>
  <c r="T558" i="1"/>
  <c r="S558" i="1"/>
  <c r="U453" i="1"/>
  <c r="S453" i="1"/>
  <c r="T453" i="1"/>
  <c r="R435" i="1"/>
  <c r="S435" i="1"/>
  <c r="T435" i="1"/>
  <c r="U435" i="1"/>
  <c r="R179" i="1"/>
  <c r="U179" i="1"/>
  <c r="T179" i="1"/>
  <c r="S179" i="1"/>
  <c r="R81" i="1"/>
  <c r="S81" i="1"/>
  <c r="T81" i="1"/>
  <c r="U81" i="1"/>
  <c r="R136" i="1"/>
  <c r="U136" i="1"/>
  <c r="S136" i="1"/>
  <c r="T136" i="1"/>
  <c r="R105" i="1"/>
  <c r="S105" i="1"/>
  <c r="U105" i="1"/>
  <c r="T105" i="1"/>
  <c r="R392" i="1"/>
  <c r="T392" i="1"/>
  <c r="U392" i="1"/>
  <c r="S392" i="1"/>
  <c r="R196" i="1"/>
  <c r="U196" i="1"/>
  <c r="S196" i="1"/>
  <c r="T196" i="1"/>
  <c r="R110" i="1"/>
  <c r="T110" i="1"/>
  <c r="U110" i="1"/>
  <c r="S110" i="1"/>
  <c r="R69" i="1"/>
  <c r="T69" i="1"/>
  <c r="U69" i="1"/>
  <c r="S69" i="1"/>
  <c r="R14" i="1"/>
  <c r="T14" i="1"/>
  <c r="U14" i="1"/>
  <c r="S14" i="1"/>
  <c r="U249" i="1"/>
  <c r="S249" i="1"/>
  <c r="T249" i="1"/>
  <c r="S497" i="1"/>
  <c r="T497" i="1"/>
  <c r="U497" i="1"/>
  <c r="R268" i="1"/>
  <c r="T268" i="1"/>
  <c r="U268" i="1"/>
  <c r="S268" i="1"/>
  <c r="R254" i="1"/>
  <c r="T254" i="1"/>
  <c r="U254" i="1"/>
  <c r="S254" i="1"/>
  <c r="R165" i="1"/>
  <c r="T165" i="1"/>
  <c r="S165" i="1"/>
  <c r="U165" i="1"/>
  <c r="R4" i="1"/>
  <c r="U4" i="1"/>
  <c r="S4" i="1"/>
  <c r="T4" i="1"/>
  <c r="S41" i="1"/>
  <c r="T41" i="1"/>
  <c r="U41" i="1"/>
  <c r="R146" i="1"/>
  <c r="S146" i="1"/>
  <c r="T146" i="1"/>
  <c r="U146" i="1"/>
  <c r="R243" i="1"/>
  <c r="T243" i="1"/>
  <c r="U243" i="1"/>
  <c r="S243" i="1"/>
  <c r="R266" i="1"/>
  <c r="U266" i="1"/>
  <c r="S266" i="1"/>
  <c r="T266" i="1"/>
  <c r="R120" i="1"/>
  <c r="T120" i="1"/>
  <c r="U120" i="1"/>
  <c r="S120" i="1"/>
  <c r="T301" i="1"/>
  <c r="U301" i="1"/>
  <c r="S301" i="1"/>
  <c r="S17" i="1"/>
  <c r="U17" i="1"/>
  <c r="T17" i="1"/>
  <c r="R492" i="1"/>
  <c r="U492" i="1"/>
  <c r="S492" i="1"/>
  <c r="T492" i="1"/>
  <c r="R236" i="1"/>
  <c r="T236" i="1"/>
  <c r="U236" i="1"/>
  <c r="S236" i="1"/>
  <c r="R246" i="1"/>
  <c r="S246" i="1"/>
  <c r="T246" i="1"/>
  <c r="U246" i="1"/>
  <c r="R189" i="1"/>
  <c r="S189" i="1"/>
  <c r="T189" i="1"/>
  <c r="U189" i="1"/>
  <c r="R42" i="1"/>
  <c r="S42" i="1"/>
  <c r="U42" i="1"/>
  <c r="T42" i="1"/>
  <c r="R305" i="1"/>
  <c r="U305" i="1"/>
  <c r="S305" i="1"/>
  <c r="T305" i="1"/>
  <c r="R287" i="1"/>
  <c r="S287" i="1"/>
  <c r="T287" i="1"/>
  <c r="U287" i="1"/>
  <c r="R499" i="1"/>
  <c r="S499" i="1"/>
  <c r="T499" i="1"/>
  <c r="U499" i="1"/>
  <c r="R423" i="1"/>
  <c r="T423" i="1"/>
  <c r="U423" i="1"/>
  <c r="S423" i="1"/>
  <c r="R167" i="1"/>
  <c r="T167" i="1"/>
  <c r="U167" i="1"/>
  <c r="S167" i="1"/>
  <c r="R344" i="1"/>
  <c r="U344" i="1"/>
  <c r="S344" i="1"/>
  <c r="T344" i="1"/>
  <c r="R202" i="1"/>
  <c r="S202" i="1"/>
  <c r="T202" i="1"/>
  <c r="U202" i="1"/>
  <c r="R303" i="1"/>
  <c r="S303" i="1"/>
  <c r="T303" i="1"/>
  <c r="U303" i="1"/>
  <c r="R47" i="1"/>
  <c r="T47" i="1"/>
  <c r="S47" i="1"/>
  <c r="U47" i="1"/>
  <c r="S358" i="1"/>
  <c r="T358" i="1"/>
  <c r="U358" i="1"/>
  <c r="R284" i="1"/>
  <c r="T284" i="1"/>
  <c r="U284" i="1"/>
  <c r="S284" i="1"/>
  <c r="R270" i="1"/>
  <c r="S270" i="1"/>
  <c r="T270" i="1"/>
  <c r="U270" i="1"/>
  <c r="R181" i="1"/>
  <c r="U181" i="1"/>
  <c r="S181" i="1"/>
  <c r="T181" i="1"/>
  <c r="R20" i="1"/>
  <c r="U20" i="1"/>
  <c r="T20" i="1"/>
  <c r="S20" i="1"/>
  <c r="R329" i="1"/>
  <c r="U329" i="1"/>
  <c r="T329" i="1"/>
  <c r="S329" i="1"/>
  <c r="R239" i="1"/>
  <c r="S239" i="1"/>
  <c r="T239" i="1"/>
  <c r="U239" i="1"/>
  <c r="R289" i="1"/>
  <c r="U289" i="1"/>
  <c r="S289" i="1"/>
  <c r="T289" i="1"/>
  <c r="R403" i="1"/>
  <c r="S403" i="1"/>
  <c r="T403" i="1"/>
  <c r="U403" i="1"/>
  <c r="R147" i="1"/>
  <c r="U147" i="1"/>
  <c r="T147" i="1"/>
  <c r="S147" i="1"/>
  <c r="R32" i="1"/>
  <c r="T32" i="1"/>
  <c r="U32" i="1"/>
  <c r="S32" i="1"/>
  <c r="R467" i="1"/>
  <c r="S467" i="1"/>
  <c r="T467" i="1"/>
  <c r="U467" i="1"/>
  <c r="R211" i="1"/>
  <c r="U211" i="1"/>
  <c r="T211" i="1"/>
  <c r="S211" i="1"/>
  <c r="R353" i="1"/>
  <c r="U353" i="1"/>
  <c r="T353" i="1"/>
  <c r="S353" i="1"/>
  <c r="R112" i="1"/>
  <c r="S112" i="1"/>
  <c r="U112" i="1"/>
  <c r="T112" i="1"/>
  <c r="R500" i="1"/>
  <c r="U500" i="1"/>
  <c r="T500" i="1"/>
  <c r="S500" i="1"/>
  <c r="R177" i="1"/>
  <c r="S177" i="1"/>
  <c r="T177" i="1"/>
  <c r="U177" i="1"/>
  <c r="R192" i="1"/>
  <c r="T192" i="1"/>
  <c r="U192" i="1"/>
  <c r="S192" i="1"/>
  <c r="R194" i="1"/>
  <c r="S194" i="1"/>
  <c r="U194" i="1"/>
  <c r="T194" i="1"/>
  <c r="R536" i="1"/>
  <c r="T536" i="1"/>
  <c r="S536" i="1"/>
  <c r="U536" i="1"/>
  <c r="R542" i="1"/>
  <c r="S542" i="1"/>
  <c r="T542" i="1"/>
  <c r="U542" i="1"/>
  <c r="R574" i="1"/>
  <c r="S574" i="1"/>
  <c r="T574" i="1"/>
  <c r="U574" i="1"/>
  <c r="R523" i="1"/>
  <c r="S523" i="1"/>
  <c r="T523" i="1"/>
  <c r="U523" i="1"/>
  <c r="S121" i="1"/>
  <c r="T121" i="1"/>
  <c r="U121" i="1"/>
  <c r="U457" i="1"/>
  <c r="S457" i="1"/>
  <c r="T457" i="1"/>
  <c r="S505" i="1"/>
  <c r="T505" i="1"/>
  <c r="U505" i="1"/>
  <c r="S209" i="1"/>
  <c r="T209" i="1"/>
  <c r="U209" i="1"/>
  <c r="R488" i="1"/>
  <c r="T488" i="1"/>
  <c r="S488" i="1"/>
  <c r="U488" i="1"/>
  <c r="S450" i="1"/>
  <c r="T450" i="1"/>
  <c r="U450" i="1"/>
  <c r="R336" i="1"/>
  <c r="U336" i="1"/>
  <c r="S336" i="1"/>
  <c r="T336" i="1"/>
  <c r="R428" i="1"/>
  <c r="U428" i="1"/>
  <c r="S428" i="1"/>
  <c r="T428" i="1"/>
  <c r="R45" i="1"/>
  <c r="S45" i="1"/>
  <c r="U45" i="1"/>
  <c r="T45" i="1"/>
  <c r="R244" i="1"/>
  <c r="T244" i="1"/>
  <c r="U244" i="1"/>
  <c r="S244" i="1"/>
  <c r="R141" i="1"/>
  <c r="T141" i="1"/>
  <c r="U141" i="1"/>
  <c r="S141" i="1"/>
  <c r="R219" i="1"/>
  <c r="U219" i="1"/>
  <c r="T219" i="1"/>
  <c r="S219" i="1"/>
  <c r="S302" i="1"/>
  <c r="U302" i="1"/>
  <c r="T302" i="1"/>
  <c r="R133" i="1"/>
  <c r="T133" i="1"/>
  <c r="S133" i="1"/>
  <c r="U133" i="1"/>
  <c r="R372" i="1"/>
  <c r="T372" i="1"/>
  <c r="U372" i="1"/>
  <c r="S372" i="1"/>
  <c r="R123" i="1"/>
  <c r="U123" i="1"/>
  <c r="S123" i="1"/>
  <c r="T123" i="1"/>
  <c r="R228" i="1"/>
  <c r="U228" i="1"/>
  <c r="S228" i="1"/>
  <c r="T228" i="1"/>
  <c r="R215" i="1"/>
  <c r="T215" i="1"/>
  <c r="S215" i="1"/>
  <c r="U215" i="1"/>
  <c r="R296" i="1"/>
  <c r="U296" i="1"/>
  <c r="S296" i="1"/>
  <c r="T296" i="1"/>
  <c r="R242" i="1"/>
  <c r="U242" i="1"/>
  <c r="S242" i="1"/>
  <c r="T242" i="1"/>
  <c r="S145" i="1"/>
  <c r="T145" i="1"/>
  <c r="U145" i="1"/>
  <c r="R361" i="1"/>
  <c r="U361" i="1"/>
  <c r="S361" i="1"/>
  <c r="T361" i="1"/>
  <c r="R507" i="1"/>
  <c r="S507" i="1"/>
  <c r="U507" i="1"/>
  <c r="T507" i="1"/>
  <c r="R73" i="1"/>
  <c r="S73" i="1"/>
  <c r="T73" i="1"/>
  <c r="U73" i="1"/>
  <c r="R9" i="1"/>
  <c r="S9" i="1"/>
  <c r="T9" i="1"/>
  <c r="U9" i="1"/>
  <c r="R562" i="1"/>
  <c r="S562" i="1"/>
  <c r="T562" i="1"/>
  <c r="U562" i="1"/>
  <c r="R577" i="1"/>
  <c r="T577" i="1"/>
  <c r="U577" i="1"/>
  <c r="S577" i="1"/>
  <c r="R530" i="1"/>
  <c r="S530" i="1"/>
  <c r="T530" i="1"/>
  <c r="U530" i="1"/>
  <c r="R545" i="1"/>
  <c r="U545" i="1"/>
  <c r="S545" i="1"/>
  <c r="T545" i="1"/>
  <c r="R527" i="1"/>
  <c r="T527" i="1"/>
  <c r="U527" i="1"/>
  <c r="S527" i="1"/>
  <c r="R521" i="1"/>
  <c r="U521" i="1"/>
  <c r="S521" i="1"/>
  <c r="T521" i="1"/>
  <c r="R355" i="1"/>
  <c r="T355" i="1"/>
  <c r="S355" i="1"/>
  <c r="U355" i="1"/>
  <c r="R240" i="1"/>
  <c r="S240" i="1"/>
  <c r="T240" i="1"/>
  <c r="U240" i="1"/>
  <c r="R148" i="1"/>
  <c r="U148" i="1"/>
  <c r="T148" i="1"/>
  <c r="S148" i="1"/>
  <c r="R21" i="1"/>
  <c r="U21" i="1"/>
  <c r="T21" i="1"/>
  <c r="S21" i="1"/>
  <c r="S57" i="1"/>
  <c r="T57" i="1"/>
  <c r="U57" i="1"/>
  <c r="R117" i="1"/>
  <c r="U117" i="1"/>
  <c r="S117" i="1"/>
  <c r="T117" i="1"/>
  <c r="R163" i="1"/>
  <c r="U163" i="1"/>
  <c r="T163" i="1"/>
  <c r="S163" i="1"/>
  <c r="S490" i="1"/>
  <c r="T490" i="1"/>
  <c r="U490" i="1"/>
  <c r="R188" i="1"/>
  <c r="U188" i="1"/>
  <c r="T188" i="1"/>
  <c r="S188" i="1"/>
  <c r="R452" i="1"/>
  <c r="U452" i="1"/>
  <c r="S452" i="1"/>
  <c r="T452" i="1"/>
  <c r="R207" i="1"/>
  <c r="T207" i="1"/>
  <c r="S207" i="1"/>
  <c r="U207" i="1"/>
  <c r="R119" i="1"/>
  <c r="T119" i="1"/>
  <c r="S119" i="1"/>
  <c r="U119" i="1"/>
  <c r="R255" i="1"/>
  <c r="S255" i="1"/>
  <c r="T255" i="1"/>
  <c r="U255" i="1"/>
  <c r="R204" i="1"/>
  <c r="U204" i="1"/>
  <c r="T204" i="1"/>
  <c r="S204" i="1"/>
  <c r="R222" i="1"/>
  <c r="T222" i="1"/>
  <c r="S222" i="1"/>
  <c r="U222" i="1"/>
  <c r="S446" i="1"/>
  <c r="T446" i="1"/>
  <c r="U446" i="1"/>
  <c r="R323" i="1"/>
  <c r="T323" i="1"/>
  <c r="S323" i="1"/>
  <c r="U323" i="1"/>
  <c r="R387" i="1"/>
  <c r="S387" i="1"/>
  <c r="U387" i="1"/>
  <c r="T387" i="1"/>
  <c r="R8" i="1"/>
  <c r="U8" i="1"/>
  <c r="S8" i="1"/>
  <c r="T8" i="1"/>
  <c r="R230" i="1"/>
  <c r="U230" i="1"/>
  <c r="S230" i="1"/>
  <c r="T230" i="1"/>
  <c r="R528" i="1"/>
  <c r="T528" i="1"/>
  <c r="U528" i="1"/>
  <c r="S528" i="1"/>
  <c r="R544" i="1"/>
  <c r="T544" i="1"/>
  <c r="S544" i="1"/>
  <c r="U544" i="1"/>
  <c r="S482" i="1"/>
  <c r="T482" i="1"/>
  <c r="U482" i="1"/>
  <c r="T416" i="1"/>
  <c r="S416" i="1"/>
  <c r="U416" i="1"/>
  <c r="R331" i="1"/>
  <c r="T331" i="1"/>
  <c r="S331" i="1"/>
  <c r="U331" i="1"/>
  <c r="R75" i="1"/>
  <c r="U75" i="1"/>
  <c r="S75" i="1"/>
  <c r="T75" i="1"/>
  <c r="R144" i="1"/>
  <c r="S144" i="1"/>
  <c r="U144" i="1"/>
  <c r="T144" i="1"/>
  <c r="S286" i="1"/>
  <c r="U286" i="1"/>
  <c r="T286" i="1"/>
  <c r="S434" i="1"/>
  <c r="T434" i="1"/>
  <c r="U434" i="1"/>
  <c r="R380" i="1"/>
  <c r="U380" i="1"/>
  <c r="S380" i="1"/>
  <c r="T380" i="1"/>
  <c r="R124" i="1"/>
  <c r="U124" i="1"/>
  <c r="S124" i="1"/>
  <c r="T124" i="1"/>
  <c r="R253" i="1"/>
  <c r="T253" i="1"/>
  <c r="S253" i="1"/>
  <c r="U253" i="1"/>
  <c r="R36" i="1"/>
  <c r="U36" i="1"/>
  <c r="S36" i="1"/>
  <c r="T36" i="1"/>
  <c r="R306" i="1"/>
  <c r="T306" i="1"/>
  <c r="S306" i="1"/>
  <c r="U306" i="1"/>
  <c r="S458" i="1"/>
  <c r="T458" i="1"/>
  <c r="U458" i="1"/>
  <c r="U357" i="1"/>
  <c r="S357" i="1"/>
  <c r="T357" i="1"/>
  <c r="R164" i="1"/>
  <c r="U164" i="1"/>
  <c r="S164" i="1"/>
  <c r="T164" i="1"/>
  <c r="R46" i="1"/>
  <c r="T46" i="1"/>
  <c r="U46" i="1"/>
  <c r="S46" i="1"/>
  <c r="R93" i="1"/>
  <c r="S93" i="1"/>
  <c r="T93" i="1"/>
  <c r="U93" i="1"/>
  <c r="U494" i="1"/>
  <c r="T494" i="1"/>
  <c r="S494" i="1"/>
  <c r="T462" i="1"/>
  <c r="U462" i="1"/>
  <c r="S462" i="1"/>
  <c r="R395" i="1"/>
  <c r="S395" i="1"/>
  <c r="T395" i="1"/>
  <c r="U395" i="1"/>
  <c r="R139" i="1"/>
  <c r="U139" i="1"/>
  <c r="S139" i="1"/>
  <c r="T139" i="1"/>
  <c r="R409" i="1"/>
  <c r="T409" i="1"/>
  <c r="U409" i="1"/>
  <c r="S409" i="1"/>
  <c r="R118" i="1"/>
  <c r="T118" i="1"/>
  <c r="S118" i="1"/>
  <c r="U118" i="1"/>
  <c r="T365" i="1"/>
  <c r="U365" i="1"/>
  <c r="S365" i="1"/>
  <c r="T432" i="1"/>
  <c r="U432" i="1"/>
  <c r="S432" i="1"/>
  <c r="R388" i="1"/>
  <c r="U388" i="1"/>
  <c r="S388" i="1"/>
  <c r="T388" i="1"/>
  <c r="R132" i="1"/>
  <c r="U132" i="1"/>
  <c r="S132" i="1"/>
  <c r="T132" i="1"/>
  <c r="R38" i="1"/>
  <c r="T38" i="1"/>
  <c r="U38" i="1"/>
  <c r="S38" i="1"/>
  <c r="R85" i="1"/>
  <c r="U85" i="1"/>
  <c r="S85" i="1"/>
  <c r="T85" i="1"/>
  <c r="R152" i="1"/>
  <c r="T152" i="1"/>
  <c r="S152" i="1"/>
  <c r="U152" i="1"/>
  <c r="R439" i="1"/>
  <c r="T439" i="1"/>
  <c r="U439" i="1"/>
  <c r="S439" i="1"/>
  <c r="R183" i="1"/>
  <c r="T183" i="1"/>
  <c r="S183" i="1"/>
  <c r="U183" i="1"/>
  <c r="R24" i="1"/>
  <c r="S24" i="1"/>
  <c r="T24" i="1"/>
  <c r="U24" i="1"/>
  <c r="R351" i="1"/>
  <c r="S351" i="1"/>
  <c r="T351" i="1"/>
  <c r="U351" i="1"/>
  <c r="R95" i="1"/>
  <c r="T95" i="1"/>
  <c r="U95" i="1"/>
  <c r="S95" i="1"/>
  <c r="R19" i="1"/>
  <c r="U19" i="1"/>
  <c r="T19" i="1"/>
  <c r="S19" i="1"/>
  <c r="R455" i="1"/>
  <c r="T455" i="1"/>
  <c r="U455" i="1"/>
  <c r="S455" i="1"/>
  <c r="R199" i="1"/>
  <c r="T199" i="1"/>
  <c r="U199" i="1"/>
  <c r="S199" i="1"/>
  <c r="U445" i="1"/>
  <c r="S445" i="1"/>
  <c r="T445" i="1"/>
  <c r="R436" i="1"/>
  <c r="U436" i="1"/>
  <c r="T436" i="1"/>
  <c r="S436" i="1"/>
  <c r="R180" i="1"/>
  <c r="U180" i="1"/>
  <c r="S180" i="1"/>
  <c r="T180" i="1"/>
  <c r="R70" i="1"/>
  <c r="T70" i="1"/>
  <c r="S70" i="1"/>
  <c r="U70" i="1"/>
  <c r="R77" i="1"/>
  <c r="S77" i="1"/>
  <c r="T77" i="1"/>
  <c r="U77" i="1"/>
  <c r="R322" i="1"/>
  <c r="U322" i="1"/>
  <c r="S322" i="1"/>
  <c r="T322" i="1"/>
  <c r="R391" i="1"/>
  <c r="T391" i="1"/>
  <c r="U391" i="1"/>
  <c r="S391" i="1"/>
  <c r="R135" i="1"/>
  <c r="T135" i="1"/>
  <c r="U135" i="1"/>
  <c r="S135" i="1"/>
  <c r="S161" i="1"/>
  <c r="U161" i="1"/>
  <c r="T161" i="1"/>
  <c r="R299" i="1"/>
  <c r="T299" i="1"/>
  <c r="S299" i="1"/>
  <c r="U299" i="1"/>
  <c r="R33" i="1"/>
  <c r="S33" i="1"/>
  <c r="U33" i="1"/>
  <c r="T33" i="1"/>
  <c r="T333" i="1"/>
  <c r="U333" i="1"/>
  <c r="S333" i="1"/>
  <c r="R363" i="1"/>
  <c r="T363" i="1"/>
  <c r="S363" i="1"/>
  <c r="U363" i="1"/>
  <c r="R107" i="1"/>
  <c r="U107" i="1"/>
  <c r="S107" i="1"/>
  <c r="T107" i="1"/>
  <c r="R385" i="1"/>
  <c r="T385" i="1"/>
  <c r="U385" i="1"/>
  <c r="S385" i="1"/>
  <c r="R134" i="1"/>
  <c r="T134" i="1"/>
  <c r="S134" i="1"/>
  <c r="U134" i="1"/>
  <c r="R396" i="1"/>
  <c r="U396" i="1"/>
  <c r="T396" i="1"/>
  <c r="S396" i="1"/>
  <c r="R282" i="1"/>
  <c r="S282" i="1"/>
  <c r="U282" i="1"/>
  <c r="T282" i="1"/>
  <c r="R162" i="1"/>
  <c r="S162" i="1"/>
  <c r="U162" i="1"/>
  <c r="T162" i="1"/>
  <c r="R325" i="1"/>
  <c r="S325" i="1"/>
  <c r="T325" i="1"/>
  <c r="U325" i="1"/>
  <c r="R480" i="1"/>
  <c r="T480" i="1"/>
  <c r="S480" i="1"/>
  <c r="U480" i="1"/>
  <c r="R128" i="1"/>
  <c r="T128" i="1"/>
  <c r="U128" i="1"/>
  <c r="S128" i="1"/>
  <c r="R269" i="1"/>
  <c r="T269" i="1"/>
  <c r="S269" i="1"/>
  <c r="U269" i="1"/>
  <c r="R30" i="1"/>
  <c r="T30" i="1"/>
  <c r="S30" i="1"/>
  <c r="U30" i="1"/>
  <c r="R374" i="1"/>
  <c r="S374" i="1"/>
  <c r="U374" i="1"/>
  <c r="T374" i="1"/>
  <c r="R384" i="1"/>
  <c r="T384" i="1"/>
  <c r="S384" i="1"/>
  <c r="U384" i="1"/>
  <c r="R82" i="1"/>
  <c r="S82" i="1"/>
  <c r="T82" i="1"/>
  <c r="U82" i="1"/>
  <c r="R352" i="1"/>
  <c r="U352" i="1"/>
  <c r="T352" i="1"/>
  <c r="S352" i="1"/>
  <c r="R330" i="1"/>
  <c r="S330" i="1"/>
  <c r="T330" i="1"/>
  <c r="U330" i="1"/>
  <c r="R114" i="1"/>
  <c r="S114" i="1"/>
  <c r="T114" i="1"/>
  <c r="U114" i="1"/>
  <c r="R337" i="1"/>
  <c r="U337" i="1"/>
  <c r="S337" i="1"/>
  <c r="T337" i="1"/>
  <c r="R176" i="1"/>
  <c r="S176" i="1"/>
  <c r="T176" i="1"/>
  <c r="U176" i="1"/>
  <c r="R561" i="1"/>
  <c r="S561" i="1"/>
  <c r="U561" i="1"/>
  <c r="T561" i="1"/>
  <c r="R543" i="1"/>
  <c r="T543" i="1"/>
  <c r="U543" i="1"/>
  <c r="S543" i="1"/>
  <c r="R570" i="1"/>
  <c r="S570" i="1"/>
  <c r="T570" i="1"/>
  <c r="U570" i="1"/>
  <c r="R550" i="1"/>
  <c r="T550" i="1"/>
  <c r="U550" i="1"/>
  <c r="S550" i="1"/>
  <c r="R518" i="1"/>
  <c r="S518" i="1"/>
  <c r="T518" i="1"/>
  <c r="U518" i="1"/>
  <c r="R520" i="1"/>
  <c r="T520" i="1"/>
  <c r="U520" i="1"/>
  <c r="S520" i="1"/>
  <c r="R525" i="1"/>
  <c r="U525" i="1"/>
  <c r="S525" i="1"/>
  <c r="T525" i="1"/>
  <c r="R515" i="1"/>
  <c r="S515" i="1"/>
  <c r="U515" i="1"/>
  <c r="T515" i="1"/>
  <c r="R532" i="1"/>
  <c r="U532" i="1"/>
  <c r="T532" i="1"/>
  <c r="S532" i="1"/>
  <c r="R522" i="1"/>
  <c r="S522" i="1"/>
  <c r="T522" i="1"/>
  <c r="U522" i="1"/>
  <c r="R547" i="1"/>
  <c r="S547" i="1"/>
  <c r="U547" i="1"/>
  <c r="T547" i="1"/>
  <c r="R537" i="1"/>
  <c r="T537" i="1"/>
  <c r="U537" i="1"/>
  <c r="S537" i="1"/>
  <c r="R56" i="1"/>
  <c r="S56" i="1"/>
  <c r="T56" i="1"/>
  <c r="U56" i="1"/>
  <c r="R125" i="1"/>
  <c r="S125" i="1"/>
  <c r="T125" i="1"/>
  <c r="U125" i="1"/>
  <c r="R292" i="1"/>
  <c r="T292" i="1"/>
  <c r="S292" i="1"/>
  <c r="U292" i="1"/>
  <c r="R60" i="1"/>
  <c r="U60" i="1"/>
  <c r="T60" i="1"/>
  <c r="S60" i="1"/>
  <c r="R168" i="1"/>
  <c r="U168" i="1"/>
  <c r="S168" i="1"/>
  <c r="T168" i="1"/>
  <c r="U405" i="1"/>
  <c r="S405" i="1"/>
  <c r="T405" i="1"/>
  <c r="R155" i="1"/>
  <c r="U155" i="1"/>
  <c r="S155" i="1"/>
  <c r="T155" i="1"/>
  <c r="R491" i="1"/>
  <c r="S491" i="1"/>
  <c r="T491" i="1"/>
  <c r="U491" i="1"/>
  <c r="R62" i="1"/>
  <c r="T62" i="1"/>
  <c r="S62" i="1"/>
  <c r="U62" i="1"/>
  <c r="U430" i="1"/>
  <c r="T430" i="1"/>
  <c r="S430" i="1"/>
  <c r="R166" i="1"/>
  <c r="T166" i="1"/>
  <c r="S166" i="1"/>
  <c r="U166" i="1"/>
  <c r="R402" i="1"/>
  <c r="S402" i="1"/>
  <c r="T402" i="1"/>
  <c r="U402" i="1"/>
  <c r="R468" i="1"/>
  <c r="U468" i="1"/>
  <c r="S468" i="1"/>
  <c r="T468" i="1"/>
  <c r="R49" i="1"/>
  <c r="S49" i="1"/>
  <c r="U49" i="1"/>
  <c r="T49" i="1"/>
  <c r="R143" i="1"/>
  <c r="T143" i="1"/>
  <c r="S143" i="1"/>
  <c r="U143" i="1"/>
  <c r="R23" i="1"/>
  <c r="T23" i="1"/>
  <c r="S23" i="1"/>
  <c r="U23" i="1"/>
  <c r="R174" i="1"/>
  <c r="T174" i="1"/>
  <c r="U174" i="1"/>
  <c r="S174" i="1"/>
  <c r="R241" i="1"/>
  <c r="U241" i="1"/>
  <c r="T241" i="1"/>
  <c r="S241" i="1"/>
  <c r="R25" i="1"/>
  <c r="S25" i="1"/>
  <c r="T25" i="1"/>
  <c r="U25" i="1"/>
  <c r="R68" i="1"/>
  <c r="U68" i="1"/>
  <c r="S68" i="1"/>
  <c r="T68" i="1"/>
  <c r="R197" i="1"/>
  <c r="T197" i="1"/>
  <c r="U197" i="1"/>
  <c r="S197" i="1"/>
  <c r="R12" i="1"/>
  <c r="U12" i="1"/>
  <c r="T12" i="1"/>
  <c r="S12" i="1"/>
  <c r="S317" i="1"/>
  <c r="T317" i="1"/>
  <c r="U317" i="1"/>
  <c r="R250" i="1"/>
  <c r="U250" i="1"/>
  <c r="S250" i="1"/>
  <c r="T250" i="1"/>
  <c r="T486" i="1"/>
  <c r="U486" i="1"/>
  <c r="S486" i="1"/>
  <c r="R140" i="1"/>
  <c r="U140" i="1"/>
  <c r="T140" i="1"/>
  <c r="S140" i="1"/>
  <c r="R397" i="1"/>
  <c r="U397" i="1"/>
  <c r="S397" i="1"/>
  <c r="T397" i="1"/>
  <c r="R37" i="1"/>
  <c r="T37" i="1"/>
  <c r="S37" i="1"/>
  <c r="U37" i="1"/>
  <c r="U437" i="1"/>
  <c r="S437" i="1"/>
  <c r="T437" i="1"/>
  <c r="U413" i="1"/>
  <c r="S413" i="1"/>
  <c r="T413" i="1"/>
  <c r="R371" i="1"/>
  <c r="T371" i="1"/>
  <c r="S371" i="1"/>
  <c r="U371" i="1"/>
  <c r="R115" i="1"/>
  <c r="U115" i="1"/>
  <c r="T115" i="1"/>
  <c r="S115" i="1"/>
  <c r="R257" i="1"/>
  <c r="U257" i="1"/>
  <c r="S257" i="1"/>
  <c r="T257" i="1"/>
  <c r="R398" i="1"/>
  <c r="T398" i="1"/>
  <c r="U398" i="1"/>
  <c r="S398" i="1"/>
  <c r="U470" i="1"/>
  <c r="S470" i="1"/>
  <c r="T470" i="1"/>
  <c r="U438" i="1"/>
  <c r="S438" i="1"/>
  <c r="T438" i="1"/>
  <c r="R364" i="1"/>
  <c r="T364" i="1"/>
  <c r="U364" i="1"/>
  <c r="S364" i="1"/>
  <c r="R108" i="1"/>
  <c r="U108" i="1"/>
  <c r="T108" i="1"/>
  <c r="S108" i="1"/>
  <c r="R373" i="1"/>
  <c r="T373" i="1"/>
  <c r="S373" i="1"/>
  <c r="U373" i="1"/>
  <c r="R61" i="1"/>
  <c r="S61" i="1"/>
  <c r="T61" i="1"/>
  <c r="U61" i="1"/>
  <c r="R298" i="1"/>
  <c r="S298" i="1"/>
  <c r="T298" i="1"/>
  <c r="U298" i="1"/>
  <c r="R415" i="1"/>
  <c r="T415" i="1"/>
  <c r="U415" i="1"/>
  <c r="S415" i="1"/>
  <c r="R159" i="1"/>
  <c r="T159" i="1"/>
  <c r="U159" i="1"/>
  <c r="S159" i="1"/>
  <c r="R178" i="1"/>
  <c r="S178" i="1"/>
  <c r="T178" i="1"/>
  <c r="U178" i="1"/>
  <c r="R295" i="1"/>
  <c r="S295" i="1"/>
  <c r="U295" i="1"/>
  <c r="T295" i="1"/>
  <c r="R39" i="1"/>
  <c r="T39" i="1"/>
  <c r="U39" i="1"/>
  <c r="S39" i="1"/>
  <c r="U406" i="1"/>
  <c r="S406" i="1"/>
  <c r="T406" i="1"/>
  <c r="R431" i="1"/>
  <c r="T431" i="1"/>
  <c r="U431" i="1"/>
  <c r="S431" i="1"/>
  <c r="R175" i="1"/>
  <c r="T175" i="1"/>
  <c r="S175" i="1"/>
  <c r="U175" i="1"/>
  <c r="T473" i="1"/>
  <c r="U473" i="1"/>
  <c r="S473" i="1"/>
  <c r="R412" i="1"/>
  <c r="U412" i="1"/>
  <c r="S412" i="1"/>
  <c r="T412" i="1"/>
  <c r="R156" i="1"/>
  <c r="U156" i="1"/>
  <c r="T156" i="1"/>
  <c r="S156" i="1"/>
  <c r="R22" i="1"/>
  <c r="T22" i="1"/>
  <c r="S22" i="1"/>
  <c r="U22" i="1"/>
  <c r="R53" i="1"/>
  <c r="U53" i="1"/>
  <c r="T53" i="1"/>
  <c r="S53" i="1"/>
  <c r="R226" i="1"/>
  <c r="S226" i="1"/>
  <c r="U226" i="1"/>
  <c r="T226" i="1"/>
  <c r="R367" i="1"/>
  <c r="S367" i="1"/>
  <c r="T367" i="1"/>
  <c r="U367" i="1"/>
  <c r="R111" i="1"/>
  <c r="T111" i="1"/>
  <c r="S111" i="1"/>
  <c r="U111" i="1"/>
  <c r="U509" i="1"/>
  <c r="S509" i="1"/>
  <c r="T509" i="1"/>
  <c r="R275" i="1"/>
  <c r="U275" i="1"/>
  <c r="S275" i="1"/>
  <c r="T275" i="1"/>
  <c r="R312" i="1"/>
  <c r="U312" i="1"/>
  <c r="S312" i="1"/>
  <c r="T312" i="1"/>
  <c r="S425" i="1"/>
  <c r="T425" i="1"/>
  <c r="U425" i="1"/>
  <c r="R339" i="1"/>
  <c r="T339" i="1"/>
  <c r="S339" i="1"/>
  <c r="U339" i="1"/>
  <c r="R83" i="1"/>
  <c r="U83" i="1"/>
  <c r="T83" i="1"/>
  <c r="S83" i="1"/>
  <c r="R153" i="1"/>
  <c r="S153" i="1"/>
  <c r="T153" i="1"/>
  <c r="U153" i="1"/>
  <c r="R495" i="1"/>
  <c r="T495" i="1"/>
  <c r="U495" i="1"/>
  <c r="S495" i="1"/>
  <c r="R48" i="1"/>
  <c r="S48" i="1"/>
  <c r="U48" i="1"/>
  <c r="T48" i="1"/>
  <c r="R86" i="1"/>
  <c r="T86" i="1"/>
  <c r="S86" i="1"/>
  <c r="U86" i="1"/>
  <c r="R182" i="1"/>
  <c r="T182" i="1"/>
  <c r="S182" i="1"/>
  <c r="U182" i="1"/>
  <c r="R238" i="1"/>
  <c r="S238" i="1"/>
  <c r="U238" i="1"/>
  <c r="T238" i="1"/>
  <c r="R567" i="1"/>
  <c r="T567" i="1"/>
  <c r="U567" i="1"/>
  <c r="S567" i="1"/>
  <c r="R576" i="1"/>
  <c r="T576" i="1"/>
  <c r="S576" i="1"/>
  <c r="U576" i="1"/>
  <c r="R553" i="1"/>
  <c r="S553" i="1"/>
  <c r="T553" i="1"/>
  <c r="U553" i="1"/>
  <c r="R549" i="1"/>
  <c r="U549" i="1"/>
  <c r="S549" i="1"/>
  <c r="T549" i="1"/>
  <c r="R172" i="1"/>
  <c r="U172" i="1"/>
  <c r="T172" i="1"/>
  <c r="S172" i="1"/>
  <c r="S225" i="1"/>
  <c r="U225" i="1"/>
  <c r="T225" i="1"/>
  <c r="T496" i="1"/>
  <c r="U496" i="1"/>
  <c r="S496" i="1"/>
  <c r="R16" i="1"/>
  <c r="S16" i="1"/>
  <c r="T16" i="1"/>
  <c r="U16" i="1"/>
  <c r="R142" i="1"/>
  <c r="T142" i="1"/>
  <c r="U142" i="1"/>
  <c r="S142" i="1"/>
  <c r="R231" i="1"/>
  <c r="S231" i="1"/>
  <c r="T231" i="1"/>
  <c r="U231" i="1"/>
  <c r="R66" i="1"/>
  <c r="S66" i="1"/>
  <c r="T66" i="1"/>
  <c r="U66" i="1"/>
  <c r="R157" i="1"/>
  <c r="S157" i="1"/>
  <c r="T157" i="1"/>
  <c r="U157" i="1"/>
  <c r="U477" i="1"/>
  <c r="S477" i="1"/>
  <c r="T477" i="1"/>
  <c r="R67" i="1"/>
  <c r="U67" i="1"/>
  <c r="S67" i="1"/>
  <c r="T67" i="1"/>
  <c r="R187" i="1"/>
  <c r="U187" i="1"/>
  <c r="S187" i="1"/>
  <c r="T187" i="1"/>
  <c r="R476" i="1"/>
  <c r="U476" i="1"/>
  <c r="S476" i="1"/>
  <c r="T476" i="1"/>
  <c r="R206" i="1"/>
  <c r="T206" i="1"/>
  <c r="U206" i="1"/>
  <c r="S206" i="1"/>
  <c r="R104" i="1"/>
  <c r="U104" i="1"/>
  <c r="S104" i="1"/>
  <c r="T104" i="1"/>
  <c r="R386" i="1"/>
  <c r="S386" i="1"/>
  <c r="T386" i="1"/>
  <c r="U386" i="1"/>
  <c r="R368" i="1"/>
  <c r="U368" i="1"/>
  <c r="S368" i="1"/>
  <c r="T368" i="1"/>
  <c r="R572" i="1"/>
  <c r="U572" i="1"/>
  <c r="S572" i="1"/>
  <c r="T572" i="1"/>
  <c r="T464" i="1"/>
  <c r="U464" i="1"/>
  <c r="S464" i="1"/>
  <c r="R248" i="1"/>
  <c r="S248" i="1"/>
  <c r="U248" i="1"/>
  <c r="T248" i="1"/>
  <c r="R404" i="1"/>
  <c r="U404" i="1"/>
  <c r="T404" i="1"/>
  <c r="S404" i="1"/>
  <c r="R503" i="1"/>
  <c r="T503" i="1"/>
  <c r="U503" i="1"/>
  <c r="S503" i="1"/>
  <c r="R220" i="1"/>
  <c r="U220" i="1"/>
  <c r="T220" i="1"/>
  <c r="S220" i="1"/>
  <c r="T440" i="1"/>
  <c r="S440" i="1"/>
  <c r="U440" i="1"/>
  <c r="R90" i="1"/>
  <c r="S90" i="1"/>
  <c r="U90" i="1"/>
  <c r="T90" i="1"/>
  <c r="R444" i="1"/>
  <c r="U444" i="1"/>
  <c r="S444" i="1"/>
  <c r="T444" i="1"/>
  <c r="R109" i="1"/>
  <c r="T109" i="1"/>
  <c r="U109" i="1"/>
  <c r="S109" i="1"/>
  <c r="R348" i="1"/>
  <c r="T348" i="1"/>
  <c r="S348" i="1"/>
  <c r="U348" i="1"/>
  <c r="R43" i="1"/>
  <c r="U43" i="1"/>
  <c r="S43" i="1"/>
  <c r="T43" i="1"/>
  <c r="R129" i="1"/>
  <c r="S129" i="1"/>
  <c r="U129" i="1"/>
  <c r="T129" i="1"/>
  <c r="R126" i="1"/>
  <c r="T126" i="1"/>
  <c r="S126" i="1"/>
  <c r="U126" i="1"/>
  <c r="R447" i="1"/>
  <c r="T447" i="1"/>
  <c r="U447" i="1"/>
  <c r="S447" i="1"/>
  <c r="R369" i="1"/>
  <c r="U369" i="1"/>
  <c r="S369" i="1"/>
  <c r="T369" i="1"/>
  <c r="R34" i="1"/>
  <c r="S34" i="1"/>
  <c r="U34" i="1"/>
  <c r="T34" i="1"/>
  <c r="R328" i="1"/>
  <c r="U328" i="1"/>
  <c r="S328" i="1"/>
  <c r="T328" i="1"/>
  <c r="S326" i="1"/>
  <c r="T326" i="1"/>
  <c r="U326" i="1"/>
  <c r="R51" i="1"/>
  <c r="U51" i="1"/>
  <c r="T51" i="1"/>
  <c r="S51" i="1"/>
  <c r="S466" i="1"/>
  <c r="T466" i="1"/>
  <c r="U466" i="1"/>
  <c r="R324" i="1"/>
  <c r="T324" i="1"/>
  <c r="S324" i="1"/>
  <c r="U324" i="1"/>
  <c r="S498" i="1"/>
  <c r="T498" i="1"/>
  <c r="U498" i="1"/>
  <c r="R283" i="1"/>
  <c r="U283" i="1"/>
  <c r="S283" i="1"/>
  <c r="T283" i="1"/>
  <c r="R27" i="1"/>
  <c r="U27" i="1"/>
  <c r="T27" i="1"/>
  <c r="S27" i="1"/>
  <c r="R40" i="1"/>
  <c r="U40" i="1"/>
  <c r="S40" i="1"/>
  <c r="T40" i="1"/>
  <c r="S310" i="1"/>
  <c r="T310" i="1"/>
  <c r="U310" i="1"/>
  <c r="S272" i="1"/>
  <c r="T272" i="1"/>
  <c r="U272" i="1"/>
  <c r="R300" i="1"/>
  <c r="T300" i="1"/>
  <c r="S300" i="1"/>
  <c r="U300" i="1"/>
  <c r="R318" i="1"/>
  <c r="S318" i="1"/>
  <c r="U318" i="1"/>
  <c r="T318" i="1"/>
  <c r="R173" i="1"/>
  <c r="S173" i="1"/>
  <c r="U173" i="1"/>
  <c r="T173" i="1"/>
  <c r="R401" i="1"/>
  <c r="S401" i="1"/>
  <c r="T401" i="1"/>
  <c r="U401" i="1"/>
  <c r="U309" i="1"/>
  <c r="S309" i="1"/>
  <c r="T309" i="1"/>
  <c r="S502" i="1"/>
  <c r="T502" i="1"/>
  <c r="U502" i="1"/>
  <c r="U429" i="1"/>
  <c r="S429" i="1"/>
  <c r="T429" i="1"/>
  <c r="R116" i="1"/>
  <c r="U116" i="1"/>
  <c r="S116" i="1"/>
  <c r="T116" i="1"/>
  <c r="R293" i="1"/>
  <c r="U293" i="1"/>
  <c r="S293" i="1"/>
  <c r="T293" i="1"/>
  <c r="R13" i="1"/>
  <c r="S13" i="1"/>
  <c r="T13" i="1"/>
  <c r="U13" i="1"/>
  <c r="U489" i="1"/>
  <c r="S489" i="1"/>
  <c r="T489" i="1"/>
  <c r="S418" i="1"/>
  <c r="T418" i="1"/>
  <c r="U418" i="1"/>
  <c r="R347" i="1"/>
  <c r="T347" i="1"/>
  <c r="U347" i="1"/>
  <c r="S347" i="1"/>
  <c r="R91" i="1"/>
  <c r="U91" i="1"/>
  <c r="T91" i="1"/>
  <c r="S91" i="1"/>
  <c r="R288" i="1"/>
  <c r="U288" i="1"/>
  <c r="T288" i="1"/>
  <c r="S288" i="1"/>
  <c r="R381" i="1"/>
  <c r="U381" i="1"/>
  <c r="S381" i="1"/>
  <c r="T381" i="1"/>
  <c r="U389" i="1"/>
  <c r="S389" i="1"/>
  <c r="T389" i="1"/>
  <c r="U341" i="1"/>
  <c r="S341" i="1"/>
  <c r="T341" i="1"/>
  <c r="R340" i="1"/>
  <c r="T340" i="1"/>
  <c r="U340" i="1"/>
  <c r="S340" i="1"/>
  <c r="R84" i="1"/>
  <c r="U84" i="1"/>
  <c r="T84" i="1"/>
  <c r="S84" i="1"/>
  <c r="R261" i="1"/>
  <c r="T261" i="1"/>
  <c r="U261" i="1"/>
  <c r="S261" i="1"/>
  <c r="R5" i="1"/>
  <c r="T5" i="1"/>
  <c r="S5" i="1"/>
  <c r="U5" i="1"/>
  <c r="R154" i="1"/>
  <c r="S154" i="1"/>
  <c r="U154" i="1"/>
  <c r="T154" i="1"/>
  <c r="R359" i="1"/>
  <c r="S359" i="1"/>
  <c r="U359" i="1"/>
  <c r="T359" i="1"/>
  <c r="R103" i="1"/>
  <c r="T103" i="1"/>
  <c r="U103" i="1"/>
  <c r="S103" i="1"/>
  <c r="R122" i="1"/>
  <c r="S122" i="1"/>
  <c r="U122" i="1"/>
  <c r="T122" i="1"/>
  <c r="R271" i="1"/>
  <c r="S271" i="1"/>
  <c r="T271" i="1"/>
  <c r="U271" i="1"/>
  <c r="R15" i="1"/>
  <c r="T15" i="1"/>
  <c r="S15" i="1"/>
  <c r="U15" i="1"/>
  <c r="S442" i="1"/>
  <c r="T442" i="1"/>
  <c r="U442" i="1"/>
  <c r="R407" i="1"/>
  <c r="T407" i="1"/>
  <c r="U407" i="1"/>
  <c r="S407" i="1"/>
  <c r="R151" i="1"/>
  <c r="T151" i="1"/>
  <c r="S151" i="1"/>
  <c r="U151" i="1"/>
  <c r="S510" i="1"/>
  <c r="T510" i="1"/>
  <c r="U510" i="1"/>
  <c r="R356" i="1"/>
  <c r="T356" i="1"/>
  <c r="S356" i="1"/>
  <c r="U356" i="1"/>
  <c r="R100" i="1"/>
  <c r="U100" i="1"/>
  <c r="S100" i="1"/>
  <c r="T100" i="1"/>
  <c r="R349" i="1"/>
  <c r="S349" i="1"/>
  <c r="U349" i="1"/>
  <c r="T349" i="1"/>
  <c r="R29" i="1"/>
  <c r="S29" i="1"/>
  <c r="T29" i="1"/>
  <c r="U29" i="1"/>
  <c r="R170" i="1"/>
  <c r="S170" i="1"/>
  <c r="U170" i="1"/>
  <c r="T170" i="1"/>
  <c r="R343" i="1"/>
  <c r="S343" i="1"/>
  <c r="U343" i="1"/>
  <c r="T343" i="1"/>
  <c r="R87" i="1"/>
  <c r="T87" i="1"/>
  <c r="S87" i="1"/>
  <c r="U87" i="1"/>
  <c r="S414" i="1"/>
  <c r="T414" i="1"/>
  <c r="U414" i="1"/>
  <c r="R251" i="1"/>
  <c r="T251" i="1"/>
  <c r="S251" i="1"/>
  <c r="U251" i="1"/>
  <c r="R232" i="1"/>
  <c r="S232" i="1"/>
  <c r="T232" i="1"/>
  <c r="U232" i="1"/>
  <c r="T424" i="1"/>
  <c r="S424" i="1"/>
  <c r="U424" i="1"/>
  <c r="R315" i="1"/>
  <c r="T315" i="1"/>
  <c r="U315" i="1"/>
  <c r="S315" i="1"/>
  <c r="R59" i="1"/>
  <c r="U59" i="1"/>
  <c r="S59" i="1"/>
  <c r="T59" i="1"/>
  <c r="R360" i="1"/>
  <c r="U360" i="1"/>
  <c r="S360" i="1"/>
  <c r="T360" i="1"/>
  <c r="R58" i="1"/>
  <c r="S58" i="1"/>
  <c r="U58" i="1"/>
  <c r="T58" i="1"/>
  <c r="R258" i="1"/>
  <c r="U258" i="1"/>
  <c r="S258" i="1"/>
  <c r="T258" i="1"/>
  <c r="R265" i="1"/>
  <c r="U265" i="1"/>
  <c r="T265" i="1"/>
  <c r="S265" i="1"/>
  <c r="R78" i="1"/>
  <c r="T78" i="1"/>
  <c r="U78" i="1"/>
  <c r="S78" i="1"/>
  <c r="R354" i="1"/>
  <c r="U354" i="1"/>
  <c r="S354" i="1"/>
  <c r="T354" i="1"/>
  <c r="T472" i="1"/>
  <c r="S472" i="1"/>
  <c r="U472" i="1"/>
  <c r="R487" i="1"/>
  <c r="T487" i="1"/>
  <c r="U487" i="1"/>
  <c r="S487" i="1"/>
  <c r="R394" i="1"/>
  <c r="S394" i="1"/>
  <c r="T394" i="1"/>
  <c r="U394" i="1"/>
  <c r="R362" i="1"/>
  <c r="S362" i="1"/>
  <c r="T362" i="1"/>
  <c r="U362" i="1"/>
  <c r="R208" i="1"/>
  <c r="S208" i="1"/>
  <c r="U208" i="1"/>
  <c r="T208" i="1"/>
  <c r="R370" i="1"/>
  <c r="T370" i="1"/>
  <c r="U370" i="1"/>
  <c r="S370" i="1"/>
  <c r="R504" i="1"/>
  <c r="T504" i="1"/>
  <c r="S504" i="1"/>
  <c r="U504" i="1"/>
  <c r="R338" i="1"/>
  <c r="T338" i="1"/>
  <c r="U338" i="1"/>
  <c r="S338" i="1"/>
  <c r="R186" i="1"/>
  <c r="S186" i="1"/>
  <c r="U186" i="1"/>
  <c r="T186" i="1"/>
  <c r="R10" i="1"/>
  <c r="S10" i="1"/>
  <c r="T10" i="1"/>
  <c r="U10" i="1"/>
  <c r="R320" i="1"/>
  <c r="U320" i="1"/>
  <c r="T320" i="1"/>
  <c r="S320" i="1"/>
  <c r="R158" i="1"/>
  <c r="T158" i="1"/>
  <c r="S158" i="1"/>
  <c r="U158" i="1"/>
  <c r="R554" i="1"/>
  <c r="S554" i="1"/>
  <c r="T554" i="1"/>
  <c r="U554" i="1"/>
  <c r="R563" i="1"/>
  <c r="S563" i="1"/>
  <c r="T563" i="1"/>
  <c r="U563" i="1"/>
  <c r="R569" i="1"/>
  <c r="S569" i="1"/>
  <c r="T569" i="1"/>
  <c r="U569" i="1"/>
  <c r="R535" i="1"/>
  <c r="T535" i="1"/>
  <c r="U535" i="1"/>
  <c r="S535" i="1"/>
  <c r="R548" i="1"/>
  <c r="U548" i="1"/>
  <c r="S548" i="1"/>
  <c r="T548" i="1"/>
  <c r="R556" i="1"/>
  <c r="U556" i="1"/>
  <c r="S556" i="1"/>
  <c r="T556" i="1"/>
  <c r="R541" i="1"/>
  <c r="U541" i="1"/>
  <c r="S541" i="1"/>
  <c r="T541" i="1"/>
  <c r="R571" i="1"/>
  <c r="S571" i="1"/>
  <c r="U571" i="1"/>
  <c r="T571" i="1"/>
  <c r="R559" i="1"/>
  <c r="T559" i="1"/>
  <c r="U559" i="1"/>
  <c r="S559" i="1"/>
  <c r="R552" i="1"/>
  <c r="T552" i="1"/>
  <c r="S552" i="1"/>
  <c r="U552" i="1"/>
  <c r="R566" i="1"/>
  <c r="U566" i="1"/>
  <c r="S566" i="1"/>
  <c r="T566" i="1"/>
  <c r="R514" i="1"/>
  <c r="S514" i="1"/>
  <c r="T514" i="1"/>
  <c r="U514" i="1"/>
  <c r="R459" i="1"/>
  <c r="S459" i="1"/>
  <c r="T459" i="1"/>
  <c r="U459" i="1"/>
  <c r="R88" i="1"/>
  <c r="T88" i="1"/>
  <c r="U88" i="1"/>
  <c r="S88" i="1"/>
  <c r="U469" i="1"/>
  <c r="S469" i="1"/>
  <c r="T469" i="1"/>
  <c r="R11" i="1"/>
  <c r="U11" i="1"/>
  <c r="S11" i="1"/>
  <c r="T11" i="1"/>
  <c r="R411" i="1"/>
  <c r="S411" i="1"/>
  <c r="T411" i="1"/>
  <c r="U411" i="1"/>
  <c r="S454" i="1"/>
  <c r="T454" i="1"/>
  <c r="U454" i="1"/>
  <c r="R31" i="1"/>
  <c r="T31" i="1"/>
  <c r="S31" i="1"/>
  <c r="U31" i="1"/>
  <c r="R198" i="1"/>
  <c r="T198" i="1"/>
  <c r="S198" i="1"/>
  <c r="U198" i="1"/>
  <c r="R475" i="1"/>
  <c r="S475" i="1"/>
  <c r="T475" i="1"/>
  <c r="U475" i="1"/>
  <c r="U481" i="1"/>
  <c r="T481" i="1"/>
  <c r="S481" i="1"/>
  <c r="R212" i="1"/>
  <c r="U212" i="1"/>
  <c r="S212" i="1"/>
  <c r="T212" i="1"/>
  <c r="R508" i="1"/>
  <c r="U508" i="1"/>
  <c r="S508" i="1"/>
  <c r="T508" i="1"/>
  <c r="R399" i="1"/>
  <c r="T399" i="1"/>
  <c r="U399" i="1"/>
  <c r="S399" i="1"/>
  <c r="R279" i="1"/>
  <c r="S279" i="1"/>
  <c r="T279" i="1"/>
  <c r="U279" i="1"/>
  <c r="R484" i="1"/>
  <c r="U484" i="1"/>
  <c r="S484" i="1"/>
  <c r="T484" i="1"/>
  <c r="R471" i="1"/>
  <c r="T471" i="1"/>
  <c r="U471" i="1"/>
  <c r="S471" i="1"/>
  <c r="R379" i="1"/>
  <c r="S379" i="1"/>
  <c r="U379" i="1"/>
  <c r="T379" i="1"/>
  <c r="R443" i="1"/>
  <c r="S443" i="1"/>
  <c r="U443" i="1"/>
  <c r="T443" i="1"/>
  <c r="R64" i="1"/>
  <c r="T64" i="1"/>
  <c r="U64" i="1"/>
  <c r="S64" i="1"/>
  <c r="R290" i="1"/>
  <c r="U290" i="1"/>
  <c r="S290" i="1"/>
  <c r="T290" i="1"/>
  <c r="R376" i="1"/>
  <c r="T376" i="1"/>
  <c r="S376" i="1"/>
  <c r="U376" i="1"/>
  <c r="R89" i="1"/>
  <c r="S89" i="1"/>
  <c r="T89" i="1"/>
  <c r="U89" i="1"/>
  <c r="R280" i="1"/>
  <c r="S280" i="1"/>
  <c r="T280" i="1"/>
  <c r="U280" i="1"/>
  <c r="R218" i="1"/>
  <c r="S218" i="1"/>
  <c r="U218" i="1"/>
  <c r="T218" i="1"/>
  <c r="R217" i="1"/>
  <c r="S217" i="1"/>
  <c r="T217" i="1"/>
  <c r="U217" i="1"/>
  <c r="R565" i="1"/>
  <c r="U565" i="1"/>
  <c r="S565" i="1"/>
  <c r="T565" i="1"/>
  <c r="R517" i="1"/>
  <c r="U517" i="1"/>
  <c r="S517" i="1"/>
  <c r="T517" i="1"/>
  <c r="R524" i="1"/>
  <c r="U524" i="1"/>
  <c r="T524" i="1"/>
  <c r="S524" i="1"/>
  <c r="R539" i="1"/>
  <c r="S539" i="1"/>
  <c r="T539" i="1"/>
  <c r="U539" i="1"/>
  <c r="R546" i="1"/>
  <c r="S546" i="1"/>
  <c r="T546" i="1"/>
  <c r="U546" i="1"/>
  <c r="S334" i="1"/>
  <c r="U334" i="1"/>
  <c r="T334" i="1"/>
  <c r="R99" i="1"/>
  <c r="U99" i="1"/>
  <c r="S99" i="1"/>
  <c r="T99" i="1"/>
  <c r="U421" i="1"/>
  <c r="S421" i="1"/>
  <c r="T421" i="1"/>
  <c r="R6" i="1"/>
  <c r="T6" i="1"/>
  <c r="U6" i="1"/>
  <c r="S6" i="1"/>
  <c r="U461" i="1"/>
  <c r="S461" i="1"/>
  <c r="T461" i="1"/>
  <c r="R150" i="1"/>
  <c r="T150" i="1"/>
  <c r="S150" i="1"/>
  <c r="U150" i="1"/>
  <c r="S478" i="1"/>
  <c r="T478" i="1"/>
  <c r="U478" i="1"/>
  <c r="R419" i="1"/>
  <c r="S419" i="1"/>
  <c r="U419" i="1"/>
  <c r="T419" i="1"/>
  <c r="R277" i="1"/>
  <c r="T277" i="1"/>
  <c r="U277" i="1"/>
  <c r="S277" i="1"/>
  <c r="S506" i="1"/>
  <c r="T506" i="1"/>
  <c r="U506" i="1"/>
  <c r="R94" i="1"/>
  <c r="T94" i="1"/>
  <c r="S94" i="1"/>
  <c r="U94" i="1"/>
  <c r="R463" i="1"/>
  <c r="T463" i="1"/>
  <c r="U463" i="1"/>
  <c r="S463" i="1"/>
  <c r="R375" i="1"/>
  <c r="T375" i="1"/>
  <c r="U375" i="1"/>
  <c r="S375" i="1"/>
  <c r="R185" i="1"/>
  <c r="S185" i="1"/>
  <c r="T185" i="1"/>
  <c r="U185" i="1"/>
  <c r="R460" i="1"/>
  <c r="U460" i="1"/>
  <c r="T460" i="1"/>
  <c r="S460" i="1"/>
  <c r="R101" i="1"/>
  <c r="T101" i="1"/>
  <c r="U101" i="1"/>
  <c r="S101" i="1"/>
  <c r="R191" i="1"/>
  <c r="T191" i="1"/>
  <c r="S191" i="1"/>
  <c r="U191" i="1"/>
  <c r="R138" i="1"/>
  <c r="S138" i="1"/>
  <c r="T138" i="1"/>
  <c r="U138" i="1"/>
  <c r="R131" i="1"/>
  <c r="U131" i="1"/>
  <c r="T131" i="1"/>
  <c r="S131" i="1"/>
  <c r="R420" i="1"/>
  <c r="U420" i="1"/>
  <c r="S420" i="1"/>
  <c r="T420" i="1"/>
  <c r="R2" i="1"/>
  <c r="U2" i="1"/>
  <c r="T2" i="1"/>
  <c r="S2" i="1"/>
  <c r="R516" i="1"/>
  <c r="U516" i="1"/>
  <c r="S516" i="1"/>
  <c r="T516" i="1"/>
  <c r="R564" i="1"/>
  <c r="U564" i="1"/>
  <c r="T564" i="1"/>
  <c r="S564" i="1"/>
  <c r="S382" i="1"/>
  <c r="T382" i="1"/>
  <c r="U382" i="1"/>
  <c r="R307" i="1"/>
  <c r="T307" i="1"/>
  <c r="S307" i="1"/>
  <c r="U307" i="1"/>
  <c r="R96" i="1"/>
  <c r="T96" i="1"/>
  <c r="U96" i="1"/>
  <c r="S96" i="1"/>
  <c r="T456" i="1"/>
  <c r="U456" i="1"/>
  <c r="S456" i="1"/>
  <c r="S465" i="1"/>
  <c r="T465" i="1"/>
  <c r="U465" i="1"/>
  <c r="U417" i="1"/>
  <c r="S417" i="1"/>
  <c r="T417" i="1"/>
  <c r="R483" i="1"/>
  <c r="S483" i="1"/>
  <c r="U483" i="1"/>
  <c r="T483" i="1"/>
  <c r="R227" i="1"/>
  <c r="U227" i="1"/>
  <c r="T227" i="1"/>
  <c r="S227" i="1"/>
  <c r="R201" i="1"/>
  <c r="S201" i="1"/>
  <c r="U201" i="1"/>
  <c r="T201" i="1"/>
  <c r="R294" i="1"/>
  <c r="S294" i="1"/>
  <c r="T294" i="1"/>
  <c r="U294" i="1"/>
  <c r="T513" i="1"/>
  <c r="U513" i="1"/>
  <c r="S513" i="1"/>
  <c r="U493" i="1"/>
  <c r="S493" i="1"/>
  <c r="T493" i="1"/>
  <c r="R276" i="1"/>
  <c r="T276" i="1"/>
  <c r="U276" i="1"/>
  <c r="S276" i="1"/>
  <c r="R262" i="1"/>
  <c r="U262" i="1"/>
  <c r="T262" i="1"/>
  <c r="S262" i="1"/>
  <c r="R149" i="1"/>
  <c r="U149" i="1"/>
  <c r="S149" i="1"/>
  <c r="T149" i="1"/>
  <c r="R200" i="1"/>
  <c r="U200" i="1"/>
  <c r="S200" i="1"/>
  <c r="T200" i="1"/>
  <c r="U501" i="1"/>
  <c r="S501" i="1"/>
  <c r="T501" i="1"/>
  <c r="S426" i="1"/>
  <c r="T426" i="1"/>
  <c r="U426" i="1"/>
  <c r="R313" i="1"/>
  <c r="U313" i="1"/>
  <c r="T313" i="1"/>
  <c r="S313" i="1"/>
  <c r="R92" i="1"/>
  <c r="U92" i="1"/>
  <c r="S92" i="1"/>
  <c r="T92" i="1"/>
  <c r="R245" i="1"/>
  <c r="T245" i="1"/>
  <c r="U245" i="1"/>
  <c r="S245" i="1"/>
  <c r="R106" i="1"/>
  <c r="S106" i="1"/>
  <c r="U106" i="1"/>
  <c r="T106" i="1"/>
  <c r="S441" i="1"/>
  <c r="T441" i="1"/>
  <c r="U441" i="1"/>
  <c r="R65" i="1"/>
  <c r="S65" i="1"/>
  <c r="U65" i="1"/>
  <c r="T65" i="1"/>
  <c r="R291" i="1"/>
  <c r="T291" i="1"/>
  <c r="S291" i="1"/>
  <c r="U291" i="1"/>
  <c r="R35" i="1"/>
  <c r="U35" i="1"/>
  <c r="S35" i="1"/>
  <c r="T35" i="1"/>
  <c r="R224" i="1"/>
  <c r="T224" i="1"/>
  <c r="U224" i="1"/>
  <c r="S224" i="1"/>
  <c r="R160" i="1"/>
  <c r="T160" i="1"/>
  <c r="U160" i="1"/>
  <c r="S160" i="1"/>
  <c r="S433" i="1"/>
  <c r="T433" i="1"/>
  <c r="U433" i="1"/>
  <c r="R512" i="1"/>
  <c r="T512" i="1"/>
  <c r="S512" i="1"/>
  <c r="U512" i="1"/>
  <c r="R316" i="1"/>
  <c r="T316" i="1"/>
  <c r="S316" i="1"/>
  <c r="U316" i="1"/>
  <c r="R366" i="1"/>
  <c r="S366" i="1"/>
  <c r="U366" i="1"/>
  <c r="T366" i="1"/>
  <c r="R237" i="1"/>
  <c r="T237" i="1"/>
  <c r="U237" i="1"/>
  <c r="S237" i="1"/>
  <c r="R52" i="1"/>
  <c r="U52" i="1"/>
  <c r="T52" i="1"/>
  <c r="S52" i="1"/>
  <c r="R74" i="1"/>
  <c r="S74" i="1"/>
  <c r="U74" i="1"/>
  <c r="T74" i="1"/>
  <c r="R335" i="1"/>
  <c r="S335" i="1"/>
  <c r="U335" i="1"/>
  <c r="T335" i="1"/>
  <c r="R79" i="1"/>
  <c r="T79" i="1"/>
  <c r="S79" i="1"/>
  <c r="U79" i="1"/>
  <c r="R50" i="1"/>
  <c r="S50" i="1"/>
  <c r="T50" i="1"/>
  <c r="U50" i="1"/>
  <c r="R247" i="1"/>
  <c r="S247" i="1"/>
  <c r="T247" i="1"/>
  <c r="U247" i="1"/>
  <c r="R304" i="1"/>
  <c r="U304" i="1"/>
  <c r="S304" i="1"/>
  <c r="T304" i="1"/>
  <c r="R378" i="1"/>
  <c r="S378" i="1"/>
  <c r="T378" i="1"/>
  <c r="U378" i="1"/>
  <c r="R383" i="1"/>
  <c r="T383" i="1"/>
  <c r="U383" i="1"/>
  <c r="S383" i="1"/>
  <c r="R127" i="1"/>
  <c r="T127" i="1"/>
  <c r="S127" i="1"/>
  <c r="U127" i="1"/>
  <c r="U485" i="1"/>
  <c r="S485" i="1"/>
  <c r="T485" i="1"/>
  <c r="R332" i="1"/>
  <c r="T332" i="1"/>
  <c r="U332" i="1"/>
  <c r="S332" i="1"/>
  <c r="R76" i="1"/>
  <c r="U76" i="1"/>
  <c r="T76" i="1"/>
  <c r="S76" i="1"/>
  <c r="R229" i="1"/>
  <c r="T229" i="1"/>
  <c r="S229" i="1"/>
  <c r="U229" i="1"/>
  <c r="R193" i="1"/>
  <c r="S193" i="1"/>
  <c r="U193" i="1"/>
  <c r="T193" i="1"/>
  <c r="R98" i="1"/>
  <c r="S98" i="1"/>
  <c r="T98" i="1"/>
  <c r="U98" i="1"/>
  <c r="R319" i="1"/>
  <c r="S319" i="1"/>
  <c r="T319" i="1"/>
  <c r="U319" i="1"/>
  <c r="R63" i="1"/>
  <c r="T63" i="1"/>
  <c r="U63" i="1"/>
  <c r="S63" i="1"/>
  <c r="R451" i="1"/>
  <c r="S451" i="1"/>
  <c r="T451" i="1"/>
  <c r="U451" i="1"/>
  <c r="R195" i="1"/>
  <c r="U195" i="1"/>
  <c r="S195" i="1"/>
  <c r="T195" i="1"/>
  <c r="R184" i="1"/>
  <c r="S184" i="1"/>
  <c r="T184" i="1"/>
  <c r="U184" i="1"/>
  <c r="S285" i="1"/>
  <c r="T285" i="1"/>
  <c r="U285" i="1"/>
  <c r="R259" i="1"/>
  <c r="S259" i="1"/>
  <c r="U259" i="1"/>
  <c r="T259" i="1"/>
  <c r="R3" i="1"/>
  <c r="U3" i="1"/>
  <c r="S3" i="1"/>
  <c r="T3" i="1"/>
  <c r="R264" i="1"/>
  <c r="S264" i="1"/>
  <c r="T264" i="1"/>
  <c r="U264" i="1"/>
  <c r="R393" i="1"/>
  <c r="U393" i="1"/>
  <c r="S393" i="1"/>
  <c r="T393" i="1"/>
  <c r="R113" i="1"/>
  <c r="S113" i="1"/>
  <c r="U113" i="1"/>
  <c r="T113" i="1"/>
  <c r="R256" i="1"/>
  <c r="S256" i="1"/>
  <c r="U256" i="1"/>
  <c r="T256" i="1"/>
  <c r="R102" i="1"/>
  <c r="T102" i="1"/>
  <c r="S102" i="1"/>
  <c r="U102" i="1"/>
  <c r="R130" i="1"/>
  <c r="S130" i="1"/>
  <c r="T130" i="1"/>
  <c r="U130" i="1"/>
  <c r="R575" i="1"/>
  <c r="T575" i="1"/>
  <c r="U575" i="1"/>
  <c r="S575" i="1"/>
  <c r="R557" i="1"/>
  <c r="U557" i="1"/>
  <c r="S557" i="1"/>
  <c r="T557" i="1"/>
  <c r="R519" i="1"/>
  <c r="T519" i="1"/>
  <c r="U519" i="1"/>
  <c r="S519" i="1"/>
  <c r="R531" i="1"/>
  <c r="S531" i="1"/>
  <c r="T531" i="1"/>
  <c r="U531" i="1"/>
  <c r="R405" i="1"/>
  <c r="R334" i="1"/>
  <c r="R482" i="1"/>
  <c r="R382" i="1"/>
  <c r="R465" i="1"/>
  <c r="R417" i="1"/>
  <c r="R121" i="1"/>
  <c r="R453" i="1"/>
  <c r="R450" i="1"/>
  <c r="R464" i="1"/>
  <c r="R416" i="1"/>
  <c r="R326" i="1"/>
  <c r="R498" i="1"/>
  <c r="R286" i="1"/>
  <c r="R466" i="1"/>
  <c r="R310" i="1"/>
  <c r="R513" i="1"/>
  <c r="R457" i="1"/>
  <c r="R454" i="1"/>
  <c r="R421" i="1"/>
  <c r="R434" i="1"/>
  <c r="R456" i="1"/>
  <c r="R272" i="1"/>
  <c r="R493" i="1"/>
  <c r="R273" i="1"/>
  <c r="R317" i="1"/>
  <c r="R309" i="1"/>
  <c r="R501" i="1"/>
  <c r="R505" i="1"/>
  <c r="R249" i="1"/>
  <c r="R430" i="1"/>
  <c r="R461" i="1"/>
  <c r="R458" i="1"/>
  <c r="R502" i="1"/>
  <c r="R426" i="1"/>
  <c r="R469" i="1"/>
  <c r="R497" i="1"/>
  <c r="R225" i="1"/>
  <c r="R57" i="1"/>
  <c r="R357" i="1"/>
  <c r="R486" i="1"/>
  <c r="R429" i="1"/>
  <c r="R478" i="1"/>
  <c r="R494" i="1"/>
  <c r="R437" i="1"/>
  <c r="R489" i="1"/>
  <c r="R441" i="1"/>
  <c r="R209" i="1"/>
  <c r="R41" i="1"/>
  <c r="R496" i="1"/>
  <c r="R440" i="1"/>
  <c r="R462" i="1"/>
  <c r="R413" i="1"/>
  <c r="R418" i="1"/>
  <c r="R422" i="1"/>
  <c r="R301" i="1"/>
  <c r="R481" i="1"/>
  <c r="R490" i="1"/>
  <c r="R365" i="1"/>
  <c r="R470" i="1"/>
  <c r="R389" i="1"/>
  <c r="R433" i="1"/>
  <c r="R169" i="1"/>
  <c r="R17" i="1"/>
  <c r="R302" i="1"/>
  <c r="R506" i="1"/>
  <c r="R432" i="1"/>
  <c r="R438" i="1"/>
  <c r="R341" i="1"/>
  <c r="R406" i="1"/>
  <c r="R442" i="1"/>
  <c r="R445" i="1"/>
  <c r="R473" i="1"/>
  <c r="R510" i="1"/>
  <c r="R485" i="1"/>
  <c r="R474" i="1"/>
  <c r="R358" i="1"/>
  <c r="R477" i="1"/>
  <c r="R446" i="1"/>
  <c r="R161" i="1"/>
  <c r="R509" i="1"/>
  <c r="R414" i="1"/>
  <c r="R333" i="1"/>
  <c r="R425" i="1"/>
  <c r="R424" i="1"/>
  <c r="R285" i="1"/>
  <c r="R449" i="1"/>
  <c r="R145" i="1"/>
  <c r="R472" i="1"/>
  <c r="R448" i="1"/>
</calcChain>
</file>

<file path=xl/sharedStrings.xml><?xml version="1.0" encoding="utf-8"?>
<sst xmlns="http://schemas.openxmlformats.org/spreadsheetml/2006/main" count="5440" uniqueCount="57">
  <si>
    <t>Image</t>
  </si>
  <si>
    <t>PSF</t>
  </si>
  <si>
    <t>PSF size</t>
  </si>
  <si>
    <t>Base ISO</t>
  </si>
  <si>
    <t>Input ISO</t>
  </si>
  <si>
    <t>Lambda</t>
  </si>
  <si>
    <t>Gamma</t>
  </si>
  <si>
    <t>Noise VAR est</t>
  </si>
  <si>
    <t>Blur VAR est</t>
  </si>
  <si>
    <t>Noisy SNR</t>
  </si>
  <si>
    <t>Blur SNR</t>
  </si>
  <si>
    <t>TICO09 SNR</t>
  </si>
  <si>
    <t>SROU03 SNR</t>
  </si>
  <si>
    <t>BM3D SNR</t>
  </si>
  <si>
    <t>lena256</t>
  </si>
  <si>
    <t>blurkernel7</t>
  </si>
  <si>
    <t>blurkernel8</t>
  </si>
  <si>
    <t>line</t>
  </si>
  <si>
    <t>blurkernel10</t>
  </si>
  <si>
    <t>tree256</t>
  </si>
  <si>
    <t>text256</t>
  </si>
  <si>
    <t>castle256</t>
  </si>
  <si>
    <t>Case string</t>
  </si>
  <si>
    <t>BEST</t>
  </si>
  <si>
    <t>TICO09</t>
  </si>
  <si>
    <t>SROU03</t>
  </si>
  <si>
    <t>BM3D</t>
  </si>
  <si>
    <t>Blurred</t>
  </si>
  <si>
    <t>Noisy</t>
  </si>
  <si>
    <t>DEGREE</t>
  </si>
  <si>
    <t>Column Labels</t>
  </si>
  <si>
    <t>Grand Total</t>
  </si>
  <si>
    <t>Row Labels</t>
  </si>
  <si>
    <t>Average of BM3D</t>
  </si>
  <si>
    <t>Average of TICO09</t>
  </si>
  <si>
    <t>Values</t>
  </si>
  <si>
    <t>Average of SROU03</t>
  </si>
  <si>
    <t>Name</t>
  </si>
  <si>
    <t>Matlab code</t>
  </si>
  <si>
    <t>Matlab matrix</t>
  </si>
  <si>
    <t>BEST - color</t>
  </si>
  <si>
    <t>Max of BM3D</t>
  </si>
  <si>
    <t>String</t>
  </si>
  <si>
    <t>Code</t>
  </si>
  <si>
    <t>R</t>
  </si>
  <si>
    <t>G</t>
  </si>
  <si>
    <t>B</t>
  </si>
  <si>
    <t>BEST - value</t>
  </si>
  <si>
    <t>Max of B</t>
  </si>
  <si>
    <t>Max of R</t>
  </si>
  <si>
    <t>Max of G</t>
  </si>
  <si>
    <t xml:space="preserve"> </t>
  </si>
  <si>
    <t>RGB</t>
  </si>
  <si>
    <t>Max of BEST - color</t>
  </si>
  <si>
    <t>avg_methods_vs_ISO.eps</t>
  </si>
  <si>
    <t>avg_methods_vs_ISO_psf_size.eps</t>
  </si>
  <si>
    <t>TeX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</si>
</sst>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18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0" fontId="16" fillId="33" borderId="0" xfId="0" applyFont="1" applyFill="1"/>
    <xf numFmtId="0" fontId="18" fillId="0" borderId="0" xfId="0" applyFont="1"/>
    <xf numFmtId="0" fontId="18" fillId="0" borderId="0" xfId="0" applyFont="1" applyFill="1"/>
    <xf numFmtId="0" fontId="18" fillId="34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Check Cell" xfId="13" builtinId="23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DATA.xlsm]BM3D - average SNR vs ISO!PivotTable1</c:name>
    <c:fmtId val="2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'BM3D - average SNR vs ISO'!$B$3:$B$4</c:f>
              <c:strCache>
                <c:ptCount val="1"/>
                <c:pt idx="0">
                  <c:v>castle256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ISO'!$B$5:$B$14</c:f>
              <c:numCache>
                <c:formatCode>General</c:formatCode>
                <c:ptCount val="9"/>
                <c:pt idx="0">
                  <c:v>34.483731249999991</c:v>
                </c:pt>
                <c:pt idx="1">
                  <c:v>31.828681249999995</c:v>
                </c:pt>
                <c:pt idx="2">
                  <c:v>29.191168750000006</c:v>
                </c:pt>
                <c:pt idx="3">
                  <c:v>26.585050000000003</c:v>
                </c:pt>
                <c:pt idx="4">
                  <c:v>24.003187500000003</c:v>
                </c:pt>
                <c:pt idx="5">
                  <c:v>21.431412500000004</c:v>
                </c:pt>
                <c:pt idx="6">
                  <c:v>18.9976375</c:v>
                </c:pt>
                <c:pt idx="7">
                  <c:v>16.70505</c:v>
                </c:pt>
                <c:pt idx="8">
                  <c:v>12.460118750000001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'BM3D - average SNR vs ISO'!$C$3:$C$4</c:f>
              <c:strCache>
                <c:ptCount val="1"/>
                <c:pt idx="0">
                  <c:v>lena256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ISO'!$C$5:$C$14</c:f>
              <c:numCache>
                <c:formatCode>General</c:formatCode>
                <c:ptCount val="9"/>
                <c:pt idx="0">
                  <c:v>34.85145</c:v>
                </c:pt>
                <c:pt idx="1">
                  <c:v>32.256018749999996</c:v>
                </c:pt>
                <c:pt idx="2">
                  <c:v>29.82978125</c:v>
                </c:pt>
                <c:pt idx="3">
                  <c:v>27.487743749999996</c:v>
                </c:pt>
                <c:pt idx="4">
                  <c:v>25.22189375</c:v>
                </c:pt>
                <c:pt idx="5">
                  <c:v>22.98978125</c:v>
                </c:pt>
                <c:pt idx="6">
                  <c:v>20.760456250000004</c:v>
                </c:pt>
                <c:pt idx="7">
                  <c:v>18.472468750000004</c:v>
                </c:pt>
                <c:pt idx="8">
                  <c:v>13.780525000000001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'BM3D - average SNR vs ISO'!$D$3:$D$4</c:f>
              <c:strCache>
                <c:ptCount val="1"/>
                <c:pt idx="0">
                  <c:v>text256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ISO'!$D$5:$D$14</c:f>
              <c:numCache>
                <c:formatCode>General</c:formatCode>
                <c:ptCount val="9"/>
                <c:pt idx="0">
                  <c:v>39.775468749999995</c:v>
                </c:pt>
                <c:pt idx="1">
                  <c:v>36.675718750000009</c:v>
                </c:pt>
                <c:pt idx="2">
                  <c:v>33.632281249999998</c:v>
                </c:pt>
                <c:pt idx="3">
                  <c:v>30.685162499999997</c:v>
                </c:pt>
                <c:pt idx="4">
                  <c:v>27.761556249999998</c:v>
                </c:pt>
                <c:pt idx="5">
                  <c:v>24.879593749999994</c:v>
                </c:pt>
                <c:pt idx="6">
                  <c:v>21.965518750000001</c:v>
                </c:pt>
                <c:pt idx="7">
                  <c:v>18.928062499999999</c:v>
                </c:pt>
                <c:pt idx="8">
                  <c:v>12.17261875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'BM3D - average SNR vs ISO'!$E$3:$E$4</c:f>
              <c:strCache>
                <c:ptCount val="1"/>
                <c:pt idx="0">
                  <c:v>tree256</c:v>
                </c:pt>
              </c:strCache>
            </c:strRef>
          </c:tx>
          <c:cat>
            <c:strRef>
              <c:f>'BM3D - average SNR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'BM3D - average SNR vs ISO'!$E$5:$E$14</c:f>
              <c:numCache>
                <c:formatCode>General</c:formatCode>
                <c:ptCount val="9"/>
                <c:pt idx="0">
                  <c:v>32.635987499999999</c:v>
                </c:pt>
                <c:pt idx="1">
                  <c:v>29.4720625</c:v>
                </c:pt>
                <c:pt idx="2">
                  <c:v>26.408418749999996</c:v>
                </c:pt>
                <c:pt idx="3">
                  <c:v>23.431368750000001</c:v>
                </c:pt>
                <c:pt idx="4">
                  <c:v>20.55545</c:v>
                </c:pt>
                <c:pt idx="5">
                  <c:v>17.744781249999999</c:v>
                </c:pt>
                <c:pt idx="6">
                  <c:v>15.093775000000001</c:v>
                </c:pt>
                <c:pt idx="7">
                  <c:v>12.57754375</c:v>
                </c:pt>
                <c:pt idx="8">
                  <c:v>7.9592874999999994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28000"/>
        <c:axId val="104929536"/>
      </c:lineChart>
      <c:catAx>
        <c:axId val="1049280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4929536"/>
        <c:crosses val="autoZero"/>
        <c:auto val="1"/>
        <c:lblAlgn val="ctr"/>
        <c:lblOffset val="100"/>
        <c:noMultiLvlLbl val="0"/>
      </c:catAx>
      <c:valAx>
        <c:axId val="10492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492800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DATA.xlsm]AVG methods vs ISO!PivotTable15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ISO'!$B$3:$B$4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ISO'!$B$5:$B$14</c:f>
              <c:numCache>
                <c:formatCode>General</c:formatCode>
                <c:ptCount val="9"/>
                <c:pt idx="0">
                  <c:v>18.308012499999997</c:v>
                </c:pt>
                <c:pt idx="1">
                  <c:v>18.232287499999998</c:v>
                </c:pt>
                <c:pt idx="2">
                  <c:v>18.096303125000002</c:v>
                </c:pt>
                <c:pt idx="3">
                  <c:v>17.851757812500001</c:v>
                </c:pt>
                <c:pt idx="4">
                  <c:v>17.452992187499998</c:v>
                </c:pt>
                <c:pt idx="5">
                  <c:v>16.812751562500001</c:v>
                </c:pt>
                <c:pt idx="6">
                  <c:v>15.875037499999999</c:v>
                </c:pt>
                <c:pt idx="7">
                  <c:v>14.562610937499999</c:v>
                </c:pt>
                <c:pt idx="8">
                  <c:v>10.8863796875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ISO'!$C$3:$C$4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ISO'!$C$5:$C$14</c:f>
              <c:numCache>
                <c:formatCode>General</c:formatCode>
                <c:ptCount val="9"/>
                <c:pt idx="0">
                  <c:v>33.266634374999995</c:v>
                </c:pt>
                <c:pt idx="1">
                  <c:v>30.662600000000008</c:v>
                </c:pt>
                <c:pt idx="2">
                  <c:v>28.045846875000002</c:v>
                </c:pt>
                <c:pt idx="3">
                  <c:v>25.760967187499997</c:v>
                </c:pt>
                <c:pt idx="4">
                  <c:v>23.486367187499997</c:v>
                </c:pt>
                <c:pt idx="5">
                  <c:v>21.427885937499997</c:v>
                </c:pt>
                <c:pt idx="6">
                  <c:v>19.571753124999997</c:v>
                </c:pt>
                <c:pt idx="7">
                  <c:v>17.977150000000005</c:v>
                </c:pt>
                <c:pt idx="8">
                  <c:v>14.454162500000001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ISO'!$D$3:$D$4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ISO'!$A$5:$A$14</c:f>
              <c:strCache>
                <c:ptCount val="9"/>
                <c:pt idx="0">
                  <c:v>200</c:v>
                </c:pt>
                <c:pt idx="1">
                  <c:v>400</c:v>
                </c:pt>
                <c:pt idx="2">
                  <c:v>800</c:v>
                </c:pt>
                <c:pt idx="3">
                  <c:v>1600</c:v>
                </c:pt>
                <c:pt idx="4">
                  <c:v>3200</c:v>
                </c:pt>
                <c:pt idx="5">
                  <c:v>6400</c:v>
                </c:pt>
                <c:pt idx="6">
                  <c:v>12800</c:v>
                </c:pt>
                <c:pt idx="7">
                  <c:v>25600</c:v>
                </c:pt>
                <c:pt idx="8">
                  <c:v>102400</c:v>
                </c:pt>
              </c:strCache>
            </c:strRef>
          </c:cat>
          <c:val>
            <c:numRef>
              <c:f>'AVG methods vs ISO'!$D$5:$D$14</c:f>
              <c:numCache>
                <c:formatCode>General</c:formatCode>
                <c:ptCount val="9"/>
                <c:pt idx="0">
                  <c:v>35.436659374999998</c:v>
                </c:pt>
                <c:pt idx="1">
                  <c:v>32.558120312500002</c:v>
                </c:pt>
                <c:pt idx="2">
                  <c:v>29.7654125</c:v>
                </c:pt>
                <c:pt idx="3">
                  <c:v>27.047331249999996</c:v>
                </c:pt>
                <c:pt idx="4">
                  <c:v>24.385521874999995</c:v>
                </c:pt>
                <c:pt idx="5">
                  <c:v>21.761392187499997</c:v>
                </c:pt>
                <c:pt idx="6">
                  <c:v>19.204346874999995</c:v>
                </c:pt>
                <c:pt idx="7">
                  <c:v>16.670781250000005</c:v>
                </c:pt>
                <c:pt idx="8">
                  <c:v>11.593137499999996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398656"/>
        <c:axId val="105400192"/>
      </c:lineChart>
      <c:catAx>
        <c:axId val="10539865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5400192"/>
        <c:crosses val="autoZero"/>
        <c:auto val="1"/>
        <c:lblAlgn val="ctr"/>
        <c:lblOffset val="100"/>
        <c:noMultiLvlLbl val="0"/>
      </c:catAx>
      <c:valAx>
        <c:axId val="10540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539865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DATA.xlsm]AVG methods vs PSF size!PivotTable16</c:name>
    <c:fmtId val="1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'AVG methods vs PSF size'!$B$3:$B$4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size'!$B$5:$B$9</c:f>
              <c:numCache>
                <c:formatCode>General</c:formatCode>
                <c:ptCount val="4"/>
                <c:pt idx="0">
                  <c:v>16.37002291666667</c:v>
                </c:pt>
                <c:pt idx="1">
                  <c:v>16.285054166666665</c:v>
                </c:pt>
                <c:pt idx="2">
                  <c:v>16.567345833333331</c:v>
                </c:pt>
                <c:pt idx="3">
                  <c:v>16.590080555555559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methods vs PSF size'!$C$3:$C$4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size'!$C$5:$C$9</c:f>
              <c:numCache>
                <c:formatCode>General</c:formatCode>
                <c:ptCount val="4"/>
                <c:pt idx="0">
                  <c:v>26.29123819444445</c:v>
                </c:pt>
                <c:pt idx="1">
                  <c:v>23.764374999999998</c:v>
                </c:pt>
                <c:pt idx="2">
                  <c:v>23.140930555555549</c:v>
                </c:pt>
                <c:pt idx="3">
                  <c:v>22.204952777777791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'AVG methods vs PSF size'!$D$3:$D$4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PSF size'!$A$5:$A$9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size'!$D$5:$D$9</c:f>
              <c:numCache>
                <c:formatCode>General</c:formatCode>
                <c:ptCount val="4"/>
                <c:pt idx="0">
                  <c:v>24.268086111111113</c:v>
                </c:pt>
                <c:pt idx="1">
                  <c:v>24.271015277777781</c:v>
                </c:pt>
                <c:pt idx="2">
                  <c:v>24.265217361111109</c:v>
                </c:pt>
                <c:pt idx="3">
                  <c:v>24.272438194444451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226240"/>
        <c:axId val="105227776"/>
      </c:lineChart>
      <c:catAx>
        <c:axId val="10522624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5227776"/>
        <c:crosses val="autoZero"/>
        <c:auto val="1"/>
        <c:lblAlgn val="ctr"/>
        <c:lblOffset val="100"/>
        <c:noMultiLvlLbl val="0"/>
      </c:catAx>
      <c:valAx>
        <c:axId val="105227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522624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cs-CZ"/>
          </a:pPr>
          <a:endParaRPr lang="cs-CZ"/>
        </a:p>
      </c:txPr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DATA.xlsm]Surface TICO09!PivotTable1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TICO09'!$B$4:$B$5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TICO09'!$B$6:$B$10</c:f>
              <c:numCache>
                <c:formatCode>General</c:formatCode>
                <c:ptCount val="4"/>
                <c:pt idx="0">
                  <c:v>11.923999999999999</c:v>
                </c:pt>
                <c:pt idx="1">
                  <c:v>13.2148</c:v>
                </c:pt>
                <c:pt idx="2">
                  <c:v>13.5124</c:v>
                </c:pt>
                <c:pt idx="3">
                  <c:v>13.6311</c:v>
                </c:pt>
              </c:numCache>
            </c:numRef>
          </c:val>
        </c:ser>
        <c:ser>
          <c:idx val="1"/>
          <c:order val="1"/>
          <c:tx>
            <c:strRef>
              <c:f>'Surface TICO09'!$C$4:$C$5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TICO09'!$C$6:$C$10</c:f>
              <c:numCache>
                <c:formatCode>General</c:formatCode>
                <c:ptCount val="4"/>
                <c:pt idx="0">
                  <c:v>11.910399999999999</c:v>
                </c:pt>
                <c:pt idx="1">
                  <c:v>13.1891</c:v>
                </c:pt>
                <c:pt idx="2">
                  <c:v>13.491899999999999</c:v>
                </c:pt>
                <c:pt idx="3">
                  <c:v>13.5999</c:v>
                </c:pt>
              </c:numCache>
            </c:numRef>
          </c:val>
        </c:ser>
        <c:ser>
          <c:idx val="2"/>
          <c:order val="2"/>
          <c:tx>
            <c:strRef>
              <c:f>'Surface TICO09'!$D$4:$D$5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TICO09'!$D$6:$D$10</c:f>
              <c:numCache>
                <c:formatCode>General</c:formatCode>
                <c:ptCount val="4"/>
                <c:pt idx="0">
                  <c:v>11.8955</c:v>
                </c:pt>
                <c:pt idx="1">
                  <c:v>13.1248</c:v>
                </c:pt>
                <c:pt idx="2">
                  <c:v>13.440200000000001</c:v>
                </c:pt>
                <c:pt idx="3">
                  <c:v>13.5349</c:v>
                </c:pt>
              </c:numCache>
            </c:numRef>
          </c:val>
        </c:ser>
        <c:ser>
          <c:idx val="3"/>
          <c:order val="3"/>
          <c:tx>
            <c:strRef>
              <c:f>'Surface TICO09'!$E$4:$E$5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TICO09'!$E$6:$E$10</c:f>
              <c:numCache>
                <c:formatCode>General</c:formatCode>
                <c:ptCount val="4"/>
                <c:pt idx="0">
                  <c:v>11.8223</c:v>
                </c:pt>
                <c:pt idx="1">
                  <c:v>13.025</c:v>
                </c:pt>
                <c:pt idx="2">
                  <c:v>13.3156</c:v>
                </c:pt>
                <c:pt idx="3">
                  <c:v>13.403499999999999</c:v>
                </c:pt>
              </c:numCache>
            </c:numRef>
          </c:val>
        </c:ser>
        <c:ser>
          <c:idx val="4"/>
          <c:order val="4"/>
          <c:tx>
            <c:strRef>
              <c:f>'Surface TICO09'!$F$4:$F$5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TICO09'!$F$6:$F$10</c:f>
              <c:numCache>
                <c:formatCode>General</c:formatCode>
                <c:ptCount val="4"/>
                <c:pt idx="0">
                  <c:v>11.7614</c:v>
                </c:pt>
                <c:pt idx="1">
                  <c:v>12.825900000000001</c:v>
                </c:pt>
                <c:pt idx="2">
                  <c:v>13.106999999999999</c:v>
                </c:pt>
                <c:pt idx="3">
                  <c:v>13.216200000000001</c:v>
                </c:pt>
              </c:numCache>
            </c:numRef>
          </c:val>
        </c:ser>
        <c:ser>
          <c:idx val="5"/>
          <c:order val="5"/>
          <c:tx>
            <c:strRef>
              <c:f>'Surface TICO09'!$G$4:$G$5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TICO09'!$G$6:$G$10</c:f>
              <c:numCache>
                <c:formatCode>General</c:formatCode>
                <c:ptCount val="4"/>
                <c:pt idx="0">
                  <c:v>11.6067</c:v>
                </c:pt>
                <c:pt idx="1">
                  <c:v>12.462199999999999</c:v>
                </c:pt>
                <c:pt idx="2">
                  <c:v>12.6778</c:v>
                </c:pt>
                <c:pt idx="3">
                  <c:v>12.8017</c:v>
                </c:pt>
              </c:numCache>
            </c:numRef>
          </c:val>
        </c:ser>
        <c:ser>
          <c:idx val="6"/>
          <c:order val="6"/>
          <c:tx>
            <c:strRef>
              <c:f>'Surface TICO09'!$H$4:$H$5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TICO09'!$H$6:$H$10</c:f>
              <c:numCache>
                <c:formatCode>General</c:formatCode>
                <c:ptCount val="4"/>
                <c:pt idx="0">
                  <c:v>11.3736</c:v>
                </c:pt>
                <c:pt idx="1">
                  <c:v>11.866</c:v>
                </c:pt>
                <c:pt idx="2">
                  <c:v>12.0426</c:v>
                </c:pt>
                <c:pt idx="3">
                  <c:v>12.106999999999999</c:v>
                </c:pt>
              </c:numCache>
            </c:numRef>
          </c:val>
        </c:ser>
        <c:ser>
          <c:idx val="7"/>
          <c:order val="7"/>
          <c:tx>
            <c:strRef>
              <c:f>'Surface TICO09'!$I$4:$I$5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TICO09'!$I$6:$I$10</c:f>
              <c:numCache>
                <c:formatCode>General</c:formatCode>
                <c:ptCount val="4"/>
                <c:pt idx="0">
                  <c:v>10.9718</c:v>
                </c:pt>
                <c:pt idx="1">
                  <c:v>10.912800000000001</c:v>
                </c:pt>
                <c:pt idx="2">
                  <c:v>10.9711</c:v>
                </c:pt>
                <c:pt idx="3">
                  <c:v>11.0268</c:v>
                </c:pt>
              </c:numCache>
            </c:numRef>
          </c:val>
        </c:ser>
        <c:ser>
          <c:idx val="8"/>
          <c:order val="8"/>
          <c:tx>
            <c:strRef>
              <c:f>'Surface TICO09'!$J$4:$J$5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TICO09'!$J$6:$J$10</c:f>
              <c:numCache>
                <c:formatCode>General</c:formatCode>
                <c:ptCount val="4"/>
                <c:pt idx="0">
                  <c:v>9.9131</c:v>
                </c:pt>
                <c:pt idx="1">
                  <c:v>8.0099</c:v>
                </c:pt>
                <c:pt idx="2">
                  <c:v>7.7567000000000004</c:v>
                </c:pt>
                <c:pt idx="3">
                  <c:v>7.6714000000000002</c:v>
                </c:pt>
              </c:numCache>
            </c:numRef>
          </c:val>
        </c:ser>
        <c:bandFmts/>
        <c:axId val="106776832"/>
        <c:axId val="106782720"/>
        <c:axId val="106768128"/>
      </c:surface3DChart>
      <c:catAx>
        <c:axId val="1067768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6782720"/>
        <c:crosses val="autoZero"/>
        <c:auto val="1"/>
        <c:lblAlgn val="ctr"/>
        <c:lblOffset val="100"/>
        <c:noMultiLvlLbl val="0"/>
      </c:catAx>
      <c:valAx>
        <c:axId val="10678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6776832"/>
        <c:crosses val="autoZero"/>
        <c:crossBetween val="midCat"/>
      </c:valAx>
      <c:serAx>
        <c:axId val="10676812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6782720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DATA.xlsm]Surface SROU03!PivotTable2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SROU03'!$B$4:$B$5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SROU03'!$B$6:$B$10</c:f>
              <c:numCache>
                <c:formatCode>General</c:formatCode>
                <c:ptCount val="4"/>
                <c:pt idx="0">
                  <c:v>32.575699999999998</c:v>
                </c:pt>
                <c:pt idx="1">
                  <c:v>31.773700000000002</c:v>
                </c:pt>
                <c:pt idx="2">
                  <c:v>31.477499999999999</c:v>
                </c:pt>
                <c:pt idx="3">
                  <c:v>31.342300000000002</c:v>
                </c:pt>
              </c:numCache>
            </c:numRef>
          </c:val>
        </c:ser>
        <c:ser>
          <c:idx val="1"/>
          <c:order val="1"/>
          <c:tx>
            <c:strRef>
              <c:f>'Surface SROU03'!$C$4:$C$5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SROU03'!$C$6:$C$10</c:f>
              <c:numCache>
                <c:formatCode>General</c:formatCode>
                <c:ptCount val="4"/>
                <c:pt idx="0">
                  <c:v>29.715</c:v>
                </c:pt>
                <c:pt idx="1">
                  <c:v>28.716799999999999</c:v>
                </c:pt>
                <c:pt idx="2">
                  <c:v>28.410699999999999</c:v>
                </c:pt>
                <c:pt idx="3">
                  <c:v>28.327500000000001</c:v>
                </c:pt>
              </c:numCache>
            </c:numRef>
          </c:val>
        </c:ser>
        <c:ser>
          <c:idx val="2"/>
          <c:order val="2"/>
          <c:tx>
            <c:strRef>
              <c:f>'Surface SROU03'!$D$4:$D$5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SROU03'!$D$6:$D$10</c:f>
              <c:numCache>
                <c:formatCode>General</c:formatCode>
                <c:ptCount val="4"/>
                <c:pt idx="0">
                  <c:v>27.0106</c:v>
                </c:pt>
                <c:pt idx="1">
                  <c:v>25.688700000000001</c:v>
                </c:pt>
                <c:pt idx="2">
                  <c:v>25.314699999999998</c:v>
                </c:pt>
                <c:pt idx="3">
                  <c:v>25.361699999999999</c:v>
                </c:pt>
              </c:numCache>
            </c:numRef>
          </c:val>
        </c:ser>
        <c:ser>
          <c:idx val="3"/>
          <c:order val="3"/>
          <c:tx>
            <c:strRef>
              <c:f>'Surface SROU03'!$E$4:$E$5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SROU03'!$E$6:$E$10</c:f>
              <c:numCache>
                <c:formatCode>General</c:formatCode>
                <c:ptCount val="4"/>
                <c:pt idx="0">
                  <c:v>24.4023</c:v>
                </c:pt>
                <c:pt idx="1">
                  <c:v>22.731100000000001</c:v>
                </c:pt>
                <c:pt idx="2">
                  <c:v>22.375699999999998</c:v>
                </c:pt>
                <c:pt idx="3">
                  <c:v>22.383700000000001</c:v>
                </c:pt>
              </c:numCache>
            </c:numRef>
          </c:val>
        </c:ser>
        <c:ser>
          <c:idx val="4"/>
          <c:order val="4"/>
          <c:tx>
            <c:strRef>
              <c:f>'Surface SROU03'!$F$4:$F$5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SROU03'!$F$6:$F$10</c:f>
              <c:numCache>
                <c:formatCode>General</c:formatCode>
                <c:ptCount val="4"/>
                <c:pt idx="0">
                  <c:v>22.102900000000002</c:v>
                </c:pt>
                <c:pt idx="1">
                  <c:v>19.977</c:v>
                </c:pt>
                <c:pt idx="2">
                  <c:v>19.372499999999999</c:v>
                </c:pt>
                <c:pt idx="3">
                  <c:v>19.4312</c:v>
                </c:pt>
              </c:numCache>
            </c:numRef>
          </c:val>
        </c:ser>
        <c:ser>
          <c:idx val="5"/>
          <c:order val="5"/>
          <c:tx>
            <c:strRef>
              <c:f>'Surface SROU03'!$G$4:$G$5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SROU03'!$G$6:$G$10</c:f>
              <c:numCache>
                <c:formatCode>General</c:formatCode>
                <c:ptCount val="4"/>
                <c:pt idx="0">
                  <c:v>20.381699999999999</c:v>
                </c:pt>
                <c:pt idx="1">
                  <c:v>17.395800000000001</c:v>
                </c:pt>
                <c:pt idx="2">
                  <c:v>16.563500000000001</c:v>
                </c:pt>
                <c:pt idx="3">
                  <c:v>16.549099999999999</c:v>
                </c:pt>
              </c:numCache>
            </c:numRef>
          </c:val>
        </c:ser>
        <c:ser>
          <c:idx val="6"/>
          <c:order val="6"/>
          <c:tx>
            <c:strRef>
              <c:f>'Surface SROU03'!$H$4:$H$5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SROU03'!$H$6:$H$10</c:f>
              <c:numCache>
                <c:formatCode>General</c:formatCode>
                <c:ptCount val="4"/>
                <c:pt idx="0">
                  <c:v>19.117699999999999</c:v>
                </c:pt>
                <c:pt idx="1">
                  <c:v>15.879799999999999</c:v>
                </c:pt>
                <c:pt idx="2">
                  <c:v>14.2349</c:v>
                </c:pt>
                <c:pt idx="3">
                  <c:v>13.698</c:v>
                </c:pt>
              </c:numCache>
            </c:numRef>
          </c:val>
        </c:ser>
        <c:ser>
          <c:idx val="7"/>
          <c:order val="7"/>
          <c:tx>
            <c:strRef>
              <c:f>'Surface SROU03'!$I$4:$I$5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SROU03'!$I$6:$I$10</c:f>
              <c:numCache>
                <c:formatCode>General</c:formatCode>
                <c:ptCount val="4"/>
                <c:pt idx="0">
                  <c:v>18.2163</c:v>
                </c:pt>
                <c:pt idx="1">
                  <c:v>14.5021</c:v>
                </c:pt>
                <c:pt idx="2">
                  <c:v>11.3231</c:v>
                </c:pt>
                <c:pt idx="3">
                  <c:v>10.8316</c:v>
                </c:pt>
              </c:numCache>
            </c:numRef>
          </c:val>
        </c:ser>
        <c:ser>
          <c:idx val="8"/>
          <c:order val="8"/>
          <c:tx>
            <c:strRef>
              <c:f>'Surface SROU03'!$J$4:$J$5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SROU03'!$J$6:$J$10</c:f>
              <c:numCache>
                <c:formatCode>General</c:formatCode>
                <c:ptCount val="4"/>
                <c:pt idx="0">
                  <c:v>15.9277</c:v>
                </c:pt>
                <c:pt idx="1">
                  <c:v>10.021599999999999</c:v>
                </c:pt>
                <c:pt idx="2">
                  <c:v>7.8962000000000003</c:v>
                </c:pt>
                <c:pt idx="3">
                  <c:v>6.5934999999999997</c:v>
                </c:pt>
              </c:numCache>
            </c:numRef>
          </c:val>
        </c:ser>
        <c:bandFmts/>
        <c:axId val="106889600"/>
        <c:axId val="106891136"/>
        <c:axId val="106781312"/>
      </c:surface3DChart>
      <c:catAx>
        <c:axId val="1068896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6891136"/>
        <c:crosses val="autoZero"/>
        <c:auto val="1"/>
        <c:lblAlgn val="ctr"/>
        <c:lblOffset val="100"/>
        <c:noMultiLvlLbl val="0"/>
      </c:catAx>
      <c:valAx>
        <c:axId val="10689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6889600"/>
        <c:crosses val="autoZero"/>
        <c:crossBetween val="midCat"/>
      </c:valAx>
      <c:serAx>
        <c:axId val="10678131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6891136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 COMPLETE ISO DATA.xlsm]Surface BM3D!PivotTable3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1"/>
        <c:ser>
          <c:idx val="0"/>
          <c:order val="0"/>
          <c:tx>
            <c:strRef>
              <c:f>'Surface BM3D'!$B$4:$B$5</c:f>
              <c:strCache>
                <c:ptCount val="1"/>
                <c:pt idx="0">
                  <c:v>200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BM3D'!$B$6:$B$10</c:f>
              <c:numCache>
                <c:formatCode>General</c:formatCode>
                <c:ptCount val="4"/>
                <c:pt idx="0">
                  <c:v>32.65</c:v>
                </c:pt>
                <c:pt idx="1">
                  <c:v>32.620100000000001</c:v>
                </c:pt>
                <c:pt idx="2">
                  <c:v>32.6967</c:v>
                </c:pt>
                <c:pt idx="3">
                  <c:v>32.614199999999997</c:v>
                </c:pt>
              </c:numCache>
            </c:numRef>
          </c:val>
        </c:ser>
        <c:ser>
          <c:idx val="1"/>
          <c:order val="1"/>
          <c:tx>
            <c:strRef>
              <c:f>'Surface BM3D'!$C$4:$C$5</c:f>
              <c:strCache>
                <c:ptCount val="1"/>
                <c:pt idx="0">
                  <c:v>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BM3D'!$C$6:$C$10</c:f>
              <c:numCache>
                <c:formatCode>General</c:formatCode>
                <c:ptCount val="4"/>
                <c:pt idx="0">
                  <c:v>29.472100000000001</c:v>
                </c:pt>
                <c:pt idx="1">
                  <c:v>29.4343</c:v>
                </c:pt>
                <c:pt idx="2">
                  <c:v>29.472200000000001</c:v>
                </c:pt>
                <c:pt idx="3">
                  <c:v>29.485900000000001</c:v>
                </c:pt>
              </c:numCache>
            </c:numRef>
          </c:val>
        </c:ser>
        <c:ser>
          <c:idx val="2"/>
          <c:order val="2"/>
          <c:tx>
            <c:strRef>
              <c:f>'Surface BM3D'!$D$4:$D$5</c:f>
              <c:strCache>
                <c:ptCount val="1"/>
                <c:pt idx="0">
                  <c:v>800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BM3D'!$D$6:$D$10</c:f>
              <c:numCache>
                <c:formatCode>General</c:formatCode>
                <c:ptCount val="4"/>
                <c:pt idx="0">
                  <c:v>26.383600000000001</c:v>
                </c:pt>
                <c:pt idx="1">
                  <c:v>26.445499999999999</c:v>
                </c:pt>
                <c:pt idx="2">
                  <c:v>26.406400000000001</c:v>
                </c:pt>
                <c:pt idx="3">
                  <c:v>26.405899999999999</c:v>
                </c:pt>
              </c:numCache>
            </c:numRef>
          </c:val>
        </c:ser>
        <c:ser>
          <c:idx val="3"/>
          <c:order val="3"/>
          <c:tx>
            <c:strRef>
              <c:f>'Surface BM3D'!$E$4:$E$5</c:f>
              <c:strCache>
                <c:ptCount val="1"/>
                <c:pt idx="0">
                  <c:v>1600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BM3D'!$E$6:$E$10</c:f>
              <c:numCache>
                <c:formatCode>General</c:formatCode>
                <c:ptCount val="4"/>
                <c:pt idx="0">
                  <c:v>23.409800000000001</c:v>
                </c:pt>
                <c:pt idx="1">
                  <c:v>23.4268</c:v>
                </c:pt>
                <c:pt idx="2">
                  <c:v>23.4556</c:v>
                </c:pt>
                <c:pt idx="3">
                  <c:v>23.448399999999999</c:v>
                </c:pt>
              </c:numCache>
            </c:numRef>
          </c:val>
        </c:ser>
        <c:ser>
          <c:idx val="4"/>
          <c:order val="4"/>
          <c:tx>
            <c:strRef>
              <c:f>'Surface BM3D'!$F$4:$F$5</c:f>
              <c:strCache>
                <c:ptCount val="1"/>
                <c:pt idx="0">
                  <c:v>3200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BM3D'!$F$6:$F$10</c:f>
              <c:numCache>
                <c:formatCode>General</c:formatCode>
                <c:ptCount val="4"/>
                <c:pt idx="0">
                  <c:v>20.555499999999999</c:v>
                </c:pt>
                <c:pt idx="1">
                  <c:v>20.570399999999999</c:v>
                </c:pt>
                <c:pt idx="2">
                  <c:v>20.539100000000001</c:v>
                </c:pt>
                <c:pt idx="3">
                  <c:v>20.504799999999999</c:v>
                </c:pt>
              </c:numCache>
            </c:numRef>
          </c:val>
        </c:ser>
        <c:ser>
          <c:idx val="5"/>
          <c:order val="5"/>
          <c:tx>
            <c:strRef>
              <c:f>'Surface BM3D'!$G$4:$G$5</c:f>
              <c:strCache>
                <c:ptCount val="1"/>
                <c:pt idx="0">
                  <c:v>6400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BM3D'!$G$6:$G$10</c:f>
              <c:numCache>
                <c:formatCode>General</c:formatCode>
                <c:ptCount val="4"/>
                <c:pt idx="0">
                  <c:v>17.7319</c:v>
                </c:pt>
                <c:pt idx="1">
                  <c:v>17.740400000000001</c:v>
                </c:pt>
                <c:pt idx="2">
                  <c:v>17.7455</c:v>
                </c:pt>
                <c:pt idx="3">
                  <c:v>17.7544</c:v>
                </c:pt>
              </c:numCache>
            </c:numRef>
          </c:val>
        </c:ser>
        <c:ser>
          <c:idx val="6"/>
          <c:order val="6"/>
          <c:tx>
            <c:strRef>
              <c:f>'Surface BM3D'!$H$4:$H$5</c:f>
              <c:strCache>
                <c:ptCount val="1"/>
                <c:pt idx="0">
                  <c:v>12800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BM3D'!$H$6:$H$10</c:f>
              <c:numCache>
                <c:formatCode>General</c:formatCode>
                <c:ptCount val="4"/>
                <c:pt idx="0">
                  <c:v>15.079000000000001</c:v>
                </c:pt>
                <c:pt idx="1">
                  <c:v>15.038</c:v>
                </c:pt>
                <c:pt idx="2">
                  <c:v>15.0471</c:v>
                </c:pt>
                <c:pt idx="3">
                  <c:v>15.1066</c:v>
                </c:pt>
              </c:numCache>
            </c:numRef>
          </c:val>
        </c:ser>
        <c:ser>
          <c:idx val="7"/>
          <c:order val="7"/>
          <c:tx>
            <c:strRef>
              <c:f>'Surface BM3D'!$I$4:$I$5</c:f>
              <c:strCache>
                <c:ptCount val="1"/>
                <c:pt idx="0">
                  <c:v>25600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BM3D'!$I$6:$I$10</c:f>
              <c:numCache>
                <c:formatCode>General</c:formatCode>
                <c:ptCount val="4"/>
                <c:pt idx="0">
                  <c:v>12.555199999999999</c:v>
                </c:pt>
                <c:pt idx="1">
                  <c:v>12.583</c:v>
                </c:pt>
                <c:pt idx="2">
                  <c:v>12.609400000000001</c:v>
                </c:pt>
                <c:pt idx="3">
                  <c:v>12.5563</c:v>
                </c:pt>
              </c:numCache>
            </c:numRef>
          </c:val>
        </c:ser>
        <c:ser>
          <c:idx val="8"/>
          <c:order val="8"/>
          <c:tx>
            <c:strRef>
              <c:f>'Surface BM3D'!$J$4:$J$5</c:f>
              <c:strCache>
                <c:ptCount val="1"/>
                <c:pt idx="0">
                  <c:v>102400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BM3D'!$J$6:$J$10</c:f>
              <c:numCache>
                <c:formatCode>General</c:formatCode>
                <c:ptCount val="4"/>
                <c:pt idx="0">
                  <c:v>7.9866000000000001</c:v>
                </c:pt>
                <c:pt idx="1">
                  <c:v>7.9120999999999997</c:v>
                </c:pt>
                <c:pt idx="2">
                  <c:v>7.9333</c:v>
                </c:pt>
                <c:pt idx="3">
                  <c:v>7.9249000000000001</c:v>
                </c:pt>
              </c:numCache>
            </c:numRef>
          </c:val>
        </c:ser>
        <c:bandFmts/>
        <c:axId val="107387136"/>
        <c:axId val="107388928"/>
        <c:axId val="106888704"/>
      </c:surface3DChart>
      <c:catAx>
        <c:axId val="10738713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7388928"/>
        <c:crosses val="autoZero"/>
        <c:auto val="1"/>
        <c:lblAlgn val="ctr"/>
        <c:lblOffset val="100"/>
        <c:noMultiLvlLbl val="0"/>
      </c:catAx>
      <c:valAx>
        <c:axId val="107388928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7387136"/>
        <c:crosses val="autoZero"/>
        <c:crossBetween val="midCat"/>
      </c:valAx>
      <c:serAx>
        <c:axId val="10688870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cs-CZ"/>
            </a:pPr>
            <a:endParaRPr lang="cs-CZ"/>
          </a:p>
        </c:txPr>
        <c:crossAx val="107388928"/>
        <c:crosses val="autoZero"/>
      </c:serAx>
    </c:plotArea>
    <c:legend>
      <c:legendPos val="r"/>
      <c:overlay val="0"/>
      <c:txPr>
        <a:bodyPr/>
        <a:lstStyle/>
        <a:p>
          <a:pPr rtl="0">
            <a:defRPr lang="cs-CZ"/>
          </a:pPr>
          <a:endParaRPr lang="cs-CZ"/>
        </a:p>
      </c:txPr>
    </c:legend>
    <c:plotVisOnly val="1"/>
    <c:dispBlanksAs val="zero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14</xdr:row>
      <xdr:rowOff>161925</xdr:rowOff>
    </xdr:from>
    <xdr:to>
      <xdr:col>5</xdr:col>
      <xdr:colOff>66675</xdr:colOff>
      <xdr:row>29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17</xdr:row>
      <xdr:rowOff>47625</xdr:rowOff>
    </xdr:from>
    <xdr:to>
      <xdr:col>4</xdr:col>
      <xdr:colOff>304800</xdr:colOff>
      <xdr:row>31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13</xdr:row>
      <xdr:rowOff>0</xdr:rowOff>
    </xdr:from>
    <xdr:to>
      <xdr:col>4</xdr:col>
      <xdr:colOff>342900</xdr:colOff>
      <xdr:row>27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10</xdr:row>
      <xdr:rowOff>180975</xdr:rowOff>
    </xdr:from>
    <xdr:to>
      <xdr:col>5</xdr:col>
      <xdr:colOff>76200</xdr:colOff>
      <xdr:row>25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0</xdr:rowOff>
    </xdr:from>
    <xdr:to>
      <xdr:col>4</xdr:col>
      <xdr:colOff>790575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11</xdr:row>
      <xdr:rowOff>0</xdr:rowOff>
    </xdr:from>
    <xdr:to>
      <xdr:col>5</xdr:col>
      <xdr:colOff>161925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zef Sabo" refreshedDate="40993.942534606482" createdVersion="3" refreshedVersion="4" minRefreshableVersion="3" recordCount="577">
  <cacheSource type="worksheet">
    <worksheetSource ref="A1:V1048576" sheet="report COMPLETE ISO DATA"/>
  </cacheSource>
  <cacheFields count="22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ISO" numFmtId="0">
      <sharedItems containsString="0" containsBlank="1" containsNumber="1" containsInteger="1" minValue="100" maxValue="100"/>
    </cacheField>
    <cacheField name="Input ISO" numFmtId="0">
      <sharedItems containsString="0" containsBlank="1" containsNumber="1" containsInteger="1" minValue="200" maxValue="102400" count="10">
        <n v="200"/>
        <n v="400"/>
        <n v="800"/>
        <n v="1600"/>
        <n v="3200"/>
        <n v="6400"/>
        <n v="12800"/>
        <n v="25600"/>
        <n v="102400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2.2778990000000001" maxValue="64.280952999999997"/>
    </cacheField>
    <cacheField name="Gamma" numFmtId="0">
      <sharedItems containsString="0" containsBlank="1" containsNumber="1" minValue="3.033566" maxValue="77.569580000000002"/>
    </cacheField>
    <cacheField name="Noise VAR est" numFmtId="0">
      <sharedItems containsString="0" containsBlank="1" containsNumber="1" minValue="1.6364000000000001E-5" maxValue="2.1259394000000001E-2"/>
    </cacheField>
    <cacheField name="Blur VAR est" numFmtId="0">
      <sharedItems containsString="0" containsBlank="1" containsNumber="1" minValue="8.5900000000000008E-6" maxValue="1.6477000000000002E-5"/>
    </cacheField>
    <cacheField name="Noisy" numFmtId="0">
      <sharedItems containsString="0" containsBlank="1" containsNumber="1" minValue="4.0918999999999999" maxValue="35.758299999999998"/>
    </cacheField>
    <cacheField name="Blurred" numFmtId="0">
      <sharedItems containsString="0" containsBlank="1" containsNumber="1" minValue="0.1762" maxValue="18.034600000000001"/>
    </cacheField>
    <cacheField name="TICO09" numFmtId="0">
      <sharedItems containsString="0" containsBlank="1" containsNumber="1" minValue="7.4333" maxValue="22.056799999999999"/>
    </cacheField>
    <cacheField name="SROU03" numFmtId="0">
      <sharedItems containsString="0" containsBlank="1" containsNumber="1" minValue="6.5934999999999997" maxValue="37.531199999999998"/>
    </cacheField>
    <cacheField name="BM3D" numFmtId="0">
      <sharedItems containsString="0" containsBlank="1" containsNumber="1" minValue="7.9120999999999997" maxValue="39.8964"/>
    </cacheField>
    <cacheField name="BEST" numFmtId="0">
      <sharedItems containsBlank="1"/>
    </cacheField>
    <cacheField name="BEST - value" numFmtId="0">
      <sharedItems containsString="0" containsBlank="1" containsNumber="1" minValue="7.9249000000000001" maxValue="39.8964"/>
    </cacheField>
    <cacheField name="BEST - color" numFmtId="0">
      <sharedItems containsString="0" containsBlank="1" containsNumber="1" containsInteger="1" minValue="1" maxValue="3"/>
    </cacheField>
    <cacheField name="R" numFmtId="0">
      <sharedItems containsString="0" containsBlank="1" containsNumber="1" containsInteger="1" minValue="45" maxValue="254"/>
    </cacheField>
    <cacheField name="G" numFmtId="0">
      <sharedItems containsString="0" containsBlank="1" containsNumber="1" containsInteger="1" minValue="42" maxValue="149"/>
    </cacheField>
    <cacheField name="B" numFmtId="0">
      <sharedItems containsString="0" containsBlank="1" containsNumber="1" containsInteger="1" minValue="41" maxValue="216"/>
    </cacheField>
    <cacheField name="DEGRE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7">
  <r>
    <x v="0"/>
    <x v="0"/>
    <x v="0"/>
    <n v="100"/>
    <x v="0"/>
    <s v="lena256_blurkernel7_3_100_200"/>
    <n v="51.088417999999997"/>
    <n v="4.0541919999999996"/>
    <n v="2.0869E-5"/>
    <n v="9.4490000000000005E-6"/>
    <n v="32.192900000000002"/>
    <n v="18.027899999999999"/>
    <n v="20.9359"/>
    <n v="33.732100000000003"/>
    <n v="34.8491"/>
    <s v="BM3D"/>
    <n v="34.8491"/>
    <n v="1"/>
    <n v="230"/>
    <n v="96"/>
    <n v="93"/>
    <b v="1"/>
  </r>
  <r>
    <x v="0"/>
    <x v="0"/>
    <x v="0"/>
    <n v="100"/>
    <x v="1"/>
    <s v="lena256_blurkernel7_3_100_400"/>
    <n v="40.099708"/>
    <n v="3.7140599999999999"/>
    <n v="4.3532999999999998E-5"/>
    <n v="9.4490000000000005E-6"/>
    <n v="29.004000000000001"/>
    <n v="18.027899999999999"/>
    <n v="20.849499999999999"/>
    <n v="31.498899999999999"/>
    <n v="32.284100000000002"/>
    <s v="BM3D"/>
    <n v="32.284100000000002"/>
    <n v="1"/>
    <n v="218"/>
    <n v="91"/>
    <n v="88"/>
    <b v="0"/>
  </r>
  <r>
    <x v="0"/>
    <x v="0"/>
    <x v="0"/>
    <n v="100"/>
    <x v="2"/>
    <s v="lena256_blurkernel7_3_100_800"/>
    <n v="33.409939999999999"/>
    <n v="3.5525910000000001"/>
    <n v="8.9677000000000002E-5"/>
    <n v="9.4490000000000005E-6"/>
    <n v="25.869900000000001"/>
    <n v="18.027899999999999"/>
    <n v="20.741399999999999"/>
    <n v="29.541699999999999"/>
    <n v="29.7971"/>
    <s v="BM3D"/>
    <n v="29.7971"/>
    <n v="1"/>
    <n v="206"/>
    <n v="86"/>
    <n v="84"/>
    <b v="0"/>
  </r>
  <r>
    <x v="0"/>
    <x v="0"/>
    <x v="0"/>
    <n v="100"/>
    <x v="3"/>
    <s v="lena256_blurkernel7_3_100_1600"/>
    <n v="29.258907000000001"/>
    <n v="3.4914079999999998"/>
    <n v="1.81478E-4"/>
    <n v="9.4490000000000005E-6"/>
    <n v="22.821100000000001"/>
    <n v="18.027899999999999"/>
    <n v="20.5733"/>
    <n v="27.872699999999998"/>
    <n v="27.527200000000001"/>
    <s v="SROU03"/>
    <n v="27.872699999999998"/>
    <n v="3"/>
    <n v="82"/>
    <n v="135"/>
    <n v="197"/>
    <b v="0"/>
  </r>
  <r>
    <x v="0"/>
    <x v="0"/>
    <x v="0"/>
    <n v="100"/>
    <x v="4"/>
    <s v="lena256_blurkernel7_3_100_3200"/>
    <n v="26.467836999999999"/>
    <n v="3.480413"/>
    <n v="3.71016E-4"/>
    <n v="9.4490000000000005E-6"/>
    <n v="19.737400000000001"/>
    <n v="18.027899999999999"/>
    <n v="20.231300000000001"/>
    <n v="26.278700000000001"/>
    <n v="25.249700000000001"/>
    <s v="SROU03"/>
    <n v="26.278700000000001"/>
    <n v="3"/>
    <n v="79"/>
    <n v="130"/>
    <n v="189"/>
    <b v="1"/>
  </r>
  <r>
    <x v="0"/>
    <x v="0"/>
    <x v="0"/>
    <n v="100"/>
    <x v="5"/>
    <s v="lena256_blurkernel7_3_100_6400"/>
    <n v="24.439585000000001"/>
    <n v="3.4932940000000001"/>
    <n v="7.6508399999999997E-4"/>
    <n v="9.4490000000000005E-6"/>
    <n v="16.645700000000001"/>
    <n v="18.027899999999999"/>
    <n v="19.896100000000001"/>
    <n v="25.039899999999999"/>
    <n v="22.936399999999999"/>
    <s v="SROU03"/>
    <n v="25.039899999999999"/>
    <n v="3"/>
    <n v="76"/>
    <n v="126"/>
    <n v="183"/>
    <b v="1"/>
  </r>
  <r>
    <x v="0"/>
    <x v="0"/>
    <x v="0"/>
    <n v="100"/>
    <x v="6"/>
    <s v="lena256_blurkernel7_3_100_12800"/>
    <n v="22.925008999999999"/>
    <n v="3.5138210000000001"/>
    <n v="1.61758E-3"/>
    <n v="9.4490000000000005E-6"/>
    <n v="13.5139"/>
    <n v="18.027899999999999"/>
    <n v="19.3005"/>
    <n v="24.224900000000002"/>
    <n v="20.715399999999999"/>
    <s v="SROU03"/>
    <n v="24.224900000000002"/>
    <n v="3"/>
    <n v="75"/>
    <n v="123"/>
    <n v="179"/>
    <b v="1"/>
  </r>
  <r>
    <x v="0"/>
    <x v="0"/>
    <x v="0"/>
    <n v="100"/>
    <x v="7"/>
    <s v="lena256_blurkernel7_3_100_25600"/>
    <n v="21.991959000000001"/>
    <n v="3.529242"/>
    <n v="3.5791439999999998E-3"/>
    <n v="9.4490000000000005E-6"/>
    <n v="10.270899999999999"/>
    <n v="18.027899999999999"/>
    <n v="18.573799999999999"/>
    <n v="23.292200000000001"/>
    <n v="18.4175"/>
    <s v="SROU03"/>
    <n v="23.292200000000001"/>
    <n v="3"/>
    <n v="73"/>
    <n v="120"/>
    <n v="175"/>
    <b v="1"/>
  </r>
  <r>
    <x v="0"/>
    <x v="0"/>
    <x v="1"/>
    <n v="100"/>
    <x v="0"/>
    <s v="lena256_blurkernel7_7_100_200"/>
    <n v="45.617646000000001"/>
    <n v="10.621981999999999"/>
    <n v="2.0894999999999999E-5"/>
    <n v="9.465E-6"/>
    <n v="32.189100000000003"/>
    <n v="12.1751"/>
    <n v="21.008700000000001"/>
    <n v="32.9056"/>
    <n v="34.855600000000003"/>
    <s v="BM3D"/>
    <n v="34.855600000000003"/>
    <n v="1"/>
    <n v="230"/>
    <n v="96"/>
    <n v="93"/>
    <b v="1"/>
  </r>
  <r>
    <x v="0"/>
    <x v="0"/>
    <x v="1"/>
    <n v="100"/>
    <x v="1"/>
    <s v="lena256_blurkernel7_7_100_400"/>
    <n v="33.174968"/>
    <n v="9.7244229999999998"/>
    <n v="4.3393000000000003E-5"/>
    <n v="9.465E-6"/>
    <n v="29.0167"/>
    <n v="12.1751"/>
    <n v="20.866199999999999"/>
    <n v="30.267600000000002"/>
    <n v="32.252499999999998"/>
    <s v="BM3D"/>
    <n v="32.252499999999998"/>
    <n v="1"/>
    <n v="217"/>
    <n v="91"/>
    <n v="88"/>
    <b v="1"/>
  </r>
  <r>
    <x v="0"/>
    <x v="0"/>
    <x v="1"/>
    <n v="100"/>
    <x v="2"/>
    <s v="lena256_blurkernel7_7_100_800"/>
    <n v="25.014641000000001"/>
    <n v="9.2641299999999998"/>
    <n v="8.8660999999999997E-5"/>
    <n v="9.465E-6"/>
    <n v="25.9177"/>
    <n v="12.1751"/>
    <n v="20.6646"/>
    <n v="27.921900000000001"/>
    <n v="29.849299999999999"/>
    <s v="BM3D"/>
    <n v="29.849299999999999"/>
    <n v="1"/>
    <n v="206"/>
    <n v="86"/>
    <n v="84"/>
    <b v="1"/>
  </r>
  <r>
    <x v="0"/>
    <x v="0"/>
    <x v="1"/>
    <n v="100"/>
    <x v="3"/>
    <s v="lena256_blurkernel7_7_100_1600"/>
    <n v="19.888926999999999"/>
    <n v="9.0479149999999997"/>
    <n v="1.8119800000000001E-4"/>
    <n v="9.465E-6"/>
    <n v="22.8264"/>
    <n v="12.1751"/>
    <n v="20.310500000000001"/>
    <n v="25.756399999999999"/>
    <n v="27.491800000000001"/>
    <s v="BM3D"/>
    <n v="27.491800000000001"/>
    <n v="1"/>
    <n v="195"/>
    <n v="81"/>
    <n v="79"/>
    <b v="1"/>
  </r>
  <r>
    <x v="0"/>
    <x v="0"/>
    <x v="1"/>
    <n v="100"/>
    <x v="4"/>
    <s v="lena256_blurkernel7_7_100_3200"/>
    <n v="16.724065"/>
    <n v="8.9494620000000005"/>
    <n v="3.6665800000000001E-4"/>
    <n v="9.465E-6"/>
    <n v="19.794899999999998"/>
    <n v="12.1751"/>
    <n v="19.773900000000001"/>
    <n v="23.9419"/>
    <n v="25.2683"/>
    <s v="BM3D"/>
    <n v="25.2683"/>
    <n v="1"/>
    <n v="184"/>
    <n v="77"/>
    <n v="75"/>
    <b v="1"/>
  </r>
  <r>
    <x v="0"/>
    <x v="0"/>
    <x v="1"/>
    <n v="100"/>
    <x v="5"/>
    <s v="lena256_blurkernel7_7_100_6400"/>
    <n v="14.665209000000001"/>
    <n v="8.9061990000000009"/>
    <n v="7.6645599999999999E-4"/>
    <n v="9.465E-6"/>
    <n v="16.6326"/>
    <n v="12.1751"/>
    <n v="18.9621"/>
    <n v="22.271599999999999"/>
    <n v="22.9604"/>
    <s v="BM3D"/>
    <n v="22.9604"/>
    <n v="1"/>
    <n v="173"/>
    <n v="72"/>
    <n v="70"/>
    <b v="0"/>
  </r>
  <r>
    <x v="0"/>
    <x v="0"/>
    <x v="1"/>
    <n v="100"/>
    <x v="6"/>
    <s v="lena256_blurkernel7_7_100_12800"/>
    <n v="13.259009000000001"/>
    <n v="8.9016900000000003"/>
    <n v="1.607271E-3"/>
    <n v="9.465E-6"/>
    <n v="13.521000000000001"/>
    <n v="12.1751"/>
    <n v="17.9054"/>
    <n v="20.7056"/>
    <n v="20.834800000000001"/>
    <s v="BM3D"/>
    <n v="20.834800000000001"/>
    <n v="1"/>
    <n v="163"/>
    <n v="68"/>
    <n v="66"/>
    <b v="0"/>
  </r>
  <r>
    <x v="0"/>
    <x v="0"/>
    <x v="1"/>
    <n v="100"/>
    <x v="7"/>
    <s v="lena256_blurkernel7_7_100_25600"/>
    <n v="12.071282"/>
    <n v="8.9207450000000001"/>
    <n v="3.5810490000000002E-3"/>
    <n v="9.465E-6"/>
    <n v="10.2706"/>
    <n v="12.1751"/>
    <n v="16.534800000000001"/>
    <n v="18.921600000000002"/>
    <n v="18.373200000000001"/>
    <s v="SROU03"/>
    <n v="18.921600000000002"/>
    <n v="3"/>
    <n v="64"/>
    <n v="106"/>
    <n v="154"/>
    <b v="0"/>
  </r>
  <r>
    <x v="0"/>
    <x v="0"/>
    <x v="2"/>
    <n v="100"/>
    <x v="0"/>
    <s v="lena256_blurkernel7_15_100_200"/>
    <n v="44.493639999999999"/>
    <n v="23.274025000000002"/>
    <n v="2.0761999999999999E-5"/>
    <n v="9.4669999999999993E-6"/>
    <n v="32.216799999999999"/>
    <n v="8.2094000000000005"/>
    <n v="21.866199999999999"/>
    <n v="32.707099999999997"/>
    <n v="34.808300000000003"/>
    <s v="BM3D"/>
    <n v="34.808300000000003"/>
    <n v="1"/>
    <n v="230"/>
    <n v="96"/>
    <n v="93"/>
    <b v="1"/>
  </r>
  <r>
    <x v="0"/>
    <x v="0"/>
    <x v="2"/>
    <n v="100"/>
    <x v="1"/>
    <s v="lena256_blurkernel7_15_100_400"/>
    <n v="31.148498"/>
    <n v="21.286740000000002"/>
    <n v="4.3225E-5"/>
    <n v="9.4669999999999993E-6"/>
    <n v="29.032800000000002"/>
    <n v="8.2094000000000005"/>
    <n v="21.700800000000001"/>
    <n v="29.8689"/>
    <n v="32.268900000000002"/>
    <s v="BM3D"/>
    <n v="32.268900000000002"/>
    <n v="1"/>
    <n v="218"/>
    <n v="91"/>
    <n v="88"/>
    <b v="1"/>
  </r>
  <r>
    <x v="0"/>
    <x v="0"/>
    <x v="2"/>
    <n v="100"/>
    <x v="2"/>
    <s v="lena256_blurkernel7_15_100_800"/>
    <n v="22.474847"/>
    <n v="20.172139000000001"/>
    <n v="8.9597000000000003E-5"/>
    <n v="9.4669999999999993E-6"/>
    <n v="25.870699999999999"/>
    <n v="8.2094000000000005"/>
    <n v="21.394500000000001"/>
    <n v="27.420100000000001"/>
    <n v="29.823899999999998"/>
    <s v="BM3D"/>
    <n v="29.823899999999998"/>
    <n v="1"/>
    <n v="206"/>
    <n v="86"/>
    <n v="84"/>
    <b v="1"/>
  </r>
  <r>
    <x v="0"/>
    <x v="0"/>
    <x v="2"/>
    <n v="100"/>
    <x v="3"/>
    <s v="lena256_blurkernel7_15_100_1600"/>
    <n v="16.574349000000002"/>
    <n v="19.763392"/>
    <n v="1.81404E-4"/>
    <n v="9.4669999999999993E-6"/>
    <n v="22.822800000000001"/>
    <n v="8.2094000000000005"/>
    <n v="20.975899999999999"/>
    <n v="25.178000000000001"/>
    <n v="27.5227"/>
    <s v="BM3D"/>
    <n v="27.5227"/>
    <n v="1"/>
    <n v="195"/>
    <n v="81"/>
    <n v="79"/>
    <b v="1"/>
  </r>
  <r>
    <x v="0"/>
    <x v="0"/>
    <x v="2"/>
    <n v="100"/>
    <x v="4"/>
    <s v="lena256_blurkernel7_15_100_3200"/>
    <n v="12.63973"/>
    <n v="19.4133"/>
    <n v="3.7330499999999999E-4"/>
    <n v="9.4669999999999993E-6"/>
    <n v="19.721399999999999"/>
    <n v="8.2094000000000005"/>
    <n v="20.244700000000002"/>
    <n v="23.127099999999999"/>
    <n v="25.155799999999999"/>
    <s v="BM3D"/>
    <n v="25.155799999999999"/>
    <n v="1"/>
    <n v="184"/>
    <n v="77"/>
    <n v="75"/>
    <b v="1"/>
  </r>
  <r>
    <x v="0"/>
    <x v="0"/>
    <x v="2"/>
    <n v="100"/>
    <x v="5"/>
    <s v="lena256_blurkernel7_15_100_6400"/>
    <n v="10.038809000000001"/>
    <n v="19.401361999999999"/>
    <n v="7.5745399999999996E-4"/>
    <n v="9.4669999999999993E-6"/>
    <n v="16.682099999999998"/>
    <n v="8.2094000000000005"/>
    <n v="19.292999999999999"/>
    <n v="21.258900000000001"/>
    <n v="22.9877"/>
    <s v="BM3D"/>
    <n v="22.9877"/>
    <n v="1"/>
    <n v="173"/>
    <n v="72"/>
    <n v="70"/>
    <b v="1"/>
  </r>
  <r>
    <x v="0"/>
    <x v="0"/>
    <x v="2"/>
    <n v="100"/>
    <x v="6"/>
    <s v="lena256_blurkernel7_15_100_12800"/>
    <n v="8.3122159999999994"/>
    <n v="19.251139999999999"/>
    <n v="1.6098390000000001E-3"/>
    <n v="9.4669999999999993E-6"/>
    <n v="13.521599999999999"/>
    <n v="8.2094000000000005"/>
    <n v="18.007200000000001"/>
    <n v="19.804400000000001"/>
    <n v="20.805"/>
    <s v="BM3D"/>
    <n v="20.805"/>
    <n v="1"/>
    <n v="163"/>
    <n v="68"/>
    <n v="66"/>
    <b v="1"/>
  </r>
  <r>
    <x v="0"/>
    <x v="0"/>
    <x v="2"/>
    <n v="100"/>
    <x v="7"/>
    <s v="lena256_blurkernel7_15_100_25600"/>
    <n v="7.1814819999999999"/>
    <n v="19.340778"/>
    <n v="3.5316000000000002E-3"/>
    <n v="9.4669999999999993E-6"/>
    <n v="10.328799999999999"/>
    <n v="8.2094000000000005"/>
    <n v="16.27"/>
    <n v="18.7834"/>
    <n v="18.494499999999999"/>
    <s v="SROU03"/>
    <n v="18.7834"/>
    <n v="3"/>
    <n v="64"/>
    <n v="105"/>
    <n v="153"/>
    <b v="0"/>
  </r>
  <r>
    <x v="0"/>
    <x v="0"/>
    <x v="3"/>
    <n v="100"/>
    <x v="0"/>
    <s v="lena256_blurkernel7_31_100_200"/>
    <n v="44.294725"/>
    <n v="48.234746999999999"/>
    <n v="2.0713999999999999E-5"/>
    <n v="9.4830000000000005E-6"/>
    <n v="32.2256"/>
    <n v="5.3202999999999996"/>
    <n v="21.878299999999999"/>
    <n v="32.2333"/>
    <n v="34.916400000000003"/>
    <s v="BM3D"/>
    <n v="34.916400000000003"/>
    <n v="1"/>
    <n v="230"/>
    <n v="96"/>
    <n v="94"/>
    <b v="1"/>
  </r>
  <r>
    <x v="0"/>
    <x v="0"/>
    <x v="3"/>
    <n v="100"/>
    <x v="1"/>
    <s v="lena256_blurkernel7_31_100_400"/>
    <n v="30.827767999999999"/>
    <n v="43.800880999999997"/>
    <n v="4.3615000000000002E-5"/>
    <n v="9.4830000000000005E-6"/>
    <n v="28.995899999999999"/>
    <n v="5.3202999999999996"/>
    <n v="21.718699999999998"/>
    <n v="29.401199999999999"/>
    <n v="32.2517"/>
    <s v="BM3D"/>
    <n v="32.2517"/>
    <n v="1"/>
    <n v="217"/>
    <n v="91"/>
    <n v="88"/>
    <b v="1"/>
  </r>
  <r>
    <x v="0"/>
    <x v="0"/>
    <x v="3"/>
    <n v="100"/>
    <x v="2"/>
    <s v="lena256_blurkernel7_31_100_800"/>
    <n v="21.74277"/>
    <n v="41.745837999999999"/>
    <n v="8.9926000000000006E-5"/>
    <n v="9.4830000000000005E-6"/>
    <n v="25.858599999999999"/>
    <n v="5.3202999999999996"/>
    <n v="21.381799999999998"/>
    <n v="26.841799999999999"/>
    <n v="29.820599999999999"/>
    <s v="BM3D"/>
    <n v="29.820599999999999"/>
    <n v="1"/>
    <n v="206"/>
    <n v="86"/>
    <n v="84"/>
    <b v="1"/>
  </r>
  <r>
    <x v="0"/>
    <x v="0"/>
    <x v="3"/>
    <n v="100"/>
    <x v="3"/>
    <s v="lena256_blurkernel7_31_100_1600"/>
    <n v="15.543908"/>
    <n v="40.519975000000002"/>
    <n v="1.8109499999999999E-4"/>
    <n v="9.4830000000000005E-6"/>
    <n v="22.8279"/>
    <n v="5.3202999999999996"/>
    <n v="20.9802"/>
    <n v="24.4802"/>
    <n v="27.479299999999999"/>
    <s v="BM3D"/>
    <n v="27.479299999999999"/>
    <n v="1"/>
    <n v="195"/>
    <n v="81"/>
    <n v="79"/>
    <b v="1"/>
  </r>
  <r>
    <x v="0"/>
    <x v="0"/>
    <x v="3"/>
    <n v="100"/>
    <x v="4"/>
    <s v="lena256_blurkernel7_31_100_3200"/>
    <n v="11.404577"/>
    <n v="40.120415000000001"/>
    <n v="3.7241500000000002E-4"/>
    <n v="9.4830000000000005E-6"/>
    <n v="19.723500000000001"/>
    <n v="5.3202999999999996"/>
    <n v="20.209499999999998"/>
    <n v="22.332000000000001"/>
    <n v="25.1968"/>
    <s v="BM3D"/>
    <n v="25.1968"/>
    <n v="1"/>
    <n v="184"/>
    <n v="77"/>
    <n v="75"/>
    <b v="1"/>
  </r>
  <r>
    <x v="0"/>
    <x v="0"/>
    <x v="3"/>
    <n v="100"/>
    <x v="5"/>
    <s v="lena256_blurkernel7_31_100_6400"/>
    <n v="8.5038319999999992"/>
    <n v="39.72242"/>
    <n v="7.5834899999999996E-4"/>
    <n v="9.4830000000000005E-6"/>
    <n v="16.685700000000001"/>
    <n v="5.3202999999999996"/>
    <n v="19.273800000000001"/>
    <n v="20.227599999999999"/>
    <n v="22.993099999999998"/>
    <s v="BM3D"/>
    <n v="22.993099999999998"/>
    <n v="1"/>
    <n v="173"/>
    <n v="72"/>
    <n v="70"/>
    <b v="1"/>
  </r>
  <r>
    <x v="0"/>
    <x v="0"/>
    <x v="3"/>
    <n v="100"/>
    <x v="6"/>
    <s v="lena256_blurkernel7_31_100_12800"/>
    <n v="6.5522530000000003"/>
    <n v="39.732953999999999"/>
    <n v="1.5964919999999999E-3"/>
    <n v="9.4830000000000005E-6"/>
    <n v="13.5466"/>
    <n v="5.3202999999999996"/>
    <n v="17.853200000000001"/>
    <n v="18.439800000000002"/>
    <n v="20.793800000000001"/>
    <s v="BM3D"/>
    <n v="20.793800000000001"/>
    <n v="1"/>
    <n v="163"/>
    <n v="68"/>
    <n v="66"/>
    <b v="1"/>
  </r>
  <r>
    <x v="0"/>
    <x v="0"/>
    <x v="3"/>
    <n v="100"/>
    <x v="7"/>
    <s v="lena256_blurkernel7_31_100_25600"/>
    <n v="5.2041950000000003"/>
    <n v="39.546695"/>
    <n v="3.5367720000000001E-3"/>
    <n v="9.4830000000000005E-6"/>
    <n v="10.328900000000001"/>
    <n v="5.3202999999999996"/>
    <n v="16.187200000000001"/>
    <n v="16.919699999999999"/>
    <n v="18.5443"/>
    <s v="BM3D"/>
    <n v="18.5443"/>
    <n v="1"/>
    <n v="152"/>
    <n v="63"/>
    <n v="62"/>
    <b v="1"/>
  </r>
  <r>
    <x v="0"/>
    <x v="1"/>
    <x v="0"/>
    <n v="100"/>
    <x v="0"/>
    <s v="lena256_blurkernel8_3_100_200"/>
    <n v="52.294750000000001"/>
    <n v="3.978488"/>
    <n v="2.0803000000000001E-5"/>
    <n v="9.5419999999999994E-6"/>
    <n v="32.207299999999996"/>
    <n v="17.597200000000001"/>
    <n v="21.0289"/>
    <n v="33.953299999999999"/>
    <n v="34.866399999999999"/>
    <s v="BM3D"/>
    <n v="34.866399999999999"/>
    <n v="1"/>
    <n v="230"/>
    <n v="96"/>
    <n v="93"/>
    <b v="0"/>
  </r>
  <r>
    <x v="0"/>
    <x v="1"/>
    <x v="0"/>
    <n v="100"/>
    <x v="1"/>
    <s v="lena256_blurkernel8_3_100_400"/>
    <n v="41.499173999999996"/>
    <n v="3.6534439999999999"/>
    <n v="4.3711999999999998E-5"/>
    <n v="9.5419999999999994E-6"/>
    <n v="28.986999999999998"/>
    <n v="17.597200000000001"/>
    <n v="20.955500000000001"/>
    <n v="31.823599999999999"/>
    <n v="32.252200000000002"/>
    <s v="BM3D"/>
    <n v="32.252200000000002"/>
    <n v="1"/>
    <n v="217"/>
    <n v="91"/>
    <n v="88"/>
    <b v="0"/>
  </r>
  <r>
    <x v="0"/>
    <x v="1"/>
    <x v="0"/>
    <n v="100"/>
    <x v="2"/>
    <s v="lena256_blurkernel8_3_100_800"/>
    <n v="35.018250000000002"/>
    <n v="3.5081009999999999"/>
    <n v="8.9766999999999996E-5"/>
    <n v="9.5419999999999994E-6"/>
    <n v="25.866800000000001"/>
    <n v="17.597200000000001"/>
    <n v="20.8186"/>
    <n v="30.152899999999999"/>
    <n v="29.7986"/>
    <s v="SROU03"/>
    <n v="30.152899999999999"/>
    <n v="3"/>
    <n v="87"/>
    <n v="143"/>
    <n v="207"/>
    <b v="0"/>
  </r>
  <r>
    <x v="0"/>
    <x v="1"/>
    <x v="0"/>
    <n v="100"/>
    <x v="3"/>
    <s v="lena256_blurkernel8_3_100_1600"/>
    <n v="30.691127999999999"/>
    <n v="3.4608159999999999"/>
    <n v="1.828E-4"/>
    <n v="9.5419999999999994E-6"/>
    <n v="22.788"/>
    <n v="17.597200000000001"/>
    <n v="20.613800000000001"/>
    <n v="28.625800000000002"/>
    <n v="27.455300000000001"/>
    <s v="SROU03"/>
    <n v="28.625800000000002"/>
    <n v="3"/>
    <n v="84"/>
    <n v="138"/>
    <n v="200"/>
    <b v="1"/>
  </r>
  <r>
    <x v="0"/>
    <x v="1"/>
    <x v="0"/>
    <n v="100"/>
    <x v="4"/>
    <s v="lena256_blurkernel8_3_100_3200"/>
    <n v="27.633407999999999"/>
    <n v="3.4642689999999998"/>
    <n v="3.7419100000000001E-4"/>
    <n v="9.5419999999999994E-6"/>
    <n v="19.703099999999999"/>
    <n v="17.597200000000001"/>
    <n v="20.3294"/>
    <n v="27.519400000000001"/>
    <n v="25.235600000000002"/>
    <s v="SROU03"/>
    <n v="27.519400000000001"/>
    <n v="3"/>
    <n v="81"/>
    <n v="134"/>
    <n v="195"/>
    <b v="1"/>
  </r>
  <r>
    <x v="0"/>
    <x v="1"/>
    <x v="0"/>
    <n v="100"/>
    <x v="5"/>
    <s v="lena256_blurkernel8_3_100_6400"/>
    <n v="25.317796999999999"/>
    <n v="3.4906470000000001"/>
    <n v="7.5465700000000005E-4"/>
    <n v="9.5419999999999994E-6"/>
    <n v="16.707000000000001"/>
    <n v="17.597200000000001"/>
    <n v="19.861999999999998"/>
    <n v="26.6371"/>
    <n v="23.015999999999998"/>
    <s v="SROU03"/>
    <n v="26.6371"/>
    <n v="3"/>
    <n v="80"/>
    <n v="131"/>
    <n v="191"/>
    <b v="1"/>
  </r>
  <r>
    <x v="0"/>
    <x v="1"/>
    <x v="0"/>
    <n v="100"/>
    <x v="6"/>
    <s v="lena256_blurkernel8_3_100_12800"/>
    <n v="23.686568999999999"/>
    <n v="3.518122"/>
    <n v="1.60531E-3"/>
    <n v="9.5419999999999994E-6"/>
    <n v="13.5273"/>
    <n v="17.597200000000001"/>
    <n v="19.3537"/>
    <n v="25.920500000000001"/>
    <n v="20.773199999999999"/>
    <s v="SROU03"/>
    <n v="25.920500000000001"/>
    <n v="3"/>
    <n v="78"/>
    <n v="129"/>
    <n v="187"/>
    <b v="1"/>
  </r>
  <r>
    <x v="0"/>
    <x v="1"/>
    <x v="0"/>
    <n v="100"/>
    <x v="7"/>
    <s v="lena256_blurkernel8_3_100_25600"/>
    <n v="22.575042"/>
    <n v="3.5399340000000001"/>
    <n v="3.5524020000000001E-3"/>
    <n v="9.5419999999999994E-6"/>
    <n v="10.3028"/>
    <n v="17.597200000000001"/>
    <n v="18.532599999999999"/>
    <n v="25.326699999999999"/>
    <n v="18.546299999999999"/>
    <s v="SROU03"/>
    <n v="25.326699999999999"/>
    <n v="3"/>
    <n v="77"/>
    <n v="127"/>
    <n v="184"/>
    <b v="1"/>
  </r>
  <r>
    <x v="0"/>
    <x v="1"/>
    <x v="1"/>
    <n v="100"/>
    <x v="0"/>
    <s v="lena256_blurkernel8_7_100_200"/>
    <n v="46.603087000000002"/>
    <n v="10.517125"/>
    <n v="2.0971E-5"/>
    <n v="9.4909999999999994E-6"/>
    <n v="32.172600000000003"/>
    <n v="12.0022"/>
    <n v="20.972000000000001"/>
    <n v="32.861800000000002"/>
    <n v="34.8018"/>
    <s v="BM3D"/>
    <n v="34.8018"/>
    <n v="1"/>
    <n v="230"/>
    <n v="96"/>
    <n v="93"/>
    <b v="1"/>
  </r>
  <r>
    <x v="0"/>
    <x v="1"/>
    <x v="1"/>
    <n v="100"/>
    <x v="1"/>
    <s v="lena256_blurkernel8_7_100_400"/>
    <n v="33.977851999999999"/>
    <n v="9.6058869999999992"/>
    <n v="4.3687999999999999E-5"/>
    <n v="9.4909999999999994E-6"/>
    <n v="28.989599999999999"/>
    <n v="12.0022"/>
    <n v="20.872199999999999"/>
    <n v="30.5154"/>
    <n v="32.2545"/>
    <s v="BM3D"/>
    <n v="32.2545"/>
    <n v="1"/>
    <n v="217"/>
    <n v="91"/>
    <n v="88"/>
    <b v="1"/>
  </r>
  <r>
    <x v="0"/>
    <x v="1"/>
    <x v="1"/>
    <n v="100"/>
    <x v="2"/>
    <s v="lena256_blurkernel8_7_100_800"/>
    <n v="26.070549"/>
    <n v="9.1693149999999992"/>
    <n v="8.9695000000000001E-5"/>
    <n v="9.4909999999999994E-6"/>
    <n v="25.867899999999999"/>
    <n v="12.0022"/>
    <n v="20.694299999999998"/>
    <n v="28.264299999999999"/>
    <n v="29.8354"/>
    <s v="BM3D"/>
    <n v="29.8354"/>
    <n v="1"/>
    <n v="206"/>
    <n v="86"/>
    <n v="84"/>
    <b v="1"/>
  </r>
  <r>
    <x v="0"/>
    <x v="1"/>
    <x v="1"/>
    <n v="100"/>
    <x v="3"/>
    <s v="lena256_blurkernel8_7_100_1600"/>
    <n v="20.975252999999999"/>
    <n v="8.9681289999999994"/>
    <n v="1.8348600000000001E-4"/>
    <n v="9.4909999999999994E-6"/>
    <n v="22.773"/>
    <n v="12.0022"/>
    <n v="20.3231"/>
    <n v="26.288699999999999"/>
    <n v="27.446400000000001"/>
    <s v="BM3D"/>
    <n v="27.446400000000001"/>
    <n v="1"/>
    <n v="194"/>
    <n v="81"/>
    <n v="79"/>
    <b v="1"/>
  </r>
  <r>
    <x v="0"/>
    <x v="1"/>
    <x v="1"/>
    <n v="100"/>
    <x v="4"/>
    <s v="lena256_blurkernel8_7_100_3200"/>
    <n v="17.742101999999999"/>
    <n v="8.8847749999999994"/>
    <n v="3.69997E-4"/>
    <n v="9.4909999999999994E-6"/>
    <n v="19.751200000000001"/>
    <n v="12.0022"/>
    <n v="19.744700000000002"/>
    <n v="24.7148"/>
    <n v="25.197900000000001"/>
    <s v="BM3D"/>
    <n v="25.197900000000001"/>
    <n v="1"/>
    <n v="184"/>
    <n v="77"/>
    <n v="75"/>
    <b v="0"/>
  </r>
  <r>
    <x v="0"/>
    <x v="1"/>
    <x v="1"/>
    <n v="100"/>
    <x v="5"/>
    <s v="lena256_blurkernel8_7_100_6400"/>
    <n v="15.512241"/>
    <n v="8.8635470000000005"/>
    <n v="7.6647300000000005E-4"/>
    <n v="9.4909999999999994E-6"/>
    <n v="16.6403"/>
    <n v="12.0022"/>
    <n v="18.9602"/>
    <n v="23.153400000000001"/>
    <n v="22.974699999999999"/>
    <s v="SROU03"/>
    <n v="23.153400000000001"/>
    <n v="3"/>
    <n v="73"/>
    <n v="120"/>
    <n v="174"/>
    <b v="0"/>
  </r>
  <r>
    <x v="0"/>
    <x v="1"/>
    <x v="1"/>
    <n v="100"/>
    <x v="6"/>
    <s v="lena256_blurkernel8_7_100_12800"/>
    <n v="13.783006"/>
    <n v="8.8822209999999995"/>
    <n v="1.607994E-3"/>
    <n v="9.4909999999999994E-6"/>
    <n v="13.513299999999999"/>
    <n v="12.0022"/>
    <n v="17.953800000000001"/>
    <n v="21.860199999999999"/>
    <n v="20.745100000000001"/>
    <s v="SROU03"/>
    <n v="21.860199999999999"/>
    <n v="3"/>
    <n v="70"/>
    <n v="116"/>
    <n v="168"/>
    <b v="1"/>
  </r>
  <r>
    <x v="0"/>
    <x v="1"/>
    <x v="1"/>
    <n v="100"/>
    <x v="7"/>
    <s v="lena256_blurkernel8_7_100_25600"/>
    <n v="12.376163"/>
    <n v="8.9147800000000004"/>
    <n v="3.560101E-3"/>
    <n v="9.4909999999999994E-6"/>
    <n v="10.2902"/>
    <n v="12.0022"/>
    <n v="16.6235"/>
    <n v="21.180199999999999"/>
    <n v="18.477399999999999"/>
    <s v="SROU03"/>
    <n v="21.180199999999999"/>
    <n v="3"/>
    <n v="69"/>
    <n v="113"/>
    <n v="165"/>
    <b v="1"/>
  </r>
  <r>
    <x v="0"/>
    <x v="1"/>
    <x v="2"/>
    <n v="100"/>
    <x v="0"/>
    <s v="lena256_blurkernel8_15_100_200"/>
    <n v="44.664202000000003"/>
    <n v="23.118221999999999"/>
    <n v="2.0823E-5"/>
    <n v="9.4229999999999994E-6"/>
    <n v="32.202399999999997"/>
    <n v="8.2184000000000008"/>
    <n v="21.733599999999999"/>
    <n v="32.615900000000003"/>
    <n v="34.867899999999999"/>
    <s v="BM3D"/>
    <n v="34.867899999999999"/>
    <n v="1"/>
    <n v="230"/>
    <n v="96"/>
    <n v="93"/>
    <b v="1"/>
  </r>
  <r>
    <x v="0"/>
    <x v="1"/>
    <x v="2"/>
    <n v="100"/>
    <x v="1"/>
    <s v="lena256_blurkernel8_15_100_400"/>
    <n v="31.862772"/>
    <n v="21.171213999999999"/>
    <n v="4.3476999999999997E-5"/>
    <n v="9.4229999999999994E-6"/>
    <n v="29.008199999999999"/>
    <n v="8.2184000000000008"/>
    <n v="21.601900000000001"/>
    <n v="29.8431"/>
    <n v="32.258299999999998"/>
    <s v="BM3D"/>
    <n v="32.258299999999998"/>
    <n v="1"/>
    <n v="217"/>
    <n v="91"/>
    <n v="88"/>
    <b v="1"/>
  </r>
  <r>
    <x v="0"/>
    <x v="1"/>
    <x v="2"/>
    <n v="100"/>
    <x v="2"/>
    <s v="lena256_blurkernel8_15_100_800"/>
    <n v="23.038454000000002"/>
    <n v="20.102768999999999"/>
    <n v="8.9398E-5"/>
    <n v="9.4229999999999994E-6"/>
    <n v="25.8841"/>
    <n v="8.2184000000000008"/>
    <n v="21.313600000000001"/>
    <n v="27.477"/>
    <n v="29.855899999999998"/>
    <s v="BM3D"/>
    <n v="29.855899999999998"/>
    <n v="1"/>
    <n v="206"/>
    <n v="86"/>
    <n v="84"/>
    <b v="1"/>
  </r>
  <r>
    <x v="0"/>
    <x v="1"/>
    <x v="2"/>
    <n v="100"/>
    <x v="3"/>
    <s v="lena256_blurkernel8_15_100_1600"/>
    <n v="17.449448"/>
    <n v="19.650072000000002"/>
    <n v="1.81502E-4"/>
    <n v="9.4229999999999994E-6"/>
    <n v="22.8203"/>
    <n v="8.2184000000000008"/>
    <n v="20.867699999999999"/>
    <n v="25.392800000000001"/>
    <n v="27.5261"/>
    <s v="BM3D"/>
    <n v="27.5261"/>
    <n v="1"/>
    <n v="195"/>
    <n v="81"/>
    <n v="79"/>
    <b v="1"/>
  </r>
  <r>
    <x v="0"/>
    <x v="1"/>
    <x v="2"/>
    <n v="100"/>
    <x v="4"/>
    <s v="lena256_blurkernel8_15_100_3200"/>
    <n v="13.701396000000001"/>
    <n v="19.380531000000001"/>
    <n v="3.7632399999999998E-4"/>
    <n v="9.4229999999999994E-6"/>
    <n v="19.6769"/>
    <n v="8.2184000000000008"/>
    <n v="20.1904"/>
    <n v="23.398900000000001"/>
    <n v="25.162099999999999"/>
    <s v="BM3D"/>
    <n v="25.162099999999999"/>
    <n v="1"/>
    <n v="184"/>
    <n v="77"/>
    <n v="75"/>
    <b v="1"/>
  </r>
  <r>
    <x v="0"/>
    <x v="1"/>
    <x v="2"/>
    <n v="100"/>
    <x v="5"/>
    <s v="lena256_blurkernel8_15_100_6400"/>
    <n v="11.186574999999999"/>
    <n v="19.314679999999999"/>
    <n v="7.6393100000000003E-4"/>
    <n v="9.4229999999999994E-6"/>
    <n v="16.653400000000001"/>
    <n v="8.2184000000000008"/>
    <n v="19.160799999999998"/>
    <n v="21.772300000000001"/>
    <n v="22.9467"/>
    <s v="BM3D"/>
    <n v="22.9467"/>
    <n v="1"/>
    <n v="173"/>
    <n v="72"/>
    <n v="70"/>
    <b v="1"/>
  </r>
  <r>
    <x v="0"/>
    <x v="1"/>
    <x v="2"/>
    <n v="100"/>
    <x v="6"/>
    <s v="lena256_blurkernel8_15_100_12800"/>
    <n v="9.4478519999999993"/>
    <n v="19.249309"/>
    <n v="1.6113709999999999E-3"/>
    <n v="9.4229999999999994E-6"/>
    <n v="13.504899999999999"/>
    <n v="8.2184000000000008"/>
    <n v="17.9466"/>
    <n v="20.496400000000001"/>
    <n v="20.764600000000002"/>
    <s v="BM3D"/>
    <n v="20.764600000000002"/>
    <n v="1"/>
    <n v="163"/>
    <n v="68"/>
    <n v="66"/>
    <b v="0"/>
  </r>
  <r>
    <x v="0"/>
    <x v="1"/>
    <x v="2"/>
    <n v="100"/>
    <x v="7"/>
    <s v="lena256_blurkernel8_15_100_25600"/>
    <n v="8.2086100000000002"/>
    <n v="19.290410999999999"/>
    <n v="3.5546549999999999E-3"/>
    <n v="9.4229999999999994E-6"/>
    <n v="10.3081"/>
    <n v="8.2184000000000008"/>
    <n v="16.259599999999999"/>
    <n v="19.495100000000001"/>
    <n v="18.484500000000001"/>
    <s v="SROU03"/>
    <n v="19.495100000000001"/>
    <n v="3"/>
    <n v="65"/>
    <n v="108"/>
    <n v="156"/>
    <b v="1"/>
  </r>
  <r>
    <x v="0"/>
    <x v="1"/>
    <x v="3"/>
    <n v="100"/>
    <x v="0"/>
    <s v="lena256_blurkernel8_31_100_200"/>
    <n v="44.511468999999998"/>
    <n v="48.281649999999999"/>
    <n v="2.0783000000000001E-5"/>
    <n v="9.6600000000000007E-6"/>
    <n v="32.212499999999999"/>
    <n v="5.3064"/>
    <n v="21.838999999999999"/>
    <n v="31.910799999999998"/>
    <n v="34.862299999999998"/>
    <s v="BM3D"/>
    <n v="34.862299999999998"/>
    <n v="1"/>
    <n v="230"/>
    <n v="96"/>
    <n v="93"/>
    <b v="1"/>
  </r>
  <r>
    <x v="0"/>
    <x v="1"/>
    <x v="3"/>
    <n v="100"/>
    <x v="1"/>
    <s v="lena256_blurkernel8_31_100_400"/>
    <n v="31.114661000000002"/>
    <n v="43.911307000000001"/>
    <n v="4.3894999999999999E-5"/>
    <n v="9.6600000000000007E-6"/>
    <n v="28.969799999999999"/>
    <n v="5.3064"/>
    <n v="21.6556"/>
    <n v="29.1419"/>
    <n v="32.242899999999999"/>
    <s v="BM3D"/>
    <n v="32.242899999999999"/>
    <n v="1"/>
    <n v="217"/>
    <n v="91"/>
    <n v="88"/>
    <b v="1"/>
  </r>
  <r>
    <x v="0"/>
    <x v="1"/>
    <x v="3"/>
    <n v="100"/>
    <x v="2"/>
    <s v="lena256_blurkernel8_31_100_800"/>
    <n v="22.062194999999999"/>
    <n v="41.805796000000001"/>
    <n v="8.9920999999999995E-5"/>
    <n v="9.6600000000000007E-6"/>
    <n v="25.856999999999999"/>
    <n v="5.3064"/>
    <n v="21.362200000000001"/>
    <n v="26.570699999999999"/>
    <n v="29.845600000000001"/>
    <s v="BM3D"/>
    <n v="29.845600000000001"/>
    <n v="1"/>
    <n v="206"/>
    <n v="86"/>
    <n v="84"/>
    <b v="1"/>
  </r>
  <r>
    <x v="0"/>
    <x v="1"/>
    <x v="3"/>
    <n v="100"/>
    <x v="3"/>
    <s v="lena256_blurkernel8_31_100_1600"/>
    <n v="15.966108999999999"/>
    <n v="40.631193000000003"/>
    <n v="1.80822E-4"/>
    <n v="9.6600000000000007E-6"/>
    <n v="22.837700000000002"/>
    <n v="5.3064"/>
    <n v="20.904299999999999"/>
    <n v="24.185400000000001"/>
    <n v="27.4831"/>
    <s v="BM3D"/>
    <n v="27.4831"/>
    <n v="1"/>
    <n v="195"/>
    <n v="81"/>
    <n v="79"/>
    <b v="1"/>
  </r>
  <r>
    <x v="0"/>
    <x v="1"/>
    <x v="3"/>
    <n v="100"/>
    <x v="4"/>
    <s v="lena256_blurkernel8_31_100_3200"/>
    <n v="11.890314"/>
    <n v="40.193491000000002"/>
    <n v="3.7215799999999998E-4"/>
    <n v="9.6600000000000007E-6"/>
    <n v="19.723500000000001"/>
    <n v="5.3064"/>
    <n v="20.224399999999999"/>
    <n v="22.1051"/>
    <n v="25.183"/>
    <s v="BM3D"/>
    <n v="25.183"/>
    <n v="1"/>
    <n v="184"/>
    <n v="77"/>
    <n v="75"/>
    <b v="1"/>
  </r>
  <r>
    <x v="0"/>
    <x v="1"/>
    <x v="3"/>
    <n v="100"/>
    <x v="5"/>
    <s v="lena256_blurkernel8_31_100_6400"/>
    <n v="9.0721600000000002"/>
    <n v="39.841124999999998"/>
    <n v="7.6335900000000002E-4"/>
    <n v="9.6600000000000007E-6"/>
    <n v="16.648199999999999"/>
    <n v="5.3064"/>
    <n v="19.094799999999999"/>
    <n v="20.120100000000001"/>
    <n v="22.959099999999999"/>
    <s v="BM3D"/>
    <n v="22.959099999999999"/>
    <n v="1"/>
    <n v="173"/>
    <n v="72"/>
    <n v="70"/>
    <b v="1"/>
  </r>
  <r>
    <x v="0"/>
    <x v="1"/>
    <x v="3"/>
    <n v="100"/>
    <x v="6"/>
    <s v="lena256_blurkernel8_31_100_12800"/>
    <n v="7.2037509999999996"/>
    <n v="39.817498999999998"/>
    <n v="1.6237070000000001E-3"/>
    <n v="9.6600000000000007E-6"/>
    <n v="13.482100000000001"/>
    <n v="5.3064"/>
    <n v="17.8872"/>
    <n v="18.411799999999999"/>
    <n v="20.724900000000002"/>
    <s v="BM3D"/>
    <n v="20.724900000000002"/>
    <n v="1"/>
    <n v="162"/>
    <n v="68"/>
    <n v="66"/>
    <b v="1"/>
  </r>
  <r>
    <x v="0"/>
    <x v="1"/>
    <x v="3"/>
    <n v="100"/>
    <x v="7"/>
    <s v="lena256_blurkernel8_31_100_25600"/>
    <n v="5.916061"/>
    <n v="39.687967"/>
    <n v="3.5406729999999998E-3"/>
    <n v="9.6600000000000007E-6"/>
    <n v="10.3156"/>
    <n v="5.3064"/>
    <n v="16.121200000000002"/>
    <n v="17.0535"/>
    <n v="18.4956"/>
    <s v="BM3D"/>
    <n v="18.4956"/>
    <n v="1"/>
    <n v="152"/>
    <n v="63"/>
    <n v="62"/>
    <b v="1"/>
  </r>
  <r>
    <x v="0"/>
    <x v="2"/>
    <x v="0"/>
    <n v="100"/>
    <x v="0"/>
    <s v="lena256_line_3_100_200"/>
    <n v="56.504685000000002"/>
    <n v="3.6216979999999999"/>
    <n v="2.0854000000000001E-5"/>
    <n v="9.5650000000000007E-6"/>
    <n v="32.195799999999998"/>
    <n v="15.0648"/>
    <n v="21.159500000000001"/>
    <n v="34.119300000000003"/>
    <n v="34.844799999999999"/>
    <s v="BM3D"/>
    <n v="34.844799999999999"/>
    <n v="1"/>
    <n v="230"/>
    <n v="96"/>
    <n v="93"/>
    <b v="0"/>
  </r>
  <r>
    <x v="0"/>
    <x v="2"/>
    <x v="0"/>
    <n v="100"/>
    <x v="1"/>
    <s v="lena256_line_3_100_400"/>
    <n v="46.293356000000003"/>
    <n v="3.354209"/>
    <n v="4.3621999999999997E-5"/>
    <n v="9.5650000000000007E-6"/>
    <n v="28.992599999999999"/>
    <n v="15.0648"/>
    <n v="21.0533"/>
    <n v="32.033200000000001"/>
    <n v="32.220500000000001"/>
    <s v="BM3D"/>
    <n v="32.220500000000001"/>
    <n v="1"/>
    <n v="217"/>
    <n v="91"/>
    <n v="88"/>
    <b v="0"/>
  </r>
  <r>
    <x v="0"/>
    <x v="2"/>
    <x v="0"/>
    <n v="100"/>
    <x v="2"/>
    <s v="lena256_line_3_100_800"/>
    <n v="39.556068000000003"/>
    <n v="3.2576239999999999"/>
    <n v="8.8769000000000003E-5"/>
    <n v="9.5650000000000007E-6"/>
    <n v="25.914999999999999"/>
    <n v="15.0648"/>
    <n v="20.8644"/>
    <n v="30.028600000000001"/>
    <n v="29.8521"/>
    <s v="SROU03"/>
    <n v="30.028600000000001"/>
    <n v="3"/>
    <n v="86"/>
    <n v="143"/>
    <n v="207"/>
    <b v="0"/>
  </r>
  <r>
    <x v="0"/>
    <x v="2"/>
    <x v="0"/>
    <n v="100"/>
    <x v="3"/>
    <s v="lena256_line_3_100_1600"/>
    <n v="34.618613000000003"/>
    <n v="3.2640169999999999"/>
    <n v="1.82459E-4"/>
    <n v="9.5650000000000007E-6"/>
    <n v="22.798400000000001"/>
    <n v="15.0648"/>
    <n v="20.6067"/>
    <n v="28.4011"/>
    <n v="27.427299999999999"/>
    <s v="SROU03"/>
    <n v="28.4011"/>
    <n v="3"/>
    <n v="83"/>
    <n v="137"/>
    <n v="199"/>
    <b v="0"/>
  </r>
  <r>
    <x v="0"/>
    <x v="2"/>
    <x v="0"/>
    <n v="100"/>
    <x v="4"/>
    <s v="lena256_line_3_100_3200"/>
    <n v="30.592155999999999"/>
    <n v="3.3186529999999999"/>
    <n v="3.67246E-4"/>
    <n v="9.5650000000000007E-6"/>
    <n v="19.788399999999999"/>
    <n v="15.0648"/>
    <n v="20.193100000000001"/>
    <n v="26.226299999999998"/>
    <n v="25.217400000000001"/>
    <s v="SROU03"/>
    <n v="26.226299999999998"/>
    <n v="3"/>
    <n v="79"/>
    <n v="130"/>
    <n v="189"/>
    <b v="1"/>
  </r>
  <r>
    <x v="0"/>
    <x v="2"/>
    <x v="0"/>
    <n v="100"/>
    <x v="5"/>
    <s v="lena256_line_3_100_6400"/>
    <n v="27.519836999999999"/>
    <n v="3.3820239999999999"/>
    <n v="7.6862399999999998E-4"/>
    <n v="9.5650000000000007E-6"/>
    <n v="16.624199999999998"/>
    <n v="15.0648"/>
    <n v="19.515699999999999"/>
    <n v="24.2364"/>
    <n v="22.96"/>
    <s v="SROU03"/>
    <n v="24.2364"/>
    <n v="3"/>
    <n v="75"/>
    <n v="123"/>
    <n v="179"/>
    <b v="1"/>
  </r>
  <r>
    <x v="0"/>
    <x v="2"/>
    <x v="0"/>
    <n v="100"/>
    <x v="6"/>
    <s v="lena256_line_3_100_12800"/>
    <n v="24.809479"/>
    <n v="3.4522910000000002"/>
    <n v="1.6045269999999999E-3"/>
    <n v="9.5650000000000007E-6"/>
    <n v="13.5214"/>
    <n v="15.0648"/>
    <n v="18.718699999999998"/>
    <n v="23.4772"/>
    <n v="20.8034"/>
    <s v="SROU03"/>
    <n v="23.4772"/>
    <n v="3"/>
    <n v="73"/>
    <n v="121"/>
    <n v="176"/>
    <b v="1"/>
  </r>
  <r>
    <x v="0"/>
    <x v="2"/>
    <x v="0"/>
    <n v="100"/>
    <x v="7"/>
    <s v="lena256_line_3_100_25600"/>
    <n v="22.885355000000001"/>
    <n v="3.5041690000000001"/>
    <n v="3.5173359999999998E-3"/>
    <n v="9.5650000000000007E-6"/>
    <n v="10.3408"/>
    <n v="15.0648"/>
    <n v="17.577500000000001"/>
    <n v="22.8401"/>
    <n v="18.457100000000001"/>
    <s v="SROU03"/>
    <n v="22.8401"/>
    <n v="3"/>
    <n v="72"/>
    <n v="119"/>
    <n v="172"/>
    <b v="1"/>
  </r>
  <r>
    <x v="0"/>
    <x v="2"/>
    <x v="1"/>
    <n v="100"/>
    <x v="0"/>
    <s v="lena256_line_7_100_200"/>
    <n v="49.847630000000002"/>
    <n v="9.8086520000000004"/>
    <n v="2.0718999999999999E-5"/>
    <n v="9.6050000000000004E-6"/>
    <n v="32.225999999999999"/>
    <n v="10.083"/>
    <n v="21.895399999999999"/>
    <n v="33.286299999999997"/>
    <n v="34.895899999999997"/>
    <s v="BM3D"/>
    <n v="34.895899999999997"/>
    <n v="1"/>
    <n v="230"/>
    <n v="96"/>
    <n v="94"/>
    <b v="1"/>
  </r>
  <r>
    <x v="0"/>
    <x v="2"/>
    <x v="1"/>
    <n v="100"/>
    <x v="1"/>
    <s v="lena256_line_7_100_400"/>
    <n v="37.906213999999999"/>
    <n v="9.0159719999999997"/>
    <n v="4.3368000000000002E-5"/>
    <n v="9.6050000000000004E-6"/>
    <n v="29.017700000000001"/>
    <n v="10.083"/>
    <n v="21.726299999999998"/>
    <n v="30.551600000000001"/>
    <n v="32.282600000000002"/>
    <s v="BM3D"/>
    <n v="32.282600000000002"/>
    <n v="1"/>
    <n v="218"/>
    <n v="91"/>
    <n v="88"/>
    <b v="1"/>
  </r>
  <r>
    <x v="0"/>
    <x v="2"/>
    <x v="1"/>
    <n v="100"/>
    <x v="2"/>
    <s v="lena256_line_7_100_800"/>
    <n v="30.368625999999999"/>
    <n v="8.6821280000000005"/>
    <n v="8.9297999999999998E-5"/>
    <n v="9.6050000000000004E-6"/>
    <n v="25.8887"/>
    <n v="10.083"/>
    <n v="21.525500000000001"/>
    <n v="28.43"/>
    <n v="29.772600000000001"/>
    <s v="BM3D"/>
    <n v="29.772600000000001"/>
    <n v="1"/>
    <n v="206"/>
    <n v="86"/>
    <n v="84"/>
    <b v="1"/>
  </r>
  <r>
    <x v="0"/>
    <x v="2"/>
    <x v="1"/>
    <n v="100"/>
    <x v="3"/>
    <s v="lena256_line_7_100_1600"/>
    <n v="24.795572"/>
    <n v="8.5976590000000002"/>
    <n v="1.8168700000000001E-4"/>
    <n v="9.6050000000000004E-6"/>
    <n v="22.8139"/>
    <n v="10.083"/>
    <n v="21.076499999999999"/>
    <n v="26.242599999999999"/>
    <n v="27.542999999999999"/>
    <s v="BM3D"/>
    <n v="27.542999999999999"/>
    <n v="1"/>
    <n v="195"/>
    <n v="82"/>
    <n v="79"/>
    <b v="1"/>
  </r>
  <r>
    <x v="0"/>
    <x v="2"/>
    <x v="1"/>
    <n v="100"/>
    <x v="4"/>
    <s v="lena256_line_7_100_3200"/>
    <n v="20.808078999999999"/>
    <n v="8.6237530000000007"/>
    <n v="3.6874800000000001E-4"/>
    <n v="9.6050000000000004E-6"/>
    <n v="19.762799999999999"/>
    <n v="10.083"/>
    <n v="20.426500000000001"/>
    <n v="24.390599999999999"/>
    <n v="25.278400000000001"/>
    <s v="BM3D"/>
    <n v="25.278400000000001"/>
    <n v="1"/>
    <n v="184"/>
    <n v="77"/>
    <n v="75"/>
    <b v="0"/>
  </r>
  <r>
    <x v="0"/>
    <x v="2"/>
    <x v="1"/>
    <n v="100"/>
    <x v="5"/>
    <s v="lena256_line_7_100_6400"/>
    <n v="17.940296"/>
    <n v="8.6719139999999992"/>
    <n v="7.5782699999999998E-4"/>
    <n v="9.6050000000000004E-6"/>
    <n v="16.683499999999999"/>
    <n v="10.083"/>
    <n v="19.541399999999999"/>
    <n v="22.585799999999999"/>
    <n v="22.996400000000001"/>
    <s v="BM3D"/>
    <n v="22.996400000000001"/>
    <n v="1"/>
    <n v="173"/>
    <n v="72"/>
    <n v="70"/>
    <b v="0"/>
  </r>
  <r>
    <x v="0"/>
    <x v="2"/>
    <x v="1"/>
    <n v="100"/>
    <x v="6"/>
    <s v="lena256_line_7_100_12800"/>
    <n v="15.662791"/>
    <n v="8.7403340000000007"/>
    <n v="1.6005450000000001E-3"/>
    <n v="9.6050000000000004E-6"/>
    <n v="13.5319"/>
    <n v="10.083"/>
    <n v="18.392499999999998"/>
    <n v="20.579499999999999"/>
    <n v="20.741199999999999"/>
    <s v="BM3D"/>
    <n v="20.741199999999999"/>
    <n v="1"/>
    <n v="162"/>
    <n v="68"/>
    <n v="66"/>
    <b v="0"/>
  </r>
  <r>
    <x v="0"/>
    <x v="2"/>
    <x v="1"/>
    <n v="100"/>
    <x v="7"/>
    <s v="lena256_line_7_100_25600"/>
    <n v="13.674459000000001"/>
    <n v="8.8146740000000001"/>
    <n v="3.5390780000000002E-3"/>
    <n v="9.6050000000000004E-6"/>
    <n v="10.326599999999999"/>
    <n v="10.083"/>
    <n v="16.6706"/>
    <n v="19.109100000000002"/>
    <n v="18.524899999999999"/>
    <s v="SROU03"/>
    <n v="19.109100000000002"/>
    <n v="3"/>
    <n v="65"/>
    <n v="107"/>
    <n v="155"/>
    <b v="0"/>
  </r>
  <r>
    <x v="0"/>
    <x v="2"/>
    <x v="2"/>
    <n v="100"/>
    <x v="0"/>
    <s v="lena256_line_15_100_200"/>
    <n v="46.558684"/>
    <n v="22.156835000000001"/>
    <n v="2.1166999999999999E-5"/>
    <n v="9.5699999999999999E-6"/>
    <n v="32.133400000000002"/>
    <n v="6.5643000000000002"/>
    <n v="22.056799999999999"/>
    <n v="32.8279"/>
    <n v="34.8354"/>
    <s v="BM3D"/>
    <n v="34.8354"/>
    <n v="1"/>
    <n v="230"/>
    <n v="96"/>
    <n v="93"/>
    <b v="1"/>
  </r>
  <r>
    <x v="0"/>
    <x v="2"/>
    <x v="2"/>
    <n v="100"/>
    <x v="1"/>
    <s v="lena256_line_15_100_400"/>
    <n v="34.241807999999999"/>
    <n v="20.278579000000001"/>
    <n v="4.3637000000000003E-5"/>
    <n v="9.5699999999999999E-6"/>
    <n v="28.993500000000001"/>
    <n v="6.5643000000000002"/>
    <n v="21.893999999999998"/>
    <n v="30.164899999999999"/>
    <n v="32.268900000000002"/>
    <s v="BM3D"/>
    <n v="32.268900000000002"/>
    <n v="1"/>
    <n v="218"/>
    <n v="91"/>
    <n v="88"/>
    <b v="1"/>
  </r>
  <r>
    <x v="0"/>
    <x v="2"/>
    <x v="2"/>
    <n v="100"/>
    <x v="2"/>
    <s v="lena256_line_15_100_800"/>
    <n v="25.924379999999999"/>
    <n v="19.449202"/>
    <n v="8.9198999999999998E-5"/>
    <n v="9.5699999999999999E-6"/>
    <n v="25.8948"/>
    <n v="6.5643000000000002"/>
    <n v="21.5733"/>
    <n v="27.7729"/>
    <n v="29.859500000000001"/>
    <s v="BM3D"/>
    <n v="29.859500000000001"/>
    <n v="1"/>
    <n v="206"/>
    <n v="86"/>
    <n v="84"/>
    <b v="1"/>
  </r>
  <r>
    <x v="0"/>
    <x v="2"/>
    <x v="2"/>
    <n v="100"/>
    <x v="3"/>
    <s v="lena256_line_15_100_1600"/>
    <n v="20.135451"/>
    <n v="19.054417999999998"/>
    <n v="1.8155600000000001E-4"/>
    <n v="9.5699999999999999E-6"/>
    <n v="22.823399999999999"/>
    <n v="6.5643000000000002"/>
    <n v="21.073499999999999"/>
    <n v="25.393999999999998"/>
    <n v="27.454499999999999"/>
    <s v="BM3D"/>
    <n v="27.454499999999999"/>
    <n v="1"/>
    <n v="195"/>
    <n v="81"/>
    <n v="79"/>
    <b v="1"/>
  </r>
  <r>
    <x v="0"/>
    <x v="2"/>
    <x v="2"/>
    <n v="100"/>
    <x v="4"/>
    <s v="lena256_line_15_100_3200"/>
    <n v="16.043880999999999"/>
    <n v="18.985814999999999"/>
    <n v="3.7288700000000002E-4"/>
    <n v="9.5699999999999999E-6"/>
    <n v="19.722799999999999"/>
    <n v="6.5643000000000002"/>
    <n v="20.324400000000001"/>
    <n v="23.3095"/>
    <n v="25.247599999999998"/>
    <s v="BM3D"/>
    <n v="25.247599999999998"/>
    <n v="1"/>
    <n v="184"/>
    <n v="77"/>
    <n v="75"/>
    <b v="1"/>
  </r>
  <r>
    <x v="0"/>
    <x v="2"/>
    <x v="2"/>
    <n v="100"/>
    <x v="5"/>
    <s v="lena256_line_15_100_6400"/>
    <n v="13.198256000000001"/>
    <n v="18.952030000000001"/>
    <n v="7.6376700000000005E-4"/>
    <n v="9.5699999999999999E-6"/>
    <n v="16.650300000000001"/>
    <n v="6.5643000000000002"/>
    <n v="19.388100000000001"/>
    <n v="21.238900000000001"/>
    <n v="23.039400000000001"/>
    <s v="BM3D"/>
    <n v="23.039400000000001"/>
    <n v="1"/>
    <n v="173"/>
    <n v="72"/>
    <n v="70"/>
    <b v="1"/>
  </r>
  <r>
    <x v="0"/>
    <x v="2"/>
    <x v="2"/>
    <n v="100"/>
    <x v="6"/>
    <s v="lena256_line_15_100_12800"/>
    <n v="11.156074"/>
    <n v="19.004933999999999"/>
    <n v="1.6236930000000001E-3"/>
    <n v="9.5699999999999999E-6"/>
    <n v="13.478899999999999"/>
    <n v="6.5643000000000002"/>
    <n v="18.028500000000001"/>
    <n v="19.2624"/>
    <n v="20.727799999999998"/>
    <s v="BM3D"/>
    <n v="20.727799999999998"/>
    <n v="1"/>
    <n v="162"/>
    <n v="68"/>
    <n v="66"/>
    <b v="1"/>
  </r>
  <r>
    <x v="0"/>
    <x v="2"/>
    <x v="2"/>
    <n v="100"/>
    <x v="7"/>
    <s v="lena256_line_15_100_25600"/>
    <n v="9.2939109999999996"/>
    <n v="19.057528999999999"/>
    <n v="3.5507220000000001E-3"/>
    <n v="9.5699999999999999E-6"/>
    <n v="10.305"/>
    <n v="6.5643000000000002"/>
    <n v="16.343599999999999"/>
    <n v="17.668099999999999"/>
    <n v="18.5227"/>
    <s v="BM3D"/>
    <n v="18.5227"/>
    <n v="1"/>
    <n v="152"/>
    <n v="63"/>
    <n v="62"/>
    <b v="0"/>
  </r>
  <r>
    <x v="0"/>
    <x v="2"/>
    <x v="3"/>
    <n v="100"/>
    <x v="0"/>
    <s v="lena256_line_31_100_200"/>
    <n v="45.621952999999998"/>
    <n v="46.782283"/>
    <n v="2.0792999999999999E-5"/>
    <n v="9.5179999999999993E-6"/>
    <n v="32.2087"/>
    <n v="3.6455000000000002"/>
    <n v="21.8477"/>
    <n v="32.747300000000003"/>
    <n v="34.834699999999998"/>
    <s v="BM3D"/>
    <n v="34.834699999999998"/>
    <n v="1"/>
    <n v="230"/>
    <n v="96"/>
    <n v="93"/>
    <b v="1"/>
  </r>
  <r>
    <x v="0"/>
    <x v="2"/>
    <x v="3"/>
    <n v="100"/>
    <x v="1"/>
    <s v="lena256_line_31_100_400"/>
    <n v="32.427397999999997"/>
    <n v="42.670845999999997"/>
    <n v="4.3562000000000001E-5"/>
    <n v="9.5179999999999993E-6"/>
    <n v="29.000599999999999"/>
    <n v="3.6455000000000002"/>
    <n v="21.6813"/>
    <n v="29.973400000000002"/>
    <n v="32.262099999999997"/>
    <s v="BM3D"/>
    <n v="32.262099999999997"/>
    <n v="1"/>
    <n v="218"/>
    <n v="91"/>
    <n v="88"/>
    <b v="1"/>
  </r>
  <r>
    <x v="0"/>
    <x v="2"/>
    <x v="3"/>
    <n v="100"/>
    <x v="2"/>
    <s v="lena256_line_31_100_800"/>
    <n v="23.689976999999999"/>
    <n v="40.556171999999997"/>
    <n v="8.8953E-5"/>
    <n v="9.5179999999999993E-6"/>
    <n v="25.906700000000001"/>
    <n v="3.6455000000000002"/>
    <n v="21.390499999999999"/>
    <n v="27.3794"/>
    <n v="29.867599999999999"/>
    <s v="BM3D"/>
    <n v="29.867599999999999"/>
    <n v="1"/>
    <n v="206"/>
    <n v="86"/>
    <n v="84"/>
    <b v="1"/>
  </r>
  <r>
    <x v="0"/>
    <x v="2"/>
    <x v="3"/>
    <n v="100"/>
    <x v="3"/>
    <s v="lena256_line_31_100_1600"/>
    <n v="17.736142999999998"/>
    <n v="39.712038"/>
    <n v="1.8132399999999999E-4"/>
    <n v="9.5179999999999993E-6"/>
    <n v="22.825500000000002"/>
    <n v="3.6455000000000002"/>
    <n v="20.857299999999999"/>
    <n v="25.002099999999999"/>
    <n v="27.472200000000001"/>
    <s v="BM3D"/>
    <n v="27.472200000000001"/>
    <n v="1"/>
    <n v="195"/>
    <n v="81"/>
    <n v="79"/>
    <b v="1"/>
  </r>
  <r>
    <x v="0"/>
    <x v="2"/>
    <x v="3"/>
    <n v="100"/>
    <x v="4"/>
    <s v="lena256_line_31_100_3200"/>
    <n v="13.545899"/>
    <n v="39.273645999999999"/>
    <n v="3.7032299999999998E-4"/>
    <n v="9.5179999999999993E-6"/>
    <n v="19.746099999999998"/>
    <n v="3.6455000000000002"/>
    <n v="20.155899999999999"/>
    <n v="22.741900000000001"/>
    <n v="25.215699999999998"/>
    <s v="BM3D"/>
    <n v="25.215699999999998"/>
    <n v="1"/>
    <n v="184"/>
    <n v="77"/>
    <n v="75"/>
    <b v="1"/>
  </r>
  <r>
    <x v="0"/>
    <x v="2"/>
    <x v="3"/>
    <n v="100"/>
    <x v="5"/>
    <s v="lena256_line_31_100_6400"/>
    <n v="10.576983"/>
    <n v="39.183135"/>
    <n v="7.6733300000000003E-4"/>
    <n v="9.5179999999999993E-6"/>
    <n v="16.6311"/>
    <n v="3.6455000000000002"/>
    <n v="19.255299999999998"/>
    <n v="20.621600000000001"/>
    <n v="22.997499999999999"/>
    <s v="BM3D"/>
    <n v="22.997499999999999"/>
    <n v="1"/>
    <n v="173"/>
    <n v="72"/>
    <n v="70"/>
    <b v="1"/>
  </r>
  <r>
    <x v="0"/>
    <x v="2"/>
    <x v="3"/>
    <n v="100"/>
    <x v="6"/>
    <s v="lena256_line_31_100_12800"/>
    <n v="8.5511870000000005"/>
    <n v="39.080952000000003"/>
    <n v="1.6060040000000001E-3"/>
    <n v="9.5179999999999993E-6"/>
    <n v="13.523999999999999"/>
    <n v="3.6455000000000002"/>
    <n v="17.8569"/>
    <n v="18.687100000000001"/>
    <n v="20.751200000000001"/>
    <s v="BM3D"/>
    <n v="20.751200000000001"/>
    <n v="1"/>
    <n v="162"/>
    <n v="68"/>
    <n v="66"/>
    <b v="1"/>
  </r>
  <r>
    <x v="0"/>
    <x v="2"/>
    <x v="3"/>
    <n v="100"/>
    <x v="7"/>
    <s v="lena256_line_31_100_25600"/>
    <n v="6.9954499999999999"/>
    <n v="39.169432"/>
    <n v="3.5438090000000002E-3"/>
    <n v="9.5179999999999993E-6"/>
    <n v="10.3025"/>
    <n v="3.6455000000000002"/>
    <n v="16.295200000000001"/>
    <n v="16.4557"/>
    <n v="18.5017"/>
    <s v="BM3D"/>
    <n v="18.5017"/>
    <n v="1"/>
    <n v="152"/>
    <n v="63"/>
    <n v="62"/>
    <b v="1"/>
  </r>
  <r>
    <x v="0"/>
    <x v="3"/>
    <x v="0"/>
    <n v="100"/>
    <x v="0"/>
    <s v="lena256_blurkernel10_3_100_200"/>
    <n v="51.122661000000001"/>
    <n v="4.0255859999999997"/>
    <n v="2.1036E-5"/>
    <n v="9.5389999999999996E-6"/>
    <n v="32.159799999999997"/>
    <n v="17.640499999999999"/>
    <n v="20.759799999999998"/>
    <n v="33.739800000000002"/>
    <n v="34.822200000000002"/>
    <s v="BM3D"/>
    <n v="34.822200000000002"/>
    <n v="1"/>
    <n v="230"/>
    <n v="96"/>
    <n v="93"/>
    <b v="1"/>
  </r>
  <r>
    <x v="0"/>
    <x v="3"/>
    <x v="0"/>
    <n v="100"/>
    <x v="1"/>
    <s v="lena256_blurkernel10_3_100_400"/>
    <n v="40.382382999999997"/>
    <n v="3.6884229999999998"/>
    <n v="4.4329000000000002E-5"/>
    <n v="9.5389999999999996E-6"/>
    <n v="28.924800000000001"/>
    <n v="17.640499999999999"/>
    <n v="20.686"/>
    <n v="31.5624"/>
    <n v="32.2042"/>
    <s v="BM3D"/>
    <n v="32.2042"/>
    <n v="1"/>
    <n v="217"/>
    <n v="91"/>
    <n v="88"/>
    <b v="0"/>
  </r>
  <r>
    <x v="0"/>
    <x v="3"/>
    <x v="0"/>
    <n v="100"/>
    <x v="2"/>
    <s v="lena256_blurkernel10_3_100_800"/>
    <n v="33.941422000000003"/>
    <n v="3.5235919999999998"/>
    <n v="9.0593000000000005E-5"/>
    <n v="9.5389999999999996E-6"/>
    <n v="25.826799999999999"/>
    <n v="17.640499999999999"/>
    <n v="20.629000000000001"/>
    <n v="29.737100000000002"/>
    <n v="29.764700000000001"/>
    <s v="BM3D"/>
    <n v="29.764700000000001"/>
    <n v="1"/>
    <n v="206"/>
    <n v="86"/>
    <n v="84"/>
    <b v="0"/>
  </r>
  <r>
    <x v="0"/>
    <x v="3"/>
    <x v="0"/>
    <n v="100"/>
    <x v="3"/>
    <s v="lena256_blurkernel10_3_100_1600"/>
    <n v="29.974851000000001"/>
    <n v="3.4539200000000001"/>
    <n v="1.8012900000000001E-4"/>
    <n v="9.5389999999999996E-6"/>
    <n v="22.852699999999999"/>
    <n v="17.640499999999999"/>
    <n v="20.378499999999999"/>
    <n v="28.116900000000001"/>
    <n v="27.512799999999999"/>
    <s v="SROU03"/>
    <n v="28.116900000000001"/>
    <n v="3"/>
    <n v="83"/>
    <n v="136"/>
    <n v="198"/>
    <b v="0"/>
  </r>
  <r>
    <x v="0"/>
    <x v="3"/>
    <x v="0"/>
    <n v="100"/>
    <x v="4"/>
    <s v="lena256_blurkernel10_3_100_3200"/>
    <n v="27.499207999999999"/>
    <n v="3.433462"/>
    <n v="3.6904599999999999E-4"/>
    <n v="9.5389999999999996E-6"/>
    <n v="19.761500000000002"/>
    <n v="17.640499999999999"/>
    <n v="20.163699999999999"/>
    <n v="26.6709"/>
    <n v="25.3005"/>
    <s v="SROU03"/>
    <n v="26.6709"/>
    <n v="3"/>
    <n v="80"/>
    <n v="132"/>
    <n v="191"/>
    <b v="1"/>
  </r>
  <r>
    <x v="0"/>
    <x v="3"/>
    <x v="0"/>
    <n v="100"/>
    <x v="5"/>
    <s v="lena256_blurkernel10_3_100_6400"/>
    <n v="25.567865999999999"/>
    <n v="3.4459900000000001"/>
    <n v="7.6356899999999997E-4"/>
    <n v="9.5389999999999996E-6"/>
    <n v="16.652100000000001"/>
    <n v="17.640499999999999"/>
    <n v="19.703299999999999"/>
    <n v="25.6111"/>
    <n v="22.993099999999998"/>
    <s v="SROU03"/>
    <n v="25.6111"/>
    <n v="3"/>
    <n v="78"/>
    <n v="128"/>
    <n v="186"/>
    <b v="1"/>
  </r>
  <r>
    <x v="0"/>
    <x v="3"/>
    <x v="0"/>
    <n v="100"/>
    <x v="6"/>
    <s v="lena256_blurkernel10_3_100_12800"/>
    <n v="23.854966000000001"/>
    <n v="3.476229"/>
    <n v="1.6173610000000001E-3"/>
    <n v="9.5389999999999996E-6"/>
    <n v="13.501899999999999"/>
    <n v="17.640499999999999"/>
    <n v="19.105899999999998"/>
    <n v="24.563500000000001"/>
    <n v="20.748999999999999"/>
    <s v="SROU03"/>
    <n v="24.563500000000001"/>
    <n v="3"/>
    <n v="76"/>
    <n v="125"/>
    <n v="181"/>
    <b v="1"/>
  </r>
  <r>
    <x v="0"/>
    <x v="3"/>
    <x v="0"/>
    <n v="100"/>
    <x v="7"/>
    <s v="lena256_blurkernel10_3_100_25600"/>
    <n v="22.517782"/>
    <n v="3.5060570000000002"/>
    <n v="3.56464E-3"/>
    <n v="9.5389999999999996E-6"/>
    <n v="10.2913"/>
    <n v="17.640499999999999"/>
    <n v="18.316600000000001"/>
    <n v="23.976800000000001"/>
    <n v="18.415299999999998"/>
    <s v="SROU03"/>
    <n v="23.976800000000001"/>
    <n v="3"/>
    <n v="74"/>
    <n v="123"/>
    <n v="178"/>
    <b v="1"/>
  </r>
  <r>
    <x v="0"/>
    <x v="3"/>
    <x v="1"/>
    <n v="100"/>
    <x v="0"/>
    <s v="lena256_blurkernel10_7_100_200"/>
    <n v="45.697293000000002"/>
    <n v="10.544544"/>
    <n v="2.0730999999999999E-5"/>
    <n v="9.5130000000000002E-6"/>
    <n v="32.222700000000003"/>
    <n v="12.0052"/>
    <n v="21.215900000000001"/>
    <n v="32.985799999999998"/>
    <n v="34.878500000000003"/>
    <s v="BM3D"/>
    <n v="34.878500000000003"/>
    <n v="1"/>
    <n v="230"/>
    <n v="96"/>
    <n v="94"/>
    <b v="1"/>
  </r>
  <r>
    <x v="0"/>
    <x v="3"/>
    <x v="1"/>
    <n v="100"/>
    <x v="1"/>
    <s v="lena256_blurkernel10_7_100_400"/>
    <n v="33.247166"/>
    <n v="9.6427359999999993"/>
    <n v="4.3714000000000002E-5"/>
    <n v="9.5130000000000002E-6"/>
    <n v="28.985900000000001"/>
    <n v="12.0052"/>
    <n v="21.0809"/>
    <n v="30.3325"/>
    <n v="32.289499999999997"/>
    <s v="BM3D"/>
    <n v="32.289499999999997"/>
    <n v="1"/>
    <n v="218"/>
    <n v="91"/>
    <n v="88"/>
    <b v="1"/>
  </r>
  <r>
    <x v="0"/>
    <x v="3"/>
    <x v="1"/>
    <n v="100"/>
    <x v="2"/>
    <s v="lena256_blurkernel10_7_100_800"/>
    <n v="25.307358000000001"/>
    <n v="9.1944230000000005"/>
    <n v="8.9791999999999997E-5"/>
    <n v="9.5130000000000002E-6"/>
    <n v="25.8645"/>
    <n v="12.0052"/>
    <n v="20.869299999999999"/>
    <n v="28.070699999999999"/>
    <n v="29.844799999999999"/>
    <s v="BM3D"/>
    <n v="29.844799999999999"/>
    <n v="1"/>
    <n v="206"/>
    <n v="86"/>
    <n v="84"/>
    <b v="1"/>
  </r>
  <r>
    <x v="0"/>
    <x v="3"/>
    <x v="1"/>
    <n v="100"/>
    <x v="3"/>
    <s v="lena256_blurkernel10_7_100_1600"/>
    <n v="20.315384000000002"/>
    <n v="8.9786490000000008"/>
    <n v="1.8247599999999999E-4"/>
    <n v="9.5130000000000002E-6"/>
    <n v="22.794699999999999"/>
    <n v="12.0052"/>
    <n v="20.5351"/>
    <n v="26.033300000000001"/>
    <n v="27.477499999999999"/>
    <s v="BM3D"/>
    <n v="27.477499999999999"/>
    <n v="1"/>
    <n v="195"/>
    <n v="81"/>
    <n v="79"/>
    <b v="1"/>
  </r>
  <r>
    <x v="0"/>
    <x v="3"/>
    <x v="1"/>
    <n v="100"/>
    <x v="4"/>
    <s v="lena256_blurkernel10_7_100_3200"/>
    <n v="17.114322999999999"/>
    <n v="8.8760239999999992"/>
    <n v="3.7230299999999999E-4"/>
    <n v="9.5130000000000002E-6"/>
    <n v="19.727599999999999"/>
    <n v="12.0052"/>
    <n v="20.045999999999999"/>
    <n v="24.465199999999999"/>
    <n v="25.222000000000001"/>
    <s v="BM3D"/>
    <n v="25.222000000000001"/>
    <n v="1"/>
    <n v="184"/>
    <n v="77"/>
    <n v="75"/>
    <b v="0"/>
  </r>
  <r>
    <x v="0"/>
    <x v="3"/>
    <x v="1"/>
    <n v="100"/>
    <x v="5"/>
    <s v="lena256_blurkernel10_7_100_6400"/>
    <n v="15.123765000000001"/>
    <n v="8.8328380000000006"/>
    <n v="7.6248799999999997E-4"/>
    <n v="9.5130000000000002E-6"/>
    <n v="16.655000000000001"/>
    <n v="12.0052"/>
    <n v="19.2346"/>
    <n v="22.854199999999999"/>
    <n v="22.975300000000001"/>
    <s v="BM3D"/>
    <n v="22.975300000000001"/>
    <n v="1"/>
    <n v="173"/>
    <n v="72"/>
    <n v="70"/>
    <b v="0"/>
  </r>
  <r>
    <x v="0"/>
    <x v="3"/>
    <x v="1"/>
    <n v="100"/>
    <x v="6"/>
    <s v="lena256_blurkernel10_7_100_12800"/>
    <n v="13.704948"/>
    <n v="8.8297500000000007"/>
    <n v="1.607069E-3"/>
    <n v="9.5130000000000002E-6"/>
    <n v="13.5238"/>
    <n v="12.0052"/>
    <n v="18.199200000000001"/>
    <n v="21.801500000000001"/>
    <n v="20.778500000000001"/>
    <s v="SROU03"/>
    <n v="21.801500000000001"/>
    <n v="3"/>
    <n v="70"/>
    <n v="115"/>
    <n v="167"/>
    <b v="1"/>
  </r>
  <r>
    <x v="0"/>
    <x v="3"/>
    <x v="1"/>
    <n v="100"/>
    <x v="7"/>
    <s v="lena256_blurkernel10_7_100_25600"/>
    <n v="12.674661"/>
    <n v="8.843083"/>
    <n v="3.546998E-3"/>
    <n v="9.5130000000000002E-6"/>
    <n v="10.3157"/>
    <n v="12.0052"/>
    <n v="16.824100000000001"/>
    <n v="20.579000000000001"/>
    <n v="18.4407"/>
    <s v="SROU03"/>
    <n v="20.579000000000001"/>
    <n v="3"/>
    <n v="68"/>
    <n v="111"/>
    <n v="162"/>
    <b v="1"/>
  </r>
  <r>
    <x v="0"/>
    <x v="3"/>
    <x v="2"/>
    <n v="100"/>
    <x v="0"/>
    <s v="lena256_blurkernel10_15_100_200"/>
    <n v="44.734110000000001"/>
    <n v="23.298757999999999"/>
    <n v="2.0682999999999998E-5"/>
    <n v="9.5289999999999997E-6"/>
    <n v="32.231900000000003"/>
    <n v="8.4278999999999993"/>
    <n v="21.6615"/>
    <n v="32.114400000000003"/>
    <n v="34.883699999999997"/>
    <s v="BM3D"/>
    <n v="34.883699999999997"/>
    <n v="1"/>
    <n v="230"/>
    <n v="96"/>
    <n v="94"/>
    <b v="1"/>
  </r>
  <r>
    <x v="0"/>
    <x v="3"/>
    <x v="2"/>
    <n v="100"/>
    <x v="1"/>
    <s v="lena256_blurkernel10_15_100_400"/>
    <n v="31.691465000000001"/>
    <n v="21.223309"/>
    <n v="4.3467999999999998E-5"/>
    <n v="9.5289999999999997E-6"/>
    <n v="29.010899999999999"/>
    <n v="8.4278999999999993"/>
    <n v="21.4725"/>
    <n v="30.002099999999999"/>
    <n v="32.287799999999997"/>
    <s v="BM3D"/>
    <n v="32.287799999999997"/>
    <n v="1"/>
    <n v="218"/>
    <n v="91"/>
    <n v="88"/>
    <b v="1"/>
  </r>
  <r>
    <x v="0"/>
    <x v="3"/>
    <x v="2"/>
    <n v="100"/>
    <x v="2"/>
    <s v="lena256_blurkernel10_15_100_800"/>
    <n v="22.973517999999999"/>
    <n v="20.251929000000001"/>
    <n v="8.8826999999999995E-5"/>
    <n v="9.5289999999999997E-6"/>
    <n v="25.911200000000001"/>
    <n v="8.4278999999999993"/>
    <n v="21.199100000000001"/>
    <n v="27.5549"/>
    <n v="29.881499999999999"/>
    <s v="BM3D"/>
    <n v="29.881499999999999"/>
    <n v="1"/>
    <n v="206"/>
    <n v="86"/>
    <n v="84"/>
    <b v="1"/>
  </r>
  <r>
    <x v="0"/>
    <x v="3"/>
    <x v="2"/>
    <n v="100"/>
    <x v="3"/>
    <s v="lena256_blurkernel10_15_100_1600"/>
    <n v="17.157829"/>
    <n v="19.690982999999999"/>
    <n v="1.82654E-4"/>
    <n v="9.5289999999999997E-6"/>
    <n v="22.790600000000001"/>
    <n v="8.4278999999999993"/>
    <n v="20.777699999999999"/>
    <n v="25.2668"/>
    <n v="27.4496"/>
    <s v="BM3D"/>
    <n v="27.4496"/>
    <n v="1"/>
    <n v="194"/>
    <n v="81"/>
    <n v="79"/>
    <b v="1"/>
  </r>
  <r>
    <x v="0"/>
    <x v="3"/>
    <x v="2"/>
    <n v="100"/>
    <x v="4"/>
    <s v="lena256_blurkernel10_15_100_3200"/>
    <n v="13.406724000000001"/>
    <n v="19.496853000000002"/>
    <n v="3.6700600000000002E-4"/>
    <n v="9.5289999999999997E-6"/>
    <n v="19.7895"/>
    <n v="8.4278999999999993"/>
    <n v="20.1371"/>
    <n v="23.445900000000002"/>
    <n v="25.222100000000001"/>
    <s v="BM3D"/>
    <n v="25.222100000000001"/>
    <n v="1"/>
    <n v="184"/>
    <n v="77"/>
    <n v="75"/>
    <b v="1"/>
  </r>
  <r>
    <x v="0"/>
    <x v="3"/>
    <x v="2"/>
    <n v="100"/>
    <x v="5"/>
    <s v="lena256_blurkernel10_15_100_6400"/>
    <n v="10.922185000000001"/>
    <n v="19.350273999999999"/>
    <n v="7.6268500000000003E-4"/>
    <n v="9.5289999999999997E-6"/>
    <n v="16.657"/>
    <n v="8.4278999999999993"/>
    <n v="19.216100000000001"/>
    <n v="21.9068"/>
    <n v="23.088100000000001"/>
    <s v="BM3D"/>
    <n v="23.088100000000001"/>
    <n v="1"/>
    <n v="174"/>
    <n v="73"/>
    <n v="71"/>
    <b v="1"/>
  </r>
  <r>
    <x v="0"/>
    <x v="3"/>
    <x v="2"/>
    <n v="100"/>
    <x v="6"/>
    <s v="lena256_blurkernel10_15_100_12800"/>
    <n v="9.2352209999999992"/>
    <n v="19.353289"/>
    <n v="1.621475E-3"/>
    <n v="9.5289999999999997E-6"/>
    <n v="13.4923"/>
    <n v="8.4278999999999993"/>
    <n v="18.0915"/>
    <n v="20.5213"/>
    <n v="20.708100000000002"/>
    <s v="BM3D"/>
    <n v="20.708100000000002"/>
    <n v="1"/>
    <n v="162"/>
    <n v="68"/>
    <n v="66"/>
    <b v="0"/>
  </r>
  <r>
    <x v="0"/>
    <x v="3"/>
    <x v="2"/>
    <n v="100"/>
    <x v="7"/>
    <s v="lena256_blurkernel10_15_100_25600"/>
    <n v="8.1069619999999993"/>
    <n v="19.307655"/>
    <n v="3.5661730000000002E-3"/>
    <n v="9.5289999999999997E-6"/>
    <n v="10.292899999999999"/>
    <n v="8.4278999999999993"/>
    <n v="16.414200000000001"/>
    <n v="19.436599999999999"/>
    <n v="18.391300000000001"/>
    <s v="SROU03"/>
    <n v="19.436599999999999"/>
    <n v="3"/>
    <n v="65"/>
    <n v="108"/>
    <n v="156"/>
    <b v="1"/>
  </r>
  <r>
    <x v="0"/>
    <x v="3"/>
    <x v="3"/>
    <n v="100"/>
    <x v="0"/>
    <s v="lena256_blurkernel10_31_100_200"/>
    <n v="44.239513000000002"/>
    <n v="48.170738999999998"/>
    <n v="2.0891999999999999E-5"/>
    <n v="9.5519999999999993E-6"/>
    <n v="32.1892"/>
    <n v="5.6376999999999997"/>
    <n v="21.556799999999999"/>
    <n v="31.509499999999999"/>
    <n v="34.800199999999997"/>
    <s v="BM3D"/>
    <n v="34.800199999999997"/>
    <n v="1"/>
    <n v="230"/>
    <n v="96"/>
    <n v="93"/>
    <b v="1"/>
  </r>
  <r>
    <x v="0"/>
    <x v="3"/>
    <x v="3"/>
    <n v="100"/>
    <x v="1"/>
    <s v="lena256_blurkernel10_31_100_400"/>
    <n v="31.024228000000001"/>
    <n v="44.027994"/>
    <n v="4.4097000000000001E-5"/>
    <n v="9.5519999999999993E-6"/>
    <n v="28.949100000000001"/>
    <n v="5.6376999999999997"/>
    <n v="21.359300000000001"/>
    <n v="28.576499999999999"/>
    <n v="32.215600000000002"/>
    <s v="BM3D"/>
    <n v="32.215600000000002"/>
    <n v="1"/>
    <n v="217"/>
    <n v="91"/>
    <n v="88"/>
    <b v="1"/>
  </r>
  <r>
    <x v="0"/>
    <x v="3"/>
    <x v="3"/>
    <n v="100"/>
    <x v="2"/>
    <s v="lena256_blurkernel10_31_100_800"/>
    <n v="22.177126999999999"/>
    <n v="41.800457999999999"/>
    <n v="8.9752000000000004E-5"/>
    <n v="9.5519999999999993E-6"/>
    <n v="25.868400000000001"/>
    <n v="5.6376999999999997"/>
    <n v="21.123799999999999"/>
    <n v="25.927499999999998"/>
    <n v="29.807300000000001"/>
    <s v="BM3D"/>
    <n v="29.807300000000001"/>
    <n v="1"/>
    <n v="206"/>
    <n v="86"/>
    <n v="84"/>
    <b v="1"/>
  </r>
  <r>
    <x v="0"/>
    <x v="3"/>
    <x v="3"/>
    <n v="100"/>
    <x v="3"/>
    <s v="lena256_blurkernel10_31_100_1600"/>
    <n v="15.869624999999999"/>
    <n v="40.902518999999998"/>
    <n v="1.8089000000000001E-4"/>
    <n v="9.5519999999999993E-6"/>
    <n v="22.834"/>
    <n v="5.6376999999999997"/>
    <n v="20.673500000000001"/>
    <n v="23.4376"/>
    <n v="27.5351"/>
    <s v="BM3D"/>
    <n v="27.5351"/>
    <n v="1"/>
    <n v="195"/>
    <n v="81"/>
    <n v="79"/>
    <b v="1"/>
  </r>
  <r>
    <x v="0"/>
    <x v="3"/>
    <x v="3"/>
    <n v="100"/>
    <x v="4"/>
    <s v="lena256_blurkernel10_31_100_3200"/>
    <n v="12.028259"/>
    <n v="40.184274000000002"/>
    <n v="3.7097900000000001E-4"/>
    <n v="9.5519999999999993E-6"/>
    <n v="19.737400000000001"/>
    <n v="5.6376999999999997"/>
    <n v="20.029699999999998"/>
    <n v="21.529900000000001"/>
    <n v="25.197399999999998"/>
    <s v="BM3D"/>
    <n v="25.197399999999998"/>
    <n v="1"/>
    <n v="184"/>
    <n v="77"/>
    <n v="75"/>
    <b v="1"/>
  </r>
  <r>
    <x v="0"/>
    <x v="3"/>
    <x v="3"/>
    <n v="100"/>
    <x v="5"/>
    <s v="lena256_blurkernel10_31_100_6400"/>
    <n v="9.3005040000000001"/>
    <n v="40.039712000000002"/>
    <n v="7.6560199999999999E-4"/>
    <n v="9.5519999999999993E-6"/>
    <n v="16.645800000000001"/>
    <n v="5.6376999999999997"/>
    <n v="19.058900000000001"/>
    <n v="19.792200000000001"/>
    <n v="23.012599999999999"/>
    <s v="BM3D"/>
    <n v="23.012599999999999"/>
    <n v="1"/>
    <n v="173"/>
    <n v="72"/>
    <n v="70"/>
    <b v="1"/>
  </r>
  <r>
    <x v="0"/>
    <x v="3"/>
    <x v="3"/>
    <n v="100"/>
    <x v="6"/>
    <s v="lena256_blurkernel10_31_100_12800"/>
    <n v="7.3925840000000003"/>
    <n v="39.819572000000001"/>
    <n v="1.6186410000000001E-3"/>
    <n v="9.5519999999999993E-6"/>
    <n v="13.4869"/>
    <n v="5.6376999999999997"/>
    <n v="17.845700000000001"/>
    <n v="18.2578"/>
    <n v="20.751300000000001"/>
    <s v="BM3D"/>
    <n v="20.751300000000001"/>
    <n v="1"/>
    <n v="162"/>
    <n v="68"/>
    <n v="66"/>
    <b v="1"/>
  </r>
  <r>
    <x v="0"/>
    <x v="3"/>
    <x v="3"/>
    <n v="100"/>
    <x v="7"/>
    <s v="lena256_blurkernel10_31_100_25600"/>
    <n v="6.1245279999999998"/>
    <n v="39.900612000000002"/>
    <n v="3.5501859999999999E-3"/>
    <n v="9.5519999999999993E-6"/>
    <n v="10.296900000000001"/>
    <n v="5.6376999999999997"/>
    <n v="16.184899999999999"/>
    <n v="17.142600000000002"/>
    <n v="18.4725"/>
    <s v="BM3D"/>
    <n v="18.4725"/>
    <n v="1"/>
    <n v="152"/>
    <n v="63"/>
    <n v="62"/>
    <b v="1"/>
  </r>
  <r>
    <x v="1"/>
    <x v="0"/>
    <x v="0"/>
    <n v="100"/>
    <x v="0"/>
    <s v="tree256_blurkernel7_3_100_200"/>
    <n v="54.790940999999997"/>
    <n v="3.9670730000000001"/>
    <n v="1.9947999999999999E-5"/>
    <n v="9.1710000000000008E-6"/>
    <n v="32.583599999999997"/>
    <n v="12.2722"/>
    <n v="12.6503"/>
    <n v="32.156999999999996"/>
    <n v="32.603200000000001"/>
    <s v="BM3D"/>
    <n v="32.603200000000001"/>
    <n v="1"/>
    <n v="219"/>
    <n v="92"/>
    <n v="89"/>
    <b v="0"/>
  </r>
  <r>
    <x v="1"/>
    <x v="0"/>
    <x v="0"/>
    <n v="100"/>
    <x v="1"/>
    <s v="tree256_blurkernel7_3_100_400"/>
    <n v="43.490560000000002"/>
    <n v="3.6311969999999998"/>
    <n v="4.1263000000000001E-5"/>
    <n v="9.1710000000000008E-6"/>
    <n v="29.428599999999999"/>
    <n v="12.2722"/>
    <n v="12.649800000000001"/>
    <n v="29.343800000000002"/>
    <n v="29.463899999999999"/>
    <s v="BM3D"/>
    <n v="29.463899999999999"/>
    <n v="1"/>
    <n v="204"/>
    <n v="85"/>
    <n v="83"/>
    <b v="0"/>
  </r>
  <r>
    <x v="1"/>
    <x v="0"/>
    <x v="0"/>
    <n v="100"/>
    <x v="2"/>
    <s v="tree256_blurkernel7_3_100_800"/>
    <n v="36.739921000000002"/>
    <n v="3.4585650000000001"/>
    <n v="8.4278999999999997E-5"/>
    <n v="9.1710000000000008E-6"/>
    <n v="26.330400000000001"/>
    <n v="12.2722"/>
    <n v="12.633599999999999"/>
    <n v="26.505400000000002"/>
    <n v="26.417400000000001"/>
    <s v="SROU03"/>
    <n v="26.505400000000002"/>
    <n v="3"/>
    <n v="79"/>
    <n v="131"/>
    <n v="190"/>
    <b v="0"/>
  </r>
  <r>
    <x v="1"/>
    <x v="0"/>
    <x v="0"/>
    <n v="100"/>
    <x v="3"/>
    <s v="tree256_blurkernel7_3_100_1600"/>
    <n v="32.901822000000003"/>
    <n v="3.3755440000000001"/>
    <n v="1.6992299999999999E-4"/>
    <n v="9.1710000000000008E-6"/>
    <n v="23.291499999999999"/>
    <n v="12.2722"/>
    <n v="12.641500000000001"/>
    <n v="23.489799999999999"/>
    <n v="23.468299999999999"/>
    <s v="SROU03"/>
    <n v="23.489799999999999"/>
    <n v="3"/>
    <n v="73"/>
    <n v="121"/>
    <n v="176"/>
    <b v="0"/>
  </r>
  <r>
    <x v="1"/>
    <x v="0"/>
    <x v="0"/>
    <n v="100"/>
    <x v="4"/>
    <s v="tree256_blurkernel7_3_100_3200"/>
    <n v="30.611785999999999"/>
    <n v="3.3406940000000001"/>
    <n v="3.4841899999999999E-4"/>
    <n v="9.1710000000000008E-6"/>
    <n v="20.189299999999999"/>
    <n v="12.2722"/>
    <n v="12.6356"/>
    <n v="20.493300000000001"/>
    <n v="20.544599999999999"/>
    <s v="BM3D"/>
    <n v="20.544599999999999"/>
    <n v="1"/>
    <n v="161"/>
    <n v="67"/>
    <n v="66"/>
    <b v="0"/>
  </r>
  <r>
    <x v="1"/>
    <x v="0"/>
    <x v="0"/>
    <n v="100"/>
    <x v="5"/>
    <s v="tree256_blurkernel7_3_100_6400"/>
    <n v="29.028027000000002"/>
    <n v="3.3369879999999998"/>
    <n v="7.1406200000000001E-4"/>
    <n v="9.1710000000000008E-6"/>
    <n v="17.108899999999998"/>
    <n v="12.2722"/>
    <n v="12.612500000000001"/>
    <n v="18.318300000000001"/>
    <n v="17.776800000000001"/>
    <s v="SROU03"/>
    <n v="18.318300000000001"/>
    <n v="3"/>
    <n v="63"/>
    <n v="104"/>
    <n v="151"/>
    <b v="0"/>
  </r>
  <r>
    <x v="1"/>
    <x v="0"/>
    <x v="0"/>
    <n v="100"/>
    <x v="6"/>
    <s v="tree256_blurkernel7_3_100_12800"/>
    <n v="27.491786000000001"/>
    <n v="3.3577729999999999"/>
    <n v="1.5066210000000001E-3"/>
    <n v="9.1710000000000008E-6"/>
    <n v="13.963200000000001"/>
    <n v="12.2722"/>
    <n v="12.6006"/>
    <n v="18.230699999999999"/>
    <n v="15.139699999999999"/>
    <s v="SROU03"/>
    <n v="18.230699999999999"/>
    <n v="3"/>
    <n v="63"/>
    <n v="104"/>
    <n v="150"/>
    <b v="1"/>
  </r>
  <r>
    <x v="1"/>
    <x v="0"/>
    <x v="0"/>
    <n v="100"/>
    <x v="7"/>
    <s v="tree256_blurkernel7_3_100_25600"/>
    <n v="25.908075"/>
    <n v="3.3938790000000001"/>
    <n v="3.3630859999999999E-3"/>
    <n v="9.1710000000000008E-6"/>
    <n v="10.6533"/>
    <n v="12.2722"/>
    <n v="12.593299999999999"/>
    <n v="17.1555"/>
    <n v="12.5762"/>
    <s v="SROU03"/>
    <n v="17.1555"/>
    <n v="3"/>
    <n v="61"/>
    <n v="100"/>
    <n v="145"/>
    <b v="1"/>
  </r>
  <r>
    <x v="1"/>
    <x v="0"/>
    <x v="1"/>
    <n v="100"/>
    <x v="0"/>
    <s v="tree256_blurkernel7_7_100_200"/>
    <n v="49.406202999999998"/>
    <n v="10.327904999999999"/>
    <n v="1.9942999999999999E-5"/>
    <n v="9.0890000000000006E-6"/>
    <n v="32.584899999999998"/>
    <n v="6.8818999999999999"/>
    <n v="12.1646"/>
    <n v="31.498699999999999"/>
    <n v="32.6"/>
    <s v="BM3D"/>
    <n v="32.6"/>
    <n v="1"/>
    <n v="219"/>
    <n v="92"/>
    <n v="89"/>
    <b v="1"/>
  </r>
  <r>
    <x v="1"/>
    <x v="0"/>
    <x v="1"/>
    <n v="100"/>
    <x v="1"/>
    <s v="tree256_blurkernel7_7_100_400"/>
    <n v="35.862299999999998"/>
    <n v="9.4055619999999998"/>
    <n v="4.1440999999999998E-5"/>
    <n v="9.0890000000000006E-6"/>
    <n v="29.409099999999999"/>
    <n v="6.8818999999999999"/>
    <n v="12.154"/>
    <n v="28.481400000000001"/>
    <n v="29.4392"/>
    <s v="BM3D"/>
    <n v="29.4392"/>
    <n v="1"/>
    <n v="204"/>
    <n v="85"/>
    <n v="83"/>
    <b v="0"/>
  </r>
  <r>
    <x v="1"/>
    <x v="0"/>
    <x v="1"/>
    <n v="100"/>
    <x v="2"/>
    <s v="tree256_blurkernel7_7_100_800"/>
    <n v="27.342047999999998"/>
    <n v="8.9453029999999991"/>
    <n v="8.4717999999999998E-5"/>
    <n v="9.0890000000000006E-6"/>
    <n v="26.310300000000002"/>
    <n v="6.8818999999999999"/>
    <n v="12.0977"/>
    <n v="25.628399999999999"/>
    <n v="26.398700000000002"/>
    <s v="BM3D"/>
    <n v="26.398700000000002"/>
    <n v="1"/>
    <n v="189"/>
    <n v="79"/>
    <n v="77"/>
    <b v="0"/>
  </r>
  <r>
    <x v="1"/>
    <x v="0"/>
    <x v="1"/>
    <n v="100"/>
    <x v="3"/>
    <s v="tree256_blurkernel7_7_100_1600"/>
    <n v="21.849395000000001"/>
    <n v="8.7077360000000006"/>
    <n v="1.70917E-4"/>
    <n v="9.0890000000000006E-6"/>
    <n v="23.265899999999998"/>
    <n v="6.8818999999999999"/>
    <n v="12.029400000000001"/>
    <n v="22.652899999999999"/>
    <n v="23.436499999999999"/>
    <s v="BM3D"/>
    <n v="23.436499999999999"/>
    <n v="1"/>
    <n v="175"/>
    <n v="73"/>
    <n v="71"/>
    <b v="0"/>
  </r>
  <r>
    <x v="1"/>
    <x v="0"/>
    <x v="1"/>
    <n v="100"/>
    <x v="4"/>
    <s v="tree256_blurkernel7_7_100_3200"/>
    <n v="18.509038"/>
    <n v="8.5949989999999996"/>
    <n v="3.47993E-4"/>
    <n v="9.0890000000000006E-6"/>
    <n v="20.1965"/>
    <n v="6.8818999999999999"/>
    <n v="11.8164"/>
    <n v="19.8779"/>
    <n v="20.5701"/>
    <s v="BM3D"/>
    <n v="20.5701"/>
    <n v="1"/>
    <n v="162"/>
    <n v="68"/>
    <n v="66"/>
    <b v="0"/>
  </r>
  <r>
    <x v="1"/>
    <x v="0"/>
    <x v="1"/>
    <n v="100"/>
    <x v="5"/>
    <s v="tree256_blurkernel7_7_100_6400"/>
    <n v="16.532527000000002"/>
    <n v="8.5453849999999996"/>
    <n v="7.13304E-4"/>
    <n v="9.0890000000000006E-6"/>
    <n v="17.1157"/>
    <n v="6.8818999999999999"/>
    <n v="11.5509"/>
    <n v="17.152000000000001"/>
    <n v="17.777799999999999"/>
    <s v="BM3D"/>
    <n v="17.777799999999999"/>
    <n v="1"/>
    <n v="148"/>
    <n v="62"/>
    <n v="60"/>
    <b v="0"/>
  </r>
  <r>
    <x v="1"/>
    <x v="0"/>
    <x v="1"/>
    <n v="100"/>
    <x v="6"/>
    <s v="tree256_blurkernel7_7_100_12800"/>
    <n v="15.246983"/>
    <n v="8.5299990000000001"/>
    <n v="1.5060150000000001E-3"/>
    <n v="9.0890000000000006E-6"/>
    <n v="13.959199999999999"/>
    <n v="6.8818999999999999"/>
    <n v="11.0764"/>
    <n v="14.625"/>
    <n v="15.127800000000001"/>
    <s v="BM3D"/>
    <n v="15.127800000000001"/>
    <n v="1"/>
    <n v="136"/>
    <n v="57"/>
    <n v="55"/>
    <b v="0"/>
  </r>
  <r>
    <x v="1"/>
    <x v="0"/>
    <x v="1"/>
    <n v="100"/>
    <x v="7"/>
    <s v="tree256_blurkernel7_7_100_25600"/>
    <n v="14.319034"/>
    <n v="8.5343140000000002"/>
    <n v="3.323108E-3"/>
    <n v="9.0890000000000006E-6"/>
    <n v="10.6983"/>
    <n v="6.8818999999999999"/>
    <n v="10.2966"/>
    <n v="12.8811"/>
    <n v="12.599299999999999"/>
    <s v="SROU03"/>
    <n v="12.8811"/>
    <n v="3"/>
    <n v="52"/>
    <n v="86"/>
    <n v="125"/>
    <b v="0"/>
  </r>
  <r>
    <x v="1"/>
    <x v="0"/>
    <x v="2"/>
    <n v="100"/>
    <x v="0"/>
    <s v="tree256_blurkernel7_15_100_200"/>
    <n v="48.107805999999997"/>
    <n v="22.660655999999999"/>
    <n v="1.9777999999999999E-5"/>
    <n v="9.0189999999999995E-6"/>
    <n v="32.620199999999997"/>
    <n v="3.9243000000000001"/>
    <n v="13.518700000000001"/>
    <n v="31.291699999999999"/>
    <n v="32.631700000000002"/>
    <s v="BM3D"/>
    <n v="32.631700000000002"/>
    <n v="1"/>
    <n v="219"/>
    <n v="92"/>
    <n v="89"/>
    <b v="1"/>
  </r>
  <r>
    <x v="1"/>
    <x v="0"/>
    <x v="2"/>
    <n v="100"/>
    <x v="1"/>
    <s v="tree256_blurkernel7_15_100_400"/>
    <n v="34.001404999999998"/>
    <n v="20.682673999999999"/>
    <n v="4.1619000000000003E-5"/>
    <n v="9.0189999999999995E-6"/>
    <n v="29.392399999999999"/>
    <n v="3.9243000000000001"/>
    <n v="13.4734"/>
    <n v="28.314800000000002"/>
    <n v="29.427199999999999"/>
    <s v="BM3D"/>
    <n v="29.427199999999999"/>
    <n v="1"/>
    <n v="204"/>
    <n v="85"/>
    <n v="83"/>
    <b v="1"/>
  </r>
  <r>
    <x v="1"/>
    <x v="0"/>
    <x v="2"/>
    <n v="100"/>
    <x v="2"/>
    <s v="tree256_blurkernel7_15_100_800"/>
    <n v="24.277318999999999"/>
    <n v="19.553874"/>
    <n v="8.4210999999999997E-5"/>
    <n v="9.0189999999999995E-6"/>
    <n v="26.335699999999999"/>
    <n v="3.9243000000000001"/>
    <n v="13.4048"/>
    <n v="25.3369"/>
    <n v="26.427099999999999"/>
    <s v="BM3D"/>
    <n v="26.427099999999999"/>
    <n v="1"/>
    <n v="190"/>
    <n v="79"/>
    <n v="77"/>
    <b v="1"/>
  </r>
  <r>
    <x v="1"/>
    <x v="0"/>
    <x v="2"/>
    <n v="100"/>
    <x v="3"/>
    <s v="tree256_blurkernel7_15_100_1600"/>
    <n v="18.061159"/>
    <n v="19.096533000000001"/>
    <n v="1.71965E-4"/>
    <n v="9.0189999999999995E-6"/>
    <n v="23.2407"/>
    <n v="3.9243000000000001"/>
    <n v="13.2918"/>
    <n v="22.5745"/>
    <n v="23.410299999999999"/>
    <s v="BM3D"/>
    <n v="23.410299999999999"/>
    <n v="1"/>
    <n v="175"/>
    <n v="73"/>
    <n v="71"/>
    <b v="0"/>
  </r>
  <r>
    <x v="1"/>
    <x v="0"/>
    <x v="2"/>
    <n v="100"/>
    <x v="4"/>
    <s v="tree256_blurkernel7_15_100_3200"/>
    <n v="13.969728"/>
    <n v="18.786611000000001"/>
    <n v="3.4940500000000001E-4"/>
    <n v="9.0189999999999995E-6"/>
    <n v="20.176600000000001"/>
    <n v="3.9243000000000001"/>
    <n v="13.065899999999999"/>
    <n v="19.9712"/>
    <n v="20.551600000000001"/>
    <s v="BM3D"/>
    <n v="20.551600000000001"/>
    <n v="1"/>
    <n v="162"/>
    <n v="67"/>
    <n v="66"/>
    <b v="0"/>
  </r>
  <r>
    <x v="1"/>
    <x v="0"/>
    <x v="2"/>
    <n v="100"/>
    <x v="5"/>
    <s v="tree256_blurkernel7_15_100_6400"/>
    <n v="11.280551000000001"/>
    <n v="18.723314999999999"/>
    <n v="7.2371299999999996E-4"/>
    <n v="9.0189999999999995E-6"/>
    <n v="17.049299999999999"/>
    <n v="3.9243000000000001"/>
    <n v="12.6309"/>
    <n v="17.328299999999999"/>
    <n v="17.7087"/>
    <s v="BM3D"/>
    <n v="17.7087"/>
    <n v="1"/>
    <n v="148"/>
    <n v="62"/>
    <n v="60"/>
    <b v="0"/>
  </r>
  <r>
    <x v="1"/>
    <x v="0"/>
    <x v="2"/>
    <n v="100"/>
    <x v="6"/>
    <s v="tree256_blurkernel7_15_100_12800"/>
    <n v="9.5204579999999996"/>
    <n v="18.613385999999998"/>
    <n v="1.5226440000000001E-3"/>
    <n v="9.0189999999999995E-6"/>
    <n v="13.9001"/>
    <n v="3.9243000000000001"/>
    <n v="11.841799999999999"/>
    <n v="14.965"/>
    <n v="15.083500000000001"/>
    <s v="BM3D"/>
    <n v="15.083500000000001"/>
    <n v="1"/>
    <n v="135"/>
    <n v="57"/>
    <n v="55"/>
    <b v="0"/>
  </r>
  <r>
    <x v="1"/>
    <x v="0"/>
    <x v="2"/>
    <n v="100"/>
    <x v="7"/>
    <s v="tree256_blurkernel7_15_100_25600"/>
    <n v="8.3662840000000003"/>
    <n v="18.660152"/>
    <n v="3.3492420000000001E-3"/>
    <n v="9.0189999999999995E-6"/>
    <n v="10.6693"/>
    <n v="3.9243000000000001"/>
    <n v="10.8348"/>
    <n v="12.907500000000001"/>
    <n v="12.614800000000001"/>
    <s v="SROU03"/>
    <n v="12.907500000000001"/>
    <n v="3"/>
    <n v="52"/>
    <n v="86"/>
    <n v="125"/>
    <b v="0"/>
  </r>
  <r>
    <x v="1"/>
    <x v="0"/>
    <x v="3"/>
    <n v="100"/>
    <x v="0"/>
    <s v="tree256_blurkernel7_31_100_200"/>
    <n v="47.848211999999997"/>
    <n v="46.925899000000001"/>
    <n v="1.9826E-5"/>
    <n v="8.9879999999999993E-6"/>
    <n v="32.610599999999998"/>
    <n v="2.4209999999999998"/>
    <n v="13.8217"/>
    <n v="31.204499999999999"/>
    <n v="32.621899999999997"/>
    <s v="BM3D"/>
    <n v="32.621899999999997"/>
    <n v="1"/>
    <n v="219"/>
    <n v="92"/>
    <n v="89"/>
    <b v="1"/>
  </r>
  <r>
    <x v="1"/>
    <x v="0"/>
    <x v="3"/>
    <n v="100"/>
    <x v="1"/>
    <s v="tree256_blurkernel7_31_100_400"/>
    <n v="33.283107999999999"/>
    <n v="42.835003999999998"/>
    <n v="4.087E-5"/>
    <n v="8.9879999999999993E-6"/>
    <n v="29.470600000000001"/>
    <n v="2.4209999999999998"/>
    <n v="13.7784"/>
    <n v="28.108699999999999"/>
    <n v="29.501899999999999"/>
    <s v="BM3D"/>
    <n v="29.501899999999999"/>
    <n v="1"/>
    <n v="204"/>
    <n v="85"/>
    <n v="83"/>
    <b v="1"/>
  </r>
  <r>
    <x v="1"/>
    <x v="0"/>
    <x v="3"/>
    <n v="100"/>
    <x v="2"/>
    <s v="tree256_blurkernel7_31_100_800"/>
    <n v="23.657579999999999"/>
    <n v="40.429636000000002"/>
    <n v="8.4773999999999998E-5"/>
    <n v="8.9879999999999993E-6"/>
    <n v="26.305399999999999"/>
    <n v="2.4209999999999998"/>
    <n v="13.698600000000001"/>
    <n v="25.235099999999999"/>
    <n v="26.4008"/>
    <s v="BM3D"/>
    <n v="26.4008"/>
    <n v="1"/>
    <n v="189"/>
    <n v="79"/>
    <n v="77"/>
    <b v="1"/>
  </r>
  <r>
    <x v="1"/>
    <x v="0"/>
    <x v="3"/>
    <n v="100"/>
    <x v="3"/>
    <s v="tree256_blurkernel7_31_100_1600"/>
    <n v="16.939806999999998"/>
    <n v="39.566312000000003"/>
    <n v="1.7073899999999999E-4"/>
    <n v="8.9879999999999993E-6"/>
    <n v="23.272400000000001"/>
    <n v="2.4209999999999998"/>
    <n v="13.5617"/>
    <n v="22.3002"/>
    <n v="23.446899999999999"/>
    <s v="BM3D"/>
    <n v="23.446899999999999"/>
    <n v="1"/>
    <n v="175"/>
    <n v="73"/>
    <n v="71"/>
    <b v="1"/>
  </r>
  <r>
    <x v="1"/>
    <x v="0"/>
    <x v="3"/>
    <n v="100"/>
    <x v="4"/>
    <s v="tree256_blurkernel7_31_100_3200"/>
    <n v="12.403219"/>
    <n v="38.749129000000003"/>
    <n v="3.4849600000000001E-4"/>
    <n v="8.9879999999999993E-6"/>
    <n v="20.187999999999999"/>
    <n v="2.4209999999999998"/>
    <n v="13.363"/>
    <n v="19.5883"/>
    <n v="20.558900000000001"/>
    <s v="BM3D"/>
    <n v="20.558900000000001"/>
    <n v="1"/>
    <n v="162"/>
    <n v="67"/>
    <n v="66"/>
    <b v="0"/>
  </r>
  <r>
    <x v="1"/>
    <x v="0"/>
    <x v="3"/>
    <n v="100"/>
    <x v="5"/>
    <s v="tree256_blurkernel7_31_100_6400"/>
    <n v="9.3260199999999998"/>
    <n v="38.738720000000001"/>
    <n v="7.2265000000000003E-4"/>
    <n v="8.9879999999999993E-6"/>
    <n v="17.064599999999999"/>
    <n v="2.4209999999999998"/>
    <n v="12.9275"/>
    <n v="16.9923"/>
    <n v="17.7179"/>
    <s v="BM3D"/>
    <n v="17.7179"/>
    <n v="1"/>
    <n v="148"/>
    <n v="62"/>
    <n v="60"/>
    <b v="0"/>
  </r>
  <r>
    <x v="1"/>
    <x v="0"/>
    <x v="3"/>
    <n v="100"/>
    <x v="6"/>
    <s v="tree256_blurkernel7_31_100_12800"/>
    <n v="7.3145829999999998"/>
    <n v="38.338782000000002"/>
    <n v="1.5186069999999999E-3"/>
    <n v="8.9879999999999993E-6"/>
    <n v="13.9095"/>
    <n v="2.4209999999999998"/>
    <n v="12.157299999999999"/>
    <n v="14.7507"/>
    <n v="15.0914"/>
    <s v="BM3D"/>
    <n v="15.0914"/>
    <n v="1"/>
    <n v="135"/>
    <n v="57"/>
    <n v="55"/>
    <b v="0"/>
  </r>
  <r>
    <x v="1"/>
    <x v="0"/>
    <x v="3"/>
    <n v="100"/>
    <x v="7"/>
    <s v="tree256_blurkernel7_31_100_25600"/>
    <n v="5.986275"/>
    <n v="38.555943999999997"/>
    <n v="3.379141E-3"/>
    <n v="8.9879999999999993E-6"/>
    <n v="10.624700000000001"/>
    <n v="2.4209999999999998"/>
    <n v="11.023899999999999"/>
    <n v="12.511200000000001"/>
    <n v="12.5474"/>
    <s v="BM3D"/>
    <n v="12.5474"/>
    <n v="1"/>
    <n v="123"/>
    <n v="51"/>
    <n v="50"/>
    <b v="0"/>
  </r>
  <r>
    <x v="1"/>
    <x v="1"/>
    <x v="0"/>
    <n v="100"/>
    <x v="0"/>
    <s v="tree256_blurkernel8_3_100_200"/>
    <n v="56.480395000000001"/>
    <n v="3.8805209999999999"/>
    <n v="1.9728000000000002E-5"/>
    <n v="9.064E-6"/>
    <n v="32.631799999999998"/>
    <n v="12.274699999999999"/>
    <n v="12.719900000000001"/>
    <n v="32.424300000000002"/>
    <n v="32.644599999999997"/>
    <s v="BM3D"/>
    <n v="32.644599999999997"/>
    <n v="1"/>
    <n v="219"/>
    <n v="92"/>
    <n v="89"/>
    <b v="0"/>
  </r>
  <r>
    <x v="1"/>
    <x v="1"/>
    <x v="0"/>
    <n v="100"/>
    <x v="1"/>
    <s v="tree256_blurkernel8_3_100_400"/>
    <n v="45.059863999999997"/>
    <n v="3.5392890000000001"/>
    <n v="4.0618999999999999E-5"/>
    <n v="9.064E-6"/>
    <n v="29.498200000000001"/>
    <n v="12.274699999999999"/>
    <n v="12.7211"/>
    <n v="29.708500000000001"/>
    <n v="29.535499999999999"/>
    <s v="SROU03"/>
    <n v="29.708500000000001"/>
    <n v="3"/>
    <n v="86"/>
    <n v="142"/>
    <n v="205"/>
    <b v="0"/>
  </r>
  <r>
    <x v="1"/>
    <x v="1"/>
    <x v="0"/>
    <n v="100"/>
    <x v="2"/>
    <s v="tree256_blurkernel8_3_100_800"/>
    <n v="38.532857"/>
    <n v="3.3720560000000002"/>
    <n v="8.5000999999999995E-5"/>
    <n v="9.064E-6"/>
    <n v="26.295200000000001"/>
    <n v="12.274699999999999"/>
    <n v="12.708"/>
    <n v="27.041799999999999"/>
    <n v="26.3858"/>
    <s v="SROU03"/>
    <n v="27.041799999999999"/>
    <n v="3"/>
    <n v="81"/>
    <n v="133"/>
    <n v="193"/>
    <b v="0"/>
  </r>
  <r>
    <x v="1"/>
    <x v="1"/>
    <x v="0"/>
    <n v="100"/>
    <x v="3"/>
    <s v="tree256_blurkernel8_3_100_1600"/>
    <n v="34.842478999999997"/>
    <n v="3.295652"/>
    <n v="1.7183300000000001E-4"/>
    <n v="9.064E-6"/>
    <n v="23.246200000000002"/>
    <n v="12.274699999999999"/>
    <n v="12.7014"/>
    <n v="24.4297"/>
    <n v="23.427499999999998"/>
    <s v="SROU03"/>
    <n v="24.4297"/>
    <n v="3"/>
    <n v="75"/>
    <n v="124"/>
    <n v="180"/>
    <b v="1"/>
  </r>
  <r>
    <x v="1"/>
    <x v="1"/>
    <x v="0"/>
    <n v="100"/>
    <x v="4"/>
    <s v="tree256_blurkernel8_3_100_3200"/>
    <n v="32.522495999999997"/>
    <n v="3.267665"/>
    <n v="3.5049700000000002E-4"/>
    <n v="9.064E-6"/>
    <n v="20.166599999999999"/>
    <n v="12.274699999999999"/>
    <n v="12.684100000000001"/>
    <n v="21.578700000000001"/>
    <n v="20.5213"/>
    <s v="SROU03"/>
    <n v="21.578700000000001"/>
    <n v="3"/>
    <n v="70"/>
    <n v="115"/>
    <n v="166"/>
    <b v="1"/>
  </r>
  <r>
    <x v="1"/>
    <x v="1"/>
    <x v="0"/>
    <n v="100"/>
    <x v="5"/>
    <s v="tree256_blurkernel8_3_100_6400"/>
    <n v="30.79006"/>
    <n v="3.2716289999999999"/>
    <n v="7.1650800000000003E-4"/>
    <n v="9.064E-6"/>
    <n v="17.0946"/>
    <n v="12.274699999999999"/>
    <n v="12.681699999999999"/>
    <n v="19.619599999999998"/>
    <n v="17.756699999999999"/>
    <s v="SROU03"/>
    <n v="19.619599999999998"/>
    <n v="3"/>
    <n v="66"/>
    <n v="108"/>
    <n v="157"/>
    <b v="1"/>
  </r>
  <r>
    <x v="1"/>
    <x v="1"/>
    <x v="0"/>
    <n v="100"/>
    <x v="6"/>
    <s v="tree256_blurkernel8_3_100_12800"/>
    <n v="29.010919000000001"/>
    <n v="3.3043640000000001"/>
    <n v="1.5152290000000001E-3"/>
    <n v="9.064E-6"/>
    <n v="13.918699999999999"/>
    <n v="12.274699999999999"/>
    <n v="12.662599999999999"/>
    <n v="18.572099999999999"/>
    <n v="15.0817"/>
    <s v="SROU03"/>
    <n v="18.572099999999999"/>
    <n v="3"/>
    <n v="64"/>
    <n v="105"/>
    <n v="152"/>
    <b v="1"/>
  </r>
  <r>
    <x v="1"/>
    <x v="1"/>
    <x v="0"/>
    <n v="100"/>
    <x v="7"/>
    <s v="tree256_blurkernel8_3_100_25600"/>
    <n v="26.977546"/>
    <n v="3.3570419999999999"/>
    <n v="3.3743179999999998E-3"/>
    <n v="9.064E-6"/>
    <n v="10.6271"/>
    <n v="12.274699999999999"/>
    <n v="12.6267"/>
    <n v="19.619900000000001"/>
    <n v="12.535299999999999"/>
    <s v="SROU03"/>
    <n v="19.619900000000001"/>
    <n v="3"/>
    <n v="66"/>
    <n v="108"/>
    <n v="157"/>
    <b v="1"/>
  </r>
  <r>
    <x v="1"/>
    <x v="1"/>
    <x v="1"/>
    <n v="100"/>
    <x v="0"/>
    <s v="tree256_blurkernel8_7_100_200"/>
    <n v="49.925440000000002"/>
    <n v="10.175469"/>
    <n v="1.9593E-5"/>
    <n v="9.1370000000000008E-6"/>
    <n v="32.662300000000002"/>
    <n v="6.9606000000000003"/>
    <n v="12.1112"/>
    <n v="31.6066"/>
    <n v="32.671199999999999"/>
    <s v="BM3D"/>
    <n v="32.671199999999999"/>
    <n v="1"/>
    <n v="219"/>
    <n v="92"/>
    <n v="89"/>
    <b v="1"/>
  </r>
  <r>
    <x v="1"/>
    <x v="1"/>
    <x v="1"/>
    <n v="100"/>
    <x v="1"/>
    <s v="tree256_blurkernel8_7_100_400"/>
    <n v="36.783814999999997"/>
    <n v="9.2807259999999996"/>
    <n v="4.0732999999999998E-5"/>
    <n v="9.1370000000000008E-6"/>
    <n v="29.482900000000001"/>
    <n v="6.9606000000000003"/>
    <n v="12.0768"/>
    <n v="28.6981"/>
    <n v="29.512799999999999"/>
    <s v="BM3D"/>
    <n v="29.512799999999999"/>
    <n v="1"/>
    <n v="204"/>
    <n v="85"/>
    <n v="83"/>
    <b v="0"/>
  </r>
  <r>
    <x v="1"/>
    <x v="1"/>
    <x v="1"/>
    <n v="100"/>
    <x v="2"/>
    <s v="tree256_blurkernel8_7_100_800"/>
    <n v="28.461554"/>
    <n v="8.8269300000000008"/>
    <n v="8.4085999999999994E-5"/>
    <n v="9.1370000000000008E-6"/>
    <n v="26.341699999999999"/>
    <n v="6.9606000000000003"/>
    <n v="12.043100000000001"/>
    <n v="25.9011"/>
    <n v="26.422799999999999"/>
    <s v="BM3D"/>
    <n v="26.422799999999999"/>
    <n v="1"/>
    <n v="190"/>
    <n v="79"/>
    <n v="77"/>
    <b v="0"/>
  </r>
  <r>
    <x v="1"/>
    <x v="1"/>
    <x v="1"/>
    <n v="100"/>
    <x v="3"/>
    <s v="tree256_blurkernel8_7_100_1600"/>
    <n v="23.262619000000001"/>
    <n v="8.6012529999999998"/>
    <n v="1.7297999999999999E-4"/>
    <n v="9.1370000000000008E-6"/>
    <n v="23.2165"/>
    <n v="6.9606000000000003"/>
    <n v="11.961600000000001"/>
    <n v="23.1113"/>
    <n v="23.400700000000001"/>
    <s v="BM3D"/>
    <n v="23.400700000000001"/>
    <n v="1"/>
    <n v="175"/>
    <n v="73"/>
    <n v="71"/>
    <b v="0"/>
  </r>
  <r>
    <x v="1"/>
    <x v="1"/>
    <x v="1"/>
    <n v="100"/>
    <x v="4"/>
    <s v="tree256_blurkernel8_7_100_3200"/>
    <n v="20.137791"/>
    <n v="8.5004760000000008"/>
    <n v="3.4766499999999999E-4"/>
    <n v="9.1370000000000008E-6"/>
    <n v="20.198599999999999"/>
    <n v="6.9606000000000003"/>
    <n v="11.831899999999999"/>
    <n v="19.6387"/>
    <n v="20.5748"/>
    <s v="BM3D"/>
    <n v="20.5748"/>
    <n v="1"/>
    <n v="162"/>
    <n v="68"/>
    <n v="66"/>
    <b v="0"/>
  </r>
  <r>
    <x v="1"/>
    <x v="1"/>
    <x v="1"/>
    <n v="100"/>
    <x v="5"/>
    <s v="tree256_blurkernel8_7_100_6400"/>
    <n v="18.140689999999999"/>
    <n v="8.4614519999999995"/>
    <n v="7.1678400000000004E-4"/>
    <n v="9.1370000000000008E-6"/>
    <n v="17.092099999999999"/>
    <n v="6.9606000000000003"/>
    <n v="11.494"/>
    <n v="17.5962"/>
    <n v="17.7592"/>
    <s v="BM3D"/>
    <n v="17.7592"/>
    <n v="1"/>
    <n v="148"/>
    <n v="62"/>
    <n v="60"/>
    <b v="0"/>
  </r>
  <r>
    <x v="1"/>
    <x v="1"/>
    <x v="1"/>
    <n v="100"/>
    <x v="6"/>
    <s v="tree256_blurkernel8_7_100_12800"/>
    <n v="16.636040999999999"/>
    <n v="8.4649389999999993"/>
    <n v="1.5047769999999999E-3"/>
    <n v="9.1370000000000008E-6"/>
    <n v="13.958500000000001"/>
    <n v="6.9606000000000003"/>
    <n v="11.077"/>
    <n v="15.84"/>
    <n v="15.120699999999999"/>
    <s v="SROU03"/>
    <n v="15.84"/>
    <n v="3"/>
    <n v="58"/>
    <n v="96"/>
    <n v="139"/>
    <b v="0"/>
  </r>
  <r>
    <x v="1"/>
    <x v="1"/>
    <x v="1"/>
    <n v="100"/>
    <x v="7"/>
    <s v="tree256_blurkernel8_7_100_25600"/>
    <n v="15.330696"/>
    <n v="8.4933560000000003"/>
    <n v="3.3786240000000002E-3"/>
    <n v="9.1370000000000008E-6"/>
    <n v="10.635999999999999"/>
    <n v="6.9606000000000003"/>
    <n v="10.3338"/>
    <n v="15.0214"/>
    <n v="12.5434"/>
    <s v="SROU03"/>
    <n v="15.0214"/>
    <n v="3"/>
    <n v="56"/>
    <n v="93"/>
    <n v="135"/>
    <b v="1"/>
  </r>
  <r>
    <x v="1"/>
    <x v="1"/>
    <x v="2"/>
    <n v="100"/>
    <x v="0"/>
    <s v="tree256_blurkernel8_15_100_200"/>
    <n v="48.376975000000002"/>
    <n v="22.507258"/>
    <n v="1.9740000000000001E-5"/>
    <n v="9.0580000000000004E-6"/>
    <n v="32.629399999999997"/>
    <n v="4.1394000000000002"/>
    <n v="13.3863"/>
    <n v="31.203399999999998"/>
    <n v="32.641500000000001"/>
    <s v="BM3D"/>
    <n v="32.641500000000001"/>
    <n v="1"/>
    <n v="219"/>
    <n v="92"/>
    <n v="89"/>
    <b v="1"/>
  </r>
  <r>
    <x v="1"/>
    <x v="1"/>
    <x v="2"/>
    <n v="100"/>
    <x v="1"/>
    <s v="tree256_blurkernel8_15_100_400"/>
    <n v="34.309148"/>
    <n v="20.465446"/>
    <n v="4.1452999999999998E-5"/>
    <n v="9.0580000000000004E-6"/>
    <n v="29.407900000000001"/>
    <n v="4.1394000000000002"/>
    <n v="13.359299999999999"/>
    <n v="28.2029"/>
    <n v="29.445599999999999"/>
    <s v="BM3D"/>
    <n v="29.445599999999999"/>
    <n v="1"/>
    <n v="204"/>
    <n v="85"/>
    <n v="83"/>
    <b v="1"/>
  </r>
  <r>
    <x v="1"/>
    <x v="1"/>
    <x v="2"/>
    <n v="100"/>
    <x v="2"/>
    <s v="tree256_blurkernel8_15_100_800"/>
    <n v="25.093617999999999"/>
    <n v="19.454169"/>
    <n v="8.4944000000000005E-5"/>
    <n v="9.0580000000000004E-6"/>
    <n v="26.294799999999999"/>
    <n v="4.1394000000000002"/>
    <n v="13.308999999999999"/>
    <n v="25.337599999999998"/>
    <n v="26.382899999999999"/>
    <s v="BM3D"/>
    <n v="26.382899999999999"/>
    <n v="1"/>
    <n v="189"/>
    <n v="79"/>
    <n v="77"/>
    <b v="1"/>
  </r>
  <r>
    <x v="1"/>
    <x v="1"/>
    <x v="2"/>
    <n v="100"/>
    <x v="3"/>
    <s v="tree256_blurkernel8_15_100_1600"/>
    <n v="19.113391"/>
    <n v="18.930990999999999"/>
    <n v="1.7171299999999999E-4"/>
    <n v="9.0580000000000004E-6"/>
    <n v="23.247199999999999"/>
    <n v="4.1394000000000002"/>
    <n v="13.1707"/>
    <n v="22.777000000000001"/>
    <n v="23.423500000000001"/>
    <s v="BM3D"/>
    <n v="23.423500000000001"/>
    <n v="1"/>
    <n v="175"/>
    <n v="73"/>
    <n v="71"/>
    <b v="0"/>
  </r>
  <r>
    <x v="1"/>
    <x v="1"/>
    <x v="2"/>
    <n v="100"/>
    <x v="4"/>
    <s v="tree256_blurkernel8_15_100_3200"/>
    <n v="15.241861999999999"/>
    <n v="18.691649999999999"/>
    <n v="3.46771E-4"/>
    <n v="9.0580000000000004E-6"/>
    <n v="20.217400000000001"/>
    <n v="4.1394000000000002"/>
    <n v="12.9673"/>
    <n v="20.0946"/>
    <n v="20.5624"/>
    <s v="BM3D"/>
    <n v="20.5624"/>
    <n v="1"/>
    <n v="162"/>
    <n v="68"/>
    <n v="66"/>
    <b v="0"/>
  </r>
  <r>
    <x v="1"/>
    <x v="1"/>
    <x v="2"/>
    <n v="100"/>
    <x v="5"/>
    <s v="tree256_blurkernel8_15_100_6400"/>
    <n v="12.786773"/>
    <n v="18.562154"/>
    <n v="7.1947199999999997E-4"/>
    <n v="9.0580000000000004E-6"/>
    <n v="17.073899999999998"/>
    <n v="4.1394000000000002"/>
    <n v="12.5337"/>
    <n v="17.598099999999999"/>
    <n v="17.732600000000001"/>
    <s v="BM3D"/>
    <n v="17.732600000000001"/>
    <n v="1"/>
    <n v="148"/>
    <n v="62"/>
    <n v="60"/>
    <b v="0"/>
  </r>
  <r>
    <x v="1"/>
    <x v="1"/>
    <x v="2"/>
    <n v="100"/>
    <x v="6"/>
    <s v="tree256_blurkernel8_15_100_12800"/>
    <n v="11.147334000000001"/>
    <n v="18.535007"/>
    <n v="1.5232570000000001E-3"/>
    <n v="9.0580000000000004E-6"/>
    <n v="13.914300000000001"/>
    <n v="4.1394000000000002"/>
    <n v="11.7966"/>
    <n v="15.5031"/>
    <n v="15.0694"/>
    <s v="SROU03"/>
    <n v="15.5031"/>
    <n v="3"/>
    <n v="57"/>
    <n v="95"/>
    <n v="137"/>
    <b v="0"/>
  </r>
  <r>
    <x v="1"/>
    <x v="1"/>
    <x v="2"/>
    <n v="100"/>
    <x v="7"/>
    <s v="tree256_blurkernel8_15_100_25600"/>
    <n v="9.9642149999999994"/>
    <n v="18.520492999999998"/>
    <n v="3.377513E-3"/>
    <n v="9.0580000000000004E-6"/>
    <n v="10.6182"/>
    <n v="4.1394000000000002"/>
    <n v="10.7524"/>
    <n v="13.873100000000001"/>
    <n v="12.512499999999999"/>
    <s v="SROU03"/>
    <n v="13.873100000000001"/>
    <n v="3"/>
    <n v="54"/>
    <n v="89"/>
    <n v="130"/>
    <b v="1"/>
  </r>
  <r>
    <x v="1"/>
    <x v="1"/>
    <x v="3"/>
    <n v="100"/>
    <x v="0"/>
    <s v="tree256_blurkernel8_31_100_200"/>
    <n v="48.021782000000002"/>
    <n v="47.091099"/>
    <n v="1.9805000000000001E-5"/>
    <n v="9.0550000000000005E-6"/>
    <n v="32.616700000000002"/>
    <n v="2.5017"/>
    <n v="13.798400000000001"/>
    <n v="31.052600000000002"/>
    <n v="32.630699999999997"/>
    <s v="BM3D"/>
    <n v="32.630699999999997"/>
    <n v="1"/>
    <n v="219"/>
    <n v="92"/>
    <n v="89"/>
    <b v="1"/>
  </r>
  <r>
    <x v="1"/>
    <x v="1"/>
    <x v="3"/>
    <n v="100"/>
    <x v="1"/>
    <s v="tree256_blurkernel8_31_100_400"/>
    <n v="33.578736999999997"/>
    <n v="42.725113"/>
    <n v="4.1091999999999999E-5"/>
    <n v="9.0550000000000005E-6"/>
    <n v="29.446400000000001"/>
    <n v="2.5017"/>
    <n v="13.7722"/>
    <n v="27.860499999999998"/>
    <n v="29.485299999999999"/>
    <s v="BM3D"/>
    <n v="29.485299999999999"/>
    <n v="1"/>
    <n v="204"/>
    <n v="85"/>
    <n v="83"/>
    <b v="1"/>
  </r>
  <r>
    <x v="1"/>
    <x v="1"/>
    <x v="3"/>
    <n v="100"/>
    <x v="2"/>
    <s v="tree256_blurkernel8_31_100_800"/>
    <n v="23.847829000000001"/>
    <n v="40.624969"/>
    <n v="8.4239000000000004E-5"/>
    <n v="9.0550000000000005E-6"/>
    <n v="26.3352"/>
    <n v="2.5017"/>
    <n v="13.6866"/>
    <n v="24.807500000000001"/>
    <n v="26.416599999999999"/>
    <s v="BM3D"/>
    <n v="26.416599999999999"/>
    <n v="1"/>
    <n v="190"/>
    <n v="79"/>
    <n v="77"/>
    <b v="1"/>
  </r>
  <r>
    <x v="1"/>
    <x v="1"/>
    <x v="3"/>
    <n v="100"/>
    <x v="3"/>
    <s v="tree256_blurkernel8_31_100_1600"/>
    <n v="17.297678999999999"/>
    <n v="39.434364000000002"/>
    <n v="1.7136399999999999E-4"/>
    <n v="9.0550000000000005E-6"/>
    <n v="23.257999999999999"/>
    <n v="2.5017"/>
    <n v="13.5814"/>
    <n v="21.889600000000002"/>
    <n v="23.431000000000001"/>
    <s v="BM3D"/>
    <n v="23.431000000000001"/>
    <n v="1"/>
    <n v="175"/>
    <n v="73"/>
    <n v="71"/>
    <b v="1"/>
  </r>
  <r>
    <x v="1"/>
    <x v="1"/>
    <x v="3"/>
    <n v="100"/>
    <x v="4"/>
    <s v="tree256_blurkernel8_31_100_3200"/>
    <n v="12.935357"/>
    <n v="38.987005000000003"/>
    <n v="3.4713099999999998E-4"/>
    <n v="9.0550000000000005E-6"/>
    <n v="20.207100000000001"/>
    <n v="2.5017"/>
    <n v="13.346399999999999"/>
    <n v="19.244299999999999"/>
    <n v="20.569600000000001"/>
    <s v="BM3D"/>
    <n v="20.569600000000001"/>
    <n v="1"/>
    <n v="162"/>
    <n v="68"/>
    <n v="66"/>
    <b v="1"/>
  </r>
  <r>
    <x v="1"/>
    <x v="1"/>
    <x v="3"/>
    <n v="100"/>
    <x v="5"/>
    <s v="tree256_blurkernel8_31_100_6400"/>
    <n v="10.035169"/>
    <n v="38.620865999999999"/>
    <n v="7.1846900000000001E-4"/>
    <n v="9.0550000000000005E-6"/>
    <n v="17.083200000000001"/>
    <n v="2.5017"/>
    <n v="12.8934"/>
    <n v="16.732500000000002"/>
    <n v="17.766500000000001"/>
    <s v="BM3D"/>
    <n v="17.766500000000001"/>
    <n v="1"/>
    <n v="148"/>
    <n v="62"/>
    <n v="60"/>
    <b v="1"/>
  </r>
  <r>
    <x v="1"/>
    <x v="1"/>
    <x v="3"/>
    <n v="100"/>
    <x v="6"/>
    <s v="tree256_blurkernel8_31_100_12800"/>
    <n v="8.1439749999999993"/>
    <n v="38.590045000000003"/>
    <n v="1.5027700000000001E-3"/>
    <n v="9.0550000000000005E-6"/>
    <n v="13.947699999999999"/>
    <n v="2.5017"/>
    <n v="12.1761"/>
    <n v="14.665800000000001"/>
    <n v="15.1149"/>
    <s v="BM3D"/>
    <n v="15.1149"/>
    <n v="1"/>
    <n v="136"/>
    <n v="57"/>
    <n v="55"/>
    <b v="0"/>
  </r>
  <r>
    <x v="1"/>
    <x v="1"/>
    <x v="3"/>
    <n v="100"/>
    <x v="7"/>
    <s v="tree256_blurkernel8_31_100_25600"/>
    <n v="6.928026"/>
    <n v="38.442326000000001"/>
    <n v="3.3556419999999998E-3"/>
    <n v="9.0550000000000005E-6"/>
    <n v="10.6693"/>
    <n v="2.5017"/>
    <n v="11.0106"/>
    <n v="12.5778"/>
    <n v="12.611800000000001"/>
    <s v="BM3D"/>
    <n v="12.611800000000001"/>
    <n v="1"/>
    <n v="124"/>
    <n v="52"/>
    <n v="50"/>
    <b v="0"/>
  </r>
  <r>
    <x v="1"/>
    <x v="2"/>
    <x v="0"/>
    <n v="100"/>
    <x v="0"/>
    <s v="tree256_line_3_100_200"/>
    <n v="61.376314999999998"/>
    <n v="3.5238320000000001"/>
    <n v="1.9697000000000001E-5"/>
    <n v="9.064E-6"/>
    <n v="32.637799999999999"/>
    <n v="9.3480000000000008"/>
    <n v="11.923999999999999"/>
    <n v="32.575699999999998"/>
    <n v="32.65"/>
    <s v="BM3D"/>
    <n v="32.65"/>
    <n v="1"/>
    <n v="219"/>
    <n v="92"/>
    <n v="89"/>
    <b v="0"/>
  </r>
  <r>
    <x v="1"/>
    <x v="2"/>
    <x v="0"/>
    <n v="100"/>
    <x v="1"/>
    <s v="tree256_line_3_100_400"/>
    <n v="51.175232000000001"/>
    <n v="3.2251340000000002"/>
    <n v="4.1211999999999998E-5"/>
    <n v="9.064E-6"/>
    <n v="29.4329"/>
    <n v="9.3480000000000008"/>
    <n v="11.910399999999999"/>
    <n v="29.715"/>
    <n v="29.472100000000001"/>
    <s v="SROU03"/>
    <n v="29.715"/>
    <n v="3"/>
    <n v="86"/>
    <n v="142"/>
    <n v="205"/>
    <b v="0"/>
  </r>
  <r>
    <x v="1"/>
    <x v="2"/>
    <x v="0"/>
    <n v="100"/>
    <x v="2"/>
    <s v="tree256_line_3_100_800"/>
    <n v="45.210160999999999"/>
    <n v="3.0838610000000002"/>
    <n v="8.4850000000000002E-5"/>
    <n v="9.064E-6"/>
    <n v="26.299800000000001"/>
    <n v="9.3480000000000008"/>
    <n v="11.8955"/>
    <n v="27.0106"/>
    <n v="26.383600000000001"/>
    <s v="SROU03"/>
    <n v="27.0106"/>
    <n v="3"/>
    <n v="80"/>
    <n v="133"/>
    <n v="192"/>
    <b v="0"/>
  </r>
  <r>
    <x v="1"/>
    <x v="2"/>
    <x v="0"/>
    <n v="100"/>
    <x v="3"/>
    <s v="tree256_line_3_100_1600"/>
    <n v="41.533050000000003"/>
    <n v="3.033566"/>
    <n v="1.72375E-4"/>
    <n v="9.064E-6"/>
    <n v="23.2319"/>
    <n v="9.3480000000000008"/>
    <n v="11.8223"/>
    <n v="24.4023"/>
    <n v="23.409800000000001"/>
    <s v="SROU03"/>
    <n v="24.4023"/>
    <n v="3"/>
    <n v="75"/>
    <n v="124"/>
    <n v="180"/>
    <b v="0"/>
  </r>
  <r>
    <x v="1"/>
    <x v="2"/>
    <x v="0"/>
    <n v="100"/>
    <x v="4"/>
    <s v="tree256_line_3_100_3200"/>
    <n v="38.853783"/>
    <n v="3.0363220000000002"/>
    <n v="3.4886800000000001E-4"/>
    <n v="9.064E-6"/>
    <n v="20.193000000000001"/>
    <n v="9.3480000000000008"/>
    <n v="11.7614"/>
    <n v="22.102900000000002"/>
    <n v="20.555499999999999"/>
    <s v="SROU03"/>
    <n v="22.102900000000002"/>
    <n v="3"/>
    <n v="71"/>
    <n v="116"/>
    <n v="169"/>
    <b v="1"/>
  </r>
  <r>
    <x v="1"/>
    <x v="2"/>
    <x v="0"/>
    <n v="100"/>
    <x v="5"/>
    <s v="tree256_line_3_100_6400"/>
    <n v="35.975779000000003"/>
    <n v="3.092085"/>
    <n v="7.2265700000000003E-4"/>
    <n v="9.064E-6"/>
    <n v="17.058"/>
    <n v="9.3480000000000008"/>
    <n v="11.6067"/>
    <n v="20.381699999999999"/>
    <n v="17.7319"/>
    <s v="SROU03"/>
    <n v="20.381699999999999"/>
    <n v="3"/>
    <n v="67"/>
    <n v="111"/>
    <n v="161"/>
    <b v="1"/>
  </r>
  <r>
    <x v="1"/>
    <x v="2"/>
    <x v="0"/>
    <n v="100"/>
    <x v="6"/>
    <s v="tree256_line_3_100_12800"/>
    <n v="32.666049000000001"/>
    <n v="3.1845530000000002"/>
    <n v="1.5075469999999999E-3"/>
    <n v="9.064E-6"/>
    <n v="13.942399999999999"/>
    <n v="9.3480000000000008"/>
    <n v="11.3736"/>
    <n v="19.117699999999999"/>
    <n v="15.079000000000001"/>
    <s v="SROU03"/>
    <n v="19.117699999999999"/>
    <n v="3"/>
    <n v="65"/>
    <n v="107"/>
    <n v="155"/>
    <b v="1"/>
  </r>
  <r>
    <x v="1"/>
    <x v="2"/>
    <x v="0"/>
    <n v="100"/>
    <x v="7"/>
    <s v="tree256_line_3_100_25600"/>
    <n v="29.415396999999999"/>
    <n v="3.282616"/>
    <n v="3.367601E-3"/>
    <n v="9.064E-6"/>
    <n v="10.6379"/>
    <n v="9.3480000000000008"/>
    <n v="10.9718"/>
    <n v="18.2163"/>
    <n v="12.555199999999999"/>
    <s v="SROU03"/>
    <n v="18.2163"/>
    <n v="3"/>
    <n v="63"/>
    <n v="104"/>
    <n v="150"/>
    <b v="1"/>
  </r>
  <r>
    <x v="1"/>
    <x v="2"/>
    <x v="1"/>
    <n v="100"/>
    <x v="0"/>
    <s v="tree256_line_7_100_200"/>
    <n v="53.965390999999997"/>
    <n v="9.5070429999999995"/>
    <n v="1.9834999999999999E-5"/>
    <n v="9.1649999999999995E-6"/>
    <n v="32.608600000000003"/>
    <n v="5.2525000000000004"/>
    <n v="13.2148"/>
    <n v="31.773700000000002"/>
    <n v="32.620100000000001"/>
    <s v="BM3D"/>
    <n v="32.620100000000001"/>
    <n v="1"/>
    <n v="219"/>
    <n v="92"/>
    <n v="89"/>
    <b v="0"/>
  </r>
  <r>
    <x v="1"/>
    <x v="2"/>
    <x v="1"/>
    <n v="100"/>
    <x v="1"/>
    <s v="tree256_line_7_100_400"/>
    <n v="41.789081000000003"/>
    <n v="8.6741960000000002"/>
    <n v="4.1569000000000001E-5"/>
    <n v="9.1649999999999995E-6"/>
    <n v="29.3962"/>
    <n v="5.2525000000000004"/>
    <n v="13.1891"/>
    <n v="28.716799999999999"/>
    <n v="29.4343"/>
    <s v="BM3D"/>
    <n v="29.4343"/>
    <n v="1"/>
    <n v="204"/>
    <n v="85"/>
    <n v="83"/>
    <b v="0"/>
  </r>
  <r>
    <x v="1"/>
    <x v="2"/>
    <x v="1"/>
    <n v="100"/>
    <x v="2"/>
    <s v="tree256_line_7_100_800"/>
    <n v="34.416595999999998"/>
    <n v="8.2669390000000007"/>
    <n v="8.3875000000000006E-5"/>
    <n v="9.1649999999999995E-6"/>
    <n v="26.3523"/>
    <n v="5.2525000000000004"/>
    <n v="13.1248"/>
    <n v="25.688700000000001"/>
    <n v="26.445499999999999"/>
    <s v="BM3D"/>
    <n v="26.445499999999999"/>
    <n v="1"/>
    <n v="190"/>
    <n v="79"/>
    <n v="77"/>
    <b v="0"/>
  </r>
  <r>
    <x v="1"/>
    <x v="2"/>
    <x v="1"/>
    <n v="100"/>
    <x v="3"/>
    <s v="tree256_line_7_100_1600"/>
    <n v="29.858792999999999"/>
    <n v="8.0936140000000005"/>
    <n v="1.7197E-4"/>
    <n v="9.1649999999999995E-6"/>
    <n v="23.241499999999998"/>
    <n v="5.2525000000000004"/>
    <n v="13.025"/>
    <n v="22.731100000000001"/>
    <n v="23.4268"/>
    <s v="BM3D"/>
    <n v="23.4268"/>
    <n v="1"/>
    <n v="175"/>
    <n v="73"/>
    <n v="71"/>
    <b v="0"/>
  </r>
  <r>
    <x v="1"/>
    <x v="2"/>
    <x v="1"/>
    <n v="100"/>
    <x v="4"/>
    <s v="tree256_line_7_100_3200"/>
    <n v="26.735731999999999"/>
    <n v="8.0536530000000006"/>
    <n v="3.46671E-4"/>
    <n v="9.1649999999999995E-6"/>
    <n v="20.209900000000001"/>
    <n v="5.2525000000000004"/>
    <n v="12.825900000000001"/>
    <n v="19.977"/>
    <n v="20.570399999999999"/>
    <s v="BM3D"/>
    <n v="20.570399999999999"/>
    <n v="1"/>
    <n v="162"/>
    <n v="68"/>
    <n v="66"/>
    <b v="0"/>
  </r>
  <r>
    <x v="1"/>
    <x v="2"/>
    <x v="1"/>
    <n v="100"/>
    <x v="5"/>
    <s v="tree256_line_7_100_6400"/>
    <n v="23.921101"/>
    <n v="8.111103"/>
    <n v="7.1856899999999996E-4"/>
    <n v="9.1649999999999995E-6"/>
    <n v="17.081399999999999"/>
    <n v="5.2525000000000004"/>
    <n v="12.462199999999999"/>
    <n v="17.395800000000001"/>
    <n v="17.740400000000001"/>
    <s v="BM3D"/>
    <n v="17.740400000000001"/>
    <n v="1"/>
    <n v="148"/>
    <n v="62"/>
    <n v="60"/>
    <b v="0"/>
  </r>
  <r>
    <x v="1"/>
    <x v="2"/>
    <x v="1"/>
    <n v="100"/>
    <x v="6"/>
    <s v="tree256_line_7_100_12800"/>
    <n v="21.111332999999998"/>
    <n v="8.2291109999999996"/>
    <n v="1.5172429999999999E-3"/>
    <n v="9.1649999999999995E-6"/>
    <n v="13.924200000000001"/>
    <n v="5.2525000000000004"/>
    <n v="11.866"/>
    <n v="15.879799999999999"/>
    <n v="15.038"/>
    <s v="SROU03"/>
    <n v="15.879799999999999"/>
    <n v="3"/>
    <n v="58"/>
    <n v="96"/>
    <n v="139"/>
    <b v="0"/>
  </r>
  <r>
    <x v="1"/>
    <x v="2"/>
    <x v="1"/>
    <n v="100"/>
    <x v="7"/>
    <s v="tree256_line_7_100_25600"/>
    <n v="18.548117999999999"/>
    <n v="8.349399"/>
    <n v="3.379885E-3"/>
    <n v="9.1649999999999995E-6"/>
    <n v="10.649100000000001"/>
    <n v="5.2525000000000004"/>
    <n v="10.912800000000001"/>
    <n v="14.5021"/>
    <n v="12.583"/>
    <s v="SROU03"/>
    <n v="14.5021"/>
    <n v="3"/>
    <n v="55"/>
    <n v="91"/>
    <n v="133"/>
    <b v="1"/>
  </r>
  <r>
    <x v="1"/>
    <x v="2"/>
    <x v="2"/>
    <n v="100"/>
    <x v="0"/>
    <s v="tree256_line_15_100_200"/>
    <n v="50.619388999999998"/>
    <n v="21.558247999999999"/>
    <n v="1.9483E-5"/>
    <n v="9.0720000000000006E-6"/>
    <n v="32.6858"/>
    <n v="3.2848000000000002"/>
    <n v="13.5124"/>
    <n v="31.477499999999999"/>
    <n v="32.6967"/>
    <s v="BM3D"/>
    <n v="32.6967"/>
    <n v="1"/>
    <n v="220"/>
    <n v="92"/>
    <n v="89"/>
    <b v="1"/>
  </r>
  <r>
    <x v="1"/>
    <x v="2"/>
    <x v="2"/>
    <n v="100"/>
    <x v="1"/>
    <s v="tree256_line_15_100_400"/>
    <n v="37.193308999999999"/>
    <n v="19.537693000000001"/>
    <n v="4.1220000000000002E-5"/>
    <n v="9.0720000000000006E-6"/>
    <n v="29.432099999999998"/>
    <n v="3.2848000000000002"/>
    <n v="13.491899999999999"/>
    <n v="28.410699999999999"/>
    <n v="29.472200000000001"/>
    <s v="BM3D"/>
    <n v="29.472200000000001"/>
    <n v="1"/>
    <n v="204"/>
    <n v="85"/>
    <n v="83"/>
    <b v="1"/>
  </r>
  <r>
    <x v="1"/>
    <x v="2"/>
    <x v="2"/>
    <n v="100"/>
    <x v="2"/>
    <s v="tree256_line_15_100_800"/>
    <n v="28.767199000000002"/>
    <n v="18.637498999999998"/>
    <n v="8.4315999999999997E-5"/>
    <n v="9.0720000000000006E-6"/>
    <n v="26.327200000000001"/>
    <n v="3.2848000000000002"/>
    <n v="13.440200000000001"/>
    <n v="25.314699999999998"/>
    <n v="26.406400000000001"/>
    <s v="BM3D"/>
    <n v="26.406400000000001"/>
    <n v="1"/>
    <n v="190"/>
    <n v="79"/>
    <n v="77"/>
    <b v="1"/>
  </r>
  <r>
    <x v="1"/>
    <x v="2"/>
    <x v="2"/>
    <n v="100"/>
    <x v="3"/>
    <s v="tree256_line_15_100_1600"/>
    <n v="23.360852999999999"/>
    <n v="18.127603000000001"/>
    <n v="1.70915E-4"/>
    <n v="9.0720000000000006E-6"/>
    <n v="23.264900000000001"/>
    <n v="3.2848000000000002"/>
    <n v="13.3156"/>
    <n v="22.375699999999998"/>
    <n v="23.4556"/>
    <s v="BM3D"/>
    <n v="23.4556"/>
    <n v="1"/>
    <n v="175"/>
    <n v="73"/>
    <n v="71"/>
    <b v="1"/>
  </r>
  <r>
    <x v="1"/>
    <x v="2"/>
    <x v="2"/>
    <n v="100"/>
    <x v="4"/>
    <s v="tree256_line_15_100_3200"/>
    <n v="19.964022"/>
    <n v="18.015598000000001"/>
    <n v="3.5048799999999998E-4"/>
    <n v="9.0720000000000006E-6"/>
    <n v="20.166399999999999"/>
    <n v="3.2848000000000002"/>
    <n v="13.106999999999999"/>
    <n v="19.372499999999999"/>
    <n v="20.539100000000001"/>
    <s v="BM3D"/>
    <n v="20.539100000000001"/>
    <n v="1"/>
    <n v="161"/>
    <n v="67"/>
    <n v="66"/>
    <b v="1"/>
  </r>
  <r>
    <x v="1"/>
    <x v="2"/>
    <x v="2"/>
    <n v="100"/>
    <x v="5"/>
    <s v="tree256_line_15_100_6400"/>
    <n v="17.232676999999999"/>
    <n v="17.934811"/>
    <n v="7.1612599999999998E-4"/>
    <n v="9.0720000000000006E-6"/>
    <n v="17.099399999999999"/>
    <n v="3.2848000000000002"/>
    <n v="12.6778"/>
    <n v="16.563500000000001"/>
    <n v="17.7455"/>
    <s v="BM3D"/>
    <n v="17.7455"/>
    <n v="1"/>
    <n v="148"/>
    <n v="62"/>
    <n v="60"/>
    <b v="1"/>
  </r>
  <r>
    <x v="1"/>
    <x v="2"/>
    <x v="2"/>
    <n v="100"/>
    <x v="6"/>
    <s v="tree256_line_15_100_12800"/>
    <n v="14.696816"/>
    <n v="18.123940999999999"/>
    <n v="1.521313E-3"/>
    <n v="9.0720000000000006E-6"/>
    <n v="13.915800000000001"/>
    <n v="3.2848000000000002"/>
    <n v="12.0426"/>
    <n v="14.2349"/>
    <n v="15.0471"/>
    <s v="BM3D"/>
    <n v="15.0471"/>
    <n v="1"/>
    <n v="135"/>
    <n v="56"/>
    <n v="55"/>
    <b v="0"/>
  </r>
  <r>
    <x v="1"/>
    <x v="2"/>
    <x v="2"/>
    <n v="100"/>
    <x v="7"/>
    <s v="tree256_line_15_100_25600"/>
    <n v="12.632139"/>
    <n v="18.159403000000001"/>
    <n v="3.3485699999999999E-3"/>
    <n v="9.0720000000000006E-6"/>
    <n v="10.668200000000001"/>
    <n v="3.2848000000000002"/>
    <n v="10.9711"/>
    <n v="11.3231"/>
    <n v="12.609400000000001"/>
    <s v="BM3D"/>
    <n v="12.609400000000001"/>
    <n v="1"/>
    <n v="124"/>
    <n v="52"/>
    <n v="50"/>
    <b v="1"/>
  </r>
  <r>
    <x v="1"/>
    <x v="2"/>
    <x v="3"/>
    <n v="100"/>
    <x v="0"/>
    <s v="tree256_line_31_100_200"/>
    <n v="48.997644999999999"/>
    <n v="45.862985000000002"/>
    <n v="1.9865E-5"/>
    <n v="9.1779999999999992E-6"/>
    <n v="32.601100000000002"/>
    <n v="2.3258999999999999"/>
    <n v="13.6311"/>
    <n v="31.342300000000002"/>
    <n v="32.614199999999997"/>
    <s v="BM3D"/>
    <n v="32.614199999999997"/>
    <n v="1"/>
    <n v="219"/>
    <n v="92"/>
    <n v="89"/>
    <b v="1"/>
  </r>
  <r>
    <x v="1"/>
    <x v="2"/>
    <x v="3"/>
    <n v="100"/>
    <x v="1"/>
    <s v="tree256_line_31_100_400"/>
    <n v="35.157271999999999"/>
    <n v="41.826774999999998"/>
    <n v="4.1019999999999997E-5"/>
    <n v="9.1779999999999992E-6"/>
    <n v="29.4542"/>
    <n v="2.3258999999999999"/>
    <n v="13.5999"/>
    <n v="28.327500000000001"/>
    <n v="29.485900000000001"/>
    <s v="BM3D"/>
    <n v="29.485900000000001"/>
    <n v="1"/>
    <n v="204"/>
    <n v="85"/>
    <n v="83"/>
    <b v="1"/>
  </r>
  <r>
    <x v="1"/>
    <x v="2"/>
    <x v="3"/>
    <n v="100"/>
    <x v="2"/>
    <s v="tree256_line_31_100_800"/>
    <n v="25.939229000000001"/>
    <n v="39.702950000000001"/>
    <n v="8.4389999999999997E-5"/>
    <n v="9.1779999999999992E-6"/>
    <n v="26.323899999999998"/>
    <n v="2.3258999999999999"/>
    <n v="13.5349"/>
    <n v="25.361699999999999"/>
    <n v="26.405899999999999"/>
    <s v="BM3D"/>
    <n v="26.405899999999999"/>
    <n v="1"/>
    <n v="190"/>
    <n v="79"/>
    <n v="77"/>
    <b v="1"/>
  </r>
  <r>
    <x v="1"/>
    <x v="2"/>
    <x v="3"/>
    <n v="100"/>
    <x v="3"/>
    <s v="tree256_line_31_100_1600"/>
    <n v="20.193995000000001"/>
    <n v="38.695366"/>
    <n v="1.7067699999999999E-4"/>
    <n v="9.1779999999999992E-6"/>
    <n v="23.273700000000002"/>
    <n v="2.3258999999999999"/>
    <n v="13.403499999999999"/>
    <n v="22.383700000000001"/>
    <n v="23.448399999999999"/>
    <s v="BM3D"/>
    <n v="23.448399999999999"/>
    <n v="1"/>
    <n v="175"/>
    <n v="73"/>
    <n v="71"/>
    <b v="1"/>
  </r>
  <r>
    <x v="1"/>
    <x v="2"/>
    <x v="3"/>
    <n v="100"/>
    <x v="4"/>
    <s v="tree256_line_31_100_3200"/>
    <n v="16.095464"/>
    <n v="38.141427"/>
    <n v="3.53085E-4"/>
    <n v="9.1779999999999992E-6"/>
    <n v="20.133600000000001"/>
    <n v="2.3258999999999999"/>
    <n v="13.216200000000001"/>
    <n v="19.4312"/>
    <n v="20.504799999999999"/>
    <s v="BM3D"/>
    <n v="20.504799999999999"/>
    <n v="1"/>
    <n v="161"/>
    <n v="67"/>
    <n v="65"/>
    <b v="1"/>
  </r>
  <r>
    <x v="1"/>
    <x v="2"/>
    <x v="3"/>
    <n v="100"/>
    <x v="5"/>
    <s v="tree256_line_31_100_6400"/>
    <n v="13.287788000000001"/>
    <n v="38.130339999999997"/>
    <n v="7.1485799999999996E-4"/>
    <n v="9.1779999999999992E-6"/>
    <n v="17.095700000000001"/>
    <n v="2.3258999999999999"/>
    <n v="12.8017"/>
    <n v="16.549099999999999"/>
    <n v="17.7544"/>
    <s v="BM3D"/>
    <n v="17.7544"/>
    <n v="1"/>
    <n v="148"/>
    <n v="62"/>
    <n v="60"/>
    <b v="1"/>
  </r>
  <r>
    <x v="1"/>
    <x v="2"/>
    <x v="3"/>
    <n v="100"/>
    <x v="6"/>
    <s v="tree256_line_31_100_12800"/>
    <n v="11.000361"/>
    <n v="38.034711000000001"/>
    <n v="1.503985E-3"/>
    <n v="9.1779999999999992E-6"/>
    <n v="13.961600000000001"/>
    <n v="2.3258999999999999"/>
    <n v="12.106999999999999"/>
    <n v="13.698"/>
    <n v="15.1066"/>
    <s v="BM3D"/>
    <n v="15.1066"/>
    <n v="1"/>
    <n v="135"/>
    <n v="57"/>
    <n v="55"/>
    <b v="1"/>
  </r>
  <r>
    <x v="1"/>
    <x v="2"/>
    <x v="3"/>
    <n v="100"/>
    <x v="7"/>
    <s v="tree256_line_31_100_25600"/>
    <n v="9.2783800000000003"/>
    <n v="38.241402000000001"/>
    <n v="3.3532330000000002E-3"/>
    <n v="9.1779999999999992E-6"/>
    <n v="10.6553"/>
    <n v="2.3258999999999999"/>
    <n v="11.0268"/>
    <n v="10.8316"/>
    <n v="12.5563"/>
    <s v="BM3D"/>
    <n v="12.5563"/>
    <n v="1"/>
    <n v="123"/>
    <n v="51"/>
    <n v="50"/>
    <b v="1"/>
  </r>
  <r>
    <x v="1"/>
    <x v="3"/>
    <x v="0"/>
    <n v="100"/>
    <x v="0"/>
    <s v="tree256_blurkernel10_3_100_200"/>
    <n v="55.132289999999998"/>
    <n v="3.9507850000000002"/>
    <n v="1.9711000000000002E-5"/>
    <n v="9.0429999999999996E-6"/>
    <n v="32.635399999999997"/>
    <n v="10.5588"/>
    <n v="11.957000000000001"/>
    <n v="32.2331"/>
    <n v="32.647100000000002"/>
    <s v="BM3D"/>
    <n v="32.647100000000002"/>
    <n v="1"/>
    <n v="219"/>
    <n v="92"/>
    <n v="89"/>
    <b v="0"/>
  </r>
  <r>
    <x v="1"/>
    <x v="3"/>
    <x v="0"/>
    <n v="100"/>
    <x v="1"/>
    <s v="tree256_blurkernel10_3_100_400"/>
    <n v="43.673405000000002"/>
    <n v="3.609302"/>
    <n v="4.1328000000000001E-5"/>
    <n v="9.0429999999999996E-6"/>
    <n v="29.421700000000001"/>
    <n v="10.5588"/>
    <n v="11.951599999999999"/>
    <n v="29.469200000000001"/>
    <n v="29.456399999999999"/>
    <s v="SROU03"/>
    <n v="29.469200000000001"/>
    <n v="3"/>
    <n v="85"/>
    <n v="141"/>
    <n v="204"/>
    <b v="0"/>
  </r>
  <r>
    <x v="1"/>
    <x v="3"/>
    <x v="0"/>
    <n v="100"/>
    <x v="2"/>
    <s v="tree256_blurkernel10_3_100_800"/>
    <n v="37.039439000000002"/>
    <n v="3.4402080000000002"/>
    <n v="8.4458999999999999E-5"/>
    <n v="9.0429999999999996E-6"/>
    <n v="26.319800000000001"/>
    <n v="10.5588"/>
    <n v="11.949400000000001"/>
    <n v="26.819199999999999"/>
    <n v="26.4085"/>
    <s v="SROU03"/>
    <n v="26.819199999999999"/>
    <n v="3"/>
    <n v="80"/>
    <n v="132"/>
    <n v="191"/>
    <b v="0"/>
  </r>
  <r>
    <x v="1"/>
    <x v="3"/>
    <x v="0"/>
    <n v="100"/>
    <x v="3"/>
    <s v="tree256_blurkernel10_3_100_1600"/>
    <n v="33.173313"/>
    <n v="3.3578000000000001"/>
    <n v="1.7219800000000001E-4"/>
    <n v="9.0429999999999996E-6"/>
    <n v="23.237100000000002"/>
    <n v="10.5588"/>
    <n v="11.905099999999999"/>
    <n v="24.134899999999998"/>
    <n v="23.416599999999999"/>
    <s v="SROU03"/>
    <n v="24.134899999999998"/>
    <n v="3"/>
    <n v="75"/>
    <n v="123"/>
    <n v="179"/>
    <b v="0"/>
  </r>
  <r>
    <x v="1"/>
    <x v="3"/>
    <x v="0"/>
    <n v="100"/>
    <x v="4"/>
    <s v="tree256_blurkernel10_3_100_3200"/>
    <n v="30.844832"/>
    <n v="3.3240690000000002"/>
    <n v="3.5052599999999998E-4"/>
    <n v="9.0429999999999996E-6"/>
    <n v="20.165299999999998"/>
    <n v="10.5588"/>
    <n v="11.8751"/>
    <n v="21.5395"/>
    <n v="20.539899999999999"/>
    <s v="SROU03"/>
    <n v="21.5395"/>
    <n v="3"/>
    <n v="69"/>
    <n v="115"/>
    <n v="166"/>
    <b v="0"/>
  </r>
  <r>
    <x v="1"/>
    <x v="3"/>
    <x v="0"/>
    <n v="100"/>
    <x v="5"/>
    <s v="tree256_blurkernel10_3_100_6400"/>
    <n v="29.223562999999999"/>
    <n v="3.3216950000000001"/>
    <n v="7.1535999999999995E-4"/>
    <n v="9.0429999999999996E-6"/>
    <n v="17.101099999999999"/>
    <n v="10.5588"/>
    <n v="11.8056"/>
    <n v="19.537199999999999"/>
    <n v="17.7742"/>
    <s v="SROU03"/>
    <n v="19.537199999999999"/>
    <n v="3"/>
    <n v="65"/>
    <n v="108"/>
    <n v="157"/>
    <b v="1"/>
  </r>
  <r>
    <x v="1"/>
    <x v="3"/>
    <x v="0"/>
    <n v="100"/>
    <x v="6"/>
    <s v="tree256_blurkernel10_3_100_12800"/>
    <n v="27.789169999999999"/>
    <n v="3.3401079999999999"/>
    <n v="1.510466E-3"/>
    <n v="9.0429999999999996E-6"/>
    <n v="13.9452"/>
    <n v="10.5588"/>
    <n v="11.687799999999999"/>
    <n v="18.081099999999999"/>
    <n v="15.1166"/>
    <s v="SROU03"/>
    <n v="18.081099999999999"/>
    <n v="3"/>
    <n v="63"/>
    <n v="103"/>
    <n v="150"/>
    <b v="1"/>
  </r>
  <r>
    <x v="1"/>
    <x v="3"/>
    <x v="0"/>
    <n v="100"/>
    <x v="7"/>
    <s v="tree256_blurkernel10_3_100_25600"/>
    <n v="26.342051000000001"/>
    <n v="3.3720729999999999"/>
    <n v="3.3614109999999999E-3"/>
    <n v="9.0429999999999996E-6"/>
    <n v="10.6486"/>
    <n v="10.5588"/>
    <n v="11.5069"/>
    <n v="17.390699999999999"/>
    <n v="12.568"/>
    <s v="SROU03"/>
    <n v="17.390699999999999"/>
    <n v="3"/>
    <n v="61"/>
    <n v="101"/>
    <n v="146"/>
    <b v="1"/>
  </r>
  <r>
    <x v="1"/>
    <x v="3"/>
    <x v="1"/>
    <n v="100"/>
    <x v="0"/>
    <s v="tree256_blurkernel10_7_100_200"/>
    <n v="49.657682999999999"/>
    <n v="10.302275"/>
    <n v="1.9772999999999999E-5"/>
    <n v="9.0869999999999996E-6"/>
    <n v="32.620800000000003"/>
    <n v="5.9939999999999998"/>
    <n v="12.8833"/>
    <n v="31.633199999999999"/>
    <n v="32.6295"/>
    <s v="BM3D"/>
    <n v="32.6295"/>
    <n v="1"/>
    <n v="219"/>
    <n v="92"/>
    <n v="89"/>
    <b v="0"/>
  </r>
  <r>
    <x v="1"/>
    <x v="3"/>
    <x v="1"/>
    <n v="100"/>
    <x v="1"/>
    <s v="tree256_blurkernel10_7_100_400"/>
    <n v="36.371836999999999"/>
    <n v="9.3978929999999998"/>
    <n v="4.1020999999999999E-5"/>
    <n v="9.0869999999999996E-6"/>
    <n v="29.454699999999999"/>
    <n v="5.9939999999999998"/>
    <n v="12.849500000000001"/>
    <n v="28.709099999999999"/>
    <n v="29.481999999999999"/>
    <s v="BM3D"/>
    <n v="29.481999999999999"/>
    <n v="1"/>
    <n v="204"/>
    <n v="85"/>
    <n v="83"/>
    <b v="0"/>
  </r>
  <r>
    <x v="1"/>
    <x v="3"/>
    <x v="1"/>
    <n v="100"/>
    <x v="2"/>
    <s v="tree256_blurkernel10_7_100_800"/>
    <n v="27.588056000000002"/>
    <n v="8.9219980000000003"/>
    <n v="8.4115000000000004E-5"/>
    <n v="9.0869999999999996E-6"/>
    <n v="26.3367"/>
    <n v="5.9939999999999998"/>
    <n v="12.81"/>
    <n v="25.756399999999999"/>
    <n v="26.4312"/>
    <s v="BM3D"/>
    <n v="26.4312"/>
    <n v="1"/>
    <n v="190"/>
    <n v="79"/>
    <n v="77"/>
    <b v="0"/>
  </r>
  <r>
    <x v="1"/>
    <x v="3"/>
    <x v="1"/>
    <n v="100"/>
    <x v="3"/>
    <s v="tree256_blurkernel10_7_100_1600"/>
    <n v="22.283957999999998"/>
    <n v="8.6937320000000007"/>
    <n v="1.72027E-4"/>
    <n v="9.0869999999999996E-6"/>
    <n v="23.239000000000001"/>
    <n v="5.9939999999999998"/>
    <n v="12.7089"/>
    <n v="23.061800000000002"/>
    <n v="23.4131"/>
    <s v="BM3D"/>
    <n v="23.4131"/>
    <n v="1"/>
    <n v="175"/>
    <n v="73"/>
    <n v="71"/>
    <b v="0"/>
  </r>
  <r>
    <x v="1"/>
    <x v="3"/>
    <x v="1"/>
    <n v="100"/>
    <x v="4"/>
    <s v="tree256_blurkernel10_7_100_3200"/>
    <n v="19.047267000000002"/>
    <n v="8.5828030000000002"/>
    <n v="3.4708100000000001E-4"/>
    <n v="9.0869999999999996E-6"/>
    <n v="20.204799999999999"/>
    <n v="5.9939999999999998"/>
    <n v="12.523099999999999"/>
    <n v="20.389399999999998"/>
    <n v="20.569099999999999"/>
    <s v="BM3D"/>
    <n v="20.569099999999999"/>
    <n v="1"/>
    <n v="162"/>
    <n v="68"/>
    <n v="66"/>
    <b v="0"/>
  </r>
  <r>
    <x v="1"/>
    <x v="3"/>
    <x v="1"/>
    <n v="100"/>
    <x v="5"/>
    <s v="tree256_blurkernel10_7_100_6400"/>
    <n v="17.062894"/>
    <n v="8.5359850000000002"/>
    <n v="7.1827999999999996E-4"/>
    <n v="9.0869999999999996E-6"/>
    <n v="17.087"/>
    <n v="5.9939999999999998"/>
    <n v="12.168699999999999"/>
    <n v="17.901700000000002"/>
    <n v="17.7315"/>
    <s v="SROU03"/>
    <n v="17.901700000000002"/>
    <n v="3"/>
    <n v="62"/>
    <n v="103"/>
    <n v="149"/>
    <b v="0"/>
  </r>
  <r>
    <x v="1"/>
    <x v="3"/>
    <x v="1"/>
    <n v="100"/>
    <x v="6"/>
    <s v="tree256_blurkernel10_7_100_12800"/>
    <n v="15.752579000000001"/>
    <n v="8.5242070000000005"/>
    <n v="1.502153E-3"/>
    <n v="9.0869999999999996E-6"/>
    <n v="13.958399999999999"/>
    <n v="5.9939999999999998"/>
    <n v="11.6379"/>
    <n v="15.8308"/>
    <n v="15.121700000000001"/>
    <s v="SROU03"/>
    <n v="15.8308"/>
    <n v="3"/>
    <n v="58"/>
    <n v="96"/>
    <n v="139"/>
    <b v="0"/>
  </r>
  <r>
    <x v="1"/>
    <x v="3"/>
    <x v="1"/>
    <n v="100"/>
    <x v="7"/>
    <s v="tree256_blurkernel10_7_100_25600"/>
    <n v="14.729353"/>
    <n v="8.5349760000000003"/>
    <n v="3.3506679999999998E-3"/>
    <n v="9.0869999999999996E-6"/>
    <n v="10.6645"/>
    <n v="5.9939999999999998"/>
    <n v="10.821300000000001"/>
    <n v="14.646599999999999"/>
    <n v="12.6218"/>
    <s v="SROU03"/>
    <n v="14.646599999999999"/>
    <n v="3"/>
    <n v="56"/>
    <n v="92"/>
    <n v="133"/>
    <b v="1"/>
  </r>
  <r>
    <x v="1"/>
    <x v="3"/>
    <x v="2"/>
    <n v="100"/>
    <x v="0"/>
    <s v="tree256_blurkernel10_15_100_200"/>
    <n v="48.393241000000003"/>
    <n v="22.532212000000001"/>
    <n v="1.9752999999999999E-5"/>
    <n v="9.0489999999999993E-6"/>
    <n v="32.626800000000003"/>
    <n v="3.7448000000000001"/>
    <n v="13.4399"/>
    <n v="31.131599999999999"/>
    <n v="32.643500000000003"/>
    <s v="BM3D"/>
    <n v="32.643500000000003"/>
    <n v="1"/>
    <n v="219"/>
    <n v="92"/>
    <n v="89"/>
    <b v="1"/>
  </r>
  <r>
    <x v="1"/>
    <x v="3"/>
    <x v="2"/>
    <n v="100"/>
    <x v="1"/>
    <s v="tree256_blurkernel10_15_100_400"/>
    <n v="34.387858999999999"/>
    <n v="20.566632999999999"/>
    <n v="4.1390000000000002E-5"/>
    <n v="9.0489999999999993E-6"/>
    <n v="29.417000000000002"/>
    <n v="3.7448000000000001"/>
    <n v="13.4191"/>
    <n v="28.0777"/>
    <n v="29.452400000000001"/>
    <s v="BM3D"/>
    <n v="29.452400000000001"/>
    <n v="1"/>
    <n v="204"/>
    <n v="85"/>
    <n v="83"/>
    <b v="1"/>
  </r>
  <r>
    <x v="1"/>
    <x v="3"/>
    <x v="2"/>
    <n v="100"/>
    <x v="2"/>
    <s v="tree256_blurkernel10_15_100_800"/>
    <n v="24.83089"/>
    <n v="19.447535999999999"/>
    <n v="8.4241999999999997E-5"/>
    <n v="9.0489999999999993E-6"/>
    <n v="26.330200000000001"/>
    <n v="3.7448000000000001"/>
    <n v="13.3649"/>
    <n v="25.031300000000002"/>
    <n v="26.417000000000002"/>
    <s v="BM3D"/>
    <n v="26.417000000000002"/>
    <n v="1"/>
    <n v="190"/>
    <n v="79"/>
    <n v="77"/>
    <b v="1"/>
  </r>
  <r>
    <x v="1"/>
    <x v="3"/>
    <x v="2"/>
    <n v="100"/>
    <x v="3"/>
    <s v="tree256_blurkernel10_15_100_1600"/>
    <n v="18.926691999999999"/>
    <n v="19.010985000000002"/>
    <n v="1.71173E-4"/>
    <n v="9.0489999999999993E-6"/>
    <n v="23.258900000000001"/>
    <n v="3.7448000000000001"/>
    <n v="13.216699999999999"/>
    <n v="22.454999999999998"/>
    <n v="23.438800000000001"/>
    <s v="BM3D"/>
    <n v="23.438800000000001"/>
    <n v="1"/>
    <n v="175"/>
    <n v="73"/>
    <n v="71"/>
    <b v="0"/>
  </r>
  <r>
    <x v="1"/>
    <x v="3"/>
    <x v="2"/>
    <n v="100"/>
    <x v="4"/>
    <s v="tree256_blurkernel10_15_100_3200"/>
    <n v="14.894515"/>
    <n v="18.688313999999998"/>
    <n v="3.5167E-4"/>
    <n v="9.0489999999999993E-6"/>
    <n v="20.154199999999999"/>
    <n v="3.7448000000000001"/>
    <n v="13.0062"/>
    <n v="20.046900000000001"/>
    <n v="20.5213"/>
    <s v="BM3D"/>
    <n v="20.5213"/>
    <n v="1"/>
    <n v="161"/>
    <n v="67"/>
    <n v="66"/>
    <b v="0"/>
  </r>
  <r>
    <x v="1"/>
    <x v="3"/>
    <x v="2"/>
    <n v="100"/>
    <x v="5"/>
    <s v="tree256_blurkernel10_15_100_6400"/>
    <n v="12.334929000000001"/>
    <n v="18.636172999999999"/>
    <n v="7.1888200000000001E-4"/>
    <n v="9.0489999999999993E-6"/>
    <n v="17.081900000000001"/>
    <n v="3.7448000000000001"/>
    <n v="12.6744"/>
    <n v="17.463000000000001"/>
    <n v="17.723199999999999"/>
    <s v="BM3D"/>
    <n v="17.723199999999999"/>
    <n v="1"/>
    <n v="148"/>
    <n v="62"/>
    <n v="60"/>
    <b v="0"/>
  </r>
  <r>
    <x v="1"/>
    <x v="3"/>
    <x v="2"/>
    <n v="100"/>
    <x v="6"/>
    <s v="tree256_blurkernel10_15_100_12800"/>
    <n v="10.672554"/>
    <n v="18.527370999999999"/>
    <n v="1.5146479999999999E-3"/>
    <n v="9.0489999999999993E-6"/>
    <n v="13.9374"/>
    <n v="3.7448000000000001"/>
    <n v="12.001200000000001"/>
    <n v="15.3948"/>
    <n v="15.1007"/>
    <s v="SROU03"/>
    <n v="15.3948"/>
    <n v="3"/>
    <n v="57"/>
    <n v="94"/>
    <n v="137"/>
    <b v="0"/>
  </r>
  <r>
    <x v="1"/>
    <x v="3"/>
    <x v="2"/>
    <n v="100"/>
    <x v="7"/>
    <s v="tree256_blurkernel10_15_100_25600"/>
    <n v="9.5530600000000003"/>
    <n v="18.585435"/>
    <n v="3.3518850000000002E-3"/>
    <n v="9.0489999999999993E-6"/>
    <n v="10.681100000000001"/>
    <n v="3.7448000000000001"/>
    <n v="11.040800000000001"/>
    <n v="13.7378"/>
    <n v="12.594099999999999"/>
    <s v="SROU03"/>
    <n v="13.7378"/>
    <n v="3"/>
    <n v="54"/>
    <n v="89"/>
    <n v="129"/>
    <b v="1"/>
  </r>
  <r>
    <x v="1"/>
    <x v="3"/>
    <x v="3"/>
    <n v="100"/>
    <x v="0"/>
    <s v="tree256_blurkernel10_31_100_200"/>
    <n v="47.482199999999999"/>
    <n v="46.987302999999997"/>
    <n v="1.9814E-5"/>
    <n v="8.9970000000000004E-6"/>
    <n v="32.612099999999998"/>
    <n v="2.5832999999999999"/>
    <n v="13.5326"/>
    <n v="28.9361"/>
    <n v="32.629899999999999"/>
    <s v="BM3D"/>
    <n v="32.629899999999999"/>
    <n v="1"/>
    <n v="219"/>
    <n v="92"/>
    <n v="89"/>
    <b v="1"/>
  </r>
  <r>
    <x v="1"/>
    <x v="3"/>
    <x v="3"/>
    <n v="100"/>
    <x v="1"/>
    <s v="tree256_blurkernel10_31_100_400"/>
    <n v="33.468058999999997"/>
    <n v="42.471096000000003"/>
    <n v="4.1063000000000003E-5"/>
    <n v="8.9970000000000004E-6"/>
    <n v="29.450199999999999"/>
    <n v="2.5832999999999999"/>
    <n v="13.497199999999999"/>
    <n v="27.5307"/>
    <n v="29.4863"/>
    <s v="BM3D"/>
    <n v="29.4863"/>
    <n v="1"/>
    <n v="204"/>
    <n v="85"/>
    <n v="83"/>
    <b v="1"/>
  </r>
  <r>
    <x v="1"/>
    <x v="3"/>
    <x v="3"/>
    <n v="100"/>
    <x v="2"/>
    <s v="tree256_blurkernel10_31_100_800"/>
    <n v="23.952555"/>
    <n v="40.269686"/>
    <n v="8.4810999999999998E-5"/>
    <n v="8.9970000000000004E-6"/>
    <n v="26.3035"/>
    <n v="2.5832999999999999"/>
    <n v="13.443099999999999"/>
    <n v="24.561499999999999"/>
    <n v="26.384499999999999"/>
    <s v="BM3D"/>
    <n v="26.384499999999999"/>
    <n v="1"/>
    <n v="189"/>
    <n v="79"/>
    <n v="77"/>
    <b v="1"/>
  </r>
  <r>
    <x v="1"/>
    <x v="3"/>
    <x v="3"/>
    <n v="100"/>
    <x v="3"/>
    <s v="tree256_blurkernel10_31_100_1600"/>
    <n v="17.512598000000001"/>
    <n v="39.245224"/>
    <n v="1.70872E-4"/>
    <n v="8.9970000000000004E-6"/>
    <n v="23.266500000000001"/>
    <n v="2.5832999999999999"/>
    <n v="13.3004"/>
    <n v="21.713000000000001"/>
    <n v="23.4481"/>
    <s v="BM3D"/>
    <n v="23.4481"/>
    <n v="1"/>
    <n v="175"/>
    <n v="73"/>
    <n v="71"/>
    <b v="1"/>
  </r>
  <r>
    <x v="1"/>
    <x v="3"/>
    <x v="3"/>
    <n v="100"/>
    <x v="4"/>
    <s v="tree256_blurkernel10_31_100_3200"/>
    <n v="13.117274999999999"/>
    <n v="38.627555999999998"/>
    <n v="3.4166399999999999E-4"/>
    <n v="8.9970000000000004E-6"/>
    <n v="20.274699999999999"/>
    <n v="2.5832999999999999"/>
    <n v="13.0983"/>
    <n v="19.051200000000001"/>
    <n v="20.633800000000001"/>
    <s v="BM3D"/>
    <n v="20.633800000000001"/>
    <n v="1"/>
    <n v="162"/>
    <n v="68"/>
    <n v="66"/>
    <b v="1"/>
  </r>
  <r>
    <x v="1"/>
    <x v="3"/>
    <x v="3"/>
    <n v="100"/>
    <x v="5"/>
    <s v="tree256_blurkernel10_31_100_6400"/>
    <n v="10.250254"/>
    <n v="38.423437999999997"/>
    <n v="7.2164899999999999E-4"/>
    <n v="8.9970000000000004E-6"/>
    <n v="17.065200000000001"/>
    <n v="2.5832999999999999"/>
    <n v="12.7104"/>
    <n v="16.570499999999999"/>
    <n v="17.719200000000001"/>
    <s v="BM3D"/>
    <n v="17.719200000000001"/>
    <n v="1"/>
    <n v="148"/>
    <n v="62"/>
    <n v="60"/>
    <b v="1"/>
  </r>
  <r>
    <x v="1"/>
    <x v="3"/>
    <x v="3"/>
    <n v="100"/>
    <x v="6"/>
    <s v="tree256_blurkernel10_31_100_12800"/>
    <n v="8.3539469999999998"/>
    <n v="38.241383999999996"/>
    <n v="1.52911E-3"/>
    <n v="8.9970000000000004E-6"/>
    <n v="13.881600000000001"/>
    <n v="2.5832999999999999"/>
    <n v="12.0131"/>
    <n v="14.502800000000001"/>
    <n v="15.0616"/>
    <s v="BM3D"/>
    <n v="15.0616"/>
    <n v="1"/>
    <n v="135"/>
    <n v="56"/>
    <n v="55"/>
    <b v="0"/>
  </r>
  <r>
    <x v="1"/>
    <x v="3"/>
    <x v="3"/>
    <n v="100"/>
    <x v="7"/>
    <s v="tree256_blurkernel10_31_100_25600"/>
    <n v="7.1056439999999998"/>
    <n v="38.265574000000001"/>
    <n v="3.3321869999999999E-3"/>
    <n v="8.9970000000000004E-6"/>
    <n v="10.6844"/>
    <n v="2.5832999999999999"/>
    <n v="10.959"/>
    <n v="13.0349"/>
    <n v="12.6122"/>
    <s v="SROU03"/>
    <n v="13.0349"/>
    <n v="3"/>
    <n v="52"/>
    <n v="87"/>
    <n v="126"/>
    <b v="0"/>
  </r>
  <r>
    <x v="2"/>
    <x v="0"/>
    <x v="0"/>
    <n v="100"/>
    <x v="0"/>
    <s v="text256_blurkernel7_3_100_200"/>
    <n v="31.035682999999999"/>
    <n v="7.4570119999999998"/>
    <n v="1.6667000000000002E-5"/>
    <n v="9.7100000000000002E-6"/>
    <n v="35.686500000000002"/>
    <n v="9.2123000000000008"/>
    <n v="17.3322"/>
    <n v="37.025399999999998"/>
    <n v="39.868099999999998"/>
    <s v="BM3D"/>
    <n v="39.868099999999998"/>
    <n v="1"/>
    <n v="254"/>
    <n v="106"/>
    <n v="103"/>
    <b v="1"/>
  </r>
  <r>
    <x v="2"/>
    <x v="0"/>
    <x v="0"/>
    <n v="100"/>
    <x v="1"/>
    <s v="text256_blurkernel7_3_100_400"/>
    <n v="24.119060000000001"/>
    <n v="6.6977570000000002"/>
    <n v="3.5193E-5"/>
    <n v="9.7100000000000002E-6"/>
    <n v="32.4328"/>
    <n v="9.2123000000000008"/>
    <n v="17.319099999999999"/>
    <n v="34.682099999999998"/>
    <n v="36.671100000000003"/>
    <s v="BM3D"/>
    <n v="36.671100000000003"/>
    <n v="1"/>
    <n v="239"/>
    <n v="100"/>
    <n v="97"/>
    <b v="1"/>
  </r>
  <r>
    <x v="2"/>
    <x v="0"/>
    <x v="0"/>
    <n v="100"/>
    <x v="2"/>
    <s v="text256_blurkernel7_3_100_800"/>
    <n v="20.084610000000001"/>
    <n v="6.3098780000000003"/>
    <n v="7.1286999999999997E-5"/>
    <n v="9.7100000000000002E-6"/>
    <n v="29.349599999999999"/>
    <n v="9.2123000000000008"/>
    <n v="17.2789"/>
    <n v="31.716799999999999"/>
    <n v="33.545200000000001"/>
    <s v="BM3D"/>
    <n v="33.545200000000001"/>
    <n v="1"/>
    <n v="224"/>
    <n v="94"/>
    <n v="91"/>
    <b v="1"/>
  </r>
  <r>
    <x v="2"/>
    <x v="0"/>
    <x v="0"/>
    <n v="100"/>
    <x v="3"/>
    <s v="text256_blurkernel7_3_100_1600"/>
    <n v="17.858378999999999"/>
    <n v="6.1165370000000001"/>
    <n v="1.4346000000000001E-4"/>
    <n v="9.7100000000000002E-6"/>
    <n v="26.292000000000002"/>
    <n v="9.2123000000000008"/>
    <n v="17.203700000000001"/>
    <n v="30.931100000000001"/>
    <n v="30.699000000000002"/>
    <s v="SROU03"/>
    <n v="30.931100000000001"/>
    <n v="3"/>
    <n v="88"/>
    <n v="146"/>
    <n v="211"/>
    <b v="0"/>
  </r>
  <r>
    <x v="2"/>
    <x v="0"/>
    <x v="0"/>
    <n v="100"/>
    <x v="4"/>
    <s v="text256_blurkernel7_3_100_3200"/>
    <n v="16.624473999999999"/>
    <n v="6.01586"/>
    <n v="2.9020499999999998E-4"/>
    <n v="9.7100000000000002E-6"/>
    <n v="23.212900000000001"/>
    <n v="9.2123000000000008"/>
    <n v="16.991900000000001"/>
    <n v="29.3813"/>
    <n v="27.767099999999999"/>
    <s v="SROU03"/>
    <n v="29.3813"/>
    <n v="3"/>
    <n v="85"/>
    <n v="140"/>
    <n v="204"/>
    <b v="1"/>
  </r>
  <r>
    <x v="2"/>
    <x v="0"/>
    <x v="0"/>
    <n v="100"/>
    <x v="5"/>
    <s v="text256_blurkernel7_3_100_6400"/>
    <n v="15.996316"/>
    <n v="5.9647069999999998"/>
    <n v="5.8933499999999997E-4"/>
    <n v="9.7100000000000002E-6"/>
    <n v="20.1069"/>
    <n v="9.2123000000000008"/>
    <n v="16.4209"/>
    <n v="26.372299999999999"/>
    <n v="24.803799999999999"/>
    <s v="SROU03"/>
    <n v="26.372299999999999"/>
    <n v="3"/>
    <n v="79"/>
    <n v="131"/>
    <n v="189"/>
    <b v="1"/>
  </r>
  <r>
    <x v="2"/>
    <x v="0"/>
    <x v="0"/>
    <n v="100"/>
    <x v="6"/>
    <s v="text256_blurkernel7_3_100_12800"/>
    <n v="15.675497"/>
    <n v="5.9416000000000002"/>
    <n v="1.210198E-3"/>
    <n v="9.7100000000000002E-6"/>
    <n v="16.946000000000002"/>
    <n v="9.2123000000000008"/>
    <n v="15.5214"/>
    <n v="23.302"/>
    <n v="21.9283"/>
    <s v="SROU03"/>
    <n v="23.302"/>
    <n v="3"/>
    <n v="73"/>
    <n v="120"/>
    <n v="175"/>
    <b v="1"/>
  </r>
  <r>
    <x v="2"/>
    <x v="0"/>
    <x v="0"/>
    <n v="100"/>
    <x v="7"/>
    <s v="text256_blurkernel7_3_100_25600"/>
    <n v="15.474900999999999"/>
    <n v="5.939991"/>
    <n v="2.5189520000000001E-3"/>
    <n v="9.7100000000000002E-6"/>
    <n v="13.739599999999999"/>
    <n v="9.2123000000000008"/>
    <n v="14.1473"/>
    <n v="19.764900000000001"/>
    <n v="18.995799999999999"/>
    <s v="SROU03"/>
    <n v="19.764900000000001"/>
    <n v="3"/>
    <n v="66"/>
    <n v="109"/>
    <n v="158"/>
    <b v="0"/>
  </r>
  <r>
    <x v="2"/>
    <x v="0"/>
    <x v="1"/>
    <n v="100"/>
    <x v="0"/>
    <s v="text256_blurkernel7_7_100_200"/>
    <n v="28.182904000000001"/>
    <n v="18.407598"/>
    <n v="1.6654E-5"/>
    <n v="1.1739999999999999E-5"/>
    <n v="35.6813"/>
    <n v="3.1013000000000002"/>
    <n v="18.916599999999999"/>
    <n v="35.929600000000001"/>
    <n v="39.770299999999999"/>
    <s v="BM3D"/>
    <n v="39.770299999999999"/>
    <n v="1"/>
    <n v="253"/>
    <n v="106"/>
    <n v="103"/>
    <b v="1"/>
  </r>
  <r>
    <x v="2"/>
    <x v="0"/>
    <x v="1"/>
    <n v="100"/>
    <x v="1"/>
    <s v="text256_blurkernel7_7_100_400"/>
    <n v="20.115745"/>
    <n v="16.246832000000001"/>
    <n v="3.5036999999999997E-5"/>
    <n v="1.1739999999999999E-5"/>
    <n v="32.443199999999997"/>
    <n v="3.1013000000000002"/>
    <n v="18.845400000000001"/>
    <n v="33.073500000000003"/>
    <n v="36.5702"/>
    <s v="BM3D"/>
    <n v="36.5702"/>
    <n v="1"/>
    <n v="238"/>
    <n v="100"/>
    <n v="97"/>
    <b v="1"/>
  </r>
  <r>
    <x v="2"/>
    <x v="0"/>
    <x v="1"/>
    <n v="100"/>
    <x v="2"/>
    <s v="text256_blurkernel7_7_100_800"/>
    <n v="15.073684"/>
    <n v="15.160954"/>
    <n v="7.2033000000000006E-5"/>
    <n v="1.1739999999999999E-5"/>
    <n v="29.303899999999999"/>
    <n v="3.1013000000000002"/>
    <n v="18.769100000000002"/>
    <n v="30.588899999999999"/>
    <n v="33.571199999999997"/>
    <s v="BM3D"/>
    <n v="33.571199999999997"/>
    <n v="1"/>
    <n v="224"/>
    <n v="94"/>
    <n v="91"/>
    <b v="1"/>
  </r>
  <r>
    <x v="2"/>
    <x v="0"/>
    <x v="1"/>
    <n v="100"/>
    <x v="3"/>
    <s v="text256_blurkernel7_7_100_1600"/>
    <n v="11.780219000000001"/>
    <n v="14.590764999999999"/>
    <n v="1.43774E-4"/>
    <n v="1.1739999999999999E-5"/>
    <n v="26.287500000000001"/>
    <n v="3.1013000000000002"/>
    <n v="18.614100000000001"/>
    <n v="28.241499999999998"/>
    <n v="30.7303"/>
    <s v="BM3D"/>
    <n v="30.7303"/>
    <n v="1"/>
    <n v="210"/>
    <n v="88"/>
    <n v="85"/>
    <b v="1"/>
  </r>
  <r>
    <x v="2"/>
    <x v="0"/>
    <x v="1"/>
    <n v="100"/>
    <x v="4"/>
    <s v="text256_blurkernel7_7_100_3200"/>
    <n v="9.7340769999999992"/>
    <n v="14.296116"/>
    <n v="2.9110600000000001E-4"/>
    <n v="1.1739999999999999E-5"/>
    <n v="23.200099999999999"/>
    <n v="3.1013000000000002"/>
    <n v="18.214500000000001"/>
    <n v="26.041599999999999"/>
    <n v="27.792200000000001"/>
    <s v="BM3D"/>
    <n v="27.792200000000001"/>
    <n v="1"/>
    <n v="196"/>
    <n v="82"/>
    <n v="80"/>
    <b v="1"/>
  </r>
  <r>
    <x v="2"/>
    <x v="0"/>
    <x v="1"/>
    <n v="100"/>
    <x v="5"/>
    <s v="text256_blurkernel7_7_100_6400"/>
    <n v="8.5498410000000007"/>
    <n v="14.150323"/>
    <n v="5.9167400000000004E-4"/>
    <n v="1.1739999999999999E-5"/>
    <n v="20.089099999999998"/>
    <n v="3.1013000000000002"/>
    <n v="17.5716"/>
    <n v="23.928999999999998"/>
    <n v="24.902100000000001"/>
    <s v="BM3D"/>
    <n v="24.902100000000001"/>
    <n v="1"/>
    <n v="182"/>
    <n v="76"/>
    <n v="74"/>
    <b v="0"/>
  </r>
  <r>
    <x v="2"/>
    <x v="0"/>
    <x v="1"/>
    <n v="100"/>
    <x v="6"/>
    <s v="text256_blurkernel7_7_100_12800"/>
    <n v="7.9037810000000004"/>
    <n v="14.078405"/>
    <n v="1.202732E-3"/>
    <n v="1.1739999999999999E-5"/>
    <n v="16.974299999999999"/>
    <n v="3.1013000000000002"/>
    <n v="16.324200000000001"/>
    <n v="21.760300000000001"/>
    <n v="21.948"/>
    <s v="BM3D"/>
    <n v="21.948"/>
    <n v="1"/>
    <n v="168"/>
    <n v="70"/>
    <n v="68"/>
    <b v="0"/>
  </r>
  <r>
    <x v="2"/>
    <x v="0"/>
    <x v="1"/>
    <n v="100"/>
    <x v="7"/>
    <s v="text256_blurkernel7_7_100_25600"/>
    <n v="7.5823970000000003"/>
    <n v="14.044034"/>
    <n v="2.544611E-3"/>
    <n v="1.1739999999999999E-5"/>
    <n v="13.696300000000001"/>
    <n v="3.1013000000000002"/>
    <n v="14.5379"/>
    <n v="14.8383"/>
    <n v="18.963999999999999"/>
    <s v="BM3D"/>
    <n v="18.963999999999999"/>
    <n v="1"/>
    <n v="154"/>
    <n v="64"/>
    <n v="62"/>
    <b v="1"/>
  </r>
  <r>
    <x v="2"/>
    <x v="0"/>
    <x v="2"/>
    <n v="100"/>
    <x v="0"/>
    <s v="text256_blurkernel7_15_100_200"/>
    <n v="27.538163999999998"/>
    <n v="38.316215999999997"/>
    <n v="1.6364000000000001E-5"/>
    <n v="1.4232E-5"/>
    <n v="35.758299999999998"/>
    <n v="1.5173000000000001"/>
    <n v="19.747499999999999"/>
    <n v="35.993699999999997"/>
    <n v="39.8964"/>
    <s v="BM3D"/>
    <n v="39.8964"/>
    <n v="1"/>
    <n v="254"/>
    <n v="106"/>
    <n v="103"/>
    <b v="1"/>
  </r>
  <r>
    <x v="2"/>
    <x v="0"/>
    <x v="2"/>
    <n v="100"/>
    <x v="1"/>
    <s v="text256_blurkernel7_15_100_400"/>
    <n v="19.095616"/>
    <n v="33.291319999999999"/>
    <n v="3.4647999999999998E-5"/>
    <n v="1.4232E-5"/>
    <n v="32.496899999999997"/>
    <n v="1.5173000000000001"/>
    <n v="19.6739"/>
    <n v="32.915799999999997"/>
    <n v="36.665700000000001"/>
    <s v="BM3D"/>
    <n v="36.665700000000001"/>
    <n v="1"/>
    <n v="239"/>
    <n v="100"/>
    <n v="97"/>
    <b v="1"/>
  </r>
  <r>
    <x v="2"/>
    <x v="0"/>
    <x v="2"/>
    <n v="100"/>
    <x v="2"/>
    <s v="text256_blurkernel7_15_100_800"/>
    <n v="13.810915"/>
    <n v="30.623414"/>
    <n v="7.0967E-5"/>
    <n v="1.4232E-5"/>
    <n v="29.3688"/>
    <n v="1.5173000000000001"/>
    <n v="19.5928"/>
    <n v="30.273499999999999"/>
    <n v="33.6006"/>
    <s v="BM3D"/>
    <n v="33.6006"/>
    <n v="1"/>
    <n v="224"/>
    <n v="94"/>
    <n v="91"/>
    <b v="1"/>
  </r>
  <r>
    <x v="2"/>
    <x v="0"/>
    <x v="2"/>
    <n v="100"/>
    <x v="3"/>
    <s v="text256_blurkernel7_15_100_1600"/>
    <n v="10.065442000000001"/>
    <n v="29.372647000000001"/>
    <n v="1.45322E-4"/>
    <n v="1.4232E-5"/>
    <n v="26.237200000000001"/>
    <n v="1.5173000000000001"/>
    <n v="19.290099999999999"/>
    <n v="27.6419"/>
    <n v="30.6769"/>
    <s v="BM3D"/>
    <n v="30.6769"/>
    <n v="1"/>
    <n v="210"/>
    <n v="88"/>
    <n v="85"/>
    <b v="1"/>
  </r>
  <r>
    <x v="2"/>
    <x v="0"/>
    <x v="2"/>
    <n v="100"/>
    <x v="4"/>
    <s v="text256_blurkernel7_15_100_3200"/>
    <n v="7.5262529999999996"/>
    <n v="28.515550000000001"/>
    <n v="2.8855299999999999E-4"/>
    <n v="1.4232E-5"/>
    <n v="23.234000000000002"/>
    <n v="1.5173000000000001"/>
    <n v="18.889600000000002"/>
    <n v="25.133299999999998"/>
    <n v="27.816099999999999"/>
    <s v="BM3D"/>
    <n v="27.816099999999999"/>
    <n v="1"/>
    <n v="196"/>
    <n v="82"/>
    <n v="80"/>
    <b v="1"/>
  </r>
  <r>
    <x v="2"/>
    <x v="0"/>
    <x v="2"/>
    <n v="100"/>
    <x v="5"/>
    <s v="text256_blurkernel7_15_100_6400"/>
    <n v="5.8929510000000001"/>
    <n v="28.306642"/>
    <n v="5.8540000000000003E-4"/>
    <n v="1.4232E-5"/>
    <n v="20.133600000000001"/>
    <n v="1.5173000000000001"/>
    <n v="18.141999999999999"/>
    <n v="22.755600000000001"/>
    <n v="24.8367"/>
    <s v="BM3D"/>
    <n v="24.8367"/>
    <n v="1"/>
    <n v="182"/>
    <n v="76"/>
    <n v="74"/>
    <b v="1"/>
  </r>
  <r>
    <x v="2"/>
    <x v="0"/>
    <x v="2"/>
    <n v="100"/>
    <x v="6"/>
    <s v="text256_blurkernel7_15_100_12800"/>
    <n v="4.8839639999999997"/>
    <n v="27.988772999999998"/>
    <n v="1.196716E-3"/>
    <n v="1.4232E-5"/>
    <n v="16.995100000000001"/>
    <n v="1.5173000000000001"/>
    <n v="16.8001"/>
    <n v="20.5319"/>
    <n v="22.011099999999999"/>
    <s v="BM3D"/>
    <n v="22.011099999999999"/>
    <n v="1"/>
    <n v="168"/>
    <n v="70"/>
    <n v="68"/>
    <b v="1"/>
  </r>
  <r>
    <x v="2"/>
    <x v="0"/>
    <x v="2"/>
    <n v="100"/>
    <x v="7"/>
    <s v="text256_blurkernel7_15_100_25600"/>
    <n v="4.2751060000000001"/>
    <n v="28.052406999999999"/>
    <n v="2.5532279999999998E-3"/>
    <n v="1.4232E-5"/>
    <n v="13.681100000000001"/>
    <n v="1.5173000000000001"/>
    <n v="14.7897"/>
    <n v="18.635300000000001"/>
    <n v="18.930900000000001"/>
    <s v="BM3D"/>
    <n v="18.930900000000001"/>
    <n v="1"/>
    <n v="154"/>
    <n v="64"/>
    <n v="62"/>
    <b v="0"/>
  </r>
  <r>
    <x v="2"/>
    <x v="0"/>
    <x v="3"/>
    <n v="100"/>
    <x v="0"/>
    <s v="text256_blurkernel7_31_100_200"/>
    <n v="27.572388"/>
    <n v="77.451487999999998"/>
    <n v="1.6759999999999999E-5"/>
    <n v="1.6235E-5"/>
    <n v="35.656199999999998"/>
    <n v="0.78569999999999995"/>
    <n v="19.528199999999998"/>
    <n v="35.959099999999999"/>
    <n v="39.758499999999998"/>
    <s v="BM3D"/>
    <n v="39.758499999999998"/>
    <n v="1"/>
    <n v="253"/>
    <n v="106"/>
    <n v="103"/>
    <b v="1"/>
  </r>
  <r>
    <x v="2"/>
    <x v="0"/>
    <x v="3"/>
    <n v="100"/>
    <x v="1"/>
    <s v="text256_blurkernel7_31_100_400"/>
    <n v="19.096858000000001"/>
    <n v="66.309021999999999"/>
    <n v="3.4567000000000003E-5"/>
    <n v="1.6235E-5"/>
    <n v="32.512"/>
    <n v="0.78569999999999995"/>
    <n v="19.5305"/>
    <n v="32.933399999999999"/>
    <n v="36.681800000000003"/>
    <s v="BM3D"/>
    <n v="36.681800000000003"/>
    <n v="1"/>
    <n v="239"/>
    <n v="100"/>
    <n v="97"/>
    <b v="1"/>
  </r>
  <r>
    <x v="2"/>
    <x v="0"/>
    <x v="3"/>
    <n v="100"/>
    <x v="2"/>
    <s v="text256_blurkernel7_31_100_800"/>
    <n v="13.477453000000001"/>
    <n v="60.449793"/>
    <n v="7.0653000000000003E-5"/>
    <n v="1.6235E-5"/>
    <n v="29.387599999999999"/>
    <n v="0.78569999999999995"/>
    <n v="19.402899999999999"/>
    <n v="30.063800000000001"/>
    <n v="33.657299999999999"/>
    <s v="BM3D"/>
    <n v="33.657299999999999"/>
    <n v="1"/>
    <n v="224"/>
    <n v="94"/>
    <n v="91"/>
    <b v="1"/>
  </r>
  <r>
    <x v="2"/>
    <x v="0"/>
    <x v="3"/>
    <n v="100"/>
    <x v="3"/>
    <s v="text256_blurkernel7_31_100_1600"/>
    <n v="9.5911109999999997"/>
    <n v="57.391955000000003"/>
    <n v="1.4426700000000001E-4"/>
    <n v="1.6235E-5"/>
    <n v="26.2698"/>
    <n v="0.78569999999999995"/>
    <n v="19.1907"/>
    <n v="27.293399999999998"/>
    <n v="30.707799999999999"/>
    <s v="BM3D"/>
    <n v="30.707799999999999"/>
    <n v="1"/>
    <n v="210"/>
    <n v="88"/>
    <n v="85"/>
    <b v="1"/>
  </r>
  <r>
    <x v="2"/>
    <x v="0"/>
    <x v="3"/>
    <n v="100"/>
    <x v="4"/>
    <s v="text256_blurkernel7_31_100_3200"/>
    <n v="6.9262899999999998"/>
    <n v="55.811402000000001"/>
    <n v="2.9324E-4"/>
    <n v="1.6235E-5"/>
    <n v="23.162700000000001"/>
    <n v="0.78569999999999995"/>
    <n v="18.770900000000001"/>
    <n v="24.591100000000001"/>
    <n v="27.724499999999999"/>
    <s v="BM3D"/>
    <n v="27.724499999999999"/>
    <n v="1"/>
    <n v="196"/>
    <n v="82"/>
    <n v="80"/>
    <b v="1"/>
  </r>
  <r>
    <x v="2"/>
    <x v="0"/>
    <x v="3"/>
    <n v="100"/>
    <x v="5"/>
    <s v="text256_blurkernel7_31_100_6400"/>
    <n v="5.1118420000000002"/>
    <n v="55.036093999999999"/>
    <n v="5.9377699999999998E-4"/>
    <n v="1.6235E-5"/>
    <n v="20.070900000000002"/>
    <n v="0.78569999999999995"/>
    <n v="17.993400000000001"/>
    <n v="21.957699999999999"/>
    <n v="24.816600000000001"/>
    <s v="BM3D"/>
    <n v="24.816600000000001"/>
    <n v="1"/>
    <n v="182"/>
    <n v="76"/>
    <n v="74"/>
    <b v="1"/>
  </r>
  <r>
    <x v="2"/>
    <x v="0"/>
    <x v="3"/>
    <n v="100"/>
    <x v="6"/>
    <s v="text256_blurkernel7_31_100_12800"/>
    <n v="3.8721909999999999"/>
    <n v="54.617809999999999"/>
    <n v="1.2103229999999999E-3"/>
    <n v="1.6235E-5"/>
    <n v="16.945599999999999"/>
    <n v="0.78569999999999995"/>
    <n v="16.687899999999999"/>
    <n v="19.295999999999999"/>
    <n v="21.990600000000001"/>
    <s v="BM3D"/>
    <n v="21.990600000000001"/>
    <n v="1"/>
    <n v="168"/>
    <n v="70"/>
    <n v="68"/>
    <b v="1"/>
  </r>
  <r>
    <x v="2"/>
    <x v="0"/>
    <x v="3"/>
    <n v="100"/>
    <x v="7"/>
    <s v="text256_blurkernel7_31_100_25600"/>
    <n v="2.8441329999999998"/>
    <n v="54.520733999999997"/>
    <n v="2.5613939999999998E-3"/>
    <n v="1.6235E-5"/>
    <n v="13.6663"/>
    <n v="0.78569999999999995"/>
    <n v="14.7995"/>
    <n v="16.387599999999999"/>
    <n v="18.9314"/>
    <s v="BM3D"/>
    <n v="18.9314"/>
    <n v="1"/>
    <n v="154"/>
    <n v="64"/>
    <n v="62"/>
    <b v="1"/>
  </r>
  <r>
    <x v="2"/>
    <x v="1"/>
    <x v="0"/>
    <n v="100"/>
    <x v="0"/>
    <s v="text256_blurkernel8_3_100_200"/>
    <n v="31.907063999999998"/>
    <n v="7.2930929999999998"/>
    <n v="1.6903000000000001E-5"/>
    <n v="9.6350000000000001E-6"/>
    <n v="35.6252"/>
    <n v="8.6296999999999997"/>
    <n v="17.194600000000001"/>
    <n v="37.277700000000003"/>
    <n v="39.700699999999998"/>
    <s v="BM3D"/>
    <n v="39.700699999999998"/>
    <n v="1"/>
    <n v="253"/>
    <n v="106"/>
    <n v="103"/>
    <b v="1"/>
  </r>
  <r>
    <x v="2"/>
    <x v="1"/>
    <x v="0"/>
    <n v="100"/>
    <x v="1"/>
    <s v="text256_blurkernel8_3_100_400"/>
    <n v="24.988125"/>
    <n v="6.5314629999999996"/>
    <n v="3.4601999999999998E-5"/>
    <n v="9.6350000000000001E-6"/>
    <n v="32.505600000000001"/>
    <n v="8.6296999999999997"/>
    <n v="17.191500000000001"/>
    <n v="34.991100000000003"/>
    <n v="36.69"/>
    <s v="BM3D"/>
    <n v="36.69"/>
    <n v="1"/>
    <n v="239"/>
    <n v="100"/>
    <n v="97"/>
    <b v="1"/>
  </r>
  <r>
    <x v="2"/>
    <x v="1"/>
    <x v="0"/>
    <n v="100"/>
    <x v="2"/>
    <s v="text256_blurkernel8_3_100_800"/>
    <n v="21.067181999999999"/>
    <n v="6.1474929999999999"/>
    <n v="7.0809999999999995E-5"/>
    <n v="9.6350000000000001E-6"/>
    <n v="29.375399999999999"/>
    <n v="8.6296999999999997"/>
    <n v="17.153199999999998"/>
    <n v="33.164499999999997"/>
    <n v="33.7318"/>
    <s v="BM3D"/>
    <n v="33.7318"/>
    <n v="1"/>
    <n v="225"/>
    <n v="94"/>
    <n v="91"/>
    <b v="0"/>
  </r>
  <r>
    <x v="2"/>
    <x v="1"/>
    <x v="0"/>
    <n v="100"/>
    <x v="3"/>
    <s v="text256_blurkernel8_3_100_1600"/>
    <n v="18.884692000000001"/>
    <n v="5.9534880000000001"/>
    <n v="1.44418E-4"/>
    <n v="9.6350000000000001E-6"/>
    <n v="26.2636"/>
    <n v="8.6296999999999997"/>
    <n v="17.0578"/>
    <n v="31.718699999999998"/>
    <n v="30.730399999999999"/>
    <s v="SROU03"/>
    <n v="31.718699999999998"/>
    <n v="3"/>
    <n v="90"/>
    <n v="148"/>
    <n v="215"/>
    <b v="0"/>
  </r>
  <r>
    <x v="2"/>
    <x v="1"/>
    <x v="0"/>
    <n v="100"/>
    <x v="4"/>
    <s v="text256_blurkernel8_3_100_3200"/>
    <n v="17.724284000000001"/>
    <n v="5.8578169999999998"/>
    <n v="2.8582999999999999E-4"/>
    <n v="9.6350000000000001E-6"/>
    <n v="23.2761"/>
    <n v="8.6296999999999997"/>
    <n v="16.8552"/>
    <n v="29.501999999999999"/>
    <n v="27.835899999999999"/>
    <s v="SROU03"/>
    <n v="29.501999999999999"/>
    <n v="3"/>
    <n v="85"/>
    <n v="141"/>
    <n v="204"/>
    <b v="1"/>
  </r>
  <r>
    <x v="2"/>
    <x v="1"/>
    <x v="0"/>
    <n v="100"/>
    <x v="5"/>
    <s v="text256_blurkernel8_3_100_6400"/>
    <n v="17.084631000000002"/>
    <n v="5.8136279999999996"/>
    <n v="5.9642400000000002E-4"/>
    <n v="9.6350000000000001E-6"/>
    <n v="20.05"/>
    <n v="8.6296999999999997"/>
    <n v="16.3642"/>
    <n v="27.576000000000001"/>
    <n v="24.832000000000001"/>
    <s v="SROU03"/>
    <n v="27.576000000000001"/>
    <n v="3"/>
    <n v="82"/>
    <n v="135"/>
    <n v="195"/>
    <b v="1"/>
  </r>
  <r>
    <x v="2"/>
    <x v="1"/>
    <x v="0"/>
    <n v="100"/>
    <x v="6"/>
    <s v="text256_blurkernel8_3_100_12800"/>
    <n v="16.737501999999999"/>
    <n v="5.7980689999999999"/>
    <n v="1.203085E-3"/>
    <n v="9.6350000000000001E-6"/>
    <n v="16.9727"/>
    <n v="8.6296999999999997"/>
    <n v="15.3969"/>
    <n v="25.127800000000001"/>
    <n v="22.037299999999998"/>
    <s v="SROU03"/>
    <n v="25.127800000000001"/>
    <n v="3"/>
    <n v="77"/>
    <n v="126"/>
    <n v="183"/>
    <b v="1"/>
  </r>
  <r>
    <x v="2"/>
    <x v="1"/>
    <x v="0"/>
    <n v="100"/>
    <x v="7"/>
    <s v="text256_blurkernel8_3_100_25600"/>
    <n v="16.416729"/>
    <n v="5.8138920000000001"/>
    <n v="2.5500739999999998E-3"/>
    <n v="9.6350000000000001E-6"/>
    <n v="13.685700000000001"/>
    <n v="8.6296999999999997"/>
    <n v="14.005699999999999"/>
    <n v="22.772500000000001"/>
    <n v="18.908300000000001"/>
    <s v="SROU03"/>
    <n v="22.772500000000001"/>
    <n v="3"/>
    <n v="72"/>
    <n v="119"/>
    <n v="172"/>
    <b v="1"/>
  </r>
  <r>
    <x v="2"/>
    <x v="1"/>
    <x v="1"/>
    <n v="100"/>
    <x v="0"/>
    <s v="text256_blurkernel8_7_100_200"/>
    <n v="28.369130999999999"/>
    <n v="18.065351"/>
    <n v="1.6708999999999999E-5"/>
    <n v="1.1763000000000001E-5"/>
    <n v="35.670400000000001"/>
    <n v="2.7492999999999999"/>
    <n v="18.949300000000001"/>
    <n v="35.822200000000002"/>
    <n v="39.785899999999998"/>
    <s v="BM3D"/>
    <n v="39.785899999999998"/>
    <n v="1"/>
    <n v="253"/>
    <n v="106"/>
    <n v="103"/>
    <b v="1"/>
  </r>
  <r>
    <x v="2"/>
    <x v="1"/>
    <x v="1"/>
    <n v="100"/>
    <x v="1"/>
    <s v="text256_blurkernel8_7_100_400"/>
    <n v="20.614218999999999"/>
    <n v="15.981903000000001"/>
    <n v="3.5105999999999999E-5"/>
    <n v="1.1763000000000001E-5"/>
    <n v="32.435400000000001"/>
    <n v="2.7492999999999999"/>
    <n v="18.906199999999998"/>
    <n v="33.0625"/>
    <n v="36.733499999999999"/>
    <s v="BM3D"/>
    <n v="36.733499999999999"/>
    <n v="1"/>
    <n v="239"/>
    <n v="100"/>
    <n v="97"/>
    <b v="1"/>
  </r>
  <r>
    <x v="2"/>
    <x v="1"/>
    <x v="1"/>
    <n v="100"/>
    <x v="2"/>
    <s v="text256_blurkernel8_7_100_800"/>
    <n v="15.603534"/>
    <n v="14.885861999999999"/>
    <n v="7.1379999999999998E-5"/>
    <n v="1.1763000000000001E-5"/>
    <n v="29.3431"/>
    <n v="2.7492999999999999"/>
    <n v="18.817599999999999"/>
    <n v="30.578900000000001"/>
    <n v="33.652299999999997"/>
    <s v="BM3D"/>
    <n v="33.652299999999997"/>
    <n v="1"/>
    <n v="224"/>
    <n v="94"/>
    <n v="91"/>
    <b v="1"/>
  </r>
  <r>
    <x v="2"/>
    <x v="1"/>
    <x v="1"/>
    <n v="100"/>
    <x v="3"/>
    <s v="text256_blurkernel8_7_100_1600"/>
    <n v="12.444696"/>
    <n v="14.323130000000001"/>
    <n v="1.4369900000000001E-4"/>
    <n v="1.1763000000000001E-5"/>
    <n v="26.280899999999999"/>
    <n v="2.7492999999999999"/>
    <n v="18.659199999999998"/>
    <n v="28.442499999999999"/>
    <n v="30.718699999999998"/>
    <s v="BM3D"/>
    <n v="30.718699999999998"/>
    <n v="1"/>
    <n v="210"/>
    <n v="88"/>
    <n v="85"/>
    <b v="1"/>
  </r>
  <r>
    <x v="2"/>
    <x v="1"/>
    <x v="1"/>
    <n v="100"/>
    <x v="4"/>
    <s v="text256_blurkernel8_7_100_3200"/>
    <n v="10.518046999999999"/>
    <n v="14.036918"/>
    <n v="2.8972999999999998E-4"/>
    <n v="1.1763000000000001E-5"/>
    <n v="23.2121"/>
    <n v="2.7492999999999999"/>
    <n v="18.225999999999999"/>
    <n v="26.395600000000002"/>
    <n v="27.805"/>
    <s v="BM3D"/>
    <n v="27.805"/>
    <n v="1"/>
    <n v="196"/>
    <n v="82"/>
    <n v="80"/>
    <b v="1"/>
  </r>
  <r>
    <x v="2"/>
    <x v="1"/>
    <x v="1"/>
    <n v="100"/>
    <x v="5"/>
    <s v="text256_blurkernel8_7_100_6400"/>
    <n v="9.3620669999999997"/>
    <n v="13.893558000000001"/>
    <n v="5.9030900000000002E-4"/>
    <n v="1.1763000000000001E-5"/>
    <n v="20.092099999999999"/>
    <n v="2.7492999999999999"/>
    <n v="17.615600000000001"/>
    <n v="24.450900000000001"/>
    <n v="24.948399999999999"/>
    <s v="BM3D"/>
    <n v="24.948399999999999"/>
    <n v="1"/>
    <n v="183"/>
    <n v="76"/>
    <n v="74"/>
    <b v="0"/>
  </r>
  <r>
    <x v="2"/>
    <x v="1"/>
    <x v="1"/>
    <n v="100"/>
    <x v="6"/>
    <s v="text256_blurkernel8_7_100_12800"/>
    <n v="8.7191329999999994"/>
    <n v="13.835219"/>
    <n v="1.1978539999999999E-3"/>
    <n v="1.1763000000000001E-5"/>
    <n v="16.9925"/>
    <n v="2.7492999999999999"/>
    <n v="16.347000000000001"/>
    <n v="21.9695"/>
    <n v="21.956900000000001"/>
    <s v="SROU03"/>
    <n v="21.9695"/>
    <n v="3"/>
    <n v="70"/>
    <n v="116"/>
    <n v="168"/>
    <b v="0"/>
  </r>
  <r>
    <x v="2"/>
    <x v="1"/>
    <x v="1"/>
    <n v="100"/>
    <x v="7"/>
    <s v="text256_blurkernel8_7_100_25600"/>
    <n v="8.3399239999999999"/>
    <n v="13.819267"/>
    <n v="2.539908E-3"/>
    <n v="1.1763000000000001E-5"/>
    <n v="13.7036"/>
    <n v="2.7492999999999999"/>
    <n v="14.575100000000001"/>
    <n v="19.665900000000001"/>
    <n v="18.869199999999999"/>
    <s v="SROU03"/>
    <n v="19.665900000000001"/>
    <n v="3"/>
    <n v="66"/>
    <n v="108"/>
    <n v="157"/>
    <b v="0"/>
  </r>
  <r>
    <x v="2"/>
    <x v="1"/>
    <x v="2"/>
    <n v="100"/>
    <x v="0"/>
    <s v="text256_blurkernel8_15_100_200"/>
    <n v="27.878312999999999"/>
    <n v="38.308503000000002"/>
    <n v="1.6945000000000001E-5"/>
    <n v="1.4097000000000001E-5"/>
    <n v="35.613100000000003"/>
    <n v="1.6826000000000001"/>
    <n v="19.766100000000002"/>
    <n v="35.950899999999997"/>
    <n v="39.740299999999998"/>
    <s v="BM3D"/>
    <n v="39.740299999999998"/>
    <n v="1"/>
    <n v="253"/>
    <n v="106"/>
    <n v="103"/>
    <b v="1"/>
  </r>
  <r>
    <x v="2"/>
    <x v="1"/>
    <x v="2"/>
    <n v="100"/>
    <x v="1"/>
    <s v="text256_blurkernel8_15_100_400"/>
    <n v="19.679722999999999"/>
    <n v="33.325730999999998"/>
    <n v="3.5033000000000002E-5"/>
    <n v="1.4097000000000001E-5"/>
    <n v="32.449800000000003"/>
    <n v="1.6826000000000001"/>
    <n v="19.6891"/>
    <n v="32.974200000000003"/>
    <n v="36.6113"/>
    <s v="BM3D"/>
    <n v="36.6113"/>
    <n v="1"/>
    <n v="238"/>
    <n v="100"/>
    <n v="97"/>
    <b v="1"/>
  </r>
  <r>
    <x v="2"/>
    <x v="1"/>
    <x v="2"/>
    <n v="100"/>
    <x v="2"/>
    <s v="text256_blurkernel8_15_100_800"/>
    <n v="14.086884"/>
    <n v="30.568629999999999"/>
    <n v="7.2219999999999996E-5"/>
    <n v="1.4097000000000001E-5"/>
    <n v="29.301300000000001"/>
    <n v="1.6826000000000001"/>
    <n v="19.5457"/>
    <n v="30.159300000000002"/>
    <n v="33.455199999999998"/>
    <s v="BM3D"/>
    <n v="33.455199999999998"/>
    <n v="1"/>
    <n v="223"/>
    <n v="93"/>
    <n v="91"/>
    <b v="1"/>
  </r>
  <r>
    <x v="2"/>
    <x v="1"/>
    <x v="2"/>
    <n v="100"/>
    <x v="3"/>
    <s v="text256_blurkernel8_15_100_1600"/>
    <n v="10.394702000000001"/>
    <n v="29.221384"/>
    <n v="1.4440199999999999E-4"/>
    <n v="1.4097000000000001E-5"/>
    <n v="26.2668"/>
    <n v="1.6826000000000001"/>
    <n v="19.396100000000001"/>
    <n v="27.549499999999998"/>
    <n v="30.684100000000001"/>
    <s v="BM3D"/>
    <n v="30.684100000000001"/>
    <n v="1"/>
    <n v="210"/>
    <n v="88"/>
    <n v="85"/>
    <b v="1"/>
  </r>
  <r>
    <x v="2"/>
    <x v="1"/>
    <x v="2"/>
    <n v="100"/>
    <x v="4"/>
    <s v="text256_blurkernel8_15_100_3200"/>
    <n v="8.0231630000000003"/>
    <n v="28.485514999999999"/>
    <n v="2.90413E-4"/>
    <n v="1.4097000000000001E-5"/>
    <n v="23.207899999999999"/>
    <n v="1.6826000000000001"/>
    <n v="18.929300000000001"/>
    <n v="25.215299999999999"/>
    <n v="27.698399999999999"/>
    <s v="BM3D"/>
    <n v="27.698399999999999"/>
    <n v="1"/>
    <n v="196"/>
    <n v="82"/>
    <n v="80"/>
    <b v="1"/>
  </r>
  <r>
    <x v="2"/>
    <x v="1"/>
    <x v="2"/>
    <n v="100"/>
    <x v="5"/>
    <s v="text256_blurkernel8_15_100_6400"/>
    <n v="6.5085490000000004"/>
    <n v="28.175173000000001"/>
    <n v="5.8763299999999995E-4"/>
    <n v="1.4097000000000001E-5"/>
    <n v="20.113600000000002"/>
    <n v="1.6826000000000001"/>
    <n v="18.106200000000001"/>
    <n v="23.036100000000001"/>
    <n v="24.8919"/>
    <s v="BM3D"/>
    <n v="24.8919"/>
    <n v="1"/>
    <n v="182"/>
    <n v="76"/>
    <n v="74"/>
    <b v="1"/>
  </r>
  <r>
    <x v="2"/>
    <x v="1"/>
    <x v="2"/>
    <n v="100"/>
    <x v="6"/>
    <s v="text256_blurkernel8_15_100_12800"/>
    <n v="5.5812790000000003"/>
    <n v="27.957149000000001"/>
    <n v="1.1887619999999999E-3"/>
    <n v="1.4097000000000001E-5"/>
    <n v="17.0242"/>
    <n v="1.6826000000000001"/>
    <n v="16.769400000000001"/>
    <n v="21.031300000000002"/>
    <n v="21.981300000000001"/>
    <s v="BM3D"/>
    <n v="21.981300000000001"/>
    <n v="1"/>
    <n v="168"/>
    <n v="70"/>
    <n v="68"/>
    <b v="0"/>
  </r>
  <r>
    <x v="2"/>
    <x v="1"/>
    <x v="2"/>
    <n v="100"/>
    <x v="7"/>
    <s v="text256_blurkernel8_15_100_25600"/>
    <n v="5.0587039999999996"/>
    <n v="27.924244999999999"/>
    <n v="2.5302269999999999E-3"/>
    <n v="1.4097000000000001E-5"/>
    <n v="13.720499999999999"/>
    <n v="1.6826000000000001"/>
    <n v="14.7521"/>
    <n v="19.059799999999999"/>
    <n v="18.968900000000001"/>
    <s v="SROU03"/>
    <n v="19.059799999999999"/>
    <n v="3"/>
    <n v="64"/>
    <n v="106"/>
    <n v="154"/>
    <b v="0"/>
  </r>
  <r>
    <x v="2"/>
    <x v="1"/>
    <x v="3"/>
    <n v="100"/>
    <x v="0"/>
    <s v="text256_blurkernel8_31_100_200"/>
    <n v="27.615354"/>
    <n v="77.569580000000002"/>
    <n v="1.6711E-5"/>
    <n v="1.6104E-5"/>
    <n v="35.674399999999999"/>
    <n v="0.86629999999999996"/>
    <n v="19.562100000000001"/>
    <n v="35.863799999999998"/>
    <n v="39.8431"/>
    <s v="BM3D"/>
    <n v="39.8431"/>
    <n v="1"/>
    <n v="254"/>
    <n v="106"/>
    <n v="103"/>
    <b v="1"/>
  </r>
  <r>
    <x v="2"/>
    <x v="1"/>
    <x v="3"/>
    <n v="100"/>
    <x v="1"/>
    <s v="text256_blurkernel8_31_100_400"/>
    <n v="19.211904000000001"/>
    <n v="66.651077000000001"/>
    <n v="3.4783999999999998E-5"/>
    <n v="1.6104E-5"/>
    <n v="32.476300000000002"/>
    <n v="0.86629999999999996"/>
    <n v="19.519200000000001"/>
    <n v="32.735799999999998"/>
    <n v="36.6755"/>
    <s v="BM3D"/>
    <n v="36.6755"/>
    <n v="1"/>
    <n v="239"/>
    <n v="100"/>
    <n v="97"/>
    <b v="1"/>
  </r>
  <r>
    <x v="2"/>
    <x v="1"/>
    <x v="3"/>
    <n v="100"/>
    <x v="2"/>
    <s v="text256_blurkernel8_31_100_800"/>
    <n v="13.615709000000001"/>
    <n v="60.735666000000002"/>
    <n v="7.2927000000000002E-5"/>
    <n v="1.6104E-5"/>
    <n v="29.249099999999999"/>
    <n v="0.86629999999999996"/>
    <n v="19.453099999999999"/>
    <n v="29.7866"/>
    <n v="33.494700000000002"/>
    <s v="BM3D"/>
    <n v="33.494700000000002"/>
    <n v="1"/>
    <n v="223"/>
    <n v="93"/>
    <n v="91"/>
    <b v="1"/>
  </r>
  <r>
    <x v="2"/>
    <x v="1"/>
    <x v="3"/>
    <n v="100"/>
    <x v="3"/>
    <s v="text256_blurkernel8_31_100_1600"/>
    <n v="9.6910670000000003"/>
    <n v="57.744120000000002"/>
    <n v="1.4327900000000001E-4"/>
    <n v="1.6104E-5"/>
    <n v="26.293399999999998"/>
    <n v="0.86629999999999996"/>
    <n v="19.1981"/>
    <n v="26.952999999999999"/>
    <n v="30.694500000000001"/>
    <s v="BM3D"/>
    <n v="30.694500000000001"/>
    <n v="1"/>
    <n v="210"/>
    <n v="88"/>
    <n v="85"/>
    <b v="1"/>
  </r>
  <r>
    <x v="2"/>
    <x v="1"/>
    <x v="3"/>
    <n v="100"/>
    <x v="4"/>
    <s v="text256_blurkernel8_31_100_3200"/>
    <n v="7.0922260000000001"/>
    <n v="56.091127999999998"/>
    <n v="2.9318600000000002E-4"/>
    <n v="1.6104E-5"/>
    <n v="23.163699999999999"/>
    <n v="0.86629999999999996"/>
    <n v="18.806100000000001"/>
    <n v="24.2319"/>
    <n v="27.6494"/>
    <s v="BM3D"/>
    <n v="27.6494"/>
    <n v="1"/>
    <n v="195"/>
    <n v="82"/>
    <n v="79"/>
    <b v="1"/>
  </r>
  <r>
    <x v="2"/>
    <x v="1"/>
    <x v="3"/>
    <n v="100"/>
    <x v="5"/>
    <s v="text256_blurkernel8_31_100_6400"/>
    <n v="5.3397709999999998"/>
    <n v="55.429206999999998"/>
    <n v="5.8777700000000005E-4"/>
    <n v="1.6104E-5"/>
    <n v="20.1187"/>
    <n v="0.86629999999999996"/>
    <n v="17.950700000000001"/>
    <n v="21.669499999999999"/>
    <n v="24.917999999999999"/>
    <s v="BM3D"/>
    <n v="24.917999999999999"/>
    <n v="1"/>
    <n v="182"/>
    <n v="76"/>
    <n v="74"/>
    <b v="1"/>
  </r>
  <r>
    <x v="2"/>
    <x v="1"/>
    <x v="3"/>
    <n v="100"/>
    <x v="6"/>
    <s v="text256_blurkernel8_31_100_12800"/>
    <n v="4.166207"/>
    <n v="54.903585999999997"/>
    <n v="1.201148E-3"/>
    <n v="1.6104E-5"/>
    <n v="16.9801"/>
    <n v="0.86629999999999996"/>
    <n v="16.6233"/>
    <n v="19.107199999999999"/>
    <n v="21.9575"/>
    <s v="BM3D"/>
    <n v="21.9575"/>
    <n v="1"/>
    <n v="168"/>
    <n v="70"/>
    <n v="68"/>
    <b v="1"/>
  </r>
  <r>
    <x v="2"/>
    <x v="1"/>
    <x v="3"/>
    <n v="100"/>
    <x v="7"/>
    <s v="text256_blurkernel8_31_100_25600"/>
    <n v="3.434847"/>
    <n v="54.828158000000002"/>
    <n v="2.4970470000000001E-3"/>
    <n v="1.6104E-5"/>
    <n v="13.777699999999999"/>
    <n v="0.86629999999999996"/>
    <n v="14.859"/>
    <n v="16.9328"/>
    <n v="19.007000000000001"/>
    <s v="BM3D"/>
    <n v="19.007000000000001"/>
    <n v="1"/>
    <n v="154"/>
    <n v="64"/>
    <n v="63"/>
    <b v="1"/>
  </r>
  <r>
    <x v="2"/>
    <x v="2"/>
    <x v="0"/>
    <n v="100"/>
    <x v="0"/>
    <s v="text256_line_3_100_200"/>
    <n v="34.267941"/>
    <n v="6.6426590000000001"/>
    <n v="1.6463000000000001E-5"/>
    <n v="9.4199999999999996E-6"/>
    <n v="35.730699999999999"/>
    <n v="5.9851000000000001"/>
    <n v="18.498899999999999"/>
    <n v="37.531199999999998"/>
    <n v="39.8185"/>
    <s v="BM3D"/>
    <n v="39.8185"/>
    <n v="1"/>
    <n v="254"/>
    <n v="106"/>
    <n v="103"/>
    <b v="1"/>
  </r>
  <r>
    <x v="2"/>
    <x v="2"/>
    <x v="0"/>
    <n v="100"/>
    <x v="1"/>
    <s v="text256_line_3_100_400"/>
    <n v="28.127213000000001"/>
    <n v="5.976407"/>
    <n v="3.4783999999999998E-5"/>
    <n v="9.4199999999999996E-6"/>
    <n v="32.477600000000002"/>
    <n v="5.9851000000000001"/>
    <n v="18.488399999999999"/>
    <n v="35.377400000000002"/>
    <n v="36.607700000000001"/>
    <s v="BM3D"/>
    <n v="36.607700000000001"/>
    <n v="1"/>
    <n v="238"/>
    <n v="100"/>
    <n v="97"/>
    <b v="1"/>
  </r>
  <r>
    <x v="2"/>
    <x v="2"/>
    <x v="0"/>
    <n v="100"/>
    <x v="2"/>
    <s v="text256_line_3_100_800"/>
    <n v="24.628900000000002"/>
    <n v="5.6364679999999998"/>
    <n v="6.9926999999999996E-5"/>
    <n v="9.4199999999999996E-6"/>
    <n v="29.431699999999999"/>
    <n v="5.9851000000000001"/>
    <n v="18.403300000000002"/>
    <n v="33.491700000000002"/>
    <n v="33.778500000000001"/>
    <s v="BM3D"/>
    <n v="33.778500000000001"/>
    <n v="1"/>
    <n v="225"/>
    <n v="94"/>
    <n v="91"/>
    <b v="0"/>
  </r>
  <r>
    <x v="2"/>
    <x v="2"/>
    <x v="0"/>
    <n v="100"/>
    <x v="3"/>
    <s v="text256_line_3_100_1600"/>
    <n v="22.767244000000002"/>
    <n v="5.4797890000000002"/>
    <n v="1.4292100000000001E-4"/>
    <n v="9.4199999999999996E-6"/>
    <n v="26.308299999999999"/>
    <n v="5.9851000000000001"/>
    <n v="18.209"/>
    <n v="31.947199999999999"/>
    <n v="30.7288"/>
    <s v="SROU03"/>
    <n v="31.947199999999999"/>
    <n v="3"/>
    <n v="90"/>
    <n v="149"/>
    <n v="216"/>
    <b v="1"/>
  </r>
  <r>
    <x v="2"/>
    <x v="2"/>
    <x v="0"/>
    <n v="100"/>
    <x v="4"/>
    <s v="text256_line_3_100_3200"/>
    <n v="21.622858000000001"/>
    <n v="5.4155449999999998"/>
    <n v="2.9111000000000002E-4"/>
    <n v="9.4199999999999996E-6"/>
    <n v="23.196999999999999"/>
    <n v="5.9851000000000001"/>
    <n v="17.959"/>
    <n v="30.4681"/>
    <n v="27.680099999999999"/>
    <s v="SROU03"/>
    <n v="30.4681"/>
    <n v="3"/>
    <n v="87"/>
    <n v="144"/>
    <n v="209"/>
    <b v="1"/>
  </r>
  <r>
    <x v="2"/>
    <x v="2"/>
    <x v="0"/>
    <n v="100"/>
    <x v="5"/>
    <s v="text256_line_3_100_6400"/>
    <n v="20.755634000000001"/>
    <n v="5.4224680000000003"/>
    <n v="5.8387399999999996E-4"/>
    <n v="9.4199999999999996E-6"/>
    <n v="20.141999999999999"/>
    <n v="5.9851000000000001"/>
    <n v="17.284800000000001"/>
    <n v="29.1387"/>
    <n v="24.908200000000001"/>
    <s v="SROU03"/>
    <n v="29.1387"/>
    <n v="3"/>
    <n v="85"/>
    <n v="140"/>
    <n v="203"/>
    <b v="1"/>
  </r>
  <r>
    <x v="2"/>
    <x v="2"/>
    <x v="0"/>
    <n v="100"/>
    <x v="6"/>
    <s v="text256_line_3_100_12800"/>
    <n v="19.851521000000002"/>
    <n v="5.4900260000000003"/>
    <n v="1.2060689999999999E-3"/>
    <n v="9.4199999999999996E-6"/>
    <n v="16.9636"/>
    <n v="5.9851000000000001"/>
    <n v="16.1721"/>
    <n v="24.895800000000001"/>
    <n v="21.855499999999999"/>
    <s v="SROU03"/>
    <n v="24.895800000000001"/>
    <n v="3"/>
    <n v="76"/>
    <n v="126"/>
    <n v="182"/>
    <b v="1"/>
  </r>
  <r>
    <x v="2"/>
    <x v="2"/>
    <x v="0"/>
    <n v="100"/>
    <x v="7"/>
    <s v="text256_line_3_100_25600"/>
    <n v="18.695371999999999"/>
    <n v="5.6156610000000002"/>
    <n v="2.5520220000000001E-3"/>
    <n v="9.4199999999999996E-6"/>
    <n v="13.683"/>
    <n v="5.9851000000000001"/>
    <n v="14.489699999999999"/>
    <n v="27.071000000000002"/>
    <n v="18.898"/>
    <s v="SROU03"/>
    <n v="27.071000000000002"/>
    <n v="3"/>
    <n v="81"/>
    <n v="133"/>
    <n v="193"/>
    <b v="1"/>
  </r>
  <r>
    <x v="2"/>
    <x v="2"/>
    <x v="1"/>
    <n v="100"/>
    <x v="0"/>
    <s v="text256_line_7_100_200"/>
    <n v="29.911836999999998"/>
    <n v="16.957858000000002"/>
    <n v="1.6690000000000001E-5"/>
    <n v="1.1449E-5"/>
    <n v="35.6751"/>
    <n v="1.8164"/>
    <n v="19.467600000000001"/>
    <n v="36.427700000000002"/>
    <n v="39.760399999999997"/>
    <s v="BM3D"/>
    <n v="39.760399999999997"/>
    <n v="1"/>
    <n v="253"/>
    <n v="106"/>
    <n v="103"/>
    <b v="1"/>
  </r>
  <r>
    <x v="2"/>
    <x v="2"/>
    <x v="1"/>
    <n v="100"/>
    <x v="1"/>
    <s v="text256_line_7_100_400"/>
    <n v="22.613558000000001"/>
    <n v="15.026792"/>
    <n v="3.5092999999999998E-5"/>
    <n v="1.1449E-5"/>
    <n v="32.436199999999999"/>
    <n v="1.8164"/>
    <n v="19.419699999999999"/>
    <n v="33.768999999999998"/>
    <n v="36.662700000000001"/>
    <s v="BM3D"/>
    <n v="36.662700000000001"/>
    <n v="1"/>
    <n v="239"/>
    <n v="100"/>
    <n v="97"/>
    <b v="1"/>
  </r>
  <r>
    <x v="2"/>
    <x v="2"/>
    <x v="1"/>
    <n v="100"/>
    <x v="2"/>
    <s v="text256_line_7_100_800"/>
    <n v="18.192177000000001"/>
    <n v="14.033224000000001"/>
    <n v="7.1389000000000004E-5"/>
    <n v="1.1449E-5"/>
    <n v="29.3399"/>
    <n v="1.8164"/>
    <n v="19.318899999999999"/>
    <n v="31.381900000000002"/>
    <n v="33.644799999999996"/>
    <s v="BM3D"/>
    <n v="33.644799999999996"/>
    <n v="1"/>
    <n v="224"/>
    <n v="94"/>
    <n v="91"/>
    <b v="1"/>
  </r>
  <r>
    <x v="2"/>
    <x v="2"/>
    <x v="1"/>
    <n v="100"/>
    <x v="3"/>
    <s v="text256_line_7_100_1600"/>
    <n v="15.498517"/>
    <n v="13.533534"/>
    <n v="1.4429199999999999E-4"/>
    <n v="1.1449E-5"/>
    <n v="26.270800000000001"/>
    <n v="1.8164"/>
    <n v="19.122499999999999"/>
    <n v="29.121700000000001"/>
    <n v="30.715900000000001"/>
    <s v="BM3D"/>
    <n v="30.715900000000001"/>
    <n v="1"/>
    <n v="210"/>
    <n v="88"/>
    <n v="85"/>
    <b v="1"/>
  </r>
  <r>
    <x v="2"/>
    <x v="2"/>
    <x v="1"/>
    <n v="100"/>
    <x v="4"/>
    <s v="text256_line_7_100_3200"/>
    <n v="13.953996"/>
    <n v="13.316482000000001"/>
    <n v="2.8788000000000002E-4"/>
    <n v="1.1449E-5"/>
    <n v="23.2454"/>
    <n v="1.8164"/>
    <n v="18.64"/>
    <n v="27.1328"/>
    <n v="27.7941"/>
    <s v="BM3D"/>
    <n v="27.7941"/>
    <n v="1"/>
    <n v="196"/>
    <n v="82"/>
    <n v="80"/>
    <b v="0"/>
  </r>
  <r>
    <x v="2"/>
    <x v="2"/>
    <x v="1"/>
    <n v="100"/>
    <x v="5"/>
    <s v="text256_line_7_100_6400"/>
    <n v="12.904453"/>
    <n v="13.247246000000001"/>
    <n v="5.8908699999999997E-4"/>
    <n v="1.1449E-5"/>
    <n v="20.105799999999999"/>
    <n v="1.8164"/>
    <n v="17.781500000000001"/>
    <n v="24.356400000000001"/>
    <n v="24.883500000000002"/>
    <s v="BM3D"/>
    <n v="24.883500000000002"/>
    <n v="1"/>
    <n v="182"/>
    <n v="76"/>
    <n v="74"/>
    <b v="0"/>
  </r>
  <r>
    <x v="2"/>
    <x v="2"/>
    <x v="1"/>
    <n v="100"/>
    <x v="6"/>
    <s v="text256_line_7_100_12800"/>
    <n v="12.084921"/>
    <n v="13.294535"/>
    <n v="1.190331E-3"/>
    <n v="1.1449E-5"/>
    <n v="17.0182"/>
    <n v="1.8164"/>
    <n v="16.594000000000001"/>
    <n v="22.691600000000001"/>
    <n v="21.991800000000001"/>
    <s v="SROU03"/>
    <n v="22.691600000000001"/>
    <n v="3"/>
    <n v="72"/>
    <n v="118"/>
    <n v="172"/>
    <b v="0"/>
  </r>
  <r>
    <x v="2"/>
    <x v="2"/>
    <x v="1"/>
    <n v="100"/>
    <x v="7"/>
    <s v="text256_line_7_100_25600"/>
    <n v="11.095713"/>
    <n v="13.459903000000001"/>
    <n v="2.5082220000000001E-3"/>
    <n v="1.1449E-5"/>
    <n v="13.7585"/>
    <n v="1.8164"/>
    <n v="14.7315"/>
    <n v="20.023800000000001"/>
    <n v="18.906700000000001"/>
    <s v="SROU03"/>
    <n v="20.023800000000001"/>
    <n v="3"/>
    <n v="66"/>
    <n v="110"/>
    <n v="159"/>
    <b v="1"/>
  </r>
  <r>
    <x v="2"/>
    <x v="2"/>
    <x v="2"/>
    <n v="100"/>
    <x v="0"/>
    <s v="text256_line_15_100_200"/>
    <n v="28.351984000000002"/>
    <n v="36.408529000000001"/>
    <n v="1.6668E-5"/>
    <n v="1.4295E-5"/>
    <n v="35.677399999999999"/>
    <n v="1.3436999999999999"/>
    <n v="19.5288"/>
    <n v="36.110599999999998"/>
    <n v="39.765099999999997"/>
    <s v="BM3D"/>
    <n v="39.765099999999997"/>
    <n v="1"/>
    <n v="253"/>
    <n v="106"/>
    <n v="103"/>
    <b v="1"/>
  </r>
  <r>
    <x v="2"/>
    <x v="2"/>
    <x v="2"/>
    <n v="100"/>
    <x v="1"/>
    <s v="text256_line_15_100_400"/>
    <n v="20.436439"/>
    <n v="31.709990999999999"/>
    <n v="3.4697999999999999E-5"/>
    <n v="1.4295E-5"/>
    <n v="32.492100000000001"/>
    <n v="1.3436999999999999"/>
    <n v="19.494499999999999"/>
    <n v="33.244199999999999"/>
    <n v="36.761800000000001"/>
    <s v="BM3D"/>
    <n v="36.761800000000001"/>
    <n v="1"/>
    <n v="239"/>
    <n v="100"/>
    <n v="97"/>
    <b v="1"/>
  </r>
  <r>
    <x v="2"/>
    <x v="2"/>
    <x v="2"/>
    <n v="100"/>
    <x v="2"/>
    <s v="text256_line_15_100_800"/>
    <n v="15.384122"/>
    <n v="29.107409000000001"/>
    <n v="7.0947999999999999E-5"/>
    <n v="1.4295E-5"/>
    <n v="29.369199999999999"/>
    <n v="1.3436999999999999"/>
    <n v="19.384499999999999"/>
    <n v="30.6144"/>
    <n v="33.709800000000001"/>
    <s v="BM3D"/>
    <n v="33.709800000000001"/>
    <n v="1"/>
    <n v="224"/>
    <n v="94"/>
    <n v="91"/>
    <b v="1"/>
  </r>
  <r>
    <x v="2"/>
    <x v="2"/>
    <x v="2"/>
    <n v="100"/>
    <x v="3"/>
    <s v="text256_line_15_100_1600"/>
    <n v="12.131633000000001"/>
    <n v="27.900877000000001"/>
    <n v="1.4312299999999999E-4"/>
    <n v="1.4295E-5"/>
    <n v="26.304500000000001"/>
    <n v="1.3436999999999999"/>
    <n v="19.127600000000001"/>
    <n v="28.114599999999999"/>
    <n v="30.672000000000001"/>
    <s v="BM3D"/>
    <n v="30.672000000000001"/>
    <n v="1"/>
    <n v="210"/>
    <n v="88"/>
    <n v="85"/>
    <b v="1"/>
  </r>
  <r>
    <x v="2"/>
    <x v="2"/>
    <x v="2"/>
    <n v="100"/>
    <x v="4"/>
    <s v="text256_line_15_100_3200"/>
    <n v="10.013864"/>
    <n v="27.136590999999999"/>
    <n v="2.9078099999999999E-4"/>
    <n v="1.4295E-5"/>
    <n v="23.1953"/>
    <n v="1.3436999999999999"/>
    <n v="18.658799999999999"/>
    <n v="25.6328"/>
    <n v="27.713899999999999"/>
    <s v="BM3D"/>
    <n v="27.713899999999999"/>
    <n v="1"/>
    <n v="196"/>
    <n v="82"/>
    <n v="80"/>
    <b v="1"/>
  </r>
  <r>
    <x v="2"/>
    <x v="2"/>
    <x v="2"/>
    <n v="100"/>
    <x v="5"/>
    <s v="text256_line_15_100_6400"/>
    <n v="8.7465899999999994"/>
    <n v="26.963753000000001"/>
    <n v="5.8686299999999997E-4"/>
    <n v="1.4295E-5"/>
    <n v="20.123899999999999"/>
    <n v="1.3436999999999999"/>
    <n v="17.766200000000001"/>
    <n v="23.2624"/>
    <n v="24.835100000000001"/>
    <s v="BM3D"/>
    <n v="24.835100000000001"/>
    <n v="1"/>
    <n v="182"/>
    <n v="76"/>
    <n v="74"/>
    <b v="1"/>
  </r>
  <r>
    <x v="2"/>
    <x v="2"/>
    <x v="2"/>
    <n v="100"/>
    <x v="6"/>
    <s v="text256_line_15_100_12800"/>
    <n v="7.8435810000000004"/>
    <n v="26.789960000000001"/>
    <n v="1.2069310000000001E-3"/>
    <n v="1.4295E-5"/>
    <n v="16.956900000000001"/>
    <n v="1.3436999999999999"/>
    <n v="16.4468"/>
    <n v="20.770800000000001"/>
    <n v="21.9558"/>
    <s v="BM3D"/>
    <n v="21.9558"/>
    <n v="1"/>
    <n v="168"/>
    <n v="70"/>
    <n v="68"/>
    <b v="1"/>
  </r>
  <r>
    <x v="2"/>
    <x v="2"/>
    <x v="2"/>
    <n v="100"/>
    <x v="7"/>
    <s v="text256_line_15_100_25600"/>
    <n v="7.061121"/>
    <n v="27.013368"/>
    <n v="2.5677880000000001E-3"/>
    <n v="1.4295E-5"/>
    <n v="13.655799999999999"/>
    <n v="1.3436999999999999"/>
    <n v="14.530900000000001"/>
    <n v="17.736699999999999"/>
    <n v="18.845199999999998"/>
    <s v="BM3D"/>
    <n v="18.845199999999998"/>
    <n v="1"/>
    <n v="153"/>
    <n v="64"/>
    <n v="62"/>
    <b v="1"/>
  </r>
  <r>
    <x v="2"/>
    <x v="2"/>
    <x v="3"/>
    <n v="100"/>
    <x v="0"/>
    <s v="text256_line_31_100_200"/>
    <n v="27.960144"/>
    <n v="75.688856999999999"/>
    <n v="1.6857000000000001E-5"/>
    <n v="1.6324000000000002E-5"/>
    <n v="35.631999999999998"/>
    <n v="0.1762"/>
    <n v="19.3903"/>
    <n v="35.991100000000003"/>
    <n v="39.737000000000002"/>
    <s v="BM3D"/>
    <n v="39.737000000000002"/>
    <n v="1"/>
    <n v="253"/>
    <n v="106"/>
    <n v="103"/>
    <b v="1"/>
  </r>
  <r>
    <x v="2"/>
    <x v="2"/>
    <x v="3"/>
    <n v="100"/>
    <x v="1"/>
    <s v="text256_line_31_100_400"/>
    <n v="19.628799999999998"/>
    <n v="64.685449000000006"/>
    <n v="3.4885000000000002E-5"/>
    <n v="1.6324000000000002E-5"/>
    <n v="32.463500000000003"/>
    <n v="0.1762"/>
    <n v="19.357199999999999"/>
    <n v="32.947000000000003"/>
    <n v="36.692900000000002"/>
    <s v="BM3D"/>
    <n v="36.692900000000002"/>
    <n v="1"/>
    <n v="239"/>
    <n v="100"/>
    <n v="97"/>
    <b v="1"/>
  </r>
  <r>
    <x v="2"/>
    <x v="2"/>
    <x v="3"/>
    <n v="100"/>
    <x v="2"/>
    <s v="text256_line_31_100_800"/>
    <n v="14.279185"/>
    <n v="59.197958"/>
    <n v="7.0957999999999994E-5"/>
    <n v="1.6324000000000002E-5"/>
    <n v="29.366700000000002"/>
    <n v="0.1762"/>
    <n v="19.257200000000001"/>
    <n v="30.153400000000001"/>
    <n v="33.657899999999998"/>
    <s v="BM3D"/>
    <n v="33.657899999999998"/>
    <n v="1"/>
    <n v="224"/>
    <n v="94"/>
    <n v="91"/>
    <b v="1"/>
  </r>
  <r>
    <x v="2"/>
    <x v="2"/>
    <x v="3"/>
    <n v="100"/>
    <x v="3"/>
    <s v="text256_line_31_100_1600"/>
    <n v="10.618029"/>
    <n v="56.030002000000003"/>
    <n v="1.4286600000000001E-4"/>
    <n v="1.6324000000000002E-5"/>
    <n v="26.311399999999999"/>
    <n v="0.1762"/>
    <n v="18.963000000000001"/>
    <n v="27.55"/>
    <n v="30.6538"/>
    <s v="BM3D"/>
    <n v="30.6538"/>
    <n v="1"/>
    <n v="210"/>
    <n v="88"/>
    <n v="85"/>
    <b v="1"/>
  </r>
  <r>
    <x v="2"/>
    <x v="2"/>
    <x v="3"/>
    <n v="100"/>
    <x v="4"/>
    <s v="text256_line_31_100_3200"/>
    <n v="8.2477"/>
    <n v="54.701647000000001"/>
    <n v="2.9382300000000002E-4"/>
    <n v="1.6324000000000002E-5"/>
    <n v="23.151499999999999"/>
    <n v="0.1762"/>
    <n v="18.528400000000001"/>
    <n v="24.921199999999999"/>
    <n v="27.780100000000001"/>
    <s v="BM3D"/>
    <n v="27.780100000000001"/>
    <n v="1"/>
    <n v="196"/>
    <n v="82"/>
    <n v="80"/>
    <b v="1"/>
  </r>
  <r>
    <x v="2"/>
    <x v="2"/>
    <x v="3"/>
    <n v="100"/>
    <x v="5"/>
    <s v="text256_line_31_100_6400"/>
    <n v="6.7293760000000002"/>
    <n v="53.808256999999998"/>
    <n v="5.8637299999999995E-4"/>
    <n v="1.6324000000000002E-5"/>
    <n v="20.127800000000001"/>
    <n v="0.1762"/>
    <n v="17.6892"/>
    <n v="22.4709"/>
    <n v="24.897200000000002"/>
    <s v="BM3D"/>
    <n v="24.897200000000002"/>
    <n v="1"/>
    <n v="182"/>
    <n v="76"/>
    <n v="74"/>
    <b v="1"/>
  </r>
  <r>
    <x v="2"/>
    <x v="2"/>
    <x v="3"/>
    <n v="100"/>
    <x v="6"/>
    <s v="text256_line_31_100_12800"/>
    <n v="5.6959689999999998"/>
    <n v="53.722534000000003"/>
    <n v="1.206599E-3"/>
    <n v="1.6324000000000002E-5"/>
    <n v="16.961300000000001"/>
    <n v="0.1762"/>
    <n v="16.4176"/>
    <n v="19.487100000000002"/>
    <n v="22.0627"/>
    <s v="BM3D"/>
    <n v="22.0627"/>
    <n v="1"/>
    <n v="169"/>
    <n v="71"/>
    <n v="69"/>
    <b v="1"/>
  </r>
  <r>
    <x v="2"/>
    <x v="2"/>
    <x v="3"/>
    <n v="100"/>
    <x v="7"/>
    <s v="text256_line_31_100_25600"/>
    <n v="4.8780380000000001"/>
    <n v="53.551473000000001"/>
    <n v="2.5604109999999999E-3"/>
    <n v="1.6324000000000002E-5"/>
    <n v="13.6684"/>
    <n v="0.1762"/>
    <n v="14.5389"/>
    <n v="16.199100000000001"/>
    <n v="18.857299999999999"/>
    <s v="BM3D"/>
    <n v="18.857299999999999"/>
    <n v="1"/>
    <n v="153"/>
    <n v="64"/>
    <n v="62"/>
    <b v="1"/>
  </r>
  <r>
    <x v="2"/>
    <x v="3"/>
    <x v="0"/>
    <n v="100"/>
    <x v="0"/>
    <s v="text256_blurkernel10_3_100_200"/>
    <n v="31.096889000000001"/>
    <n v="7.3992820000000004"/>
    <n v="1.7085999999999999E-5"/>
    <n v="9.8689999999999999E-6"/>
    <n v="35.577500000000001"/>
    <n v="7.1322999999999999"/>
    <n v="17.3413"/>
    <n v="37.0349"/>
    <n v="39.705399999999997"/>
    <s v="BM3D"/>
    <n v="39.705399999999997"/>
    <n v="1"/>
    <n v="253"/>
    <n v="106"/>
    <n v="103"/>
    <b v="1"/>
  </r>
  <r>
    <x v="2"/>
    <x v="3"/>
    <x v="0"/>
    <n v="100"/>
    <x v="1"/>
    <s v="text256_blurkernel10_3_100_400"/>
    <n v="24.342081"/>
    <n v="6.6542349999999999"/>
    <n v="3.4686E-5"/>
    <n v="9.8689999999999999E-6"/>
    <n v="32.491599999999998"/>
    <n v="7.1322999999999999"/>
    <n v="17.308599999999998"/>
    <n v="34.779600000000002"/>
    <n v="36.706299999999999"/>
    <s v="BM3D"/>
    <n v="36.706299999999999"/>
    <n v="1"/>
    <n v="239"/>
    <n v="100"/>
    <n v="97"/>
    <b v="1"/>
  </r>
  <r>
    <x v="2"/>
    <x v="3"/>
    <x v="0"/>
    <n v="100"/>
    <x v="2"/>
    <s v="text256_blurkernel10_3_100_800"/>
    <n v="20.284638999999999"/>
    <n v="6.2627969999999999"/>
    <n v="7.1732999999999999E-5"/>
    <n v="9.8689999999999999E-6"/>
    <n v="29.323599999999999"/>
    <n v="7.1322999999999999"/>
    <n v="17.259"/>
    <n v="32.767200000000003"/>
    <n v="33.663899999999998"/>
    <s v="BM3D"/>
    <n v="33.663899999999998"/>
    <n v="1"/>
    <n v="224"/>
    <n v="94"/>
    <n v="91"/>
    <b v="0"/>
  </r>
  <r>
    <x v="2"/>
    <x v="3"/>
    <x v="0"/>
    <n v="100"/>
    <x v="3"/>
    <s v="text256_blurkernel10_3_100_1600"/>
    <n v="17.978045999999999"/>
    <n v="6.0647260000000003"/>
    <n v="1.42941E-4"/>
    <n v="9.8689999999999999E-6"/>
    <n v="26.3108"/>
    <n v="7.1322999999999999"/>
    <n v="17.173100000000002"/>
    <n v="31.127099999999999"/>
    <n v="30.722799999999999"/>
    <s v="SROU03"/>
    <n v="31.127099999999999"/>
    <n v="3"/>
    <n v="89"/>
    <n v="146"/>
    <n v="212"/>
    <b v="0"/>
  </r>
  <r>
    <x v="2"/>
    <x v="3"/>
    <x v="0"/>
    <n v="100"/>
    <x v="4"/>
    <s v="text256_blurkernel10_3_100_3200"/>
    <n v="16.716259000000001"/>
    <n v="5.9630710000000002"/>
    <n v="2.8937899999999998E-4"/>
    <n v="9.8689999999999999E-6"/>
    <n v="23.222300000000001"/>
    <n v="7.1322999999999999"/>
    <n v="16.958400000000001"/>
    <n v="29.642399999999999"/>
    <n v="27.817699999999999"/>
    <s v="SROU03"/>
    <n v="29.642399999999999"/>
    <n v="3"/>
    <n v="86"/>
    <n v="141"/>
    <n v="205"/>
    <b v="1"/>
  </r>
  <r>
    <x v="2"/>
    <x v="3"/>
    <x v="0"/>
    <n v="100"/>
    <x v="5"/>
    <s v="text256_blurkernel10_3_100_6400"/>
    <n v="16.034998000000002"/>
    <n v="5.9175630000000004"/>
    <n v="5.8909700000000001E-4"/>
    <n v="9.8689999999999999E-6"/>
    <n v="20.103200000000001"/>
    <n v="7.1322999999999999"/>
    <n v="16.422899999999998"/>
    <n v="27.726700000000001"/>
    <n v="24.9176"/>
    <s v="SROU03"/>
    <n v="27.726700000000001"/>
    <n v="3"/>
    <n v="82"/>
    <n v="135"/>
    <n v="196"/>
    <b v="1"/>
  </r>
  <r>
    <x v="2"/>
    <x v="3"/>
    <x v="0"/>
    <n v="100"/>
    <x v="6"/>
    <s v="text256_blurkernel10_3_100_12800"/>
    <n v="15.641697000000001"/>
    <n v="5.9030180000000003"/>
    <n v="1.206188E-3"/>
    <n v="9.8689999999999999E-6"/>
    <n v="16.9633"/>
    <n v="7.1322999999999999"/>
    <n v="15.5159"/>
    <n v="23.218499999999999"/>
    <n v="21.904699999999998"/>
    <s v="SROU03"/>
    <n v="23.218499999999999"/>
    <n v="3"/>
    <n v="73"/>
    <n v="120"/>
    <n v="174"/>
    <b v="1"/>
  </r>
  <r>
    <x v="2"/>
    <x v="3"/>
    <x v="0"/>
    <n v="100"/>
    <x v="7"/>
    <s v="text256_blurkernel10_3_100_25600"/>
    <n v="15.366365"/>
    <n v="5.9104580000000002"/>
    <n v="2.5312139999999999E-3"/>
    <n v="9.8689999999999999E-6"/>
    <n v="13.718"/>
    <n v="7.1322999999999999"/>
    <n v="14.146000000000001"/>
    <n v="21.416699999999999"/>
    <n v="18.962900000000001"/>
    <s v="SROU03"/>
    <n v="21.416699999999999"/>
    <n v="3"/>
    <n v="69"/>
    <n v="114"/>
    <n v="166"/>
    <b v="1"/>
  </r>
  <r>
    <x v="2"/>
    <x v="3"/>
    <x v="1"/>
    <n v="100"/>
    <x v="0"/>
    <s v="text256_blurkernel10_7_100_200"/>
    <n v="28.182181"/>
    <n v="18.225071"/>
    <n v="1.6733999999999999E-5"/>
    <n v="1.1922E-5"/>
    <n v="35.670200000000001"/>
    <n v="2.1814"/>
    <n v="19.428899999999999"/>
    <n v="35.928400000000003"/>
    <n v="39.814599999999999"/>
    <s v="BM3D"/>
    <n v="39.814599999999999"/>
    <n v="1"/>
    <n v="254"/>
    <n v="106"/>
    <n v="103"/>
    <b v="1"/>
  </r>
  <r>
    <x v="2"/>
    <x v="3"/>
    <x v="1"/>
    <n v="100"/>
    <x v="1"/>
    <s v="text256_blurkernel10_7_100_400"/>
    <n v="20.287860999999999"/>
    <n v="16.100035999999999"/>
    <n v="3.4421000000000001E-5"/>
    <n v="1.1922E-5"/>
    <n v="32.521999999999998"/>
    <n v="2.1814"/>
    <n v="19.411799999999999"/>
    <n v="33.211199999999998"/>
    <n v="36.719299999999997"/>
    <s v="BM3D"/>
    <n v="36.719299999999997"/>
    <n v="1"/>
    <n v="239"/>
    <n v="100"/>
    <n v="97"/>
    <b v="1"/>
  </r>
  <r>
    <x v="2"/>
    <x v="3"/>
    <x v="1"/>
    <n v="100"/>
    <x v="2"/>
    <s v="text256_blurkernel10_7_100_800"/>
    <n v="15.159001999999999"/>
    <n v="14.986791999999999"/>
    <n v="7.1703000000000001E-5"/>
    <n v="1.1922E-5"/>
    <n v="29.3186"/>
    <n v="2.1814"/>
    <n v="19.305499999999999"/>
    <n v="30.667400000000001"/>
    <n v="33.579500000000003"/>
    <s v="BM3D"/>
    <n v="33.579500000000003"/>
    <n v="1"/>
    <n v="224"/>
    <n v="94"/>
    <n v="91"/>
    <b v="1"/>
  </r>
  <r>
    <x v="2"/>
    <x v="3"/>
    <x v="1"/>
    <n v="100"/>
    <x v="3"/>
    <s v="text256_blurkernel10_7_100_1600"/>
    <n v="11.903543000000001"/>
    <n v="14.415603000000001"/>
    <n v="1.4543100000000001E-4"/>
    <n v="1.1922E-5"/>
    <n v="26.2346"/>
    <n v="2.1814"/>
    <n v="19.073399999999999"/>
    <n v="28.2941"/>
    <n v="30.654299999999999"/>
    <s v="BM3D"/>
    <n v="30.654299999999999"/>
    <n v="1"/>
    <n v="210"/>
    <n v="88"/>
    <n v="85"/>
    <b v="1"/>
  </r>
  <r>
    <x v="2"/>
    <x v="3"/>
    <x v="1"/>
    <n v="100"/>
    <x v="4"/>
    <s v="text256_blurkernel10_7_100_3200"/>
    <n v="9.8861139999999992"/>
    <n v="14.124871000000001"/>
    <n v="2.9415300000000001E-4"/>
    <n v="1.1922E-5"/>
    <n v="23.153500000000001"/>
    <n v="2.1814"/>
    <n v="18.7089"/>
    <n v="26.1568"/>
    <n v="27.7193"/>
    <s v="BM3D"/>
    <n v="27.7193"/>
    <n v="1"/>
    <n v="196"/>
    <n v="82"/>
    <n v="80"/>
    <b v="1"/>
  </r>
  <r>
    <x v="2"/>
    <x v="3"/>
    <x v="1"/>
    <n v="100"/>
    <x v="5"/>
    <s v="text256_blurkernel10_7_100_6400"/>
    <n v="8.7644690000000001"/>
    <n v="13.984146000000001"/>
    <n v="5.8694300000000004E-4"/>
    <n v="1.1922E-5"/>
    <n v="20.123899999999999"/>
    <n v="2.1814"/>
    <n v="17.8872"/>
    <n v="24.225100000000001"/>
    <n v="24.910399999999999"/>
    <s v="BM3D"/>
    <n v="24.910399999999999"/>
    <n v="1"/>
    <n v="182"/>
    <n v="76"/>
    <n v="74"/>
    <b v="0"/>
  </r>
  <r>
    <x v="2"/>
    <x v="3"/>
    <x v="1"/>
    <n v="100"/>
    <x v="6"/>
    <s v="text256_blurkernel10_7_100_12800"/>
    <n v="8.0960099999999997"/>
    <n v="13.912067"/>
    <n v="1.2012990000000001E-3"/>
    <n v="1.1922E-5"/>
    <n v="16.9771"/>
    <n v="2.1814"/>
    <n v="16.661000000000001"/>
    <n v="21.735299999999999"/>
    <n v="21.978999999999999"/>
    <s v="BM3D"/>
    <n v="21.978999999999999"/>
    <n v="1"/>
    <n v="168"/>
    <n v="70"/>
    <n v="68"/>
    <b v="0"/>
  </r>
  <r>
    <x v="2"/>
    <x v="3"/>
    <x v="1"/>
    <n v="100"/>
    <x v="7"/>
    <s v="text256_blurkernel10_7_100_25600"/>
    <n v="7.7399050000000003"/>
    <n v="13.882704"/>
    <n v="2.526899E-3"/>
    <n v="1.1922E-5"/>
    <n v="13.725899999999999"/>
    <n v="2.1814"/>
    <n v="14.814399999999999"/>
    <n v="19.911300000000001"/>
    <n v="19.0274"/>
    <s v="SROU03"/>
    <n v="19.911300000000001"/>
    <n v="3"/>
    <n v="66"/>
    <n v="109"/>
    <n v="158"/>
    <b v="0"/>
  </r>
  <r>
    <x v="2"/>
    <x v="3"/>
    <x v="2"/>
    <n v="100"/>
    <x v="0"/>
    <s v="text256_blurkernel10_15_100_200"/>
    <n v="27.780716999999999"/>
    <n v="37.989488000000001"/>
    <n v="1.7031E-5"/>
    <n v="1.4671000000000001E-5"/>
    <n v="35.596600000000002"/>
    <n v="1.3008999999999999"/>
    <n v="19.489599999999999"/>
    <n v="35.7211"/>
    <n v="39.736499999999999"/>
    <s v="BM3D"/>
    <n v="39.736499999999999"/>
    <n v="1"/>
    <n v="253"/>
    <n v="106"/>
    <n v="103"/>
    <b v="1"/>
  </r>
  <r>
    <x v="2"/>
    <x v="3"/>
    <x v="2"/>
    <n v="100"/>
    <x v="1"/>
    <s v="text256_blurkernel10_15_100_400"/>
    <n v="19.404440000000001"/>
    <n v="32.918582999999998"/>
    <n v="3.4947999999999998E-5"/>
    <n v="1.4671000000000001E-5"/>
    <n v="32.454500000000003"/>
    <n v="1.3008999999999999"/>
    <n v="19.452500000000001"/>
    <n v="32.5685"/>
    <n v="36.692900000000002"/>
    <s v="BM3D"/>
    <n v="36.692900000000002"/>
    <n v="1"/>
    <n v="239"/>
    <n v="100"/>
    <n v="97"/>
    <b v="1"/>
  </r>
  <r>
    <x v="2"/>
    <x v="3"/>
    <x v="2"/>
    <n v="100"/>
    <x v="2"/>
    <s v="text256_blurkernel10_15_100_800"/>
    <n v="14.040932"/>
    <n v="30.211898999999999"/>
    <n v="7.1291999999999994E-5"/>
    <n v="1.4671000000000001E-5"/>
    <n v="29.345600000000001"/>
    <n v="1.3008999999999999"/>
    <n v="19.3291"/>
    <n v="29.832899999999999"/>
    <n v="33.647500000000001"/>
    <s v="BM3D"/>
    <n v="33.647500000000001"/>
    <n v="1"/>
    <n v="224"/>
    <n v="94"/>
    <n v="91"/>
    <b v="1"/>
  </r>
  <r>
    <x v="2"/>
    <x v="3"/>
    <x v="2"/>
    <n v="100"/>
    <x v="3"/>
    <s v="text256_blurkernel10_15_100_1600"/>
    <n v="10.357435000000001"/>
    <n v="28.906901999999999"/>
    <n v="1.45463E-4"/>
    <n v="1.4671000000000001E-5"/>
    <n v="26.232600000000001"/>
    <n v="1.3008999999999999"/>
    <n v="19.126100000000001"/>
    <n v="27.146100000000001"/>
    <n v="30.566600000000001"/>
    <s v="BM3D"/>
    <n v="30.566600000000001"/>
    <n v="1"/>
    <n v="209"/>
    <n v="88"/>
    <n v="85"/>
    <b v="1"/>
  </r>
  <r>
    <x v="2"/>
    <x v="3"/>
    <x v="2"/>
    <n v="100"/>
    <x v="4"/>
    <s v="text256_blurkernel10_15_100_3200"/>
    <n v="7.8034470000000002"/>
    <n v="28.069762999999998"/>
    <n v="2.89676E-4"/>
    <n v="1.4671000000000001E-5"/>
    <n v="23.219899999999999"/>
    <n v="1.3008999999999999"/>
    <n v="18.6313"/>
    <n v="24.605799999999999"/>
    <n v="27.8032"/>
    <s v="BM3D"/>
    <n v="27.8032"/>
    <n v="1"/>
    <n v="196"/>
    <n v="82"/>
    <n v="80"/>
    <b v="1"/>
  </r>
  <r>
    <x v="2"/>
    <x v="3"/>
    <x v="2"/>
    <n v="100"/>
    <x v="5"/>
    <s v="text256_blurkernel10_15_100_6400"/>
    <n v="6.2970839999999999"/>
    <n v="27.819894999999999"/>
    <n v="5.8685400000000004E-4"/>
    <n v="1.4671000000000001E-5"/>
    <n v="20.12"/>
    <n v="1.3008999999999999"/>
    <n v="17.927199999999999"/>
    <n v="22.442299999999999"/>
    <n v="24.8369"/>
    <s v="BM3D"/>
    <n v="24.8369"/>
    <n v="1"/>
    <n v="182"/>
    <n v="76"/>
    <n v="74"/>
    <b v="1"/>
  </r>
  <r>
    <x v="2"/>
    <x v="3"/>
    <x v="2"/>
    <n v="100"/>
    <x v="6"/>
    <s v="text256_blurkernel10_15_100_12800"/>
    <n v="5.3199920000000001"/>
    <n v="27.543469000000002"/>
    <n v="1.21412E-3"/>
    <n v="1.4671000000000001E-5"/>
    <n v="16.929500000000001"/>
    <n v="1.3008999999999999"/>
    <n v="16.6341"/>
    <n v="20.4589"/>
    <n v="21.877199999999998"/>
    <s v="BM3D"/>
    <n v="21.877199999999998"/>
    <n v="1"/>
    <n v="168"/>
    <n v="70"/>
    <n v="68"/>
    <b v="1"/>
  </r>
  <r>
    <x v="2"/>
    <x v="3"/>
    <x v="2"/>
    <n v="100"/>
    <x v="7"/>
    <s v="text256_blurkernel10_15_100_25600"/>
    <n v="4.7780829999999996"/>
    <n v="27.567691"/>
    <n v="2.580012E-3"/>
    <n v="1.4671000000000001E-5"/>
    <n v="13.6357"/>
    <n v="1.3008999999999999"/>
    <n v="14.792400000000001"/>
    <n v="18.6084"/>
    <n v="18.8718"/>
    <s v="BM3D"/>
    <n v="18.8718"/>
    <n v="1"/>
    <n v="153"/>
    <n v="64"/>
    <n v="62"/>
    <b v="0"/>
  </r>
  <r>
    <x v="2"/>
    <x v="3"/>
    <x v="3"/>
    <n v="100"/>
    <x v="0"/>
    <s v="text256_blurkernel10_31_100_200"/>
    <n v="27.474564000000001"/>
    <n v="76.938428999999999"/>
    <n v="1.6997E-5"/>
    <n v="1.6477000000000002E-5"/>
    <n v="35.601599999999998"/>
    <n v="0.2384"/>
    <n v="19.453900000000001"/>
    <n v="35.392299999999999"/>
    <n v="39.706699999999998"/>
    <s v="BM3D"/>
    <n v="39.706699999999998"/>
    <n v="1"/>
    <n v="253"/>
    <n v="106"/>
    <n v="103"/>
    <b v="1"/>
  </r>
  <r>
    <x v="2"/>
    <x v="3"/>
    <x v="3"/>
    <n v="100"/>
    <x v="1"/>
    <s v="text256_blurkernel10_31_100_400"/>
    <n v="19.085062000000001"/>
    <n v="66.040953999999999"/>
    <n v="3.468E-5"/>
    <n v="1.6477000000000002E-5"/>
    <n v="32.490299999999998"/>
    <n v="0.2384"/>
    <n v="19.403500000000001"/>
    <n v="32.041200000000003"/>
    <n v="36.668799999999997"/>
    <s v="BM3D"/>
    <n v="36.668799999999997"/>
    <n v="1"/>
    <n v="239"/>
    <n v="100"/>
    <n v="97"/>
    <b v="1"/>
  </r>
  <r>
    <x v="2"/>
    <x v="3"/>
    <x v="3"/>
    <n v="100"/>
    <x v="2"/>
    <s v="text256_blurkernel10_31_100_800"/>
    <n v="13.572587"/>
    <n v="60.210296999999997"/>
    <n v="7.0038999999999998E-5"/>
    <n v="1.6477000000000002E-5"/>
    <n v="29.421199999999999"/>
    <n v="0.2384"/>
    <n v="19.257000000000001"/>
    <n v="29.013100000000001"/>
    <n v="33.726300000000002"/>
    <s v="BM3D"/>
    <n v="33.726300000000002"/>
    <n v="1"/>
    <n v="225"/>
    <n v="94"/>
    <n v="91"/>
    <b v="1"/>
  </r>
  <r>
    <x v="2"/>
    <x v="3"/>
    <x v="3"/>
    <n v="100"/>
    <x v="3"/>
    <s v="text256_blurkernel10_31_100_1600"/>
    <n v="9.8197500000000009"/>
    <n v="57.330334999999998"/>
    <n v="1.4328499999999999E-4"/>
    <n v="1.6477000000000002E-5"/>
    <n v="26.295500000000001"/>
    <n v="0.2384"/>
    <n v="19.0548"/>
    <n v="26.1693"/>
    <n v="30.6067"/>
    <s v="BM3D"/>
    <n v="30.6067"/>
    <n v="1"/>
    <n v="210"/>
    <n v="88"/>
    <n v="85"/>
    <b v="1"/>
  </r>
  <r>
    <x v="2"/>
    <x v="3"/>
    <x v="3"/>
    <n v="100"/>
    <x v="4"/>
    <s v="text256_blurkernel10_31_100_3200"/>
    <n v="7.1573520000000004"/>
    <n v="55.606928000000003"/>
    <n v="2.9007600000000001E-4"/>
    <n v="1.6477000000000002E-5"/>
    <n v="23.2134"/>
    <n v="0.2384"/>
    <n v="18.6677"/>
    <n v="23.3474"/>
    <n v="27.7879"/>
    <s v="BM3D"/>
    <n v="27.7879"/>
    <n v="1"/>
    <n v="196"/>
    <n v="82"/>
    <n v="80"/>
    <b v="1"/>
  </r>
  <r>
    <x v="2"/>
    <x v="3"/>
    <x v="3"/>
    <n v="100"/>
    <x v="5"/>
    <s v="text256_blurkernel10_31_100_6400"/>
    <n v="5.4224480000000002"/>
    <n v="54.955629000000002"/>
    <n v="5.8874399999999999E-4"/>
    <n v="1.6477000000000002E-5"/>
    <n v="20.1065"/>
    <n v="0.2384"/>
    <n v="17.904199999999999"/>
    <n v="20.842600000000001"/>
    <n v="24.935099999999998"/>
    <s v="BM3D"/>
    <n v="24.935099999999998"/>
    <n v="1"/>
    <n v="182"/>
    <n v="76"/>
    <n v="74"/>
    <b v="1"/>
  </r>
  <r>
    <x v="2"/>
    <x v="3"/>
    <x v="3"/>
    <n v="100"/>
    <x v="6"/>
    <s v="text256_blurkernel10_31_100_12800"/>
    <n v="4.2537440000000002"/>
    <n v="54.419919"/>
    <n v="1.2001080000000001E-3"/>
    <n v="1.6477000000000002E-5"/>
    <n v="16.979800000000001"/>
    <n v="0.2384"/>
    <n v="16.518599999999999"/>
    <n v="18.465399999999999"/>
    <n v="22.0106"/>
    <s v="BM3D"/>
    <n v="22.0106"/>
    <n v="1"/>
    <n v="168"/>
    <n v="70"/>
    <n v="68"/>
    <b v="1"/>
  </r>
  <r>
    <x v="2"/>
    <x v="3"/>
    <x v="3"/>
    <n v="100"/>
    <x v="7"/>
    <s v="text256_blurkernel10_31_100_25600"/>
    <n v="3.5523690000000001"/>
    <n v="54.356335000000001"/>
    <n v="2.5486789999999999E-3"/>
    <n v="1.6477000000000002E-5"/>
    <n v="13.6883"/>
    <n v="0.2384"/>
    <n v="14.5855"/>
    <n v="16.229099999999999"/>
    <n v="18.904199999999999"/>
    <s v="BM3D"/>
    <n v="18.904199999999999"/>
    <n v="1"/>
    <n v="154"/>
    <n v="64"/>
    <n v="62"/>
    <b v="1"/>
  </r>
  <r>
    <x v="3"/>
    <x v="0"/>
    <x v="0"/>
    <n v="100"/>
    <x v="0"/>
    <s v="castle256_blurkernel7_3_100_200"/>
    <n v="58.033456000000001"/>
    <n v="3.9267639999999999"/>
    <n v="1.9221000000000001E-5"/>
    <n v="8.7530000000000007E-6"/>
    <n v="32.537199999999999"/>
    <n v="15.6562"/>
    <n v="19.2105"/>
    <n v="33.473599999999998"/>
    <n v="34.460999999999999"/>
    <s v="BM3D"/>
    <n v="34.460999999999999"/>
    <n v="1"/>
    <n v="228"/>
    <n v="95"/>
    <n v="93"/>
    <b v="0"/>
  </r>
  <r>
    <x v="3"/>
    <x v="0"/>
    <x v="0"/>
    <n v="100"/>
    <x v="1"/>
    <s v="castle256_blurkernel7_3_100_400"/>
    <n v="45.710878000000001"/>
    <n v="3.5917089999999998"/>
    <n v="3.9784999999999999E-5"/>
    <n v="8.7530000000000007E-6"/>
    <n v="29.379000000000001"/>
    <n v="15.6562"/>
    <n v="19.149899999999999"/>
    <n v="31.0185"/>
    <n v="31.8505"/>
    <s v="BM3D"/>
    <n v="31.8505"/>
    <n v="1"/>
    <n v="216"/>
    <n v="90"/>
    <n v="88"/>
    <b v="0"/>
  </r>
  <r>
    <x v="3"/>
    <x v="0"/>
    <x v="0"/>
    <n v="100"/>
    <x v="2"/>
    <s v="castle256_blurkernel7_3_100_800"/>
    <n v="38.518583"/>
    <n v="3.4319359999999999"/>
    <n v="8.1567E-5"/>
    <n v="8.7530000000000007E-6"/>
    <n v="26.265899999999998"/>
    <n v="15.6562"/>
    <n v="19.049099999999999"/>
    <n v="28.743400000000001"/>
    <n v="29.241900000000001"/>
    <s v="BM3D"/>
    <n v="29.241900000000001"/>
    <n v="1"/>
    <n v="203"/>
    <n v="85"/>
    <n v="83"/>
    <b v="0"/>
  </r>
  <r>
    <x v="3"/>
    <x v="0"/>
    <x v="0"/>
    <n v="100"/>
    <x v="3"/>
    <s v="castle256_blurkernel7_3_100_1600"/>
    <n v="34.177168000000002"/>
    <n v="3.3578420000000002"/>
    <n v="1.65604E-4"/>
    <n v="8.7530000000000007E-6"/>
    <n v="23.204499999999999"/>
    <n v="15.6562"/>
    <n v="18.861699999999999"/>
    <n v="26.3825"/>
    <n v="26.575099999999999"/>
    <s v="BM3D"/>
    <n v="26.575099999999999"/>
    <n v="1"/>
    <n v="190"/>
    <n v="80"/>
    <n v="77"/>
    <b v="0"/>
  </r>
  <r>
    <x v="3"/>
    <x v="0"/>
    <x v="0"/>
    <n v="100"/>
    <x v="4"/>
    <s v="castle256_blurkernel7_3_100_3200"/>
    <n v="31.383824000000001"/>
    <n v="3.3378899999999998"/>
    <n v="3.4039399999999999E-4"/>
    <n v="8.7530000000000007E-6"/>
    <n v="20.094100000000001"/>
    <n v="15.6562"/>
    <n v="18.626100000000001"/>
    <n v="24.180599999999998"/>
    <n v="23.968399999999999"/>
    <s v="SROU03"/>
    <n v="24.180599999999998"/>
    <n v="3"/>
    <n v="75"/>
    <n v="123"/>
    <n v="179"/>
    <b v="0"/>
  </r>
  <r>
    <x v="3"/>
    <x v="0"/>
    <x v="0"/>
    <n v="100"/>
    <x v="5"/>
    <s v="castle256_blurkernel7_3_100_6400"/>
    <n v="29.352906999999998"/>
    <n v="3.3449110000000002"/>
    <n v="6.9512600000000001E-4"/>
    <n v="8.7530000000000007E-6"/>
    <n v="17.031199999999998"/>
    <n v="15.6562"/>
    <n v="18.255600000000001"/>
    <n v="22.073399999999999"/>
    <n v="21.324400000000001"/>
    <s v="SROU03"/>
    <n v="22.073399999999999"/>
    <n v="3"/>
    <n v="71"/>
    <n v="116"/>
    <n v="169"/>
    <b v="0"/>
  </r>
  <r>
    <x v="3"/>
    <x v="0"/>
    <x v="0"/>
    <n v="100"/>
    <x v="6"/>
    <s v="castle256_blurkernel7_3_100_12800"/>
    <n v="27.473123000000001"/>
    <n v="3.37338"/>
    <n v="1.4647729999999999E-3"/>
    <n v="8.7530000000000007E-6"/>
    <n v="13.8873"/>
    <n v="15.6562"/>
    <n v="17.7758"/>
    <n v="21.038699999999999"/>
    <n v="18.9941"/>
    <s v="SROU03"/>
    <n v="21.038699999999999"/>
    <n v="3"/>
    <n v="68"/>
    <n v="113"/>
    <n v="164"/>
    <b v="1"/>
  </r>
  <r>
    <x v="3"/>
    <x v="0"/>
    <x v="0"/>
    <n v="100"/>
    <x v="7"/>
    <s v="castle256_blurkernel7_3_100_25600"/>
    <n v="25.887822"/>
    <n v="3.4043869999999998"/>
    <n v="3.2141539999999999E-3"/>
    <n v="8.7530000000000007E-6"/>
    <n v="10.662800000000001"/>
    <n v="15.6562"/>
    <n v="16.953099999999999"/>
    <n v="20.3764"/>
    <n v="16.7105"/>
    <s v="SROU03"/>
    <n v="20.3764"/>
    <n v="3"/>
    <n v="67"/>
    <n v="111"/>
    <n v="161"/>
    <b v="1"/>
  </r>
  <r>
    <x v="3"/>
    <x v="0"/>
    <x v="1"/>
    <n v="100"/>
    <x v="0"/>
    <s v="castle256_blurkernel7_7_100_200"/>
    <n v="51.848171999999998"/>
    <n v="10.246570999999999"/>
    <n v="1.9159000000000001E-5"/>
    <n v="8.6850000000000007E-6"/>
    <n v="32.551000000000002"/>
    <n v="10.9269"/>
    <n v="19.2255"/>
    <n v="32.787100000000002"/>
    <n v="34.4696"/>
    <s v="BM3D"/>
    <n v="34.4696"/>
    <n v="1"/>
    <n v="228"/>
    <n v="95"/>
    <n v="93"/>
    <b v="1"/>
  </r>
  <r>
    <x v="3"/>
    <x v="0"/>
    <x v="1"/>
    <n v="100"/>
    <x v="1"/>
    <s v="castle256_blurkernel7_7_100_400"/>
    <n v="37.501468000000003"/>
    <n v="9.3532410000000006"/>
    <n v="3.9938000000000003E-5"/>
    <n v="8.6850000000000007E-6"/>
    <n v="29.3658"/>
    <n v="10.9269"/>
    <n v="19.128499999999999"/>
    <n v="30.0791"/>
    <n v="31.849599999999999"/>
    <s v="BM3D"/>
    <n v="31.849599999999999"/>
    <n v="1"/>
    <n v="216"/>
    <n v="90"/>
    <n v="88"/>
    <b v="1"/>
  </r>
  <r>
    <x v="3"/>
    <x v="0"/>
    <x v="1"/>
    <n v="100"/>
    <x v="2"/>
    <s v="castle256_blurkernel7_7_100_800"/>
    <n v="28.375364000000001"/>
    <n v="8.9080860000000008"/>
    <n v="8.2121999999999997E-5"/>
    <n v="8.6850000000000007E-6"/>
    <n v="26.239699999999999"/>
    <n v="10.9269"/>
    <n v="18.978400000000001"/>
    <n v="27.504300000000001"/>
    <n v="29.201799999999999"/>
    <s v="BM3D"/>
    <n v="29.201799999999999"/>
    <n v="1"/>
    <n v="203"/>
    <n v="85"/>
    <n v="82"/>
    <b v="1"/>
  </r>
  <r>
    <x v="3"/>
    <x v="0"/>
    <x v="1"/>
    <n v="100"/>
    <x v="3"/>
    <s v="castle256_blurkernel7_7_100_1600"/>
    <n v="22.727979000000001"/>
    <n v="8.6950310000000002"/>
    <n v="1.6633899999999999E-4"/>
    <n v="8.6850000000000007E-6"/>
    <n v="23.1815"/>
    <n v="10.9269"/>
    <n v="18.704599999999999"/>
    <n v="25.232700000000001"/>
    <n v="26.627400000000002"/>
    <s v="BM3D"/>
    <n v="26.627400000000002"/>
    <n v="1"/>
    <n v="191"/>
    <n v="80"/>
    <n v="77"/>
    <b v="1"/>
  </r>
  <r>
    <x v="3"/>
    <x v="0"/>
    <x v="1"/>
    <n v="100"/>
    <x v="4"/>
    <s v="castle256_blurkernel7_7_100_3200"/>
    <n v="19.025276999999999"/>
    <n v="8.5932099999999991"/>
    <n v="3.37265E-4"/>
    <n v="8.6850000000000007E-6"/>
    <n v="20.129899999999999"/>
    <n v="10.9269"/>
    <n v="18.251200000000001"/>
    <n v="22.796099999999999"/>
    <n v="24.013999999999999"/>
    <s v="BM3D"/>
    <n v="24.013999999999999"/>
    <n v="1"/>
    <n v="178"/>
    <n v="74"/>
    <n v="72"/>
    <b v="1"/>
  </r>
  <r>
    <x v="3"/>
    <x v="0"/>
    <x v="1"/>
    <n v="100"/>
    <x v="5"/>
    <s v="castle256_blurkernel7_7_100_6400"/>
    <n v="16.799166"/>
    <n v="8.5533330000000003"/>
    <n v="7.0306899999999996E-4"/>
    <n v="8.6850000000000007E-6"/>
    <n v="16.982700000000001"/>
    <n v="10.9269"/>
    <n v="17.590699999999998"/>
    <n v="20.754799999999999"/>
    <n v="21.400200000000002"/>
    <s v="BM3D"/>
    <n v="21.400200000000002"/>
    <n v="1"/>
    <n v="166"/>
    <n v="69"/>
    <n v="67"/>
    <b v="0"/>
  </r>
  <r>
    <x v="3"/>
    <x v="0"/>
    <x v="1"/>
    <n v="100"/>
    <x v="6"/>
    <s v="castle256_blurkernel7_7_100_12800"/>
    <n v="15.195826"/>
    <n v="8.5487660000000005"/>
    <n v="1.463223E-3"/>
    <n v="8.6850000000000007E-6"/>
    <n v="13.8866"/>
    <n v="10.9269"/>
    <n v="16.657699999999998"/>
    <n v="18.562200000000001"/>
    <n v="18.985499999999998"/>
    <s v="BM3D"/>
    <n v="18.985499999999998"/>
    <n v="1"/>
    <n v="154"/>
    <n v="64"/>
    <n v="63"/>
    <b v="0"/>
  </r>
  <r>
    <x v="3"/>
    <x v="0"/>
    <x v="1"/>
    <n v="100"/>
    <x v="7"/>
    <s v="castle256_blurkernel7_7_100_25600"/>
    <n v="13.906903"/>
    <n v="8.5656680000000005"/>
    <n v="3.2392459999999999E-3"/>
    <n v="8.6850000000000007E-6"/>
    <n v="10.5969"/>
    <n v="10.9269"/>
    <n v="15.415100000000001"/>
    <n v="17.258800000000001"/>
    <n v="16.6754"/>
    <s v="SROU03"/>
    <n v="17.258800000000001"/>
    <n v="3"/>
    <n v="61"/>
    <n v="100"/>
    <n v="146"/>
    <b v="0"/>
  </r>
  <r>
    <x v="3"/>
    <x v="0"/>
    <x v="2"/>
    <n v="100"/>
    <x v="0"/>
    <s v="castle256_blurkernel7_15_100_200"/>
    <n v="50.194268999999998"/>
    <n v="22.572825999999999"/>
    <n v="1.9235000000000001E-5"/>
    <n v="8.7830000000000004E-6"/>
    <n v="32.534199999999998"/>
    <n v="8.5862999999999996"/>
    <n v="20.034500000000001"/>
    <n v="32.578899999999997"/>
    <n v="34.437199999999997"/>
    <s v="BM3D"/>
    <n v="34.437199999999997"/>
    <n v="1"/>
    <n v="228"/>
    <n v="95"/>
    <n v="93"/>
    <b v="1"/>
  </r>
  <r>
    <x v="3"/>
    <x v="0"/>
    <x v="2"/>
    <n v="100"/>
    <x v="1"/>
    <s v="castle256_blurkernel7_15_100_400"/>
    <n v="35.177840000000003"/>
    <n v="20.633057000000001"/>
    <n v="3.9471000000000002E-5"/>
    <n v="8.7830000000000004E-6"/>
    <n v="29.415700000000001"/>
    <n v="8.5862999999999996"/>
    <n v="19.887699999999999"/>
    <n v="29.8414"/>
    <n v="31.877400000000002"/>
    <s v="BM3D"/>
    <n v="31.877400000000002"/>
    <n v="1"/>
    <n v="216"/>
    <n v="90"/>
    <n v="88"/>
    <b v="1"/>
  </r>
  <r>
    <x v="3"/>
    <x v="0"/>
    <x v="2"/>
    <n v="100"/>
    <x v="2"/>
    <s v="castle256_blurkernel7_15_100_800"/>
    <n v="25.433373"/>
    <n v="19.620615000000001"/>
    <n v="8.2117E-5"/>
    <n v="8.7830000000000004E-6"/>
    <n v="26.235900000000001"/>
    <n v="8.5862999999999996"/>
    <n v="19.663599999999999"/>
    <n v="27.315100000000001"/>
    <n v="29.135999999999999"/>
    <s v="BM3D"/>
    <n v="29.135999999999999"/>
    <n v="1"/>
    <n v="203"/>
    <n v="85"/>
    <n v="82"/>
    <b v="1"/>
  </r>
  <r>
    <x v="3"/>
    <x v="0"/>
    <x v="2"/>
    <n v="100"/>
    <x v="3"/>
    <s v="castle256_blurkernel7_15_100_1600"/>
    <n v="18.859919999999999"/>
    <n v="19.175419999999999"/>
    <n v="1.6630900000000001E-4"/>
    <n v="8.7830000000000004E-6"/>
    <n v="23.183599999999998"/>
    <n v="8.5862999999999996"/>
    <n v="19.353000000000002"/>
    <n v="24.951000000000001"/>
    <n v="26.576599999999999"/>
    <s v="BM3D"/>
    <n v="26.576599999999999"/>
    <n v="1"/>
    <n v="190"/>
    <n v="80"/>
    <n v="77"/>
    <b v="1"/>
  </r>
  <r>
    <x v="3"/>
    <x v="0"/>
    <x v="2"/>
    <n v="100"/>
    <x v="4"/>
    <s v="castle256_blurkernel7_15_100_3200"/>
    <n v="14.414433000000001"/>
    <n v="18.893248"/>
    <n v="3.3734500000000002E-4"/>
    <n v="8.7830000000000004E-6"/>
    <n v="20.1236"/>
    <n v="8.5862999999999996"/>
    <n v="18.780999999999999"/>
    <n v="22.645199999999999"/>
    <n v="23.9907"/>
    <s v="BM3D"/>
    <n v="23.9907"/>
    <n v="1"/>
    <n v="178"/>
    <n v="74"/>
    <n v="72"/>
    <b v="1"/>
  </r>
  <r>
    <x v="3"/>
    <x v="0"/>
    <x v="2"/>
    <n v="100"/>
    <x v="5"/>
    <s v="castle256_blurkernel7_15_100_6400"/>
    <n v="11.485324"/>
    <n v="18.826799000000001"/>
    <n v="6.9138200000000004E-4"/>
    <n v="8.7830000000000004E-6"/>
    <n v="17.060099999999998"/>
    <n v="8.5862999999999996"/>
    <n v="17.889700000000001"/>
    <n v="20.7638"/>
    <n v="21.430700000000002"/>
    <s v="BM3D"/>
    <n v="21.430700000000002"/>
    <n v="1"/>
    <n v="166"/>
    <n v="69"/>
    <n v="67"/>
    <b v="0"/>
  </r>
  <r>
    <x v="3"/>
    <x v="0"/>
    <x v="2"/>
    <n v="100"/>
    <x v="6"/>
    <s v="castle256_blurkernel7_15_100_12800"/>
    <n v="9.5369460000000004"/>
    <n v="18.735861"/>
    <n v="1.4603540000000001E-3"/>
    <n v="8.7830000000000004E-6"/>
    <n v="13.892799999999999"/>
    <n v="8.5862999999999996"/>
    <n v="16.8081"/>
    <n v="18.940999999999999"/>
    <n v="19.0351"/>
    <s v="BM3D"/>
    <n v="19.0351"/>
    <n v="1"/>
    <n v="154"/>
    <n v="64"/>
    <n v="63"/>
    <b v="0"/>
  </r>
  <r>
    <x v="3"/>
    <x v="0"/>
    <x v="2"/>
    <n v="100"/>
    <x v="7"/>
    <s v="castle256_blurkernel7_15_100_25600"/>
    <n v="8.2969010000000001"/>
    <n v="18.765882000000001"/>
    <n v="3.2239159999999998E-3"/>
    <n v="8.7830000000000004E-6"/>
    <n v="10.6374"/>
    <n v="8.5862999999999996"/>
    <n v="15.384600000000001"/>
    <n v="17.597200000000001"/>
    <n v="16.6968"/>
    <s v="SROU03"/>
    <n v="17.597200000000001"/>
    <n v="3"/>
    <n v="62"/>
    <n v="102"/>
    <n v="147"/>
    <b v="0"/>
  </r>
  <r>
    <x v="3"/>
    <x v="0"/>
    <x v="3"/>
    <n v="100"/>
    <x v="0"/>
    <s v="castle256_blurkernel7_31_100_200"/>
    <n v="49.864960000000004"/>
    <n v="46.876707000000003"/>
    <n v="1.8981999999999999E-5"/>
    <n v="8.7490000000000004E-6"/>
    <n v="32.5931"/>
    <n v="6.6753999999999998"/>
    <n v="20.332000000000001"/>
    <n v="32.4634"/>
    <n v="34.503"/>
    <s v="BM3D"/>
    <n v="34.503"/>
    <n v="1"/>
    <n v="228"/>
    <n v="95"/>
    <n v="93"/>
    <b v="1"/>
  </r>
  <r>
    <x v="3"/>
    <x v="0"/>
    <x v="3"/>
    <n v="100"/>
    <x v="1"/>
    <s v="castle256_blurkernel7_31_100_400"/>
    <n v="34.676282999999998"/>
    <n v="42.948805"/>
    <n v="3.9539999999999998E-5"/>
    <n v="8.7490000000000004E-6"/>
    <n v="29.408000000000001"/>
    <n v="6.6753999999999998"/>
    <n v="20.215199999999999"/>
    <n v="29.6357"/>
    <n v="31.798100000000002"/>
    <s v="BM3D"/>
    <n v="31.798100000000002"/>
    <n v="1"/>
    <n v="215"/>
    <n v="90"/>
    <n v="88"/>
    <b v="1"/>
  </r>
  <r>
    <x v="3"/>
    <x v="0"/>
    <x v="3"/>
    <n v="100"/>
    <x v="2"/>
    <s v="castle256_blurkernel7_31_100_800"/>
    <n v="24.494287"/>
    <n v="40.672789999999999"/>
    <n v="8.1637999999999993E-5"/>
    <n v="8.7490000000000004E-6"/>
    <n v="26.263000000000002"/>
    <n v="6.6753999999999998"/>
    <n v="19.925000000000001"/>
    <n v="27.044599999999999"/>
    <n v="29.164100000000001"/>
    <s v="BM3D"/>
    <n v="29.164100000000001"/>
    <n v="1"/>
    <n v="203"/>
    <n v="85"/>
    <n v="82"/>
    <b v="1"/>
  </r>
  <r>
    <x v="3"/>
    <x v="0"/>
    <x v="3"/>
    <n v="100"/>
    <x v="3"/>
    <s v="castle256_blurkernel7_31_100_1600"/>
    <n v="17.654292000000002"/>
    <n v="39.850101000000002"/>
    <n v="1.66348E-4"/>
    <n v="8.7490000000000004E-6"/>
    <n v="23.1831"/>
    <n v="6.6753999999999998"/>
    <n v="19.6127"/>
    <n v="24.610499999999998"/>
    <n v="26.610600000000002"/>
    <s v="BM3D"/>
    <n v="26.610600000000002"/>
    <n v="1"/>
    <n v="190"/>
    <n v="80"/>
    <n v="77"/>
    <b v="1"/>
  </r>
  <r>
    <x v="3"/>
    <x v="0"/>
    <x v="3"/>
    <n v="100"/>
    <x v="4"/>
    <s v="castle256_blurkernel7_31_100_3200"/>
    <n v="12.85031"/>
    <n v="39.108874"/>
    <n v="3.3897700000000002E-4"/>
    <n v="8.7490000000000004E-6"/>
    <n v="20.106100000000001"/>
    <n v="6.6753999999999998"/>
    <n v="18.9543"/>
    <n v="22.291599999999999"/>
    <n v="23.985900000000001"/>
    <s v="BM3D"/>
    <n v="23.985900000000001"/>
    <n v="1"/>
    <n v="178"/>
    <n v="74"/>
    <n v="72"/>
    <b v="1"/>
  </r>
  <r>
    <x v="3"/>
    <x v="0"/>
    <x v="3"/>
    <n v="100"/>
    <x v="5"/>
    <s v="castle256_blurkernel7_31_100_6400"/>
    <n v="9.5687599999999993"/>
    <n v="39.077392000000003"/>
    <n v="7.0002200000000001E-4"/>
    <n v="8.7490000000000004E-6"/>
    <n v="17.011299999999999"/>
    <n v="6.6753999999999998"/>
    <n v="18.085000000000001"/>
    <n v="20.241700000000002"/>
    <n v="21.409500000000001"/>
    <s v="BM3D"/>
    <n v="21.409500000000001"/>
    <n v="1"/>
    <n v="166"/>
    <n v="69"/>
    <n v="67"/>
    <b v="1"/>
  </r>
  <r>
    <x v="3"/>
    <x v="0"/>
    <x v="3"/>
    <n v="100"/>
    <x v="6"/>
    <s v="castle256_blurkernel7_31_100_12800"/>
    <n v="7.3995449999999998"/>
    <n v="38.741107999999997"/>
    <n v="1.4766919999999999E-3"/>
    <n v="8.7490000000000004E-6"/>
    <n v="13.833399999999999"/>
    <n v="6.6753999999999998"/>
    <n v="16.8689"/>
    <n v="18.348299999999998"/>
    <n v="18.9468"/>
    <s v="BM3D"/>
    <n v="18.9468"/>
    <n v="1"/>
    <n v="154"/>
    <n v="64"/>
    <n v="62"/>
    <b v="0"/>
  </r>
  <r>
    <x v="3"/>
    <x v="0"/>
    <x v="3"/>
    <n v="100"/>
    <x v="7"/>
    <s v="castle256_blurkernel7_31_100_25600"/>
    <n v="5.8904540000000001"/>
    <n v="38.916375000000002"/>
    <n v="3.2137860000000002E-3"/>
    <n v="8.7490000000000004E-6"/>
    <n v="10.6389"/>
    <n v="6.6753999999999998"/>
    <n v="15.3893"/>
    <n v="16.725999999999999"/>
    <n v="16.708600000000001"/>
    <s v="SROU03"/>
    <n v="16.725999999999999"/>
    <n v="3"/>
    <n v="60"/>
    <n v="99"/>
    <n v="143"/>
    <b v="0"/>
  </r>
  <r>
    <x v="3"/>
    <x v="1"/>
    <x v="0"/>
    <n v="100"/>
    <x v="0"/>
    <s v="castle256_blurkernel8_3_100_200"/>
    <n v="59.286051999999998"/>
    <n v="3.823264"/>
    <n v="1.9194E-5"/>
    <n v="8.6819999999999992E-6"/>
    <n v="32.543999999999997"/>
    <n v="15.3127"/>
    <n v="19.354600000000001"/>
    <n v="33.662700000000001"/>
    <n v="34.472700000000003"/>
    <s v="BM3D"/>
    <n v="34.472700000000003"/>
    <n v="1"/>
    <n v="228"/>
    <n v="95"/>
    <n v="93"/>
    <b v="0"/>
  </r>
  <r>
    <x v="3"/>
    <x v="1"/>
    <x v="0"/>
    <n v="100"/>
    <x v="1"/>
    <s v="castle256_blurkernel8_3_100_400"/>
    <n v="47.327181000000003"/>
    <n v="3.500645"/>
    <n v="4.0052999999999998E-5"/>
    <n v="8.6819999999999992E-6"/>
    <n v="29.350300000000001"/>
    <n v="15.3127"/>
    <n v="19.299399999999999"/>
    <n v="31.3446"/>
    <n v="31.803599999999999"/>
    <s v="BM3D"/>
    <n v="31.803599999999999"/>
    <n v="1"/>
    <n v="215"/>
    <n v="90"/>
    <n v="88"/>
    <b v="0"/>
  </r>
  <r>
    <x v="3"/>
    <x v="1"/>
    <x v="0"/>
    <n v="100"/>
    <x v="2"/>
    <s v="castle256_blurkernel8_3_100_800"/>
    <n v="40.302596999999999"/>
    <n v="3.3454820000000001"/>
    <n v="8.1264E-5"/>
    <n v="8.6819999999999992E-6"/>
    <n v="26.284199999999998"/>
    <n v="15.3127"/>
    <n v="19.1968"/>
    <n v="29.2333"/>
    <n v="29.177900000000001"/>
    <s v="SROU03"/>
    <n v="29.2333"/>
    <n v="3"/>
    <n v="85"/>
    <n v="140"/>
    <n v="203"/>
    <b v="0"/>
  </r>
  <r>
    <x v="3"/>
    <x v="1"/>
    <x v="0"/>
    <n v="100"/>
    <x v="3"/>
    <s v="castle256_blurkernel8_3_100_1600"/>
    <n v="35.966093999999998"/>
    <n v="3.2830499999999998"/>
    <n v="1.6618700000000001E-4"/>
    <n v="8.6819999999999992E-6"/>
    <n v="23.187100000000001"/>
    <n v="15.3127"/>
    <n v="19.042300000000001"/>
    <n v="27.2348"/>
    <n v="26.598600000000001"/>
    <s v="SROU03"/>
    <n v="27.2348"/>
    <n v="3"/>
    <n v="81"/>
    <n v="133"/>
    <n v="193"/>
    <b v="0"/>
  </r>
  <r>
    <x v="3"/>
    <x v="1"/>
    <x v="0"/>
    <n v="100"/>
    <x v="4"/>
    <s v="castle256_blurkernel8_3_100_3200"/>
    <n v="32.995826000000001"/>
    <n v="3.2727400000000002"/>
    <n v="3.3984899999999998E-4"/>
    <n v="8.6819999999999992E-6"/>
    <n v="20.103400000000001"/>
    <n v="15.3127"/>
    <n v="18.7409"/>
    <n v="25.3247"/>
    <n v="23.974499999999999"/>
    <s v="SROU03"/>
    <n v="25.3247"/>
    <n v="3"/>
    <n v="77"/>
    <n v="127"/>
    <n v="184"/>
    <b v="1"/>
  </r>
  <r>
    <x v="3"/>
    <x v="1"/>
    <x v="0"/>
    <n v="100"/>
    <x v="5"/>
    <s v="castle256_blurkernel8_3_100_6400"/>
    <n v="30.595081"/>
    <n v="3.2954289999999999"/>
    <n v="6.8910800000000002E-4"/>
    <n v="8.6819999999999992E-6"/>
    <n v="17.0656"/>
    <n v="15.3127"/>
    <n v="18.331399999999999"/>
    <n v="23.706199999999999"/>
    <n v="21.445499999999999"/>
    <s v="SROU03"/>
    <n v="23.706199999999999"/>
    <n v="3"/>
    <n v="74"/>
    <n v="122"/>
    <n v="177"/>
    <b v="1"/>
  </r>
  <r>
    <x v="3"/>
    <x v="1"/>
    <x v="0"/>
    <n v="100"/>
    <x v="6"/>
    <s v="castle256_blurkernel8_3_100_12800"/>
    <n v="28.372720999999999"/>
    <n v="3.3362059999999998"/>
    <n v="1.4734170000000001E-3"/>
    <n v="8.6819999999999992E-6"/>
    <n v="13.845499999999999"/>
    <n v="15.3127"/>
    <n v="17.8751"/>
    <n v="22.844000000000001"/>
    <n v="18.942"/>
    <s v="SROU03"/>
    <n v="22.844000000000001"/>
    <n v="3"/>
    <n v="72"/>
    <n v="119"/>
    <n v="172"/>
    <b v="1"/>
  </r>
  <r>
    <x v="3"/>
    <x v="1"/>
    <x v="0"/>
    <n v="100"/>
    <x v="7"/>
    <s v="castle256_blurkernel8_3_100_25600"/>
    <n v="26.426777999999999"/>
    <n v="3.3795639999999998"/>
    <n v="3.2190600000000002E-3"/>
    <n v="8.6819999999999992E-6"/>
    <n v="10.626200000000001"/>
    <n v="15.3127"/>
    <n v="17.015999999999998"/>
    <n v="22.749400000000001"/>
    <n v="16.639900000000001"/>
    <s v="SROU03"/>
    <n v="22.749400000000001"/>
    <n v="3"/>
    <n v="72"/>
    <n v="119"/>
    <n v="172"/>
    <b v="1"/>
  </r>
  <r>
    <x v="3"/>
    <x v="1"/>
    <x v="1"/>
    <n v="100"/>
    <x v="0"/>
    <s v="castle256_blurkernel8_7_100_200"/>
    <n v="52.55677"/>
    <n v="10.138617999999999"/>
    <n v="1.9225999999999999E-5"/>
    <n v="8.7669999999999992E-6"/>
    <n v="32.5364"/>
    <n v="10.736800000000001"/>
    <n v="19.2148"/>
    <n v="32.889000000000003"/>
    <n v="34.477499999999999"/>
    <s v="BM3D"/>
    <n v="34.477499999999999"/>
    <n v="1"/>
    <n v="228"/>
    <n v="95"/>
    <n v="93"/>
    <b v="1"/>
  </r>
  <r>
    <x v="3"/>
    <x v="1"/>
    <x v="1"/>
    <n v="100"/>
    <x v="1"/>
    <s v="castle256_blurkernel8_7_100_400"/>
    <n v="38.532268999999999"/>
    <n v="9.2691470000000002"/>
    <n v="3.9922000000000002E-5"/>
    <n v="8.7669999999999992E-6"/>
    <n v="29.363299999999999"/>
    <n v="10.736800000000001"/>
    <n v="19.135300000000001"/>
    <n v="30.174399999999999"/>
    <n v="31.812999999999999"/>
    <s v="BM3D"/>
    <n v="31.812999999999999"/>
    <n v="1"/>
    <n v="215"/>
    <n v="90"/>
    <n v="88"/>
    <b v="1"/>
  </r>
  <r>
    <x v="3"/>
    <x v="1"/>
    <x v="1"/>
    <n v="100"/>
    <x v="2"/>
    <s v="castle256_blurkernel8_7_100_800"/>
    <n v="29.719777000000001"/>
    <n v="8.8421029999999998"/>
    <n v="8.1505E-5"/>
    <n v="8.7669999999999992E-6"/>
    <n v="26.271599999999999"/>
    <n v="10.736800000000001"/>
    <n v="18.9742"/>
    <n v="27.897300000000001"/>
    <n v="29.2089"/>
    <s v="BM3D"/>
    <n v="29.2089"/>
    <n v="1"/>
    <n v="203"/>
    <n v="85"/>
    <n v="82"/>
    <b v="1"/>
  </r>
  <r>
    <x v="3"/>
    <x v="1"/>
    <x v="1"/>
    <n v="100"/>
    <x v="3"/>
    <s v="castle256_blurkernel8_7_100_1600"/>
    <n v="24.104683000000001"/>
    <n v="8.6417389999999994"/>
    <n v="1.6566500000000001E-4"/>
    <n v="8.7669999999999992E-6"/>
    <n v="23.199000000000002"/>
    <n v="10.736800000000001"/>
    <n v="18.723500000000001"/>
    <n v="25.7302"/>
    <n v="26.5837"/>
    <s v="BM3D"/>
    <n v="26.5837"/>
    <n v="1"/>
    <n v="190"/>
    <n v="80"/>
    <n v="77"/>
    <b v="0"/>
  </r>
  <r>
    <x v="3"/>
    <x v="1"/>
    <x v="1"/>
    <n v="100"/>
    <x v="4"/>
    <s v="castle256_blurkernel8_7_100_3200"/>
    <n v="20.502299000000001"/>
    <n v="8.5561799999999995"/>
    <n v="3.3746500000000001E-4"/>
    <n v="8.7669999999999992E-6"/>
    <n v="20.1266"/>
    <n v="10.736800000000001"/>
    <n v="18.249300000000002"/>
    <n v="23.521999999999998"/>
    <n v="23.947900000000001"/>
    <s v="BM3D"/>
    <n v="23.947900000000001"/>
    <n v="1"/>
    <n v="178"/>
    <n v="74"/>
    <n v="72"/>
    <b v="0"/>
  </r>
  <r>
    <x v="3"/>
    <x v="1"/>
    <x v="1"/>
    <n v="100"/>
    <x v="5"/>
    <s v="castle256_blurkernel8_7_100_6400"/>
    <n v="18.013715999999999"/>
    <n v="8.536581"/>
    <n v="6.9519999999999998E-4"/>
    <n v="8.7669999999999992E-6"/>
    <n v="17.025500000000001"/>
    <n v="10.736800000000001"/>
    <n v="17.5944"/>
    <n v="21.346399999999999"/>
    <n v="21.414200000000001"/>
    <s v="BM3D"/>
    <n v="21.414200000000001"/>
    <n v="1"/>
    <n v="166"/>
    <n v="69"/>
    <n v="67"/>
    <b v="0"/>
  </r>
  <r>
    <x v="3"/>
    <x v="1"/>
    <x v="1"/>
    <n v="100"/>
    <x v="6"/>
    <s v="castle256_blurkernel8_7_100_12800"/>
    <n v="16.161368"/>
    <n v="8.5519680000000005"/>
    <n v="1.4698140000000001E-3"/>
    <n v="8.7669999999999992E-6"/>
    <n v="13.8568"/>
    <n v="10.736800000000001"/>
    <n v="16.715599999999998"/>
    <n v="19.788900000000002"/>
    <n v="19.034099999999999"/>
    <s v="SROU03"/>
    <n v="19.788900000000002"/>
    <n v="3"/>
    <n v="66"/>
    <n v="109"/>
    <n v="158"/>
    <b v="0"/>
  </r>
  <r>
    <x v="3"/>
    <x v="1"/>
    <x v="1"/>
    <n v="100"/>
    <x v="7"/>
    <s v="castle256_blurkernel8_7_100_25600"/>
    <n v="14.481889000000001"/>
    <n v="8.5897400000000008"/>
    <n v="3.228599E-3"/>
    <n v="8.7669999999999992E-6"/>
    <n v="10.617000000000001"/>
    <n v="10.736800000000001"/>
    <n v="15.4864"/>
    <n v="18.514500000000002"/>
    <n v="16.720400000000001"/>
    <s v="SROU03"/>
    <n v="18.514500000000002"/>
    <n v="3"/>
    <n v="63"/>
    <n v="105"/>
    <n v="152"/>
    <b v="1"/>
  </r>
  <r>
    <x v="3"/>
    <x v="1"/>
    <x v="2"/>
    <n v="100"/>
    <x v="0"/>
    <s v="castle256_blurkernel8_15_100_200"/>
    <n v="50.620596999999997"/>
    <n v="22.376985000000001"/>
    <n v="1.8936E-5"/>
    <n v="8.7080000000000003E-6"/>
    <n v="32.603299999999997"/>
    <n v="8.5755999999999997"/>
    <n v="19.994"/>
    <n v="32.671399999999998"/>
    <n v="34.520800000000001"/>
    <s v="BM3D"/>
    <n v="34.520800000000001"/>
    <n v="1"/>
    <n v="228"/>
    <n v="96"/>
    <n v="93"/>
    <b v="1"/>
  </r>
  <r>
    <x v="3"/>
    <x v="1"/>
    <x v="2"/>
    <n v="100"/>
    <x v="1"/>
    <s v="castle256_blurkernel8_15_100_400"/>
    <n v="35.856096999999998"/>
    <n v="20.471954"/>
    <n v="3.9656000000000001E-5"/>
    <n v="8.7080000000000003E-6"/>
    <n v="29.394500000000001"/>
    <n v="8.5755999999999997"/>
    <n v="19.846900000000002"/>
    <n v="29.9009"/>
    <n v="31.8248"/>
    <s v="BM3D"/>
    <n v="31.8248"/>
    <n v="1"/>
    <n v="215"/>
    <n v="90"/>
    <n v="88"/>
    <b v="1"/>
  </r>
  <r>
    <x v="3"/>
    <x v="1"/>
    <x v="2"/>
    <n v="100"/>
    <x v="2"/>
    <s v="castle256_blurkernel8_15_100_800"/>
    <n v="26.290420000000001"/>
    <n v="19.434346000000001"/>
    <n v="8.1489999999999994E-5"/>
    <n v="8.7080000000000003E-6"/>
    <n v="26.270399999999999"/>
    <n v="8.5755999999999997"/>
    <n v="19.640999999999998"/>
    <n v="27.410599999999999"/>
    <n v="29.1951"/>
    <s v="BM3D"/>
    <n v="29.1951"/>
    <n v="1"/>
    <n v="203"/>
    <n v="85"/>
    <n v="82"/>
    <b v="1"/>
  </r>
  <r>
    <x v="3"/>
    <x v="1"/>
    <x v="2"/>
    <n v="100"/>
    <x v="3"/>
    <s v="castle256_blurkernel8_15_100_1600"/>
    <n v="19.798500000000001"/>
    <n v="19.010573000000001"/>
    <n v="1.66169E-4"/>
    <n v="8.7080000000000003E-6"/>
    <n v="23.185199999999998"/>
    <n v="8.5755999999999997"/>
    <n v="19.2685"/>
    <n v="24.976400000000002"/>
    <n v="26.575399999999998"/>
    <s v="BM3D"/>
    <n v="26.575399999999998"/>
    <n v="1"/>
    <n v="190"/>
    <n v="80"/>
    <n v="77"/>
    <b v="1"/>
  </r>
  <r>
    <x v="3"/>
    <x v="1"/>
    <x v="2"/>
    <n v="100"/>
    <x v="4"/>
    <s v="castle256_blurkernel8_15_100_3200"/>
    <n v="15.644565999999999"/>
    <n v="18.719248"/>
    <n v="3.3734500000000002E-4"/>
    <n v="8.7080000000000003E-6"/>
    <n v="20.130700000000001"/>
    <n v="8.5755999999999997"/>
    <n v="18.7041"/>
    <n v="22.950500000000002"/>
    <n v="24.034199999999998"/>
    <s v="BM3D"/>
    <n v="24.034199999999998"/>
    <n v="1"/>
    <n v="178"/>
    <n v="74"/>
    <n v="72"/>
    <b v="1"/>
  </r>
  <r>
    <x v="3"/>
    <x v="1"/>
    <x v="2"/>
    <n v="100"/>
    <x v="5"/>
    <s v="castle256_blurkernel8_15_100_6400"/>
    <n v="12.807529000000001"/>
    <n v="18.685808999999999"/>
    <n v="6.9201699999999996E-4"/>
    <n v="8.7080000000000003E-6"/>
    <n v="17.043299999999999"/>
    <n v="8.5755999999999997"/>
    <n v="17.894600000000001"/>
    <n v="21.261299999999999"/>
    <n v="21.4495"/>
    <s v="BM3D"/>
    <n v="21.4495"/>
    <n v="1"/>
    <n v="166"/>
    <n v="69"/>
    <n v="67"/>
    <b v="0"/>
  </r>
  <r>
    <x v="3"/>
    <x v="1"/>
    <x v="2"/>
    <n v="100"/>
    <x v="6"/>
    <s v="castle256_blurkernel8_15_100_12800"/>
    <n v="10.863424"/>
    <n v="18.596067999999999"/>
    <n v="1.4587249999999999E-3"/>
    <n v="8.7080000000000003E-6"/>
    <n v="13.888500000000001"/>
    <n v="8.5755999999999997"/>
    <n v="16.7227"/>
    <n v="19.644300000000001"/>
    <n v="19.0562"/>
    <s v="SROU03"/>
    <n v="19.644300000000001"/>
    <n v="3"/>
    <n v="66"/>
    <n v="108"/>
    <n v="157"/>
    <b v="0"/>
  </r>
  <r>
    <x v="3"/>
    <x v="1"/>
    <x v="2"/>
    <n v="100"/>
    <x v="7"/>
    <s v="castle256_blurkernel8_15_100_25600"/>
    <n v="9.3862559999999995"/>
    <n v="18.674220999999999"/>
    <n v="3.2483070000000002E-3"/>
    <n v="8.7080000000000003E-6"/>
    <n v="10.5953"/>
    <n v="8.5755999999999997"/>
    <n v="15.3194"/>
    <n v="18.277000000000001"/>
    <n v="16.615100000000002"/>
    <s v="SROU03"/>
    <n v="18.277000000000001"/>
    <n v="3"/>
    <n v="63"/>
    <n v="104"/>
    <n v="151"/>
    <b v="1"/>
  </r>
  <r>
    <x v="3"/>
    <x v="1"/>
    <x v="3"/>
    <n v="100"/>
    <x v="0"/>
    <s v="castle256_blurkernel8_31_100_200"/>
    <n v="49.896054999999997"/>
    <n v="46.775427000000001"/>
    <n v="1.9272000000000001E-5"/>
    <n v="8.7199999999999995E-6"/>
    <n v="32.524799999999999"/>
    <n v="6.6200999999999999"/>
    <n v="20.358899999999998"/>
    <n v="32.3964"/>
    <n v="34.452399999999997"/>
    <s v="BM3D"/>
    <n v="34.452399999999997"/>
    <n v="1"/>
    <n v="228"/>
    <n v="95"/>
    <n v="93"/>
    <b v="1"/>
  </r>
  <r>
    <x v="3"/>
    <x v="1"/>
    <x v="3"/>
    <n v="100"/>
    <x v="1"/>
    <s v="castle256_blurkernel8_31_100_400"/>
    <n v="35.124501000000002"/>
    <n v="42.711334999999998"/>
    <n v="3.9716999999999999E-5"/>
    <n v="8.7199999999999995E-6"/>
    <n v="29.385300000000001"/>
    <n v="6.6200999999999999"/>
    <n v="20.245899999999999"/>
    <n v="29.588200000000001"/>
    <n v="31.838699999999999"/>
    <s v="BM3D"/>
    <n v="31.838699999999999"/>
    <n v="1"/>
    <n v="215"/>
    <n v="90"/>
    <n v="88"/>
    <b v="1"/>
  </r>
  <r>
    <x v="3"/>
    <x v="1"/>
    <x v="3"/>
    <n v="100"/>
    <x v="2"/>
    <s v="castle256_blurkernel8_31_100_800"/>
    <n v="24.825607000000002"/>
    <n v="40.622315999999998"/>
    <n v="8.1611000000000002E-5"/>
    <n v="8.7199999999999995E-6"/>
    <n v="26.265599999999999"/>
    <n v="6.6200999999999999"/>
    <n v="20.0199"/>
    <n v="26.950399999999998"/>
    <n v="29.186900000000001"/>
    <s v="BM3D"/>
    <n v="29.186900000000001"/>
    <n v="1"/>
    <n v="203"/>
    <n v="85"/>
    <n v="82"/>
    <b v="1"/>
  </r>
  <r>
    <x v="3"/>
    <x v="1"/>
    <x v="3"/>
    <n v="100"/>
    <x v="3"/>
    <s v="castle256_blurkernel8_31_100_1600"/>
    <n v="18.003516999999999"/>
    <n v="39.546300000000002"/>
    <n v="1.66226E-4"/>
    <n v="8.7199999999999995E-6"/>
    <n v="23.192699999999999"/>
    <n v="6.6200999999999999"/>
    <n v="19.601299999999998"/>
    <n v="24.528400000000001"/>
    <n v="26.555700000000002"/>
    <s v="BM3D"/>
    <n v="26.555700000000002"/>
    <n v="1"/>
    <n v="190"/>
    <n v="80"/>
    <n v="77"/>
    <b v="1"/>
  </r>
  <r>
    <x v="3"/>
    <x v="1"/>
    <x v="3"/>
    <n v="100"/>
    <x v="4"/>
    <s v="castle256_blurkernel8_31_100_3200"/>
    <n v="13.305266"/>
    <n v="39.071821999999997"/>
    <n v="3.3409100000000001E-4"/>
    <n v="8.7199999999999995E-6"/>
    <n v="20.173300000000001"/>
    <n v="6.6200999999999999"/>
    <n v="18.950099999999999"/>
    <n v="22.279599999999999"/>
    <n v="24.052"/>
    <s v="BM3D"/>
    <n v="24.052"/>
    <n v="1"/>
    <n v="178"/>
    <n v="75"/>
    <n v="72"/>
    <b v="1"/>
  </r>
  <r>
    <x v="3"/>
    <x v="1"/>
    <x v="3"/>
    <n v="100"/>
    <x v="5"/>
    <s v="castle256_blurkernel8_31_100_6400"/>
    <n v="10.259353000000001"/>
    <n v="38.786524999999997"/>
    <n v="6.9055699999999995E-4"/>
    <n v="8.7199999999999995E-6"/>
    <n v="17.0718"/>
    <n v="6.6200999999999999"/>
    <n v="18.049499999999998"/>
    <n v="20.245699999999999"/>
    <n v="21.554300000000001"/>
    <s v="BM3D"/>
    <n v="21.554300000000001"/>
    <n v="1"/>
    <n v="166"/>
    <n v="69"/>
    <n v="68"/>
    <b v="1"/>
  </r>
  <r>
    <x v="3"/>
    <x v="1"/>
    <x v="3"/>
    <n v="100"/>
    <x v="6"/>
    <s v="castle256_blurkernel8_31_100_12800"/>
    <n v="8.1533239999999996"/>
    <n v="38.719757999999999"/>
    <n v="1.4593760000000001E-3"/>
    <n v="8.7199999999999995E-6"/>
    <n v="13.8956"/>
    <n v="6.6200999999999999"/>
    <n v="16.894200000000001"/>
    <n v="18.6236"/>
    <n v="19.024899999999999"/>
    <s v="BM3D"/>
    <n v="19.024899999999999"/>
    <n v="1"/>
    <n v="154"/>
    <n v="64"/>
    <n v="63"/>
    <b v="0"/>
  </r>
  <r>
    <x v="3"/>
    <x v="1"/>
    <x v="3"/>
    <n v="100"/>
    <x v="7"/>
    <s v="castle256_blurkernel8_31_100_25600"/>
    <n v="6.6587519999999998"/>
    <n v="38.645460999999997"/>
    <n v="3.2120540000000002E-3"/>
    <n v="8.7199999999999995E-6"/>
    <n v="10.6546"/>
    <n v="6.6200999999999999"/>
    <n v="15.334199999999999"/>
    <n v="16.902699999999999"/>
    <n v="16.744700000000002"/>
    <s v="SROU03"/>
    <n v="16.902699999999999"/>
    <n v="3"/>
    <n v="60"/>
    <n v="99"/>
    <n v="144"/>
    <b v="0"/>
  </r>
  <r>
    <x v="3"/>
    <x v="2"/>
    <x v="0"/>
    <n v="100"/>
    <x v="0"/>
    <s v="castle256_line_3_100_200"/>
    <n v="64.280952999999997"/>
    <n v="3.4967570000000001"/>
    <n v="1.8943000000000001E-5"/>
    <n v="8.6440000000000006E-6"/>
    <n v="32.600700000000003"/>
    <n v="13.130699999999999"/>
    <n v="19.353999999999999"/>
    <n v="33.8035"/>
    <n v="34.525599999999997"/>
    <s v="BM3D"/>
    <n v="34.525599999999997"/>
    <n v="1"/>
    <n v="228"/>
    <n v="96"/>
    <n v="93"/>
    <b v="0"/>
  </r>
  <r>
    <x v="3"/>
    <x v="2"/>
    <x v="0"/>
    <n v="100"/>
    <x v="1"/>
    <s v="castle256_line_3_100_400"/>
    <n v="53.067234999999997"/>
    <n v="3.2185389999999998"/>
    <n v="3.9650000000000002E-5"/>
    <n v="8.6440000000000006E-6"/>
    <n v="29.393899999999999"/>
    <n v="13.130699999999999"/>
    <n v="19.2624"/>
    <n v="31.4359"/>
    <n v="31.846800000000002"/>
    <s v="BM3D"/>
    <n v="31.846800000000002"/>
    <n v="1"/>
    <n v="216"/>
    <n v="90"/>
    <n v="88"/>
    <b v="0"/>
  </r>
  <r>
    <x v="3"/>
    <x v="2"/>
    <x v="0"/>
    <n v="100"/>
    <x v="2"/>
    <s v="castle256_line_3_100_800"/>
    <n v="46.249951000000003"/>
    <n v="3.1099009999999998"/>
    <n v="8.2233999999999999E-5"/>
    <n v="8.6440000000000006E-6"/>
    <n v="26.229800000000001"/>
    <n v="13.130699999999999"/>
    <n v="19.1129"/>
    <n v="29.321899999999999"/>
    <n v="29.172699999999999"/>
    <s v="SROU03"/>
    <n v="29.321899999999999"/>
    <n v="3"/>
    <n v="85"/>
    <n v="140"/>
    <n v="203"/>
    <b v="0"/>
  </r>
  <r>
    <x v="3"/>
    <x v="2"/>
    <x v="0"/>
    <n v="100"/>
    <x v="3"/>
    <s v="castle256_line_3_100_1600"/>
    <n v="40.993192000000001"/>
    <n v="3.1051440000000001"/>
    <n v="1.6649899999999999E-4"/>
    <n v="8.6440000000000006E-6"/>
    <n v="23.178599999999999"/>
    <n v="13.130699999999999"/>
    <n v="18.9129"/>
    <n v="27.374600000000001"/>
    <n v="26.6037"/>
    <s v="SROU03"/>
    <n v="27.374600000000001"/>
    <n v="3"/>
    <n v="81"/>
    <n v="134"/>
    <n v="194"/>
    <b v="0"/>
  </r>
  <r>
    <x v="3"/>
    <x v="2"/>
    <x v="0"/>
    <n v="100"/>
    <x v="4"/>
    <s v="castle256_line_3_100_3200"/>
    <n v="36.615577000000002"/>
    <n v="3.1573530000000001"/>
    <n v="3.3738099999999999E-4"/>
    <n v="8.6440000000000006E-6"/>
    <n v="20.135899999999999"/>
    <n v="13.130699999999999"/>
    <n v="18.522600000000001"/>
    <n v="25.605599999999999"/>
    <n v="23.9816"/>
    <s v="SROU03"/>
    <n v="25.605599999999999"/>
    <n v="3"/>
    <n v="78"/>
    <n v="128"/>
    <n v="186"/>
    <b v="1"/>
  </r>
  <r>
    <x v="3"/>
    <x v="2"/>
    <x v="0"/>
    <n v="100"/>
    <x v="5"/>
    <s v="castle256_line_3_100_6400"/>
    <n v="32.676551000000003"/>
    <n v="3.2371889999999999"/>
    <n v="6.9166699999999998E-4"/>
    <n v="8.6440000000000006E-6"/>
    <n v="17.058700000000002"/>
    <n v="13.130699999999999"/>
    <n v="17.968599999999999"/>
    <n v="23.970099999999999"/>
    <n v="21.465399999999999"/>
    <s v="SROU03"/>
    <n v="23.970099999999999"/>
    <n v="3"/>
    <n v="74"/>
    <n v="123"/>
    <n v="178"/>
    <b v="1"/>
  </r>
  <r>
    <x v="3"/>
    <x v="2"/>
    <x v="0"/>
    <n v="100"/>
    <x v="6"/>
    <s v="castle256_line_3_100_12800"/>
    <n v="29.005210999999999"/>
    <n v="3.3264070000000001"/>
    <n v="1.4548339999999999E-3"/>
    <n v="8.6440000000000006E-6"/>
    <n v="13.9031"/>
    <n v="13.130699999999999"/>
    <n v="17.199300000000001"/>
    <n v="23.535399999999999"/>
    <n v="18.9803"/>
    <s v="SROU03"/>
    <n v="23.535399999999999"/>
    <n v="3"/>
    <n v="73"/>
    <n v="121"/>
    <n v="176"/>
    <b v="1"/>
  </r>
  <r>
    <x v="3"/>
    <x v="2"/>
    <x v="0"/>
    <n v="100"/>
    <x v="7"/>
    <s v="castle256_line_3_100_25600"/>
    <n v="26.218024"/>
    <n v="3.3953570000000002"/>
    <n v="3.1953609999999999E-3"/>
    <n v="8.6440000000000006E-6"/>
    <n v="10.6617"/>
    <n v="13.130699999999999"/>
    <n v="16.060300000000002"/>
    <n v="22.5365"/>
    <n v="16.7394"/>
    <s v="SROU03"/>
    <n v="22.5365"/>
    <n v="3"/>
    <n v="71"/>
    <n v="118"/>
    <n v="171"/>
    <b v="1"/>
  </r>
  <r>
    <x v="3"/>
    <x v="2"/>
    <x v="1"/>
    <n v="100"/>
    <x v="0"/>
    <s v="castle256_line_7_100_200"/>
    <n v="56.374496999999998"/>
    <n v="9.425179"/>
    <n v="1.9072999999999998E-5"/>
    <n v="8.6330000000000002E-6"/>
    <n v="32.571199999999997"/>
    <n v="9.6591000000000005"/>
    <n v="19.933199999999999"/>
    <n v="33.045900000000003"/>
    <n v="34.463799999999999"/>
    <s v="BM3D"/>
    <n v="34.463799999999999"/>
    <n v="1"/>
    <n v="228"/>
    <n v="95"/>
    <n v="93"/>
    <b v="1"/>
  </r>
  <r>
    <x v="3"/>
    <x v="2"/>
    <x v="1"/>
    <n v="100"/>
    <x v="1"/>
    <s v="castle256_line_7_100_400"/>
    <n v="43.129447999999996"/>
    <n v="8.6330039999999997"/>
    <n v="3.9650000000000002E-5"/>
    <n v="8.6330000000000002E-6"/>
    <n v="29.395299999999999"/>
    <n v="9.6591000000000005"/>
    <n v="19.790099999999999"/>
    <n v="30.354099999999999"/>
    <n v="31.830500000000001"/>
    <s v="BM3D"/>
    <n v="31.830500000000001"/>
    <n v="1"/>
    <n v="215"/>
    <n v="90"/>
    <n v="88"/>
    <b v="1"/>
  </r>
  <r>
    <x v="3"/>
    <x v="2"/>
    <x v="1"/>
    <n v="100"/>
    <x v="2"/>
    <s v="castle256_line_7_100_800"/>
    <n v="34.959902"/>
    <n v="8.2904590000000002"/>
    <n v="8.1578999999999999E-5"/>
    <n v="8.6330000000000002E-6"/>
    <n v="26.266400000000001"/>
    <n v="9.6591000000000005"/>
    <n v="19.694400000000002"/>
    <n v="27.8794"/>
    <n v="29.178799999999999"/>
    <s v="BM3D"/>
    <n v="29.178799999999999"/>
    <n v="1"/>
    <n v="203"/>
    <n v="85"/>
    <n v="82"/>
    <b v="1"/>
  </r>
  <r>
    <x v="3"/>
    <x v="2"/>
    <x v="1"/>
    <n v="100"/>
    <x v="3"/>
    <s v="castle256_line_7_100_1600"/>
    <n v="29.169241"/>
    <n v="8.1831189999999996"/>
    <n v="1.6563E-4"/>
    <n v="8.6330000000000002E-6"/>
    <n v="23.200900000000001"/>
    <n v="9.6591000000000005"/>
    <n v="19.276499999999999"/>
    <n v="25.4969"/>
    <n v="26.662600000000001"/>
    <s v="BM3D"/>
    <n v="26.662600000000001"/>
    <n v="1"/>
    <n v="191"/>
    <n v="80"/>
    <n v="77"/>
    <b v="1"/>
  </r>
  <r>
    <x v="3"/>
    <x v="2"/>
    <x v="1"/>
    <n v="100"/>
    <x v="4"/>
    <s v="castle256_line_7_100_3200"/>
    <n v="24.787051000000002"/>
    <n v="8.2148520000000005"/>
    <n v="3.3704399999999999E-4"/>
    <n v="8.6330000000000002E-6"/>
    <n v="20.1358"/>
    <n v="9.6591000000000005"/>
    <n v="18.7775"/>
    <n v="23.447399999999998"/>
    <n v="24.006799999999998"/>
    <s v="BM3D"/>
    <n v="24.006799999999998"/>
    <n v="1"/>
    <n v="178"/>
    <n v="74"/>
    <n v="72"/>
    <b v="0"/>
  </r>
  <r>
    <x v="3"/>
    <x v="2"/>
    <x v="1"/>
    <n v="100"/>
    <x v="5"/>
    <s v="castle256_line_7_100_6400"/>
    <n v="21.344087999999999"/>
    <n v="8.2869790000000005"/>
    <n v="6.96585E-4"/>
    <n v="8.6330000000000002E-6"/>
    <n v="17.022200000000002"/>
    <n v="9.6591000000000005"/>
    <n v="18.0639"/>
    <n v="21.125399999999999"/>
    <n v="21.428000000000001"/>
    <s v="BM3D"/>
    <n v="21.428000000000001"/>
    <n v="1"/>
    <n v="166"/>
    <n v="69"/>
    <n v="67"/>
    <b v="0"/>
  </r>
  <r>
    <x v="3"/>
    <x v="2"/>
    <x v="1"/>
    <n v="100"/>
    <x v="6"/>
    <s v="castle256_line_7_100_12800"/>
    <n v="18.388459999999998"/>
    <n v="8.3807460000000003"/>
    <n v="1.477237E-3"/>
    <n v="8.6330000000000002E-6"/>
    <n v="13.8437"/>
    <n v="9.6591000000000005"/>
    <n v="17.0044"/>
    <n v="20.046900000000001"/>
    <n v="18.999500000000001"/>
    <s v="SROU03"/>
    <n v="20.046900000000001"/>
    <n v="3"/>
    <n v="66"/>
    <n v="110"/>
    <n v="159"/>
    <b v="1"/>
  </r>
  <r>
    <x v="3"/>
    <x v="2"/>
    <x v="1"/>
    <n v="100"/>
    <x v="7"/>
    <s v="castle256_line_7_100_25600"/>
    <n v="15.664337"/>
    <n v="8.4793990000000008"/>
    <n v="3.2109769999999998E-3"/>
    <n v="8.6330000000000002E-6"/>
    <n v="10.652200000000001"/>
    <n v="9.6591000000000005"/>
    <n v="15.661"/>
    <n v="18.080100000000002"/>
    <n v="16.665800000000001"/>
    <s v="SROU03"/>
    <n v="18.080100000000002"/>
    <n v="3"/>
    <n v="63"/>
    <n v="103"/>
    <n v="150"/>
    <b v="1"/>
  </r>
  <r>
    <x v="3"/>
    <x v="2"/>
    <x v="2"/>
    <n v="100"/>
    <x v="0"/>
    <s v="castle256_line_15_100_200"/>
    <n v="52.615065000000001"/>
    <n v="21.454370999999998"/>
    <n v="1.9168999999999999E-5"/>
    <n v="8.67E-6"/>
    <n v="32.548999999999999"/>
    <n v="7.5205000000000002"/>
    <n v="20.1402"/>
    <n v="32.6706"/>
    <n v="34.461799999999997"/>
    <s v="BM3D"/>
    <n v="34.461799999999997"/>
    <n v="1"/>
    <n v="228"/>
    <n v="95"/>
    <n v="93"/>
    <b v="1"/>
  </r>
  <r>
    <x v="3"/>
    <x v="2"/>
    <x v="2"/>
    <n v="100"/>
    <x v="1"/>
    <s v="castle256_line_15_100_400"/>
    <n v="38.641277000000002"/>
    <n v="19.648754"/>
    <n v="3.9894999999999997E-5"/>
    <n v="8.67E-6"/>
    <n v="29.366900000000001"/>
    <n v="7.5205000000000002"/>
    <n v="20.021100000000001"/>
    <n v="29.9436"/>
    <n v="31.779199999999999"/>
    <s v="BM3D"/>
    <n v="31.779199999999999"/>
    <n v="1"/>
    <n v="215"/>
    <n v="90"/>
    <n v="87"/>
    <b v="1"/>
  </r>
  <r>
    <x v="3"/>
    <x v="2"/>
    <x v="2"/>
    <n v="100"/>
    <x v="2"/>
    <s v="castle256_line_15_100_800"/>
    <n v="29.557469999999999"/>
    <n v="18.755303000000001"/>
    <n v="8.0935999999999999E-5"/>
    <n v="8.67E-6"/>
    <n v="26.302700000000002"/>
    <n v="7.5205000000000002"/>
    <n v="19.838899999999999"/>
    <n v="27.319800000000001"/>
    <n v="29.244499999999999"/>
    <s v="BM3D"/>
    <n v="29.244499999999999"/>
    <n v="1"/>
    <n v="203"/>
    <n v="85"/>
    <n v="83"/>
    <b v="1"/>
  </r>
  <r>
    <x v="3"/>
    <x v="2"/>
    <x v="2"/>
    <n v="100"/>
    <x v="3"/>
    <s v="castle256_line_15_100_1600"/>
    <n v="23.485052"/>
    <n v="18.429946000000001"/>
    <n v="1.66942E-4"/>
    <n v="8.67E-6"/>
    <n v="23.166399999999999"/>
    <n v="7.5205000000000002"/>
    <n v="19.425699999999999"/>
    <n v="24.931999999999999"/>
    <n v="26.523900000000001"/>
    <s v="BM3D"/>
    <n v="26.523900000000001"/>
    <n v="1"/>
    <n v="190"/>
    <n v="79"/>
    <n v="77"/>
    <b v="1"/>
  </r>
  <r>
    <x v="3"/>
    <x v="2"/>
    <x v="2"/>
    <n v="100"/>
    <x v="4"/>
    <s v="castle256_line_15_100_3200"/>
    <n v="19.008768"/>
    <n v="18.319977999999999"/>
    <n v="3.3732100000000002E-4"/>
    <n v="8.67E-6"/>
    <n v="20.1313"/>
    <n v="7.5205000000000002"/>
    <n v="18.859000000000002"/>
    <n v="22.6585"/>
    <n v="23.978999999999999"/>
    <s v="BM3D"/>
    <n v="23.978999999999999"/>
    <n v="1"/>
    <n v="178"/>
    <n v="74"/>
    <n v="72"/>
    <b v="1"/>
  </r>
  <r>
    <x v="3"/>
    <x v="2"/>
    <x v="2"/>
    <n v="100"/>
    <x v="5"/>
    <s v="castle256_line_15_100_6400"/>
    <n v="15.751003000000001"/>
    <n v="18.353798999999999"/>
    <n v="6.87771E-4"/>
    <n v="8.67E-6"/>
    <n v="17.071300000000001"/>
    <n v="7.5205000000000002"/>
    <n v="18.068000000000001"/>
    <n v="20.485299999999999"/>
    <n v="21.442599999999999"/>
    <s v="BM3D"/>
    <n v="21.442599999999999"/>
    <n v="1"/>
    <n v="166"/>
    <n v="69"/>
    <n v="67"/>
    <b v="0"/>
  </r>
  <r>
    <x v="3"/>
    <x v="2"/>
    <x v="2"/>
    <n v="100"/>
    <x v="6"/>
    <s v="castle256_line_15_100_12800"/>
    <n v="13.057817"/>
    <n v="18.410126000000002"/>
    <n v="1.434154E-3"/>
    <n v="8.67E-6"/>
    <n v="13.9673"/>
    <n v="7.5205000000000002"/>
    <n v="16.956900000000001"/>
    <n v="18.4739"/>
    <n v="19.029399999999999"/>
    <s v="BM3D"/>
    <n v="19.029399999999999"/>
    <n v="1"/>
    <n v="154"/>
    <n v="64"/>
    <n v="63"/>
    <b v="0"/>
  </r>
  <r>
    <x v="3"/>
    <x v="2"/>
    <x v="2"/>
    <n v="100"/>
    <x v="7"/>
    <s v="castle256_line_15_100_25600"/>
    <n v="10.793685999999999"/>
    <n v="18.519687000000001"/>
    <n v="3.2283300000000002E-3"/>
    <n v="8.67E-6"/>
    <n v="10.6348"/>
    <n v="7.5205000000000002"/>
    <n v="15.4053"/>
    <n v="16.465499999999999"/>
    <n v="16.631599999999999"/>
    <s v="BM3D"/>
    <n v="16.631599999999999"/>
    <n v="1"/>
    <n v="143"/>
    <n v="60"/>
    <n v="58"/>
    <b v="0"/>
  </r>
  <r>
    <x v="3"/>
    <x v="2"/>
    <x v="3"/>
    <n v="100"/>
    <x v="0"/>
    <s v="castle256_line_31_100_200"/>
    <n v="51.313836000000002"/>
    <n v="45.615465999999998"/>
    <n v="1.8836999999999999E-5"/>
    <n v="8.7930000000000003E-6"/>
    <n v="32.623699999999999"/>
    <n v="5.7603999999999997"/>
    <n v="20.319199999999999"/>
    <n v="32.6267"/>
    <n v="34.541200000000003"/>
    <s v="BM3D"/>
    <n v="34.541200000000003"/>
    <n v="1"/>
    <n v="228"/>
    <n v="96"/>
    <n v="93"/>
    <b v="1"/>
  </r>
  <r>
    <x v="3"/>
    <x v="2"/>
    <x v="3"/>
    <n v="100"/>
    <x v="1"/>
    <s v="castle256_line_31_100_400"/>
    <n v="36.669060000000002"/>
    <n v="41.666400000000003"/>
    <n v="3.9681999999999997E-5"/>
    <n v="8.7930000000000003E-6"/>
    <n v="29.390699999999999"/>
    <n v="5.7603999999999997"/>
    <n v="20.1753"/>
    <n v="29.7682"/>
    <n v="31.864100000000001"/>
    <s v="BM3D"/>
    <n v="31.864100000000001"/>
    <n v="1"/>
    <n v="216"/>
    <n v="90"/>
    <n v="88"/>
    <b v="1"/>
  </r>
  <r>
    <x v="3"/>
    <x v="2"/>
    <x v="3"/>
    <n v="100"/>
    <x v="2"/>
    <s v="castle256_line_31_100_800"/>
    <n v="26.917619999999999"/>
    <n v="39.622790000000002"/>
    <n v="8.1261999999999995E-5"/>
    <n v="8.7930000000000003E-6"/>
    <n v="26.284500000000001"/>
    <n v="5.7603999999999997"/>
    <n v="19.9742"/>
    <n v="27.149799999999999"/>
    <n v="29.208100000000002"/>
    <s v="BM3D"/>
    <n v="29.208100000000002"/>
    <n v="1"/>
    <n v="203"/>
    <n v="85"/>
    <n v="82"/>
    <b v="1"/>
  </r>
  <r>
    <x v="3"/>
    <x v="2"/>
    <x v="3"/>
    <n v="100"/>
    <x v="3"/>
    <s v="castle256_line_31_100_1600"/>
    <n v="20.432663999999999"/>
    <n v="38.816569999999999"/>
    <n v="1.6606600000000001E-4"/>
    <n v="8.7930000000000003E-6"/>
    <n v="23.185400000000001"/>
    <n v="5.7603999999999997"/>
    <n v="19.587700000000002"/>
    <n v="24.648700000000002"/>
    <n v="26.538399999999999"/>
    <s v="BM3D"/>
    <n v="26.538399999999999"/>
    <n v="1"/>
    <n v="190"/>
    <n v="79"/>
    <n v="77"/>
    <b v="1"/>
  </r>
  <r>
    <x v="3"/>
    <x v="2"/>
    <x v="3"/>
    <n v="100"/>
    <x v="4"/>
    <s v="castle256_line_31_100_3200"/>
    <n v="15.70505"/>
    <n v="38.358643999999998"/>
    <n v="3.3756600000000003E-4"/>
    <n v="8.7930000000000003E-6"/>
    <n v="20.128"/>
    <n v="5.7603999999999997"/>
    <n v="18.976099999999999"/>
    <n v="22.254000000000001"/>
    <n v="24.008299999999998"/>
    <s v="BM3D"/>
    <n v="24.008299999999998"/>
    <n v="1"/>
    <n v="178"/>
    <n v="74"/>
    <n v="72"/>
    <b v="1"/>
  </r>
  <r>
    <x v="3"/>
    <x v="2"/>
    <x v="3"/>
    <n v="100"/>
    <x v="5"/>
    <s v="castle256_line_31_100_6400"/>
    <n v="12.460997000000001"/>
    <n v="38.352846"/>
    <n v="6.98768E-4"/>
    <n v="8.7930000000000003E-6"/>
    <n v="17.0032"/>
    <n v="5.7603999999999997"/>
    <n v="18.083400000000001"/>
    <n v="20.042400000000001"/>
    <n v="21.377099999999999"/>
    <s v="BM3D"/>
    <n v="21.377099999999999"/>
    <n v="1"/>
    <n v="165"/>
    <n v="69"/>
    <n v="67"/>
    <b v="1"/>
  </r>
  <r>
    <x v="3"/>
    <x v="2"/>
    <x v="3"/>
    <n v="100"/>
    <x v="6"/>
    <s v="castle256_line_31_100_12800"/>
    <n v="10.008023"/>
    <n v="38.238717999999999"/>
    <n v="1.469489E-3"/>
    <n v="8.7930000000000003E-6"/>
    <n v="13.8672"/>
    <n v="5.7603999999999997"/>
    <n v="16.791399999999999"/>
    <n v="17.869800000000001"/>
    <n v="19.0062"/>
    <s v="BM3D"/>
    <n v="19.0062"/>
    <n v="1"/>
    <n v="154"/>
    <n v="64"/>
    <n v="63"/>
    <b v="1"/>
  </r>
  <r>
    <x v="3"/>
    <x v="2"/>
    <x v="3"/>
    <n v="100"/>
    <x v="7"/>
    <s v="castle256_line_31_100_25600"/>
    <n v="8.1066439999999993"/>
    <n v="38.402180999999999"/>
    <n v="3.2417520000000001E-3"/>
    <n v="8.7930000000000003E-6"/>
    <n v="10.6082"/>
    <n v="5.7603999999999997"/>
    <n v="15.4053"/>
    <n v="15.838200000000001"/>
    <n v="16.7333"/>
    <s v="BM3D"/>
    <n v="16.7333"/>
    <n v="1"/>
    <n v="143"/>
    <n v="60"/>
    <n v="58"/>
    <b v="0"/>
  </r>
  <r>
    <x v="3"/>
    <x v="3"/>
    <x v="0"/>
    <n v="100"/>
    <x v="0"/>
    <s v="castle256_blurkernel10_3_100_200"/>
    <n v="58.038921000000002"/>
    <n v="3.9097870000000001"/>
    <n v="1.9043999999999999E-5"/>
    <n v="8.7139999999999999E-6"/>
    <n v="32.5762"/>
    <n v="14.472899999999999"/>
    <n v="18.865200000000002"/>
    <n v="33.475900000000003"/>
    <n v="34.527200000000001"/>
    <s v="BM3D"/>
    <n v="34.527200000000001"/>
    <n v="1"/>
    <n v="228"/>
    <n v="96"/>
    <n v="93"/>
    <b v="1"/>
  </r>
  <r>
    <x v="3"/>
    <x v="3"/>
    <x v="0"/>
    <n v="100"/>
    <x v="1"/>
    <s v="castle256_blurkernel10_3_100_400"/>
    <n v="45.921123999999999"/>
    <n v="3.5839590000000001"/>
    <n v="3.9737000000000003E-5"/>
    <n v="8.7139999999999999E-6"/>
    <n v="29.383299999999998"/>
    <n v="14.472899999999999"/>
    <n v="18.8094"/>
    <n v="31.113700000000001"/>
    <n v="31.8597"/>
    <s v="BM3D"/>
    <n v="31.8597"/>
    <n v="1"/>
    <n v="216"/>
    <n v="90"/>
    <n v="88"/>
    <b v="0"/>
  </r>
  <r>
    <x v="3"/>
    <x v="3"/>
    <x v="0"/>
    <n v="100"/>
    <x v="2"/>
    <s v="castle256_blurkernel10_3_100_800"/>
    <n v="38.746290999999999"/>
    <n v="3.4257049999999998"/>
    <n v="8.2016999999999998E-5"/>
    <n v="8.7139999999999999E-6"/>
    <n v="26.244900000000001"/>
    <n v="14.472899999999999"/>
    <n v="18.7027"/>
    <n v="28.912500000000001"/>
    <n v="29.154499999999999"/>
    <s v="BM3D"/>
    <n v="29.154499999999999"/>
    <n v="1"/>
    <n v="203"/>
    <n v="85"/>
    <n v="82"/>
    <b v="0"/>
  </r>
  <r>
    <x v="3"/>
    <x v="3"/>
    <x v="0"/>
    <n v="100"/>
    <x v="3"/>
    <s v="castle256_blurkernel10_3_100_1600"/>
    <n v="34.391260000000003"/>
    <n v="3.3568530000000001"/>
    <n v="1.66467E-4"/>
    <n v="8.7139999999999999E-6"/>
    <n v="23.177299999999999"/>
    <n v="14.472899999999999"/>
    <n v="18.4695"/>
    <n v="26.916799999999999"/>
    <n v="26.581800000000001"/>
    <s v="SROU03"/>
    <n v="26.916799999999999"/>
    <n v="3"/>
    <n v="80"/>
    <n v="132"/>
    <n v="192"/>
    <b v="0"/>
  </r>
  <r>
    <x v="3"/>
    <x v="3"/>
    <x v="0"/>
    <n v="100"/>
    <x v="4"/>
    <s v="castle256_blurkernel10_3_100_3200"/>
    <n v="31.565629999999999"/>
    <n v="3.337799"/>
    <n v="3.3874000000000003E-4"/>
    <n v="8.7139999999999999E-6"/>
    <n v="20.115200000000002"/>
    <n v="14.472899999999999"/>
    <n v="18.143899999999999"/>
    <n v="24.860099999999999"/>
    <n v="23.992599999999999"/>
    <s v="SROU03"/>
    <n v="24.860099999999999"/>
    <n v="3"/>
    <n v="76"/>
    <n v="126"/>
    <n v="182"/>
    <b v="0"/>
  </r>
  <r>
    <x v="3"/>
    <x v="3"/>
    <x v="0"/>
    <n v="100"/>
    <x v="5"/>
    <s v="castle256_blurkernel10_3_100_6400"/>
    <n v="29.451678000000001"/>
    <n v="3.3474650000000001"/>
    <n v="6.9459899999999995E-4"/>
    <n v="8.7139999999999999E-6"/>
    <n v="17.031400000000001"/>
    <n v="14.472899999999999"/>
    <n v="17.605"/>
    <n v="23.062000000000001"/>
    <n v="21.403199999999998"/>
    <s v="SROU03"/>
    <n v="23.062000000000001"/>
    <n v="3"/>
    <n v="73"/>
    <n v="120"/>
    <n v="174"/>
    <b v="1"/>
  </r>
  <r>
    <x v="3"/>
    <x v="3"/>
    <x v="0"/>
    <n v="100"/>
    <x v="6"/>
    <s v="castle256_blurkernel10_3_100_12800"/>
    <n v="27.608505999999998"/>
    <n v="3.3742160000000001"/>
    <n v="1.470028E-3"/>
    <n v="8.7139999999999999E-6"/>
    <n v="13.8607"/>
    <n v="14.472899999999999"/>
    <n v="17.0608"/>
    <n v="21.8584"/>
    <n v="18.962499999999999"/>
    <s v="SROU03"/>
    <n v="21.8584"/>
    <n v="3"/>
    <n v="70"/>
    <n v="116"/>
    <n v="168"/>
    <b v="1"/>
  </r>
  <r>
    <x v="3"/>
    <x v="3"/>
    <x v="0"/>
    <n v="100"/>
    <x v="7"/>
    <s v="castle256_blurkernel10_3_100_25600"/>
    <n v="26.060853000000002"/>
    <n v="3.4045519999999998"/>
    <n v="3.2156569999999998E-3"/>
    <n v="8.7139999999999999E-6"/>
    <n v="10.646100000000001"/>
    <n v="14.472899999999999"/>
    <n v="16.083200000000001"/>
    <n v="21.388200000000001"/>
    <n v="16.812100000000001"/>
    <s v="SROU03"/>
    <n v="21.388200000000001"/>
    <n v="3"/>
    <n v="69"/>
    <n v="114"/>
    <n v="166"/>
    <b v="1"/>
  </r>
  <r>
    <x v="3"/>
    <x v="3"/>
    <x v="1"/>
    <n v="100"/>
    <x v="0"/>
    <s v="castle256_blurkernel10_7_100_200"/>
    <n v="52.017189000000002"/>
    <n v="10.233231999999999"/>
    <n v="1.9177999999999998E-5"/>
    <n v="8.7439999999999996E-6"/>
    <n v="32.5473"/>
    <n v="10.286799999999999"/>
    <n v="19.775500000000001"/>
    <n v="32.852899999999998"/>
    <n v="34.469099999999997"/>
    <s v="BM3D"/>
    <n v="34.469099999999997"/>
    <n v="1"/>
    <n v="228"/>
    <n v="95"/>
    <n v="93"/>
    <b v="1"/>
  </r>
  <r>
    <x v="3"/>
    <x v="3"/>
    <x v="1"/>
    <n v="100"/>
    <x v="1"/>
    <s v="castle256_blurkernel10_7_100_400"/>
    <n v="37.884152999999998"/>
    <n v="9.3558319999999995"/>
    <n v="3.9909E-5"/>
    <n v="8.7439999999999996E-6"/>
    <n v="29.3674"/>
    <n v="10.286799999999999"/>
    <n v="19.687000000000001"/>
    <n v="30.187100000000001"/>
    <n v="31.831099999999999"/>
    <s v="BM3D"/>
    <n v="31.831099999999999"/>
    <n v="1"/>
    <n v="215"/>
    <n v="90"/>
    <n v="88"/>
    <b v="1"/>
  </r>
  <r>
    <x v="3"/>
    <x v="3"/>
    <x v="1"/>
    <n v="100"/>
    <x v="2"/>
    <s v="castle256_blurkernel10_7_100_800"/>
    <n v="28.868124000000002"/>
    <n v="8.9155440000000006"/>
    <n v="8.2049E-5"/>
    <n v="8.7439999999999996E-6"/>
    <n v="26.239000000000001"/>
    <n v="10.286799999999999"/>
    <n v="19.518899999999999"/>
    <n v="27.730599999999999"/>
    <n v="29.184100000000001"/>
    <s v="BM3D"/>
    <n v="29.184100000000001"/>
    <n v="1"/>
    <n v="203"/>
    <n v="85"/>
    <n v="82"/>
    <b v="1"/>
  </r>
  <r>
    <x v="3"/>
    <x v="3"/>
    <x v="1"/>
    <n v="100"/>
    <x v="3"/>
    <s v="castle256_blurkernel10_7_100_1600"/>
    <n v="23.133517000000001"/>
    <n v="8.6999060000000004"/>
    <n v="1.6607300000000001E-4"/>
    <n v="8.7439999999999996E-6"/>
    <n v="23.192299999999999"/>
    <n v="10.286799999999999"/>
    <n v="19.163599999999999"/>
    <n v="25.5442"/>
    <n v="26.5519"/>
    <s v="BM3D"/>
    <n v="26.5519"/>
    <n v="1"/>
    <n v="190"/>
    <n v="80"/>
    <n v="77"/>
    <b v="1"/>
  </r>
  <r>
    <x v="3"/>
    <x v="3"/>
    <x v="1"/>
    <n v="100"/>
    <x v="4"/>
    <s v="castle256_blurkernel10_7_100_3200"/>
    <n v="19.519368"/>
    <n v="8.6040120000000009"/>
    <n v="3.3571399999999998E-4"/>
    <n v="8.7439999999999996E-6"/>
    <n v="20.1494"/>
    <n v="10.286799999999999"/>
    <n v="18.713000000000001"/>
    <n v="23.357399999999998"/>
    <n v="24.052900000000001"/>
    <s v="BM3D"/>
    <n v="24.052900000000001"/>
    <n v="1"/>
    <n v="178"/>
    <n v="75"/>
    <n v="72"/>
    <b v="0"/>
  </r>
  <r>
    <x v="3"/>
    <x v="3"/>
    <x v="1"/>
    <n v="100"/>
    <x v="5"/>
    <s v="castle256_blurkernel10_7_100_6400"/>
    <n v="17.255538999999999"/>
    <n v="8.5703340000000008"/>
    <n v="6.9375199999999995E-4"/>
    <n v="8.7439999999999996E-6"/>
    <n v="17.0381"/>
    <n v="10.286799999999999"/>
    <n v="17.976600000000001"/>
    <n v="21.299499999999998"/>
    <n v="21.4026"/>
    <s v="BM3D"/>
    <n v="21.4026"/>
    <n v="1"/>
    <n v="166"/>
    <n v="69"/>
    <n v="67"/>
    <b v="0"/>
  </r>
  <r>
    <x v="3"/>
    <x v="3"/>
    <x v="1"/>
    <n v="100"/>
    <x v="6"/>
    <s v="castle256_blurkernel10_7_100_12800"/>
    <n v="15.574833"/>
    <n v="8.5720120000000009"/>
    <n v="1.4465750000000001E-3"/>
    <n v="8.7439999999999996E-6"/>
    <n v="13.932"/>
    <n v="10.286799999999999"/>
    <n v="17.015499999999999"/>
    <n v="19.675799999999999"/>
    <n v="18.983899999999998"/>
    <s v="SROU03"/>
    <n v="19.675799999999999"/>
    <n v="3"/>
    <n v="66"/>
    <n v="108"/>
    <n v="157"/>
    <b v="0"/>
  </r>
  <r>
    <x v="3"/>
    <x v="3"/>
    <x v="1"/>
    <n v="100"/>
    <x v="7"/>
    <s v="castle256_blurkernel10_7_100_25600"/>
    <n v="14.177572"/>
    <n v="8.5941969999999994"/>
    <n v="3.2141180000000002E-3"/>
    <n v="8.7439999999999996E-6"/>
    <n v="10.6454"/>
    <n v="10.286799999999999"/>
    <n v="15.6007"/>
    <n v="18.4556"/>
    <n v="16.708400000000001"/>
    <s v="SROU03"/>
    <n v="18.4556"/>
    <n v="3"/>
    <n v="63"/>
    <n v="104"/>
    <n v="151"/>
    <b v="1"/>
  </r>
  <r>
    <x v="3"/>
    <x v="3"/>
    <x v="2"/>
    <n v="100"/>
    <x v="0"/>
    <s v="castle256_blurkernel10_15_100_200"/>
    <n v="50.528947000000002"/>
    <n v="22.437251"/>
    <n v="1.8957000000000002E-5"/>
    <n v="8.7069999999999998E-6"/>
    <n v="32.5974"/>
    <n v="8.1893999999999991"/>
    <n v="20.025400000000001"/>
    <n v="32.686100000000003"/>
    <n v="34.492899999999999"/>
    <s v="BM3D"/>
    <n v="34.492899999999999"/>
    <n v="1"/>
    <n v="228"/>
    <n v="95"/>
    <n v="93"/>
    <b v="1"/>
  </r>
  <r>
    <x v="3"/>
    <x v="3"/>
    <x v="2"/>
    <n v="100"/>
    <x v="1"/>
    <s v="castle256_blurkernel10_15_100_400"/>
    <n v="35.873654999999999"/>
    <n v="20.555052"/>
    <n v="3.9839000000000003E-5"/>
    <n v="8.7069999999999998E-6"/>
    <n v="29.372599999999998"/>
    <n v="8.1893999999999991"/>
    <n v="19.9223"/>
    <n v="29.9602"/>
    <n v="31.820499999999999"/>
    <s v="BM3D"/>
    <n v="31.820499999999999"/>
    <n v="1"/>
    <n v="215"/>
    <n v="90"/>
    <n v="88"/>
    <b v="1"/>
  </r>
  <r>
    <x v="3"/>
    <x v="3"/>
    <x v="2"/>
    <n v="100"/>
    <x v="2"/>
    <s v="castle256_blurkernel10_15_100_800"/>
    <n v="25.93553"/>
    <n v="19.483529999999998"/>
    <n v="8.2078999999999998E-5"/>
    <n v="8.7069999999999998E-6"/>
    <n v="26.24"/>
    <n v="8.1893999999999991"/>
    <n v="19.744299999999999"/>
    <n v="27.507100000000001"/>
    <n v="29.170200000000001"/>
    <s v="BM3D"/>
    <n v="29.170200000000001"/>
    <n v="1"/>
    <n v="203"/>
    <n v="85"/>
    <n v="82"/>
    <b v="1"/>
  </r>
  <r>
    <x v="3"/>
    <x v="3"/>
    <x v="2"/>
    <n v="100"/>
    <x v="3"/>
    <s v="castle256_blurkernel10_15_100_1600"/>
    <n v="19.537088000000001"/>
    <n v="19.081523000000001"/>
    <n v="1.6590299999999999E-4"/>
    <n v="8.7069999999999998E-6"/>
    <n v="23.1953"/>
    <n v="8.1893999999999991"/>
    <n v="19.369499999999999"/>
    <n v="25.0718"/>
    <n v="26.609100000000002"/>
    <s v="BM3D"/>
    <n v="26.609100000000002"/>
    <n v="1"/>
    <n v="190"/>
    <n v="80"/>
    <n v="77"/>
    <b v="1"/>
  </r>
  <r>
    <x v="3"/>
    <x v="3"/>
    <x v="2"/>
    <n v="100"/>
    <x v="4"/>
    <s v="castle256_blurkernel10_15_100_3200"/>
    <n v="15.306013999999999"/>
    <n v="18.767543"/>
    <n v="3.3925300000000003E-4"/>
    <n v="8.7069999999999998E-6"/>
    <n v="20.105899999999998"/>
    <n v="8.1893999999999991"/>
    <n v="18.841000000000001"/>
    <n v="22.895199999999999"/>
    <n v="24.012899999999998"/>
    <s v="BM3D"/>
    <n v="24.012899999999998"/>
    <n v="1"/>
    <n v="178"/>
    <n v="74"/>
    <n v="72"/>
    <b v="1"/>
  </r>
  <r>
    <x v="3"/>
    <x v="3"/>
    <x v="2"/>
    <n v="100"/>
    <x v="5"/>
    <s v="castle256_blurkernel10_15_100_6400"/>
    <n v="12.60707"/>
    <n v="18.745664999999999"/>
    <n v="6.9562699999999999E-4"/>
    <n v="8.7069999999999998E-6"/>
    <n v="17.0304"/>
    <n v="8.1893999999999991"/>
    <n v="18.0151"/>
    <n v="21.116800000000001"/>
    <n v="21.464099999999998"/>
    <s v="BM3D"/>
    <n v="21.464099999999998"/>
    <n v="1"/>
    <n v="166"/>
    <n v="69"/>
    <n v="67"/>
    <b v="0"/>
  </r>
  <r>
    <x v="3"/>
    <x v="3"/>
    <x v="2"/>
    <n v="100"/>
    <x v="6"/>
    <s v="castle256_blurkernel10_15_100_12800"/>
    <n v="10.667234000000001"/>
    <n v="18.631302999999999"/>
    <n v="1.451964E-3"/>
    <n v="8.7069999999999998E-6"/>
    <n v="13.9193"/>
    <n v="8.1893999999999991"/>
    <n v="16.833500000000001"/>
    <n v="19.709900000000001"/>
    <n v="19.0047"/>
    <s v="SROU03"/>
    <n v="19.709900000000001"/>
    <n v="3"/>
    <n v="66"/>
    <n v="109"/>
    <n v="157"/>
    <b v="0"/>
  </r>
  <r>
    <x v="3"/>
    <x v="3"/>
    <x v="2"/>
    <n v="100"/>
    <x v="7"/>
    <s v="castle256_blurkernel10_15_100_25600"/>
    <n v="9.3682090000000002"/>
    <n v="18.710592999999999"/>
    <n v="3.2160909999999999E-3"/>
    <n v="8.7069999999999998E-6"/>
    <n v="10.6404"/>
    <n v="8.1893999999999991"/>
    <n v="15.5869"/>
    <n v="18.253599999999999"/>
    <n v="16.7804"/>
    <s v="SROU03"/>
    <n v="18.253599999999999"/>
    <n v="3"/>
    <n v="63"/>
    <n v="104"/>
    <n v="151"/>
    <b v="1"/>
  </r>
  <r>
    <x v="3"/>
    <x v="3"/>
    <x v="3"/>
    <n v="100"/>
    <x v="0"/>
    <s v="castle256_blurkernel10_31_100_200"/>
    <n v="49.777388999999999"/>
    <n v="46.848140999999998"/>
    <n v="1.9125000000000001E-5"/>
    <n v="8.7360000000000007E-6"/>
    <n v="32.558"/>
    <n v="6.2159000000000004"/>
    <n v="20.2972"/>
    <n v="25.2286"/>
    <n v="34.463900000000002"/>
    <s v="BM3D"/>
    <n v="34.463900000000002"/>
    <n v="1"/>
    <n v="228"/>
    <n v="95"/>
    <n v="93"/>
    <b v="1"/>
  </r>
  <r>
    <x v="3"/>
    <x v="3"/>
    <x v="3"/>
    <n v="100"/>
    <x v="1"/>
    <s v="castle256_blurkernel10_31_100_400"/>
    <n v="34.944125"/>
    <n v="42.539783999999997"/>
    <n v="4.0188000000000002E-5"/>
    <n v="8.7360000000000007E-6"/>
    <n v="29.337"/>
    <n v="6.2159000000000004"/>
    <n v="20.211200000000002"/>
    <n v="29.521699999999999"/>
    <n v="31.7713"/>
    <s v="BM3D"/>
    <n v="31.7713"/>
    <n v="1"/>
    <n v="215"/>
    <n v="90"/>
    <n v="87"/>
    <b v="1"/>
  </r>
  <r>
    <x v="3"/>
    <x v="3"/>
    <x v="3"/>
    <n v="100"/>
    <x v="2"/>
    <s v="castle256_blurkernel10_31_100_800"/>
    <n v="24.482066"/>
    <n v="40.612039000000003"/>
    <n v="8.1919E-5"/>
    <n v="8.7360000000000007E-6"/>
    <n v="26.251000000000001"/>
    <n v="6.2159000000000004"/>
    <n v="19.911200000000001"/>
    <n v="22.330400000000001"/>
    <n v="29.2332"/>
    <s v="BM3D"/>
    <n v="29.2332"/>
    <n v="1"/>
    <n v="203"/>
    <n v="85"/>
    <n v="83"/>
    <b v="1"/>
  </r>
  <r>
    <x v="3"/>
    <x v="3"/>
    <x v="3"/>
    <n v="100"/>
    <x v="3"/>
    <s v="castle256_blurkernel10_31_100_1600"/>
    <n v="18.177247999999999"/>
    <n v="39.449390000000001"/>
    <n v="1.6661099999999999E-4"/>
    <n v="8.7360000000000007E-6"/>
    <n v="23.1769"/>
    <n v="6.2159000000000004"/>
    <n v="19.515599999999999"/>
    <n v="24.671800000000001"/>
    <n v="26.586300000000001"/>
    <s v="BM3D"/>
    <n v="26.586300000000001"/>
    <n v="1"/>
    <n v="190"/>
    <n v="80"/>
    <n v="77"/>
    <b v="1"/>
  </r>
  <r>
    <x v="3"/>
    <x v="3"/>
    <x v="3"/>
    <n v="100"/>
    <x v="4"/>
    <s v="castle256_blurkernel10_31_100_3200"/>
    <n v="12.980487"/>
    <n v="38.994278000000001"/>
    <n v="3.3563100000000003E-4"/>
    <n v="8.7360000000000007E-6"/>
    <n v="20.1556"/>
    <n v="6.2159000000000004"/>
    <n v="18.916899999999998"/>
    <n v="21.0639"/>
    <n v="24.049299999999999"/>
    <s v="BM3D"/>
    <n v="24.049299999999999"/>
    <n v="1"/>
    <n v="178"/>
    <n v="74"/>
    <n v="72"/>
    <b v="1"/>
  </r>
  <r>
    <x v="3"/>
    <x v="3"/>
    <x v="3"/>
    <n v="100"/>
    <x v="5"/>
    <s v="castle256_blurkernel10_31_100_6400"/>
    <n v="10.547666"/>
    <n v="38.669840999999998"/>
    <n v="6.9764200000000005E-4"/>
    <n v="8.7360000000000007E-6"/>
    <n v="17.020299999999999"/>
    <n v="6.2159000000000004"/>
    <n v="18.0685"/>
    <n v="20.65"/>
    <n v="21.491299999999999"/>
    <s v="BM3D"/>
    <n v="21.491299999999999"/>
    <n v="1"/>
    <n v="166"/>
    <n v="69"/>
    <n v="67"/>
    <b v="0"/>
  </r>
  <r>
    <x v="3"/>
    <x v="3"/>
    <x v="3"/>
    <n v="100"/>
    <x v="6"/>
    <s v="castle256_blurkernel10_31_100_12800"/>
    <n v="8.4317349999999998"/>
    <n v="38.507548"/>
    <n v="1.4798529999999999E-3"/>
    <n v="8.7360000000000007E-6"/>
    <n v="13.8324"/>
    <n v="6.2159000000000004"/>
    <n v="16.828099999999999"/>
    <n v="18.875499999999999"/>
    <n v="18.977"/>
    <s v="BM3D"/>
    <n v="18.977"/>
    <n v="1"/>
    <n v="154"/>
    <n v="64"/>
    <n v="63"/>
    <b v="0"/>
  </r>
  <r>
    <x v="3"/>
    <x v="3"/>
    <x v="3"/>
    <n v="100"/>
    <x v="7"/>
    <s v="castle256_blurkernel10_31_100_25600"/>
    <n v="6.9985010000000001"/>
    <n v="38.540239"/>
    <n v="3.2509330000000001E-3"/>
    <n v="8.7360000000000007E-6"/>
    <n v="10.5975"/>
    <n v="6.2159000000000004"/>
    <n v="15.3987"/>
    <n v="17.453700000000001"/>
    <n v="16.698399999999999"/>
    <s v="SROU03"/>
    <n v="17.453700000000001"/>
    <n v="3"/>
    <n v="61"/>
    <n v="101"/>
    <n v="147"/>
    <b v="0"/>
  </r>
  <r>
    <x v="3"/>
    <x v="3"/>
    <x v="0"/>
    <n v="100"/>
    <x v="8"/>
    <s v="castle256_blurkernel10_3_100_102400"/>
    <n v="24.011403999999999"/>
    <n v="3.430555"/>
    <n v="1.9950213000000001E-2"/>
    <n v="8.7579999999999998E-6"/>
    <n v="4.1448"/>
    <n v="14.471299999999999"/>
    <n v="13.7018"/>
    <n v="20.344999999999999"/>
    <n v="12.513500000000001"/>
    <s v="SROU03"/>
    <n v="20.344999999999999"/>
    <n v="3"/>
    <n v="67"/>
    <n v="111"/>
    <n v="161"/>
    <b v="1"/>
  </r>
  <r>
    <x v="3"/>
    <x v="3"/>
    <x v="1"/>
    <n v="100"/>
    <x v="8"/>
    <s v="castle256_blurkernel10_7_100_102400"/>
    <n v="11.364986"/>
    <n v="8.6499330000000008"/>
    <n v="2.0016320000000001E-2"/>
    <n v="8.7530000000000007E-6"/>
    <n v="4.1064999999999996"/>
    <n v="10.2875"/>
    <n v="12.0359"/>
    <n v="14.510300000000001"/>
    <n v="12.4071"/>
    <s v="SROU03"/>
    <n v="14.510300000000001"/>
    <n v="3"/>
    <n v="55"/>
    <n v="91"/>
    <n v="133"/>
    <b v="1"/>
  </r>
  <r>
    <x v="3"/>
    <x v="3"/>
    <x v="2"/>
    <n v="100"/>
    <x v="8"/>
    <s v="castle256_blurkernel10_15_100_102400"/>
    <n v="7.3246710000000004"/>
    <n v="18.728504000000001"/>
    <n v="1.996645E-2"/>
    <n v="8.7139999999999999E-6"/>
    <n v="4.1330999999999998"/>
    <n v="8.1922999999999995"/>
    <n v="11.553800000000001"/>
    <n v="15.815899999999999"/>
    <n v="12.4222"/>
    <s v="SROU03"/>
    <n v="15.815899999999999"/>
    <n v="3"/>
    <n v="58"/>
    <n v="96"/>
    <n v="139"/>
    <b v="1"/>
  </r>
  <r>
    <x v="3"/>
    <x v="3"/>
    <x v="3"/>
    <n v="100"/>
    <x v="8"/>
    <s v="castle256_blurkernel10_31_100_102400"/>
    <n v="4.9695650000000002"/>
    <n v="38.379869999999997"/>
    <n v="1.9840967000000001E-2"/>
    <n v="8.6209999999999993E-6"/>
    <n v="4.1486999999999998"/>
    <n v="6.2125000000000004"/>
    <n v="11.266299999999999"/>
    <n v="14.288500000000001"/>
    <n v="12.4612"/>
    <s v="SROU03"/>
    <n v="14.288500000000001"/>
    <n v="3"/>
    <n v="55"/>
    <n v="91"/>
    <n v="132"/>
    <b v="1"/>
  </r>
  <r>
    <x v="3"/>
    <x v="0"/>
    <x v="0"/>
    <n v="100"/>
    <x v="8"/>
    <s v="castle256_blurkernel7_3_100_102400"/>
    <n v="24.014845000000001"/>
    <n v="3.4225970000000001"/>
    <n v="1.9821829999999999E-2"/>
    <n v="8.5900000000000008E-6"/>
    <n v="4.1692"/>
    <n v="15.6625"/>
    <n v="14.4504"/>
    <n v="20.446999999999999"/>
    <n v="12.5227"/>
    <s v="SROU03"/>
    <n v="20.446999999999999"/>
    <n v="3"/>
    <n v="67"/>
    <n v="111"/>
    <n v="161"/>
    <b v="1"/>
  </r>
  <r>
    <x v="3"/>
    <x v="0"/>
    <x v="1"/>
    <n v="100"/>
    <x v="8"/>
    <s v="castle256_blurkernel7_7_100_102400"/>
    <n v="11.527633"/>
    <n v="8.6173070000000003"/>
    <n v="2.0042463E-2"/>
    <n v="8.6519999999999995E-6"/>
    <n v="4.1074000000000002"/>
    <n v="10.9278"/>
    <n v="12.069900000000001"/>
    <n v="14.2232"/>
    <n v="12.344900000000001"/>
    <s v="SROU03"/>
    <n v="14.2232"/>
    <n v="3"/>
    <n v="55"/>
    <n v="90"/>
    <n v="131"/>
    <b v="1"/>
  </r>
  <r>
    <x v="3"/>
    <x v="0"/>
    <x v="2"/>
    <n v="100"/>
    <x v="8"/>
    <s v="castle256_blurkernel7_15_100_102400"/>
    <n v="6.8094609999999998"/>
    <n v="18.858357000000002"/>
    <n v="2.0066014E-2"/>
    <n v="8.7199999999999995E-6"/>
    <n v="4.0918999999999999"/>
    <n v="8.5846"/>
    <n v="11.4756"/>
    <n v="14.4808"/>
    <n v="12.3177"/>
    <s v="SROU03"/>
    <n v="14.4808"/>
    <n v="3"/>
    <n v="55"/>
    <n v="91"/>
    <n v="132"/>
    <b v="1"/>
  </r>
  <r>
    <x v="3"/>
    <x v="0"/>
    <x v="3"/>
    <n v="100"/>
    <x v="8"/>
    <s v="castle256_blurkernel7_31_100_102400"/>
    <n v="4.1062960000000004"/>
    <n v="38.718438999999996"/>
    <n v="1.9963839000000001E-2"/>
    <n v="8.7630000000000006E-6"/>
    <n v="4.1193"/>
    <n v="6.6763000000000003"/>
    <n v="11.2112"/>
    <n v="13.0801"/>
    <n v="12.4122"/>
    <s v="SROU03"/>
    <n v="13.0801"/>
    <n v="3"/>
    <n v="52"/>
    <n v="87"/>
    <n v="126"/>
    <b v="0"/>
  </r>
  <r>
    <x v="3"/>
    <x v="1"/>
    <x v="0"/>
    <n v="100"/>
    <x v="8"/>
    <s v="castle256_blurkernel8_3_100_102400"/>
    <n v="24.130428999999999"/>
    <n v="3.426415"/>
    <n v="1.9809549999999999E-2"/>
    <n v="8.7430000000000008E-6"/>
    <n v="4.1788999999999996"/>
    <n v="15.316599999999999"/>
    <n v="14.3218"/>
    <n v="22.5395"/>
    <n v="12.3973"/>
    <s v="SROU03"/>
    <n v="22.5395"/>
    <n v="3"/>
    <n v="71"/>
    <n v="118"/>
    <n v="171"/>
    <b v="1"/>
  </r>
  <r>
    <x v="3"/>
    <x v="1"/>
    <x v="1"/>
    <n v="100"/>
    <x v="8"/>
    <s v="castle256_blurkernel8_7_100_102400"/>
    <n v="11.541677999999999"/>
    <n v="8.5981299999999994"/>
    <n v="1.9910144000000001E-2"/>
    <n v="8.816E-6"/>
    <n v="4.1280999999999999"/>
    <n v="10.733599999999999"/>
    <n v="12.123699999999999"/>
    <n v="14.7637"/>
    <n v="12.444100000000001"/>
    <s v="SROU03"/>
    <n v="14.7637"/>
    <n v="3"/>
    <n v="56"/>
    <n v="92"/>
    <n v="134"/>
    <b v="1"/>
  </r>
  <r>
    <x v="3"/>
    <x v="1"/>
    <x v="2"/>
    <n v="100"/>
    <x v="8"/>
    <s v="castle256_blurkernel8_15_100_102400"/>
    <n v="7.1855570000000002"/>
    <n v="18.717034999999999"/>
    <n v="1.9993115999999998E-2"/>
    <n v="8.7020000000000007E-6"/>
    <n v="4.1193999999999997"/>
    <n v="8.5726999999999993"/>
    <n v="11.467700000000001"/>
    <n v="15.071400000000001"/>
    <n v="12.5427"/>
    <s v="SROU03"/>
    <n v="15.071400000000001"/>
    <n v="3"/>
    <n v="56"/>
    <n v="93"/>
    <n v="135"/>
    <b v="1"/>
  </r>
  <r>
    <x v="3"/>
    <x v="1"/>
    <x v="3"/>
    <n v="100"/>
    <x v="8"/>
    <s v="castle256_blurkernel8_31_100_102400"/>
    <n v="4.8170089999999997"/>
    <n v="38.738244000000002"/>
    <n v="1.9985403999999998E-2"/>
    <n v="8.7569999999999993E-6"/>
    <n v="4.1337000000000002"/>
    <n v="6.6216999999999997"/>
    <n v="11.2532"/>
    <n v="13.4201"/>
    <n v="12.5426"/>
    <s v="SROU03"/>
    <n v="13.4201"/>
    <n v="3"/>
    <n v="53"/>
    <n v="88"/>
    <n v="127"/>
    <b v="0"/>
  </r>
  <r>
    <x v="3"/>
    <x v="2"/>
    <x v="0"/>
    <n v="100"/>
    <x v="8"/>
    <s v="castle256_line_3_100_102400"/>
    <n v="23.979709"/>
    <n v="3.4295800000000001"/>
    <n v="2.0145351999999998E-2"/>
    <n v="8.7520000000000002E-6"/>
    <n v="4.0989000000000004"/>
    <n v="13.1343"/>
    <n v="13.1143"/>
    <n v="15.3255"/>
    <n v="12.452500000000001"/>
    <s v="SROU03"/>
    <n v="15.3255"/>
    <n v="3"/>
    <n v="57"/>
    <n v="94"/>
    <n v="137"/>
    <b v="1"/>
  </r>
  <r>
    <x v="3"/>
    <x v="2"/>
    <x v="1"/>
    <n v="100"/>
    <x v="8"/>
    <s v="castle256_line_7_100_102400"/>
    <n v="11.382548999999999"/>
    <n v="8.6529229999999995"/>
    <n v="1.9801907000000001E-2"/>
    <n v="8.7390000000000005E-6"/>
    <n v="4.1745999999999999"/>
    <n v="9.6582000000000008"/>
    <n v="11.9018"/>
    <n v="12.1485"/>
    <n v="12.537599999999999"/>
    <s v="BM3D"/>
    <n v="12.537599999999999"/>
    <n v="1"/>
    <n v="123"/>
    <n v="51"/>
    <n v="50"/>
    <b v="0"/>
  </r>
  <r>
    <x v="3"/>
    <x v="2"/>
    <x v="2"/>
    <n v="100"/>
    <x v="8"/>
    <s v="castle256_line_15_100_102400"/>
    <n v="7.3548830000000001"/>
    <n v="18.655882999999999"/>
    <n v="1.9880353E-2"/>
    <n v="8.6899999999999998E-6"/>
    <n v="4.1467000000000001"/>
    <n v="7.5223000000000004"/>
    <n v="11.3667"/>
    <n v="11.145899999999999"/>
    <n v="12.553100000000001"/>
    <s v="BM3D"/>
    <n v="12.553100000000001"/>
    <n v="1"/>
    <n v="123"/>
    <n v="51"/>
    <n v="50"/>
    <b v="1"/>
  </r>
  <r>
    <x v="3"/>
    <x v="2"/>
    <x v="3"/>
    <n v="100"/>
    <x v="8"/>
    <s v="castle256_line_31_100_102400"/>
    <n v="5.2476079999999996"/>
    <n v="38.375146999999998"/>
    <n v="1.9953129E-2"/>
    <n v="8.6759999999999996E-6"/>
    <n v="4.1364999999999998"/>
    <n v="5.7594000000000003"/>
    <n v="11.1998"/>
    <n v="10.500299999999999"/>
    <n v="12.490500000000001"/>
    <s v="BM3D"/>
    <n v="12.490500000000001"/>
    <n v="1"/>
    <n v="123"/>
    <n v="51"/>
    <n v="50"/>
    <b v="1"/>
  </r>
  <r>
    <x v="0"/>
    <x v="3"/>
    <x v="0"/>
    <n v="100"/>
    <x v="8"/>
    <s v="lena256_blurkernel10_3_100_102400"/>
    <n v="21.229924"/>
    <n v="3.5704950000000002"/>
    <n v="2.1042022000000001E-2"/>
    <n v="9.4660000000000005E-6"/>
    <n v="4.1284000000000001"/>
    <n v="17.6389"/>
    <n v="15.3788"/>
    <n v="20.938600000000001"/>
    <n v="13.7737"/>
    <s v="SROU03"/>
    <n v="20.938600000000001"/>
    <n v="3"/>
    <n v="68"/>
    <n v="113"/>
    <n v="163"/>
    <b v="1"/>
  </r>
  <r>
    <x v="0"/>
    <x v="3"/>
    <x v="1"/>
    <n v="100"/>
    <x v="8"/>
    <s v="lena256_blurkernel10_7_100_102400"/>
    <n v="10.512522000000001"/>
    <n v="8.9807670000000002"/>
    <n v="2.1236685000000002E-2"/>
    <n v="9.4450000000000002E-6"/>
    <n v="4.0980999999999996"/>
    <n v="12.0152"/>
    <n v="13.1485"/>
    <n v="16.478899999999999"/>
    <n v="13.7456"/>
    <s v="SROU03"/>
    <n v="16.478899999999999"/>
    <n v="3"/>
    <n v="59"/>
    <n v="98"/>
    <n v="142"/>
    <b v="1"/>
  </r>
  <r>
    <x v="0"/>
    <x v="3"/>
    <x v="2"/>
    <n v="100"/>
    <x v="8"/>
    <s v="lena256_blurkernel10_15_100_102400"/>
    <n v="6.6109400000000003"/>
    <n v="19.355170999999999"/>
    <n v="2.1259394000000001E-2"/>
    <n v="9.5109999999999992E-6"/>
    <n v="4.0972999999999997"/>
    <n v="8.4284999999999997"/>
    <n v="12.1754"/>
    <n v="17.118200000000002"/>
    <n v="13.7279"/>
    <s v="SROU03"/>
    <n v="17.118200000000002"/>
    <n v="3"/>
    <n v="61"/>
    <n v="100"/>
    <n v="145"/>
    <b v="1"/>
  </r>
  <r>
    <x v="0"/>
    <x v="3"/>
    <x v="3"/>
    <n v="100"/>
    <x v="8"/>
    <s v="lena256_blurkernel10_31_100_102400"/>
    <n v="4.4212550000000004"/>
    <n v="39.788916999999998"/>
    <n v="2.1019784999999999E-2"/>
    <n v="9.5440000000000004E-6"/>
    <n v="4.1524000000000001"/>
    <n v="5.6363000000000003"/>
    <n v="11.7837"/>
    <n v="13.450799999999999"/>
    <n v="13.898"/>
    <s v="BM3D"/>
    <n v="13.898"/>
    <n v="1"/>
    <n v="130"/>
    <n v="54"/>
    <n v="53"/>
    <b v="0"/>
  </r>
  <r>
    <x v="0"/>
    <x v="0"/>
    <x v="0"/>
    <n v="100"/>
    <x v="8"/>
    <s v="lena256_blurkernel7_3_100_102400"/>
    <n v="21.018516000000002"/>
    <n v="3.5453260000000002"/>
    <n v="2.1129139000000002E-2"/>
    <n v="9.6090000000000007E-6"/>
    <n v="4.0945"/>
    <n v="18.034600000000001"/>
    <n v="15.758800000000001"/>
    <n v="22.2683"/>
    <n v="13.787100000000001"/>
    <s v="SROU03"/>
    <n v="22.2683"/>
    <n v="3"/>
    <n v="71"/>
    <n v="117"/>
    <n v="170"/>
    <b v="1"/>
  </r>
  <r>
    <x v="0"/>
    <x v="0"/>
    <x v="1"/>
    <n v="100"/>
    <x v="8"/>
    <s v="lena256_blurkernel7_7_100_102400"/>
    <n v="10.05063"/>
    <n v="8.9135489999999997"/>
    <n v="2.1037726E-2"/>
    <n v="9.6260000000000007E-6"/>
    <n v="4.1162999999999998"/>
    <n v="12.1745"/>
    <n v="12.9092"/>
    <n v="14.941800000000001"/>
    <n v="13.760199999999999"/>
    <s v="SROU03"/>
    <n v="14.941800000000001"/>
    <n v="3"/>
    <n v="56"/>
    <n v="93"/>
    <n v="135"/>
    <b v="1"/>
  </r>
  <r>
    <x v="0"/>
    <x v="0"/>
    <x v="2"/>
    <n v="100"/>
    <x v="8"/>
    <s v="lena256_blurkernel7_15_100_102400"/>
    <n v="5.86965"/>
    <n v="19.337347000000001"/>
    <n v="2.1018678999999998E-2"/>
    <n v="9.5370000000000003E-6"/>
    <n v="4.1410999999999998"/>
    <n v="8.2100000000000009"/>
    <n v="11.956899999999999"/>
    <n v="15.458600000000001"/>
    <n v="13.7958"/>
    <s v="SROU03"/>
    <n v="15.458600000000001"/>
    <n v="3"/>
    <n v="57"/>
    <n v="95"/>
    <n v="137"/>
    <b v="1"/>
  </r>
  <r>
    <x v="0"/>
    <x v="0"/>
    <x v="3"/>
    <n v="100"/>
    <x v="8"/>
    <s v="lena256_blurkernel7_31_100_102400"/>
    <n v="3.7009379999999998"/>
    <n v="39.609557000000002"/>
    <n v="2.1043851999999998E-2"/>
    <n v="9.5089999999999999E-6"/>
    <n v="4.1128"/>
    <n v="5.3167"/>
    <n v="11.7425"/>
    <n v="14.0984"/>
    <n v="13.6972"/>
    <s v="SROU03"/>
    <n v="14.0984"/>
    <n v="3"/>
    <n v="55"/>
    <n v="90"/>
    <n v="131"/>
    <b v="0"/>
  </r>
  <r>
    <x v="0"/>
    <x v="1"/>
    <x v="0"/>
    <n v="100"/>
    <x v="8"/>
    <s v="lena256_blurkernel8_3_100_102400"/>
    <n v="21.285394"/>
    <n v="3.5728270000000002"/>
    <n v="2.1088530000000001E-2"/>
    <n v="9.4509999999999998E-6"/>
    <n v="4.1063999999999998"/>
    <n v="17.587499999999999"/>
    <n v="15.6287"/>
    <n v="23.116099999999999"/>
    <n v="13.6899"/>
    <s v="SROU03"/>
    <n v="23.116099999999999"/>
    <n v="3"/>
    <n v="73"/>
    <n v="120"/>
    <n v="174"/>
    <b v="1"/>
  </r>
  <r>
    <x v="0"/>
    <x v="1"/>
    <x v="1"/>
    <n v="100"/>
    <x v="8"/>
    <s v="lena256_blurkernel8_7_100_102400"/>
    <n v="10.053305"/>
    <n v="8.9662500000000005"/>
    <n v="2.1213724E-2"/>
    <n v="9.5219999999999996E-6"/>
    <n v="4.0976999999999997"/>
    <n v="12.004300000000001"/>
    <n v="12.9697"/>
    <n v="15.6584"/>
    <n v="13.7958"/>
    <s v="SROU03"/>
    <n v="15.6584"/>
    <n v="3"/>
    <n v="58"/>
    <n v="95"/>
    <n v="138"/>
    <b v="1"/>
  </r>
  <r>
    <x v="0"/>
    <x v="1"/>
    <x v="2"/>
    <n v="100"/>
    <x v="8"/>
    <s v="lena256_blurkernel8_15_100_102400"/>
    <n v="6.3090679999999999"/>
    <n v="19.325101"/>
    <n v="2.1188993999999999E-2"/>
    <n v="9.5480000000000007E-6"/>
    <n v="4.1041999999999996"/>
    <n v="8.2194000000000003"/>
    <n v="11.9496"/>
    <n v="15.705500000000001"/>
    <n v="13.7895"/>
    <s v="SROU03"/>
    <n v="15.705500000000001"/>
    <n v="3"/>
    <n v="58"/>
    <n v="95"/>
    <n v="138"/>
    <b v="1"/>
  </r>
  <r>
    <x v="0"/>
    <x v="1"/>
    <x v="3"/>
    <n v="100"/>
    <x v="8"/>
    <s v="lena256_blurkernel8_31_100_102400"/>
    <n v="4.2519539999999996"/>
    <n v="39.705275"/>
    <n v="2.1160854999999999E-2"/>
    <n v="9.577E-6"/>
    <n v="4.1304999999999996"/>
    <n v="5.3036000000000003"/>
    <n v="11.799300000000001"/>
    <n v="12.9933"/>
    <n v="13.786"/>
    <s v="BM3D"/>
    <n v="13.786"/>
    <n v="1"/>
    <n v="129"/>
    <n v="54"/>
    <n v="52"/>
    <b v="0"/>
  </r>
  <r>
    <x v="0"/>
    <x v="2"/>
    <x v="0"/>
    <n v="100"/>
    <x v="8"/>
    <s v="lena256_line_3_100_102400"/>
    <n v="20.984998999999998"/>
    <n v="3.5526970000000002"/>
    <n v="2.1102335E-2"/>
    <n v="9.5589999999999994E-6"/>
    <n v="4.1588000000000003"/>
    <n v="15.0642"/>
    <n v="14.2735"/>
    <n v="13.813000000000001"/>
    <n v="13.7881"/>
    <s v="TICO09"/>
    <n v="14.2735"/>
    <n v="2"/>
    <n v="110"/>
    <n v="131"/>
    <n v="63"/>
    <b v="0"/>
  </r>
  <r>
    <x v="0"/>
    <x v="2"/>
    <x v="1"/>
    <n v="100"/>
    <x v="8"/>
    <s v="lena256_line_7_100_102400"/>
    <n v="10.269071"/>
    <n v="8.8732520000000008"/>
    <n v="2.0992028999999999E-2"/>
    <n v="9.6269999999999995E-6"/>
    <n v="4.1063999999999998"/>
    <n v="10.083299999999999"/>
    <n v="12.598599999999999"/>
    <n v="12.545299999999999"/>
    <n v="13.823700000000001"/>
    <s v="BM3D"/>
    <n v="13.823700000000001"/>
    <n v="1"/>
    <n v="129"/>
    <n v="54"/>
    <n v="52"/>
    <b v="1"/>
  </r>
  <r>
    <x v="0"/>
    <x v="2"/>
    <x v="2"/>
    <n v="100"/>
    <x v="8"/>
    <s v="lena256_line_15_100_102400"/>
    <n v="6.6341049999999999"/>
    <n v="19.15962"/>
    <n v="2.1003108999999999E-2"/>
    <n v="9.5589999999999994E-6"/>
    <n v="4.1265000000000001"/>
    <n v="6.5646000000000004"/>
    <n v="12.187099999999999"/>
    <n v="12.359500000000001"/>
    <n v="13.7987"/>
    <s v="BM3D"/>
    <n v="13.7987"/>
    <n v="1"/>
    <n v="129"/>
    <n v="54"/>
    <n v="52"/>
    <b v="1"/>
  </r>
  <r>
    <x v="0"/>
    <x v="2"/>
    <x v="3"/>
    <n v="100"/>
    <x v="8"/>
    <s v="lena256_line_31_100_102400"/>
    <n v="4.7259099999999998"/>
    <n v="39.218291999999998"/>
    <n v="2.1223367999999999E-2"/>
    <n v="9.6360000000000006E-6"/>
    <n v="4.0959000000000003"/>
    <n v="3.6432000000000002"/>
    <n v="11.8887"/>
    <n v="11.723800000000001"/>
    <n v="13.831200000000001"/>
    <s v="BM3D"/>
    <n v="13.831200000000001"/>
    <n v="1"/>
    <n v="129"/>
    <n v="54"/>
    <n v="52"/>
    <b v="1"/>
  </r>
  <r>
    <x v="2"/>
    <x v="3"/>
    <x v="0"/>
    <n v="100"/>
    <x v="8"/>
    <s v="text256_blurkernel10_3_100_102400"/>
    <n v="14.745421"/>
    <n v="5.9850469999999998"/>
    <n v="1.3393733999999999E-2"/>
    <n v="9.7410000000000004E-6"/>
    <n v="6.7244999999999999"/>
    <n v="7.1303000000000001"/>
    <n v="9.7911000000000001"/>
    <n v="18.781300000000002"/>
    <n v="12.2057"/>
    <s v="SROU03"/>
    <n v="18.781300000000002"/>
    <n v="3"/>
    <n v="64"/>
    <n v="105"/>
    <n v="153"/>
    <b v="1"/>
  </r>
  <r>
    <x v="2"/>
    <x v="3"/>
    <x v="1"/>
    <n v="100"/>
    <x v="8"/>
    <s v="text256_blurkernel10_7_100_102400"/>
    <n v="7.3053090000000003"/>
    <n v="13.857042"/>
    <n v="1.3474974000000001E-2"/>
    <n v="1.1943000000000001E-5"/>
    <n v="6.6994999999999996"/>
    <n v="2.1821999999999999"/>
    <n v="9.6532"/>
    <n v="15.1959"/>
    <n v="12.1668"/>
    <s v="SROU03"/>
    <n v="15.1959"/>
    <n v="3"/>
    <n v="57"/>
    <n v="94"/>
    <n v="136"/>
    <b v="1"/>
  </r>
  <r>
    <x v="2"/>
    <x v="3"/>
    <x v="2"/>
    <n v="100"/>
    <x v="8"/>
    <s v="text256_blurkernel10_15_100_102400"/>
    <n v="4.1921309999999998"/>
    <n v="27.476785"/>
    <n v="1.3428084999999999E-2"/>
    <n v="1.4712000000000001E-5"/>
    <n v="6.7111000000000001"/>
    <n v="1.3011999999999999"/>
    <n v="9.6219999999999999"/>
    <n v="14.038500000000001"/>
    <n v="12.194599999999999"/>
    <s v="SROU03"/>
    <n v="14.038500000000001"/>
    <n v="3"/>
    <n v="54"/>
    <n v="90"/>
    <n v="130"/>
    <b v="1"/>
  </r>
  <r>
    <x v="2"/>
    <x v="3"/>
    <x v="3"/>
    <n v="100"/>
    <x v="8"/>
    <s v="text256_blurkernel10_31_100_102400"/>
    <n v="2.8242150000000001"/>
    <n v="53.819253000000003"/>
    <n v="1.3282184000000001E-2"/>
    <n v="1.6341000000000002E-5"/>
    <n v="6.7629999999999999"/>
    <n v="0.23899999999999999"/>
    <n v="9.5213000000000001"/>
    <n v="12.0632"/>
    <n v="12.186199999999999"/>
    <s v="BM3D"/>
    <n v="12.186199999999999"/>
    <n v="1"/>
    <n v="122"/>
    <n v="51"/>
    <n v="49"/>
    <b v="0"/>
  </r>
  <r>
    <x v="2"/>
    <x v="0"/>
    <x v="0"/>
    <n v="100"/>
    <x v="8"/>
    <s v="text256_blurkernel7_3_100_102400"/>
    <n v="14.874995"/>
    <n v="5.9437569999999997"/>
    <n v="1.3504608E-2"/>
    <n v="9.7589999999999992E-6"/>
    <n v="6.6919000000000004"/>
    <n v="9.2129999999999992"/>
    <n v="10.7644"/>
    <n v="18.8781"/>
    <n v="12.110799999999999"/>
    <s v="SROU03"/>
    <n v="18.8781"/>
    <n v="3"/>
    <n v="64"/>
    <n v="106"/>
    <n v="154"/>
    <b v="1"/>
  </r>
  <r>
    <x v="2"/>
    <x v="0"/>
    <x v="1"/>
    <n v="100"/>
    <x v="8"/>
    <s v="text256_blurkernel7_7_100_102400"/>
    <n v="7.3152200000000001"/>
    <n v="13.974468"/>
    <n v="1.3610898E-2"/>
    <n v="1.166E-5"/>
    <n v="6.6691000000000003"/>
    <n v="3.1004999999999998"/>
    <n v="9.4454999999999991"/>
    <n v="11.451000000000001"/>
    <n v="12.173999999999999"/>
    <s v="BM3D"/>
    <n v="12.173999999999999"/>
    <n v="1"/>
    <n v="121"/>
    <n v="51"/>
    <n v="49"/>
    <b v="0"/>
  </r>
  <r>
    <x v="2"/>
    <x v="0"/>
    <x v="2"/>
    <n v="100"/>
    <x v="8"/>
    <s v="text256_blurkernel7_15_100_102400"/>
    <n v="3.7147199999999998"/>
    <n v="27.957543999999999"/>
    <n v="1.3369315E-2"/>
    <n v="1.4270000000000001E-5"/>
    <n v="6.7306999999999997"/>
    <n v="1.5172000000000001"/>
    <n v="9.5233000000000008"/>
    <n v="13.2485"/>
    <n v="12.1235"/>
    <s v="SROU03"/>
    <n v="13.2485"/>
    <n v="3"/>
    <n v="53"/>
    <n v="87"/>
    <n v="127"/>
    <b v="1"/>
  </r>
  <r>
    <x v="2"/>
    <x v="0"/>
    <x v="3"/>
    <n v="100"/>
    <x v="8"/>
    <s v="text256_blurkernel7_31_100_102400"/>
    <n v="2.2778990000000001"/>
    <n v="54.714168000000001"/>
    <n v="1.3302189000000001E-2"/>
    <n v="1.6073999999999999E-5"/>
    <n v="6.7576000000000001"/>
    <n v="0.78320000000000001"/>
    <n v="9.6379000000000001"/>
    <n v="11.744"/>
    <n v="12.2254"/>
    <s v="BM3D"/>
    <n v="12.2254"/>
    <n v="1"/>
    <n v="122"/>
    <n v="51"/>
    <n v="49"/>
    <b v="0"/>
  </r>
  <r>
    <x v="2"/>
    <x v="1"/>
    <x v="0"/>
    <n v="100"/>
    <x v="8"/>
    <s v="text256_blurkernel8_3_100_102400"/>
    <n v="15.428974999999999"/>
    <n v="5.882803"/>
    <n v="1.3406987E-2"/>
    <n v="9.6749999999999997E-6"/>
    <n v="6.7294"/>
    <n v="8.6318999999999999"/>
    <n v="10.691800000000001"/>
    <n v="23.9041"/>
    <n v="12.213800000000001"/>
    <s v="SROU03"/>
    <n v="23.9041"/>
    <n v="3"/>
    <n v="74"/>
    <n v="122"/>
    <n v="178"/>
    <b v="1"/>
  </r>
  <r>
    <x v="2"/>
    <x v="1"/>
    <x v="1"/>
    <n v="100"/>
    <x v="8"/>
    <s v="text256_blurkernel8_7_100_102400"/>
    <n v="7.8159939999999999"/>
    <n v="13.830387"/>
    <n v="1.3381901999999999E-2"/>
    <n v="1.1763000000000001E-5"/>
    <n v="6.7182000000000004"/>
    <n v="2.7492000000000001"/>
    <n v="9.3800000000000008"/>
    <n v="14.692299999999999"/>
    <n v="12.199400000000001"/>
    <s v="SROU03"/>
    <n v="14.692299999999999"/>
    <n v="3"/>
    <n v="56"/>
    <n v="92"/>
    <n v="133"/>
    <b v="1"/>
  </r>
  <r>
    <x v="2"/>
    <x v="1"/>
    <x v="2"/>
    <n v="100"/>
    <x v="8"/>
    <s v="text256_blurkernel8_15_100_102400"/>
    <n v="4.5109839999999997"/>
    <n v="27.972884000000001"/>
    <n v="1.3211634999999999E-2"/>
    <n v="1.4088E-5"/>
    <n v="6.7789999999999999"/>
    <n v="1.6831"/>
    <n v="9.5275999999999996"/>
    <n v="14.5532"/>
    <n v="12.1959"/>
    <s v="SROU03"/>
    <n v="14.5532"/>
    <n v="3"/>
    <n v="55"/>
    <n v="92"/>
    <n v="133"/>
    <b v="1"/>
  </r>
  <r>
    <x v="2"/>
    <x v="1"/>
    <x v="3"/>
    <n v="100"/>
    <x v="8"/>
    <s v="text256_blurkernel8_31_100_102400"/>
    <n v="2.761317"/>
    <n v="54.895234000000002"/>
    <n v="1.3441305000000001E-2"/>
    <n v="1.6132000000000001E-5"/>
    <n v="6.7122999999999999"/>
    <n v="0.86639999999999995"/>
    <n v="9.4725000000000001"/>
    <n v="12.9018"/>
    <n v="12.220599999999999"/>
    <s v="SROU03"/>
    <n v="12.9018"/>
    <n v="3"/>
    <n v="52"/>
    <n v="86"/>
    <n v="125"/>
    <b v="0"/>
  </r>
  <r>
    <x v="2"/>
    <x v="2"/>
    <x v="0"/>
    <n v="100"/>
    <x v="8"/>
    <s v="text256_line_3_100_102400"/>
    <n v="16.114398999999999"/>
    <n v="5.9600249999999999"/>
    <n v="1.3300126000000001E-2"/>
    <n v="9.4590000000000004E-6"/>
    <n v="6.7508999999999997"/>
    <n v="5.9846000000000004"/>
    <n v="9.9082000000000008"/>
    <n v="23.473400000000002"/>
    <n v="12.130100000000001"/>
    <s v="SROU03"/>
    <n v="23.473400000000002"/>
    <n v="3"/>
    <n v="73"/>
    <n v="121"/>
    <n v="175"/>
    <b v="1"/>
  </r>
  <r>
    <x v="2"/>
    <x v="2"/>
    <x v="1"/>
    <n v="100"/>
    <x v="8"/>
    <s v="text256_line_7_100_102400"/>
    <n v="9.0899020000000004"/>
    <n v="13.827712"/>
    <n v="1.3431863E-2"/>
    <n v="1.1386000000000001E-5"/>
    <n v="6.7205000000000004"/>
    <n v="1.8152999999999999"/>
    <n v="9.4795999999999996"/>
    <n v="16.0456"/>
    <n v="12.1396"/>
    <s v="SROU03"/>
    <n v="16.0456"/>
    <n v="3"/>
    <n v="58"/>
    <n v="96"/>
    <n v="140"/>
    <b v="1"/>
  </r>
  <r>
    <x v="2"/>
    <x v="2"/>
    <x v="2"/>
    <n v="100"/>
    <x v="8"/>
    <s v="text256_line_15_100_102400"/>
    <n v="5.5659020000000003"/>
    <n v="27.420199"/>
    <n v="1.3456536E-2"/>
    <n v="1.4316E-5"/>
    <n v="6.7050999999999998"/>
    <n v="1.3428"/>
    <n v="9.3033999999999999"/>
    <n v="8.3591999999999995"/>
    <n v="12.164999999999999"/>
    <s v="BM3D"/>
    <n v="12.164999999999999"/>
    <n v="1"/>
    <n v="121"/>
    <n v="51"/>
    <n v="49"/>
    <b v="1"/>
  </r>
  <r>
    <x v="2"/>
    <x v="2"/>
    <x v="3"/>
    <n v="100"/>
    <x v="8"/>
    <s v="text256_line_31_100_102400"/>
    <n v="3.7322199999999999"/>
    <n v="53.872374999999998"/>
    <n v="1.3351602000000001E-2"/>
    <n v="1.6223999999999999E-5"/>
    <n v="6.7385000000000002"/>
    <n v="0.17760000000000001"/>
    <n v="9.4056999999999995"/>
    <n v="7.9946000000000002"/>
    <n v="12.1105"/>
    <s v="BM3D"/>
    <n v="12.1105"/>
    <n v="1"/>
    <n v="121"/>
    <n v="51"/>
    <n v="49"/>
    <b v="1"/>
  </r>
  <r>
    <x v="1"/>
    <x v="3"/>
    <x v="0"/>
    <n v="100"/>
    <x v="8"/>
    <s v="tree256_blurkernel10_3_100_102400"/>
    <n v="23.246286999999999"/>
    <n v="3.446958"/>
    <n v="2.0568848000000001E-2"/>
    <n v="9.0529999999999996E-6"/>
    <n v="4.1978999999999997"/>
    <n v="10.557399999999999"/>
    <n v="10.8154"/>
    <n v="16.476099999999999"/>
    <n v="7.9870000000000001"/>
    <s v="SROU03"/>
    <n v="16.476099999999999"/>
    <n v="3"/>
    <n v="59"/>
    <n v="98"/>
    <n v="142"/>
    <b v="1"/>
  </r>
  <r>
    <x v="1"/>
    <x v="3"/>
    <x v="1"/>
    <n v="100"/>
    <x v="8"/>
    <s v="tree256_blurkernel10_7_100_102400"/>
    <n v="12.397634999999999"/>
    <n v="8.5977899999999998"/>
    <n v="2.0379765000000001E-2"/>
    <n v="9.0589999999999992E-6"/>
    <n v="4.2587999999999999"/>
    <n v="5.9927999999999999"/>
    <n v="8.2640999999999991"/>
    <n v="12.7293"/>
    <n v="7.9371"/>
    <s v="SROU03"/>
    <n v="12.7293"/>
    <n v="3"/>
    <n v="52"/>
    <n v="86"/>
    <n v="124"/>
    <b v="1"/>
  </r>
  <r>
    <x v="1"/>
    <x v="3"/>
    <x v="2"/>
    <n v="100"/>
    <x v="8"/>
    <s v="tree256_blurkernel10_15_100_102400"/>
    <n v="7.6968230000000002"/>
    <n v="18.606083000000002"/>
    <n v="2.0277625000000001E-2"/>
    <n v="9.0250000000000008E-6"/>
    <n v="4.2629000000000001"/>
    <n v="3.7452000000000001"/>
    <n v="7.8624999999999998"/>
    <n v="11.422499999999999"/>
    <n v="7.9744999999999999"/>
    <s v="SROU03"/>
    <n v="11.422499999999999"/>
    <n v="3"/>
    <n v="49"/>
    <n v="81"/>
    <n v="118"/>
    <b v="1"/>
  </r>
  <r>
    <x v="1"/>
    <x v="3"/>
    <x v="3"/>
    <n v="100"/>
    <x v="8"/>
    <s v="tree256_blurkernel10_31_100_102400"/>
    <n v="5.2471819999999996"/>
    <n v="38.041680999999997"/>
    <n v="2.0331970000000001E-2"/>
    <n v="8.9809999999999992E-6"/>
    <n v="4.2477999999999998"/>
    <n v="2.5838000000000001"/>
    <n v="7.7172999999999998"/>
    <n v="9.8414999999999999"/>
    <n v="7.9747000000000003"/>
    <s v="SROU03"/>
    <n v="9.8414999999999999"/>
    <n v="3"/>
    <n v="46"/>
    <n v="76"/>
    <n v="110"/>
    <b v="1"/>
  </r>
  <r>
    <x v="1"/>
    <x v="0"/>
    <x v="0"/>
    <n v="100"/>
    <x v="8"/>
    <s v="tree256_blurkernel7_3_100_102400"/>
    <n v="22.976671"/>
    <n v="3.4484499999999998"/>
    <n v="2.0383229999999999E-2"/>
    <n v="9.0899999999999994E-6"/>
    <n v="4.2544000000000004"/>
    <n v="12.2674"/>
    <n v="12.1829"/>
    <n v="16.894100000000002"/>
    <n v="7.9701000000000004"/>
    <s v="SROU03"/>
    <n v="16.894100000000002"/>
    <n v="3"/>
    <n v="60"/>
    <n v="99"/>
    <n v="144"/>
    <b v="1"/>
  </r>
  <r>
    <x v="1"/>
    <x v="0"/>
    <x v="1"/>
    <n v="100"/>
    <x v="8"/>
    <s v="tree256_blurkernel7_7_100_102400"/>
    <n v="12.324299"/>
    <n v="8.567952"/>
    <n v="2.0126128E-2"/>
    <n v="9.0960000000000007E-6"/>
    <n v="4.2965999999999998"/>
    <n v="6.8848000000000003"/>
    <n v="8.2741000000000007"/>
    <n v="10.8192"/>
    <n v="8.0015000000000001"/>
    <s v="SROU03"/>
    <n v="10.8192"/>
    <n v="3"/>
    <n v="48"/>
    <n v="79"/>
    <n v="115"/>
    <b v="1"/>
  </r>
  <r>
    <x v="1"/>
    <x v="0"/>
    <x v="2"/>
    <n v="100"/>
    <x v="8"/>
    <s v="tree256_blurkernel7_15_100_102400"/>
    <n v="6.8496040000000002"/>
    <n v="18.692193"/>
    <n v="2.0195129999999999E-2"/>
    <n v="9.1050000000000001E-6"/>
    <n v="4.2447999999999997"/>
    <n v="3.9245999999999999"/>
    <n v="7.5519999999999996"/>
    <n v="10.187099999999999"/>
    <n v="7.9470999999999998"/>
    <s v="SROU03"/>
    <n v="10.187099999999999"/>
    <n v="3"/>
    <n v="47"/>
    <n v="77"/>
    <n v="112"/>
    <b v="1"/>
  </r>
  <r>
    <x v="1"/>
    <x v="0"/>
    <x v="3"/>
    <n v="100"/>
    <x v="8"/>
    <s v="tree256_blurkernel7_31_100_102400"/>
    <n v="4.3788450000000001"/>
    <n v="38.453963000000002"/>
    <n v="2.0391401E-2"/>
    <n v="9.1190000000000003E-6"/>
    <n v="4.2527999999999997"/>
    <n v="2.4199000000000002"/>
    <n v="7.5362999999999998"/>
    <n v="9.4572000000000003"/>
    <n v="7.9572000000000003"/>
    <s v="SROU03"/>
    <n v="9.4572000000000003"/>
    <n v="3"/>
    <n v="45"/>
    <n v="75"/>
    <n v="108"/>
    <b v="1"/>
  </r>
  <r>
    <x v="1"/>
    <x v="1"/>
    <x v="0"/>
    <n v="100"/>
    <x v="8"/>
    <s v="tree256_blurkernel8_3_100_102400"/>
    <n v="23.356788000000002"/>
    <n v="3.4504760000000001"/>
    <n v="2.0549615E-2"/>
    <n v="8.9900000000000003E-6"/>
    <n v="4.2202999999999999"/>
    <n v="12.2729"/>
    <n v="12.1975"/>
    <n v="19.115600000000001"/>
    <n v="7.9569999999999999"/>
    <s v="SROU03"/>
    <n v="19.115600000000001"/>
    <n v="3"/>
    <n v="65"/>
    <n v="107"/>
    <n v="155"/>
    <b v="1"/>
  </r>
  <r>
    <x v="1"/>
    <x v="1"/>
    <x v="1"/>
    <n v="100"/>
    <x v="8"/>
    <s v="tree256_blurkernel8_7_100_102400"/>
    <n v="12.512211000000001"/>
    <n v="8.5622740000000004"/>
    <n v="2.0285629999999999E-2"/>
    <n v="9.0270000000000001E-6"/>
    <n v="4.2622"/>
    <n v="6.9626000000000001"/>
    <n v="8.2623999999999995"/>
    <n v="13.9693"/>
    <n v="7.9375"/>
    <s v="SROU03"/>
    <n v="13.9693"/>
    <n v="3"/>
    <n v="54"/>
    <n v="90"/>
    <n v="130"/>
    <b v="1"/>
  </r>
  <r>
    <x v="1"/>
    <x v="1"/>
    <x v="2"/>
    <n v="100"/>
    <x v="8"/>
    <s v="tree256_blurkernel8_15_100_102400"/>
    <n v="7.9319620000000004"/>
    <n v="18.582943"/>
    <n v="2.0313819E-2"/>
    <n v="9.0769999999999997E-6"/>
    <n v="4.2484000000000002"/>
    <n v="4.1365999999999996"/>
    <n v="7.4333"/>
    <n v="11.612"/>
    <n v="7.9650999999999996"/>
    <s v="SROU03"/>
    <n v="11.612"/>
    <n v="3"/>
    <n v="50"/>
    <n v="82"/>
    <n v="119"/>
    <b v="1"/>
  </r>
  <r>
    <x v="1"/>
    <x v="1"/>
    <x v="3"/>
    <n v="100"/>
    <x v="8"/>
    <s v="tree256_blurkernel8_31_100_102400"/>
    <n v="5.2617320000000003"/>
    <n v="38.486086999999998"/>
    <n v="2.0244133000000001E-2"/>
    <n v="9.0450000000000006E-6"/>
    <n v="4.2530000000000001"/>
    <n v="2.5011000000000001"/>
    <n v="7.4889999999999999"/>
    <n v="10.0046"/>
    <n v="7.9828999999999999"/>
    <s v="SROU03"/>
    <n v="10.0046"/>
    <n v="3"/>
    <n v="46"/>
    <n v="77"/>
    <n v="111"/>
    <b v="1"/>
  </r>
  <r>
    <x v="1"/>
    <x v="2"/>
    <x v="0"/>
    <n v="100"/>
    <x v="8"/>
    <s v="tree256_line_3_100_102400"/>
    <n v="23.447576000000002"/>
    <n v="3.4291670000000001"/>
    <n v="2.0377134000000002E-2"/>
    <n v="9.0119999999999994E-6"/>
    <n v="4.2729999999999997"/>
    <n v="9.3496000000000006"/>
    <n v="9.9131"/>
    <n v="15.9277"/>
    <n v="7.9866000000000001"/>
    <s v="SROU03"/>
    <n v="15.9277"/>
    <n v="3"/>
    <n v="58"/>
    <n v="96"/>
    <n v="139"/>
    <b v="1"/>
  </r>
  <r>
    <x v="1"/>
    <x v="2"/>
    <x v="1"/>
    <n v="100"/>
    <x v="8"/>
    <s v="tree256_line_7_100_102400"/>
    <n v="13.506805"/>
    <n v="8.5454080000000001"/>
    <n v="2.0626967999999999E-2"/>
    <n v="9.1039999999999996E-6"/>
    <n v="4.2077"/>
    <n v="5.2510000000000003"/>
    <n v="8.0099"/>
    <n v="10.021599999999999"/>
    <n v="7.9120999999999997"/>
    <s v="SROU03"/>
    <n v="10.021599999999999"/>
    <n v="3"/>
    <n v="46"/>
    <n v="77"/>
    <n v="111"/>
    <b v="1"/>
  </r>
  <r>
    <x v="1"/>
    <x v="2"/>
    <x v="2"/>
    <n v="100"/>
    <x v="8"/>
    <s v="tree256_line_15_100_102400"/>
    <n v="9.0981310000000004"/>
    <n v="18.495647999999999"/>
    <n v="2.0331065999999998E-2"/>
    <n v="9.0939999999999997E-6"/>
    <n v="4.2647000000000004"/>
    <n v="3.2845"/>
    <n v="7.7567000000000004"/>
    <n v="7.8962000000000003"/>
    <n v="7.9333"/>
    <s v="BM3D"/>
    <n v="7.9333"/>
    <n v="1"/>
    <n v="101"/>
    <n v="42"/>
    <n v="41"/>
    <b v="0"/>
  </r>
  <r>
    <x v="1"/>
    <x v="2"/>
    <x v="3"/>
    <n v="100"/>
    <x v="8"/>
    <s v="tree256_line_31_100_102400"/>
    <n v="6.4537839999999997"/>
    <n v="38.288899000000001"/>
    <n v="2.0592921E-2"/>
    <n v="9.0899999999999994E-6"/>
    <n v="4.2199"/>
    <n v="2.3258000000000001"/>
    <n v="7.6714000000000002"/>
    <n v="6.5934999999999997"/>
    <n v="7.9249000000000001"/>
    <s v="BM3D"/>
    <n v="7.9249000000000001"/>
    <n v="1"/>
    <n v="101"/>
    <n v="42"/>
    <n v="41"/>
    <b v="1"/>
  </r>
  <r>
    <x v="4"/>
    <x v="4"/>
    <x v="4"/>
    <m/>
    <x v="9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3:F14" firstHeaderRow="1" firstDataRow="2" firstDataCol="1"/>
  <pivotFields count="22">
    <pivotField axis="axisCol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Average of BM3D" fld="14" subtotal="average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5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2">
  <location ref="A3:D14" firstHeaderRow="1" firstDataRow="2" firstDataCol="1"/>
  <pivotFields count="22">
    <pivotField showAll="0"/>
    <pivotField showAll="0"/>
    <pivotField showAll="0"/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2" subtotal="average" baseField="0" baseItem="0"/>
    <dataField name="Average of SROU03" fld="13" subtotal="average" baseField="0" baseItem="0"/>
    <dataField name="Average of BM3D" fld="14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6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3:D9" firstHeaderRow="1" firstDataRow="2" firstDataCol="1"/>
  <pivotFields count="22"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2" subtotal="average" baseField="0" baseItem="0"/>
    <dataField name="Average of SROU03" fld="13" subtotal="average" baseField="0" baseItem="0"/>
    <dataField name="Average of BM3D" fld="14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Average of TICO09" fld="12" subtotal="average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Average of SROU03" fld="13" subtotal="average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3" hier="-1"/>
    <pageField fld="1" item="3" hier="-1"/>
  </pageFields>
  <dataFields count="1">
    <dataField name="Max of BM3D" fld="14" subtotal="max" baseField="0" baseItem="0"/>
  </dataFields>
  <chartFormats count="9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N20:X26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BEST - color" fld="17" subtotal="max" baseField="2" baseItem="1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20:K26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B" fld="20" subtotal="max" baseField="2" baseItem="2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N4:X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G" fld="19" subtotal="max" baseField="2" baseItem="1"/>
  </dataField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4">
  <location ref="A4:K10" firstHeaderRow="1" firstDataRow="2" firstDataCol="1" rowPageCount="2" colPageCount="1"/>
  <pivotFields count="22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11">
        <item x="0"/>
        <item x="1"/>
        <item x="2"/>
        <item x="3"/>
        <item x="4"/>
        <item x="5"/>
        <item x="6"/>
        <item x="7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0" item="1" hier="-1"/>
    <pageField fld="1" item="3" hier="-1"/>
  </pageFields>
  <dataFields count="1">
    <dataField name="Max of R" fld="18" subtotal="max" baseField="2" baseItem="2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77"/>
  <sheetViews>
    <sheetView tabSelected="1" workbookViewId="0">
      <pane ySplit="1" topLeftCell="A2" activePane="bottomLeft" state="frozen"/>
      <selection pane="bottomLeft" activeCell="L11" sqref="L11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6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8.28515625" bestFit="1" customWidth="1"/>
    <col min="12" max="12" width="9.85546875" bestFit="1" customWidth="1"/>
    <col min="13" max="13" width="9.42578125" bestFit="1" customWidth="1"/>
    <col min="14" max="14" width="10.28515625" bestFit="1" customWidth="1"/>
    <col min="15" max="15" width="8.5703125" bestFit="1" customWidth="1"/>
    <col min="16" max="16" width="7.85546875" bestFit="1" customWidth="1"/>
    <col min="17" max="17" width="13.85546875" bestFit="1" customWidth="1"/>
    <col min="18" max="18" width="13.42578125" bestFit="1" customWidth="1"/>
    <col min="19" max="19" width="4.42578125" bestFit="1" customWidth="1"/>
    <col min="20" max="20" width="4.7109375" bestFit="1" customWidth="1"/>
    <col min="21" max="21" width="4.42578125" bestFit="1" customWidth="1"/>
    <col min="22" max="22" width="10.140625" bestFit="1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  <c r="P1" s="1" t="s">
        <v>23</v>
      </c>
      <c r="Q1" s="1" t="s">
        <v>47</v>
      </c>
      <c r="R1" s="1" t="s">
        <v>40</v>
      </c>
      <c r="S1" s="1" t="s">
        <v>44</v>
      </c>
      <c r="T1" s="1" t="s">
        <v>45</v>
      </c>
      <c r="U1" s="1" t="s">
        <v>46</v>
      </c>
      <c r="V1" s="1" t="s">
        <v>29</v>
      </c>
    </row>
    <row r="2" spans="1:22" x14ac:dyDescent="0.25">
      <c r="A2" t="s">
        <v>14</v>
      </c>
      <c r="B2" t="s">
        <v>15</v>
      </c>
      <c r="C2">
        <v>3</v>
      </c>
      <c r="D2">
        <v>100</v>
      </c>
      <c r="E2">
        <v>200</v>
      </c>
      <c r="F2" t="str">
        <f>A2&amp;"_"&amp;B2&amp;"_"&amp;C2&amp;"_"&amp;D2&amp;"_"&amp;E2</f>
        <v>lena256_blurkernel7_3_100_200</v>
      </c>
      <c r="G2">
        <f>IFERROR(VLOOKUP(F2,SROU03!$F:$H,2,FALSE),0)</f>
        <v>51.088417999999997</v>
      </c>
      <c r="H2">
        <f>IFERROR(VLOOKUP(F2,SROU03!$F:$H,3,FALSE),0)</f>
        <v>4.0541919999999996</v>
      </c>
      <c r="I2">
        <v>2.0869E-5</v>
      </c>
      <c r="J2">
        <v>9.4490000000000005E-6</v>
      </c>
      <c r="K2">
        <v>32.192900000000002</v>
      </c>
      <c r="L2">
        <v>18.027899999999999</v>
      </c>
      <c r="M2">
        <f>IFERROR(VLOOKUP(F2,TICO09!$F:$O,8,FALSE),0)</f>
        <v>20.9359</v>
      </c>
      <c r="N2">
        <f>IFERROR(VLOOKUP(F2,SROU03!$F:$O,9,FALSE),0)</f>
        <v>33.732100000000003</v>
      </c>
      <c r="O2">
        <v>34.8491</v>
      </c>
      <c r="P2" t="str">
        <f>IF((O2&gt;(MAX(M2,N2))),"BM3D",IF(N2&gt;(MAX(M2,O2)),"SROU03","TICO09"))</f>
        <v>BM3D</v>
      </c>
      <c r="Q2">
        <f>MAX(M2:O2)</f>
        <v>34.8491</v>
      </c>
      <c r="R2">
        <f>VLOOKUP(P2,'Color codes'!$A:$B,2,FALSE)</f>
        <v>1</v>
      </c>
      <c r="S2">
        <f>TRUNC(VLOOKUP(P2,'Color codes'!$A:$E,3,FALSE)*(0.25 + 0.75*Q2/40))</f>
        <v>230</v>
      </c>
      <c r="T2">
        <f>TRUNC(VLOOKUP(P2,'Color codes'!$A:$E,4,FALSE)*(0.25 + 0.75*Q2/40))</f>
        <v>96</v>
      </c>
      <c r="U2">
        <f>TRUNC(VLOOKUP(P2,'Color codes'!$A:$E,5,FALSE)*(0.25 + 0.75*Q2/40))</f>
        <v>93</v>
      </c>
      <c r="V2" t="b">
        <f>(ABS(N2-O2)  &gt; 1)</f>
        <v>1</v>
      </c>
    </row>
    <row r="3" spans="1:22" x14ac:dyDescent="0.25">
      <c r="A3" t="s">
        <v>14</v>
      </c>
      <c r="B3" t="s">
        <v>15</v>
      </c>
      <c r="C3">
        <v>3</v>
      </c>
      <c r="D3">
        <v>100</v>
      </c>
      <c r="E3">
        <v>400</v>
      </c>
      <c r="F3" t="str">
        <f t="shared" ref="F3:F58" si="0">A3&amp;"_"&amp;B3&amp;"_"&amp;C3&amp;"_"&amp;D3&amp;"_"&amp;E3</f>
        <v>lena256_blurkernel7_3_100_400</v>
      </c>
      <c r="G3">
        <f>IFERROR(VLOOKUP(F3,SROU03!$F:$H,2,FALSE),0)</f>
        <v>40.099708</v>
      </c>
      <c r="H3">
        <f>IFERROR(VLOOKUP(F3,SROU03!$F:$H,3,FALSE),0)</f>
        <v>3.7140599999999999</v>
      </c>
      <c r="I3">
        <v>4.3532999999999998E-5</v>
      </c>
      <c r="J3">
        <v>9.4490000000000005E-6</v>
      </c>
      <c r="K3">
        <v>29.004000000000001</v>
      </c>
      <c r="L3">
        <v>18.027899999999999</v>
      </c>
      <c r="M3">
        <f>IFERROR(VLOOKUP(F3,TICO09!$F:$O,8,FALSE),0)</f>
        <v>20.849499999999999</v>
      </c>
      <c r="N3">
        <f>IFERROR(VLOOKUP(F3,SROU03!$F:$O,9,FALSE),0)</f>
        <v>31.498899999999999</v>
      </c>
      <c r="O3">
        <v>32.284100000000002</v>
      </c>
      <c r="P3" t="str">
        <f t="shared" ref="P3:P58" si="1">IF((O3&gt;(MAX(M3,N3))),"BM3D",IF(N3&gt;(MAX(M3,O3)),"SROU03","TICO09"))</f>
        <v>BM3D</v>
      </c>
      <c r="Q3">
        <f t="shared" ref="Q3:Q66" si="2">MAX(M3:O3)</f>
        <v>32.284100000000002</v>
      </c>
      <c r="R3">
        <f>VLOOKUP(P3,'Color codes'!$A:$B,2,FALSE)</f>
        <v>1</v>
      </c>
      <c r="S3">
        <f>TRUNC(VLOOKUP(P3,'Color codes'!$A:$E,3,FALSE)*(0.25 + 0.75*Q3/40))</f>
        <v>218</v>
      </c>
      <c r="T3">
        <f>TRUNC(VLOOKUP(P3,'Color codes'!$A:$E,4,FALSE)*(0.25 + 0.75*Q3/40))</f>
        <v>91</v>
      </c>
      <c r="U3">
        <f>TRUNC(VLOOKUP(P3,'Color codes'!$A:$E,5,FALSE)*(0.25 + 0.75*Q3/40))</f>
        <v>88</v>
      </c>
      <c r="V3" t="b">
        <f t="shared" ref="V3:V66" si="3">(ABS(N3-O3)  &gt; 1)</f>
        <v>0</v>
      </c>
    </row>
    <row r="4" spans="1:22" x14ac:dyDescent="0.25">
      <c r="A4" t="s">
        <v>14</v>
      </c>
      <c r="B4" t="s">
        <v>15</v>
      </c>
      <c r="C4">
        <v>3</v>
      </c>
      <c r="D4">
        <v>100</v>
      </c>
      <c r="E4">
        <v>800</v>
      </c>
      <c r="F4" t="str">
        <f t="shared" si="0"/>
        <v>lena256_blurkernel7_3_100_800</v>
      </c>
      <c r="G4">
        <f>IFERROR(VLOOKUP(F4,SROU03!$F:$H,2,FALSE),0)</f>
        <v>33.409939999999999</v>
      </c>
      <c r="H4">
        <f>IFERROR(VLOOKUP(F4,SROU03!$F:$H,3,FALSE),0)</f>
        <v>3.5525910000000001</v>
      </c>
      <c r="I4">
        <v>8.9677000000000002E-5</v>
      </c>
      <c r="J4">
        <v>9.4490000000000005E-6</v>
      </c>
      <c r="K4">
        <v>25.869900000000001</v>
      </c>
      <c r="L4">
        <v>18.027899999999999</v>
      </c>
      <c r="M4">
        <f>IFERROR(VLOOKUP(F4,TICO09!$F:$O,8,FALSE),0)</f>
        <v>20.741399999999999</v>
      </c>
      <c r="N4">
        <f>IFERROR(VLOOKUP(F4,SROU03!$F:$O,9,FALSE),0)</f>
        <v>29.541699999999999</v>
      </c>
      <c r="O4">
        <v>29.7971</v>
      </c>
      <c r="P4" t="str">
        <f t="shared" si="1"/>
        <v>BM3D</v>
      </c>
      <c r="Q4">
        <f t="shared" si="2"/>
        <v>29.7971</v>
      </c>
      <c r="R4">
        <f>VLOOKUP(P4,'Color codes'!$A:$B,2,FALSE)</f>
        <v>1</v>
      </c>
      <c r="S4">
        <f>TRUNC(VLOOKUP(P4,'Color codes'!$A:$E,3,FALSE)*(0.25 + 0.75*Q4/40))</f>
        <v>206</v>
      </c>
      <c r="T4">
        <f>TRUNC(VLOOKUP(P4,'Color codes'!$A:$E,4,FALSE)*(0.25 + 0.75*Q4/40))</f>
        <v>86</v>
      </c>
      <c r="U4">
        <f>TRUNC(VLOOKUP(P4,'Color codes'!$A:$E,5,FALSE)*(0.25 + 0.75*Q4/40))</f>
        <v>84</v>
      </c>
      <c r="V4" t="b">
        <f t="shared" si="3"/>
        <v>0</v>
      </c>
    </row>
    <row r="5" spans="1:22" x14ac:dyDescent="0.25">
      <c r="A5" t="s">
        <v>14</v>
      </c>
      <c r="B5" t="s">
        <v>15</v>
      </c>
      <c r="C5">
        <v>3</v>
      </c>
      <c r="D5">
        <v>100</v>
      </c>
      <c r="E5">
        <v>1600</v>
      </c>
      <c r="F5" t="str">
        <f t="shared" si="0"/>
        <v>lena256_blurkernel7_3_100_1600</v>
      </c>
      <c r="G5">
        <f>IFERROR(VLOOKUP(F5,SROU03!$F:$H,2,FALSE),0)</f>
        <v>29.258907000000001</v>
      </c>
      <c r="H5">
        <f>IFERROR(VLOOKUP(F5,SROU03!$F:$H,3,FALSE),0)</f>
        <v>3.4914079999999998</v>
      </c>
      <c r="I5">
        <v>1.81478E-4</v>
      </c>
      <c r="J5">
        <v>9.4490000000000005E-6</v>
      </c>
      <c r="K5">
        <v>22.821100000000001</v>
      </c>
      <c r="L5">
        <v>18.027899999999999</v>
      </c>
      <c r="M5">
        <f>IFERROR(VLOOKUP(F5,TICO09!$F:$O,8,FALSE),0)</f>
        <v>20.5733</v>
      </c>
      <c r="N5">
        <f>IFERROR(VLOOKUP(F5,SROU03!$F:$O,9,FALSE),0)</f>
        <v>27.872699999999998</v>
      </c>
      <c r="O5">
        <v>27.527200000000001</v>
      </c>
      <c r="P5" t="str">
        <f t="shared" si="1"/>
        <v>SROU03</v>
      </c>
      <c r="Q5">
        <f t="shared" si="2"/>
        <v>27.872699999999998</v>
      </c>
      <c r="R5">
        <f>VLOOKUP(P5,'Color codes'!$A:$B,2,FALSE)</f>
        <v>3</v>
      </c>
      <c r="S5">
        <f>TRUNC(VLOOKUP(P5,'Color codes'!$A:$E,3,FALSE)*(0.25 + 0.75*Q5/40))</f>
        <v>82</v>
      </c>
      <c r="T5">
        <f>TRUNC(VLOOKUP(P5,'Color codes'!$A:$E,4,FALSE)*(0.25 + 0.75*Q5/40))</f>
        <v>135</v>
      </c>
      <c r="U5">
        <f>TRUNC(VLOOKUP(P5,'Color codes'!$A:$E,5,FALSE)*(0.25 + 0.75*Q5/40))</f>
        <v>197</v>
      </c>
      <c r="V5" t="b">
        <f t="shared" si="3"/>
        <v>0</v>
      </c>
    </row>
    <row r="6" spans="1:22" x14ac:dyDescent="0.25">
      <c r="A6" t="s">
        <v>14</v>
      </c>
      <c r="B6" t="s">
        <v>15</v>
      </c>
      <c r="C6">
        <v>3</v>
      </c>
      <c r="D6">
        <v>100</v>
      </c>
      <c r="E6">
        <v>3200</v>
      </c>
      <c r="F6" t="str">
        <f t="shared" si="0"/>
        <v>lena256_blurkernel7_3_100_3200</v>
      </c>
      <c r="G6">
        <f>IFERROR(VLOOKUP(F6,SROU03!$F:$H,2,FALSE),0)</f>
        <v>26.467836999999999</v>
      </c>
      <c r="H6">
        <f>IFERROR(VLOOKUP(F6,SROU03!$F:$H,3,FALSE),0)</f>
        <v>3.480413</v>
      </c>
      <c r="I6">
        <v>3.71016E-4</v>
      </c>
      <c r="J6">
        <v>9.4490000000000005E-6</v>
      </c>
      <c r="K6">
        <v>19.737400000000001</v>
      </c>
      <c r="L6">
        <v>18.027899999999999</v>
      </c>
      <c r="M6">
        <f>IFERROR(VLOOKUP(F6,TICO09!$F:$O,8,FALSE),0)</f>
        <v>20.231300000000001</v>
      </c>
      <c r="N6">
        <f>IFERROR(VLOOKUP(F6,SROU03!$F:$O,9,FALSE),0)</f>
        <v>26.278700000000001</v>
      </c>
      <c r="O6">
        <v>25.249700000000001</v>
      </c>
      <c r="P6" t="str">
        <f t="shared" si="1"/>
        <v>SROU03</v>
      </c>
      <c r="Q6">
        <f t="shared" si="2"/>
        <v>26.278700000000001</v>
      </c>
      <c r="R6">
        <f>VLOOKUP(P6,'Color codes'!$A:$B,2,FALSE)</f>
        <v>3</v>
      </c>
      <c r="S6">
        <f>TRUNC(VLOOKUP(P6,'Color codes'!$A:$E,3,FALSE)*(0.25 + 0.75*Q6/40))</f>
        <v>79</v>
      </c>
      <c r="T6">
        <f>TRUNC(VLOOKUP(P6,'Color codes'!$A:$E,4,FALSE)*(0.25 + 0.75*Q6/40))</f>
        <v>130</v>
      </c>
      <c r="U6">
        <f>TRUNC(VLOOKUP(P6,'Color codes'!$A:$E,5,FALSE)*(0.25 + 0.75*Q6/40))</f>
        <v>189</v>
      </c>
      <c r="V6" t="b">
        <f t="shared" si="3"/>
        <v>1</v>
      </c>
    </row>
    <row r="7" spans="1:22" x14ac:dyDescent="0.25">
      <c r="A7" t="s">
        <v>14</v>
      </c>
      <c r="B7" t="s">
        <v>15</v>
      </c>
      <c r="C7">
        <v>3</v>
      </c>
      <c r="D7">
        <v>100</v>
      </c>
      <c r="E7">
        <v>6400</v>
      </c>
      <c r="F7" t="str">
        <f t="shared" si="0"/>
        <v>lena256_blurkernel7_3_100_6400</v>
      </c>
      <c r="G7">
        <f>IFERROR(VLOOKUP(F7,SROU03!$F:$H,2,FALSE),0)</f>
        <v>24.439585000000001</v>
      </c>
      <c r="H7">
        <f>IFERROR(VLOOKUP(F7,SROU03!$F:$H,3,FALSE),0)</f>
        <v>3.4932940000000001</v>
      </c>
      <c r="I7">
        <v>7.6508399999999997E-4</v>
      </c>
      <c r="J7">
        <v>9.4490000000000005E-6</v>
      </c>
      <c r="K7">
        <v>16.645700000000001</v>
      </c>
      <c r="L7">
        <v>18.027899999999999</v>
      </c>
      <c r="M7">
        <f>IFERROR(VLOOKUP(F7,TICO09!$F:$O,8,FALSE),0)</f>
        <v>19.896100000000001</v>
      </c>
      <c r="N7">
        <f>IFERROR(VLOOKUP(F7,SROU03!$F:$O,9,FALSE),0)</f>
        <v>25.039899999999999</v>
      </c>
      <c r="O7">
        <v>22.936399999999999</v>
      </c>
      <c r="P7" t="str">
        <f t="shared" si="1"/>
        <v>SROU03</v>
      </c>
      <c r="Q7">
        <f t="shared" si="2"/>
        <v>25.039899999999999</v>
      </c>
      <c r="R7">
        <f>VLOOKUP(P7,'Color codes'!$A:$B,2,FALSE)</f>
        <v>3</v>
      </c>
      <c r="S7">
        <f>TRUNC(VLOOKUP(P7,'Color codes'!$A:$E,3,FALSE)*(0.25 + 0.75*Q7/40))</f>
        <v>76</v>
      </c>
      <c r="T7">
        <f>TRUNC(VLOOKUP(P7,'Color codes'!$A:$E,4,FALSE)*(0.25 + 0.75*Q7/40))</f>
        <v>126</v>
      </c>
      <c r="U7">
        <f>TRUNC(VLOOKUP(P7,'Color codes'!$A:$E,5,FALSE)*(0.25 + 0.75*Q7/40))</f>
        <v>183</v>
      </c>
      <c r="V7" t="b">
        <f t="shared" si="3"/>
        <v>1</v>
      </c>
    </row>
    <row r="8" spans="1:22" x14ac:dyDescent="0.25">
      <c r="A8" t="s">
        <v>14</v>
      </c>
      <c r="B8" t="s">
        <v>15</v>
      </c>
      <c r="C8">
        <v>3</v>
      </c>
      <c r="D8">
        <v>100</v>
      </c>
      <c r="E8">
        <v>12800</v>
      </c>
      <c r="F8" t="str">
        <f t="shared" si="0"/>
        <v>lena256_blurkernel7_3_100_12800</v>
      </c>
      <c r="G8">
        <f>IFERROR(VLOOKUP(F8,SROU03!$F:$H,2,FALSE),0)</f>
        <v>22.925008999999999</v>
      </c>
      <c r="H8">
        <f>IFERROR(VLOOKUP(F8,SROU03!$F:$H,3,FALSE),0)</f>
        <v>3.5138210000000001</v>
      </c>
      <c r="I8">
        <v>1.61758E-3</v>
      </c>
      <c r="J8">
        <v>9.4490000000000005E-6</v>
      </c>
      <c r="K8">
        <v>13.5139</v>
      </c>
      <c r="L8">
        <v>18.027899999999999</v>
      </c>
      <c r="M8">
        <f>IFERROR(VLOOKUP(F8,TICO09!$F:$O,8,FALSE),0)</f>
        <v>19.3005</v>
      </c>
      <c r="N8">
        <f>IFERROR(VLOOKUP(F8,SROU03!$F:$O,9,FALSE),0)</f>
        <v>24.224900000000002</v>
      </c>
      <c r="O8">
        <v>20.715399999999999</v>
      </c>
      <c r="P8" t="str">
        <f t="shared" si="1"/>
        <v>SROU03</v>
      </c>
      <c r="Q8">
        <f t="shared" si="2"/>
        <v>24.224900000000002</v>
      </c>
      <c r="R8">
        <f>VLOOKUP(P8,'Color codes'!$A:$B,2,FALSE)</f>
        <v>3</v>
      </c>
      <c r="S8">
        <f>TRUNC(VLOOKUP(P8,'Color codes'!$A:$E,3,FALSE)*(0.25 + 0.75*Q8/40))</f>
        <v>75</v>
      </c>
      <c r="T8">
        <f>TRUNC(VLOOKUP(P8,'Color codes'!$A:$E,4,FALSE)*(0.25 + 0.75*Q8/40))</f>
        <v>123</v>
      </c>
      <c r="U8">
        <f>TRUNC(VLOOKUP(P8,'Color codes'!$A:$E,5,FALSE)*(0.25 + 0.75*Q8/40))</f>
        <v>179</v>
      </c>
      <c r="V8" t="b">
        <f t="shared" si="3"/>
        <v>1</v>
      </c>
    </row>
    <row r="9" spans="1:22" x14ac:dyDescent="0.25">
      <c r="A9" t="s">
        <v>14</v>
      </c>
      <c r="B9" t="s">
        <v>15</v>
      </c>
      <c r="C9">
        <v>3</v>
      </c>
      <c r="D9">
        <v>100</v>
      </c>
      <c r="E9">
        <v>25600</v>
      </c>
      <c r="F9" t="str">
        <f t="shared" si="0"/>
        <v>lena256_blurkernel7_3_100_25600</v>
      </c>
      <c r="G9">
        <f>IFERROR(VLOOKUP(F9,SROU03!$F:$H,2,FALSE),0)</f>
        <v>21.991959000000001</v>
      </c>
      <c r="H9">
        <f>IFERROR(VLOOKUP(F9,SROU03!$F:$H,3,FALSE),0)</f>
        <v>3.529242</v>
      </c>
      <c r="I9">
        <v>3.5791439999999998E-3</v>
      </c>
      <c r="J9">
        <v>9.4490000000000005E-6</v>
      </c>
      <c r="K9">
        <v>10.270899999999999</v>
      </c>
      <c r="L9">
        <v>18.027899999999999</v>
      </c>
      <c r="M9">
        <f>IFERROR(VLOOKUP(F9,TICO09!$F:$O,8,FALSE),0)</f>
        <v>18.573799999999999</v>
      </c>
      <c r="N9">
        <f>IFERROR(VLOOKUP(F9,SROU03!$F:$O,9,FALSE),0)</f>
        <v>23.292200000000001</v>
      </c>
      <c r="O9">
        <v>18.4175</v>
      </c>
      <c r="P9" t="str">
        <f t="shared" si="1"/>
        <v>SROU03</v>
      </c>
      <c r="Q9">
        <f t="shared" si="2"/>
        <v>23.292200000000001</v>
      </c>
      <c r="R9">
        <f>VLOOKUP(P9,'Color codes'!$A:$B,2,FALSE)</f>
        <v>3</v>
      </c>
      <c r="S9">
        <f>TRUNC(VLOOKUP(P9,'Color codes'!$A:$E,3,FALSE)*(0.25 + 0.75*Q9/40))</f>
        <v>73</v>
      </c>
      <c r="T9">
        <f>TRUNC(VLOOKUP(P9,'Color codes'!$A:$E,4,FALSE)*(0.25 + 0.75*Q9/40))</f>
        <v>120</v>
      </c>
      <c r="U9">
        <f>TRUNC(VLOOKUP(P9,'Color codes'!$A:$E,5,FALSE)*(0.25 + 0.75*Q9/40))</f>
        <v>175</v>
      </c>
      <c r="V9" t="b">
        <f t="shared" si="3"/>
        <v>1</v>
      </c>
    </row>
    <row r="10" spans="1:22" x14ac:dyDescent="0.25">
      <c r="A10" t="s">
        <v>14</v>
      </c>
      <c r="B10" t="s">
        <v>15</v>
      </c>
      <c r="C10">
        <v>7</v>
      </c>
      <c r="D10">
        <v>100</v>
      </c>
      <c r="E10">
        <v>200</v>
      </c>
      <c r="F10" t="str">
        <f t="shared" si="0"/>
        <v>lena256_blurkernel7_7_100_200</v>
      </c>
      <c r="G10">
        <f>IFERROR(VLOOKUP(F10,SROU03!$F:$H,2,FALSE),0)</f>
        <v>45.617646000000001</v>
      </c>
      <c r="H10">
        <f>IFERROR(VLOOKUP(F10,SROU03!$F:$H,3,FALSE),0)</f>
        <v>10.621981999999999</v>
      </c>
      <c r="I10">
        <v>2.0894999999999999E-5</v>
      </c>
      <c r="J10">
        <v>9.465E-6</v>
      </c>
      <c r="K10">
        <v>32.189100000000003</v>
      </c>
      <c r="L10">
        <v>12.1751</v>
      </c>
      <c r="M10">
        <f>IFERROR(VLOOKUP(F10,TICO09!$F:$O,8,FALSE),0)</f>
        <v>21.008700000000001</v>
      </c>
      <c r="N10">
        <f>IFERROR(VLOOKUP(F10,SROU03!$F:$O,9,FALSE),0)</f>
        <v>32.9056</v>
      </c>
      <c r="O10">
        <v>34.855600000000003</v>
      </c>
      <c r="P10" t="str">
        <f t="shared" si="1"/>
        <v>BM3D</v>
      </c>
      <c r="Q10">
        <f t="shared" si="2"/>
        <v>34.855600000000003</v>
      </c>
      <c r="R10">
        <f>VLOOKUP(P10,'Color codes'!$A:$B,2,FALSE)</f>
        <v>1</v>
      </c>
      <c r="S10">
        <f>TRUNC(VLOOKUP(P10,'Color codes'!$A:$E,3,FALSE)*(0.25 + 0.75*Q10/40))</f>
        <v>230</v>
      </c>
      <c r="T10">
        <f>TRUNC(VLOOKUP(P10,'Color codes'!$A:$E,4,FALSE)*(0.25 + 0.75*Q10/40))</f>
        <v>96</v>
      </c>
      <c r="U10">
        <f>TRUNC(VLOOKUP(P10,'Color codes'!$A:$E,5,FALSE)*(0.25 + 0.75*Q10/40))</f>
        <v>93</v>
      </c>
      <c r="V10" t="b">
        <f t="shared" si="3"/>
        <v>1</v>
      </c>
    </row>
    <row r="11" spans="1:22" x14ac:dyDescent="0.25">
      <c r="A11" t="s">
        <v>14</v>
      </c>
      <c r="B11" t="s">
        <v>15</v>
      </c>
      <c r="C11">
        <v>7</v>
      </c>
      <c r="D11">
        <v>100</v>
      </c>
      <c r="E11">
        <v>400</v>
      </c>
      <c r="F11" t="str">
        <f t="shared" si="0"/>
        <v>lena256_blurkernel7_7_100_400</v>
      </c>
      <c r="G11">
        <f>IFERROR(VLOOKUP(F11,SROU03!$F:$H,2,FALSE),0)</f>
        <v>33.174968</v>
      </c>
      <c r="H11">
        <f>IFERROR(VLOOKUP(F11,SROU03!$F:$H,3,FALSE),0)</f>
        <v>9.7244229999999998</v>
      </c>
      <c r="I11">
        <v>4.3393000000000003E-5</v>
      </c>
      <c r="J11">
        <v>9.465E-6</v>
      </c>
      <c r="K11">
        <v>29.0167</v>
      </c>
      <c r="L11">
        <v>12.1751</v>
      </c>
      <c r="M11">
        <f>IFERROR(VLOOKUP(F11,TICO09!$F:$O,8,FALSE),0)</f>
        <v>20.866199999999999</v>
      </c>
      <c r="N11">
        <f>IFERROR(VLOOKUP(F11,SROU03!$F:$O,9,FALSE),0)</f>
        <v>30.267600000000002</v>
      </c>
      <c r="O11">
        <v>32.252499999999998</v>
      </c>
      <c r="P11" t="str">
        <f t="shared" si="1"/>
        <v>BM3D</v>
      </c>
      <c r="Q11">
        <f t="shared" si="2"/>
        <v>32.252499999999998</v>
      </c>
      <c r="R11">
        <f>VLOOKUP(P11,'Color codes'!$A:$B,2,FALSE)</f>
        <v>1</v>
      </c>
      <c r="S11">
        <f>TRUNC(VLOOKUP(P11,'Color codes'!$A:$E,3,FALSE)*(0.25 + 0.75*Q11/40))</f>
        <v>217</v>
      </c>
      <c r="T11">
        <f>TRUNC(VLOOKUP(P11,'Color codes'!$A:$E,4,FALSE)*(0.25 + 0.75*Q11/40))</f>
        <v>91</v>
      </c>
      <c r="U11">
        <f>TRUNC(VLOOKUP(P11,'Color codes'!$A:$E,5,FALSE)*(0.25 + 0.75*Q11/40))</f>
        <v>88</v>
      </c>
      <c r="V11" t="b">
        <f t="shared" si="3"/>
        <v>1</v>
      </c>
    </row>
    <row r="12" spans="1:22" x14ac:dyDescent="0.25">
      <c r="A12" t="s">
        <v>14</v>
      </c>
      <c r="B12" t="s">
        <v>15</v>
      </c>
      <c r="C12">
        <v>7</v>
      </c>
      <c r="D12">
        <v>100</v>
      </c>
      <c r="E12">
        <v>800</v>
      </c>
      <c r="F12" t="str">
        <f t="shared" si="0"/>
        <v>lena256_blurkernel7_7_100_800</v>
      </c>
      <c r="G12">
        <f>IFERROR(VLOOKUP(F12,SROU03!$F:$H,2,FALSE),0)</f>
        <v>25.014641000000001</v>
      </c>
      <c r="H12">
        <f>IFERROR(VLOOKUP(F12,SROU03!$F:$H,3,FALSE),0)</f>
        <v>9.2641299999999998</v>
      </c>
      <c r="I12">
        <v>8.8660999999999997E-5</v>
      </c>
      <c r="J12">
        <v>9.465E-6</v>
      </c>
      <c r="K12">
        <v>25.9177</v>
      </c>
      <c r="L12">
        <v>12.1751</v>
      </c>
      <c r="M12">
        <f>IFERROR(VLOOKUP(F12,TICO09!$F:$O,8,FALSE),0)</f>
        <v>20.6646</v>
      </c>
      <c r="N12">
        <f>IFERROR(VLOOKUP(F12,SROU03!$F:$O,9,FALSE),0)</f>
        <v>27.921900000000001</v>
      </c>
      <c r="O12">
        <v>29.849299999999999</v>
      </c>
      <c r="P12" t="str">
        <f t="shared" si="1"/>
        <v>BM3D</v>
      </c>
      <c r="Q12">
        <f t="shared" si="2"/>
        <v>29.849299999999999</v>
      </c>
      <c r="R12">
        <f>VLOOKUP(P12,'Color codes'!$A:$B,2,FALSE)</f>
        <v>1</v>
      </c>
      <c r="S12">
        <f>TRUNC(VLOOKUP(P12,'Color codes'!$A:$E,3,FALSE)*(0.25 + 0.75*Q12/40))</f>
        <v>206</v>
      </c>
      <c r="T12">
        <f>TRUNC(VLOOKUP(P12,'Color codes'!$A:$E,4,FALSE)*(0.25 + 0.75*Q12/40))</f>
        <v>86</v>
      </c>
      <c r="U12">
        <f>TRUNC(VLOOKUP(P12,'Color codes'!$A:$E,5,FALSE)*(0.25 + 0.75*Q12/40))</f>
        <v>84</v>
      </c>
      <c r="V12" t="b">
        <f t="shared" si="3"/>
        <v>1</v>
      </c>
    </row>
    <row r="13" spans="1:22" x14ac:dyDescent="0.25">
      <c r="A13" t="s">
        <v>14</v>
      </c>
      <c r="B13" t="s">
        <v>15</v>
      </c>
      <c r="C13">
        <v>7</v>
      </c>
      <c r="D13">
        <v>100</v>
      </c>
      <c r="E13">
        <v>1600</v>
      </c>
      <c r="F13" t="str">
        <f t="shared" si="0"/>
        <v>lena256_blurkernel7_7_100_1600</v>
      </c>
      <c r="G13">
        <f>IFERROR(VLOOKUP(F13,SROU03!$F:$H,2,FALSE),0)</f>
        <v>19.888926999999999</v>
      </c>
      <c r="H13">
        <f>IFERROR(VLOOKUP(F13,SROU03!$F:$H,3,FALSE),0)</f>
        <v>9.0479149999999997</v>
      </c>
      <c r="I13">
        <v>1.8119800000000001E-4</v>
      </c>
      <c r="J13">
        <v>9.465E-6</v>
      </c>
      <c r="K13">
        <v>22.8264</v>
      </c>
      <c r="L13">
        <v>12.1751</v>
      </c>
      <c r="M13">
        <f>IFERROR(VLOOKUP(F13,TICO09!$F:$O,8,FALSE),0)</f>
        <v>20.310500000000001</v>
      </c>
      <c r="N13">
        <f>IFERROR(VLOOKUP(F13,SROU03!$F:$O,9,FALSE),0)</f>
        <v>25.756399999999999</v>
      </c>
      <c r="O13">
        <v>27.491800000000001</v>
      </c>
      <c r="P13" t="str">
        <f t="shared" si="1"/>
        <v>BM3D</v>
      </c>
      <c r="Q13">
        <f t="shared" si="2"/>
        <v>27.491800000000001</v>
      </c>
      <c r="R13">
        <f>VLOOKUP(P13,'Color codes'!$A:$B,2,FALSE)</f>
        <v>1</v>
      </c>
      <c r="S13">
        <f>TRUNC(VLOOKUP(P13,'Color codes'!$A:$E,3,FALSE)*(0.25 + 0.75*Q13/40))</f>
        <v>195</v>
      </c>
      <c r="T13">
        <f>TRUNC(VLOOKUP(P13,'Color codes'!$A:$E,4,FALSE)*(0.25 + 0.75*Q13/40))</f>
        <v>81</v>
      </c>
      <c r="U13">
        <f>TRUNC(VLOOKUP(P13,'Color codes'!$A:$E,5,FALSE)*(0.25 + 0.75*Q13/40))</f>
        <v>79</v>
      </c>
      <c r="V13" t="b">
        <f t="shared" si="3"/>
        <v>1</v>
      </c>
    </row>
    <row r="14" spans="1:22" x14ac:dyDescent="0.25">
      <c r="A14" t="s">
        <v>14</v>
      </c>
      <c r="B14" t="s">
        <v>15</v>
      </c>
      <c r="C14">
        <v>7</v>
      </c>
      <c r="D14">
        <v>100</v>
      </c>
      <c r="E14">
        <v>3200</v>
      </c>
      <c r="F14" t="str">
        <f t="shared" si="0"/>
        <v>lena256_blurkernel7_7_100_3200</v>
      </c>
      <c r="G14">
        <f>IFERROR(VLOOKUP(F14,SROU03!$F:$H,2,FALSE),0)</f>
        <v>16.724065</v>
      </c>
      <c r="H14">
        <f>IFERROR(VLOOKUP(F14,SROU03!$F:$H,3,FALSE),0)</f>
        <v>8.9494620000000005</v>
      </c>
      <c r="I14">
        <v>3.6665800000000001E-4</v>
      </c>
      <c r="J14">
        <v>9.465E-6</v>
      </c>
      <c r="K14">
        <v>19.794899999999998</v>
      </c>
      <c r="L14">
        <v>12.1751</v>
      </c>
      <c r="M14">
        <f>IFERROR(VLOOKUP(F14,TICO09!$F:$O,8,FALSE),0)</f>
        <v>19.773900000000001</v>
      </c>
      <c r="N14">
        <f>IFERROR(VLOOKUP(F14,SROU03!$F:$O,9,FALSE),0)</f>
        <v>23.9419</v>
      </c>
      <c r="O14">
        <v>25.2683</v>
      </c>
      <c r="P14" t="str">
        <f t="shared" si="1"/>
        <v>BM3D</v>
      </c>
      <c r="Q14">
        <f t="shared" si="2"/>
        <v>25.2683</v>
      </c>
      <c r="R14">
        <f>VLOOKUP(P14,'Color codes'!$A:$B,2,FALSE)</f>
        <v>1</v>
      </c>
      <c r="S14">
        <f>TRUNC(VLOOKUP(P14,'Color codes'!$A:$E,3,FALSE)*(0.25 + 0.75*Q14/40))</f>
        <v>184</v>
      </c>
      <c r="T14">
        <f>TRUNC(VLOOKUP(P14,'Color codes'!$A:$E,4,FALSE)*(0.25 + 0.75*Q14/40))</f>
        <v>77</v>
      </c>
      <c r="U14">
        <f>TRUNC(VLOOKUP(P14,'Color codes'!$A:$E,5,FALSE)*(0.25 + 0.75*Q14/40))</f>
        <v>75</v>
      </c>
      <c r="V14" t="b">
        <f t="shared" si="3"/>
        <v>1</v>
      </c>
    </row>
    <row r="15" spans="1:22" x14ac:dyDescent="0.25">
      <c r="A15" t="s">
        <v>14</v>
      </c>
      <c r="B15" t="s">
        <v>15</v>
      </c>
      <c r="C15">
        <v>7</v>
      </c>
      <c r="D15">
        <v>100</v>
      </c>
      <c r="E15">
        <v>6400</v>
      </c>
      <c r="F15" t="str">
        <f t="shared" si="0"/>
        <v>lena256_blurkernel7_7_100_6400</v>
      </c>
      <c r="G15">
        <f>IFERROR(VLOOKUP(F15,SROU03!$F:$H,2,FALSE),0)</f>
        <v>14.665209000000001</v>
      </c>
      <c r="H15">
        <f>IFERROR(VLOOKUP(F15,SROU03!$F:$H,3,FALSE),0)</f>
        <v>8.9061990000000009</v>
      </c>
      <c r="I15">
        <v>7.6645599999999999E-4</v>
      </c>
      <c r="J15">
        <v>9.465E-6</v>
      </c>
      <c r="K15">
        <v>16.6326</v>
      </c>
      <c r="L15">
        <v>12.1751</v>
      </c>
      <c r="M15">
        <f>IFERROR(VLOOKUP(F15,TICO09!$F:$O,8,FALSE),0)</f>
        <v>18.9621</v>
      </c>
      <c r="N15">
        <f>IFERROR(VLOOKUP(F15,SROU03!$F:$O,9,FALSE),0)</f>
        <v>22.271599999999999</v>
      </c>
      <c r="O15">
        <v>22.9604</v>
      </c>
      <c r="P15" t="str">
        <f t="shared" si="1"/>
        <v>BM3D</v>
      </c>
      <c r="Q15">
        <f t="shared" si="2"/>
        <v>22.9604</v>
      </c>
      <c r="R15">
        <f>VLOOKUP(P15,'Color codes'!$A:$B,2,FALSE)</f>
        <v>1</v>
      </c>
      <c r="S15">
        <f>TRUNC(VLOOKUP(P15,'Color codes'!$A:$E,3,FALSE)*(0.25 + 0.75*Q15/40))</f>
        <v>173</v>
      </c>
      <c r="T15">
        <f>TRUNC(VLOOKUP(P15,'Color codes'!$A:$E,4,FALSE)*(0.25 + 0.75*Q15/40))</f>
        <v>72</v>
      </c>
      <c r="U15">
        <f>TRUNC(VLOOKUP(P15,'Color codes'!$A:$E,5,FALSE)*(0.25 + 0.75*Q15/40))</f>
        <v>70</v>
      </c>
      <c r="V15" t="b">
        <f t="shared" si="3"/>
        <v>0</v>
      </c>
    </row>
    <row r="16" spans="1:22" x14ac:dyDescent="0.25">
      <c r="A16" t="s">
        <v>14</v>
      </c>
      <c r="B16" t="s">
        <v>15</v>
      </c>
      <c r="C16">
        <v>7</v>
      </c>
      <c r="D16">
        <v>100</v>
      </c>
      <c r="E16">
        <v>12800</v>
      </c>
      <c r="F16" t="str">
        <f t="shared" si="0"/>
        <v>lena256_blurkernel7_7_100_12800</v>
      </c>
      <c r="G16">
        <f>IFERROR(VLOOKUP(F16,SROU03!$F:$H,2,FALSE),0)</f>
        <v>13.259009000000001</v>
      </c>
      <c r="H16">
        <f>IFERROR(VLOOKUP(F16,SROU03!$F:$H,3,FALSE),0)</f>
        <v>8.9016900000000003</v>
      </c>
      <c r="I16">
        <v>1.607271E-3</v>
      </c>
      <c r="J16">
        <v>9.465E-6</v>
      </c>
      <c r="K16">
        <v>13.521000000000001</v>
      </c>
      <c r="L16">
        <v>12.1751</v>
      </c>
      <c r="M16">
        <f>IFERROR(VLOOKUP(F16,TICO09!$F:$O,8,FALSE),0)</f>
        <v>17.9054</v>
      </c>
      <c r="N16">
        <f>IFERROR(VLOOKUP(F16,SROU03!$F:$O,9,FALSE),0)</f>
        <v>20.7056</v>
      </c>
      <c r="O16">
        <v>20.834800000000001</v>
      </c>
      <c r="P16" t="str">
        <f t="shared" si="1"/>
        <v>BM3D</v>
      </c>
      <c r="Q16">
        <f t="shared" si="2"/>
        <v>20.834800000000001</v>
      </c>
      <c r="R16">
        <f>VLOOKUP(P16,'Color codes'!$A:$B,2,FALSE)</f>
        <v>1</v>
      </c>
      <c r="S16">
        <f>TRUNC(VLOOKUP(P16,'Color codes'!$A:$E,3,FALSE)*(0.25 + 0.75*Q16/40))</f>
        <v>163</v>
      </c>
      <c r="T16">
        <f>TRUNC(VLOOKUP(P16,'Color codes'!$A:$E,4,FALSE)*(0.25 + 0.75*Q16/40))</f>
        <v>68</v>
      </c>
      <c r="U16">
        <f>TRUNC(VLOOKUP(P16,'Color codes'!$A:$E,5,FALSE)*(0.25 + 0.75*Q16/40))</f>
        <v>66</v>
      </c>
      <c r="V16" t="b">
        <f t="shared" si="3"/>
        <v>0</v>
      </c>
    </row>
    <row r="17" spans="1:22" x14ac:dyDescent="0.25">
      <c r="A17" t="s">
        <v>14</v>
      </c>
      <c r="B17" t="s">
        <v>15</v>
      </c>
      <c r="C17">
        <v>7</v>
      </c>
      <c r="D17">
        <v>100</v>
      </c>
      <c r="E17">
        <v>25600</v>
      </c>
      <c r="F17" t="str">
        <f t="shared" si="0"/>
        <v>lena256_blurkernel7_7_100_25600</v>
      </c>
      <c r="G17">
        <f>IFERROR(VLOOKUP(F17,SROU03!$F:$H,2,FALSE),0)</f>
        <v>12.071282</v>
      </c>
      <c r="H17">
        <f>IFERROR(VLOOKUP(F17,SROU03!$F:$H,3,FALSE),0)</f>
        <v>8.9207450000000001</v>
      </c>
      <c r="I17">
        <v>3.5810490000000002E-3</v>
      </c>
      <c r="J17">
        <v>9.465E-6</v>
      </c>
      <c r="K17">
        <v>10.2706</v>
      </c>
      <c r="L17">
        <v>12.1751</v>
      </c>
      <c r="M17">
        <f>IFERROR(VLOOKUP(F17,TICO09!$F:$O,8,FALSE),0)</f>
        <v>16.534800000000001</v>
      </c>
      <c r="N17">
        <f>IFERROR(VLOOKUP(F17,SROU03!$F:$O,9,FALSE),0)</f>
        <v>18.921600000000002</v>
      </c>
      <c r="O17">
        <v>18.373200000000001</v>
      </c>
      <c r="P17" t="str">
        <f t="shared" si="1"/>
        <v>SROU03</v>
      </c>
      <c r="Q17">
        <f t="shared" si="2"/>
        <v>18.921600000000002</v>
      </c>
      <c r="R17">
        <f>VLOOKUP(P17,'Color codes'!$A:$B,2,FALSE)</f>
        <v>3</v>
      </c>
      <c r="S17">
        <f>TRUNC(VLOOKUP(P17,'Color codes'!$A:$E,3,FALSE)*(0.25 + 0.75*Q17/40))</f>
        <v>64</v>
      </c>
      <c r="T17">
        <f>TRUNC(VLOOKUP(P17,'Color codes'!$A:$E,4,FALSE)*(0.25 + 0.75*Q17/40))</f>
        <v>106</v>
      </c>
      <c r="U17">
        <f>TRUNC(VLOOKUP(P17,'Color codes'!$A:$E,5,FALSE)*(0.25 + 0.75*Q17/40))</f>
        <v>154</v>
      </c>
      <c r="V17" t="b">
        <f t="shared" si="3"/>
        <v>0</v>
      </c>
    </row>
    <row r="18" spans="1:22" x14ac:dyDescent="0.25">
      <c r="A18" t="s">
        <v>14</v>
      </c>
      <c r="B18" t="s">
        <v>15</v>
      </c>
      <c r="C18">
        <v>15</v>
      </c>
      <c r="D18">
        <v>100</v>
      </c>
      <c r="E18">
        <v>200</v>
      </c>
      <c r="F18" t="str">
        <f t="shared" si="0"/>
        <v>lena256_blurkernel7_15_100_200</v>
      </c>
      <c r="G18">
        <f>IFERROR(VLOOKUP(F18,SROU03!$F:$H,2,FALSE),0)</f>
        <v>44.493639999999999</v>
      </c>
      <c r="H18">
        <f>IFERROR(VLOOKUP(F18,SROU03!$F:$H,3,FALSE),0)</f>
        <v>23.274025000000002</v>
      </c>
      <c r="I18">
        <v>2.0761999999999999E-5</v>
      </c>
      <c r="J18">
        <v>9.4669999999999993E-6</v>
      </c>
      <c r="K18">
        <v>32.216799999999999</v>
      </c>
      <c r="L18">
        <v>8.2094000000000005</v>
      </c>
      <c r="M18">
        <f>IFERROR(VLOOKUP(F18,TICO09!$F:$O,8,FALSE),0)</f>
        <v>21.866199999999999</v>
      </c>
      <c r="N18">
        <f>IFERROR(VLOOKUP(F18,SROU03!$F:$O,9,FALSE),0)</f>
        <v>32.707099999999997</v>
      </c>
      <c r="O18">
        <v>34.808300000000003</v>
      </c>
      <c r="P18" t="str">
        <f t="shared" si="1"/>
        <v>BM3D</v>
      </c>
      <c r="Q18">
        <f t="shared" si="2"/>
        <v>34.808300000000003</v>
      </c>
      <c r="R18">
        <f>VLOOKUP(P18,'Color codes'!$A:$B,2,FALSE)</f>
        <v>1</v>
      </c>
      <c r="S18">
        <f>TRUNC(VLOOKUP(P18,'Color codes'!$A:$E,3,FALSE)*(0.25 + 0.75*Q18/40))</f>
        <v>230</v>
      </c>
      <c r="T18">
        <f>TRUNC(VLOOKUP(P18,'Color codes'!$A:$E,4,FALSE)*(0.25 + 0.75*Q18/40))</f>
        <v>96</v>
      </c>
      <c r="U18">
        <f>TRUNC(VLOOKUP(P18,'Color codes'!$A:$E,5,FALSE)*(0.25 + 0.75*Q18/40))</f>
        <v>93</v>
      </c>
      <c r="V18" t="b">
        <f t="shared" si="3"/>
        <v>1</v>
      </c>
    </row>
    <row r="19" spans="1:22" x14ac:dyDescent="0.25">
      <c r="A19" t="s">
        <v>14</v>
      </c>
      <c r="B19" t="s">
        <v>15</v>
      </c>
      <c r="C19">
        <v>15</v>
      </c>
      <c r="D19">
        <v>100</v>
      </c>
      <c r="E19">
        <v>400</v>
      </c>
      <c r="F19" t="str">
        <f t="shared" si="0"/>
        <v>lena256_blurkernel7_15_100_400</v>
      </c>
      <c r="G19">
        <f>IFERROR(VLOOKUP(F19,SROU03!$F:$H,2,FALSE),0)</f>
        <v>31.148498</v>
      </c>
      <c r="H19">
        <f>IFERROR(VLOOKUP(F19,SROU03!$F:$H,3,FALSE),0)</f>
        <v>21.286740000000002</v>
      </c>
      <c r="I19">
        <v>4.3225E-5</v>
      </c>
      <c r="J19">
        <v>9.4669999999999993E-6</v>
      </c>
      <c r="K19">
        <v>29.032800000000002</v>
      </c>
      <c r="L19">
        <v>8.2094000000000005</v>
      </c>
      <c r="M19">
        <f>IFERROR(VLOOKUP(F19,TICO09!$F:$O,8,FALSE),0)</f>
        <v>21.700800000000001</v>
      </c>
      <c r="N19">
        <f>IFERROR(VLOOKUP(F19,SROU03!$F:$O,9,FALSE),0)</f>
        <v>29.8689</v>
      </c>
      <c r="O19">
        <v>32.268900000000002</v>
      </c>
      <c r="P19" t="str">
        <f t="shared" si="1"/>
        <v>BM3D</v>
      </c>
      <c r="Q19">
        <f t="shared" si="2"/>
        <v>32.268900000000002</v>
      </c>
      <c r="R19">
        <f>VLOOKUP(P19,'Color codes'!$A:$B,2,FALSE)</f>
        <v>1</v>
      </c>
      <c r="S19">
        <f>TRUNC(VLOOKUP(P19,'Color codes'!$A:$E,3,FALSE)*(0.25 + 0.75*Q19/40))</f>
        <v>218</v>
      </c>
      <c r="T19">
        <f>TRUNC(VLOOKUP(P19,'Color codes'!$A:$E,4,FALSE)*(0.25 + 0.75*Q19/40))</f>
        <v>91</v>
      </c>
      <c r="U19">
        <f>TRUNC(VLOOKUP(P19,'Color codes'!$A:$E,5,FALSE)*(0.25 + 0.75*Q19/40))</f>
        <v>88</v>
      </c>
      <c r="V19" t="b">
        <f t="shared" si="3"/>
        <v>1</v>
      </c>
    </row>
    <row r="20" spans="1:22" x14ac:dyDescent="0.25">
      <c r="A20" t="s">
        <v>14</v>
      </c>
      <c r="B20" t="s">
        <v>15</v>
      </c>
      <c r="C20">
        <v>15</v>
      </c>
      <c r="D20">
        <v>100</v>
      </c>
      <c r="E20">
        <v>800</v>
      </c>
      <c r="F20" t="str">
        <f t="shared" si="0"/>
        <v>lena256_blurkernel7_15_100_800</v>
      </c>
      <c r="G20">
        <f>IFERROR(VLOOKUP(F20,SROU03!$F:$H,2,FALSE),0)</f>
        <v>22.474847</v>
      </c>
      <c r="H20">
        <f>IFERROR(VLOOKUP(F20,SROU03!$F:$H,3,FALSE),0)</f>
        <v>20.172139000000001</v>
      </c>
      <c r="I20">
        <v>8.9597000000000003E-5</v>
      </c>
      <c r="J20">
        <v>9.4669999999999993E-6</v>
      </c>
      <c r="K20">
        <v>25.870699999999999</v>
      </c>
      <c r="L20">
        <v>8.2094000000000005</v>
      </c>
      <c r="M20">
        <f>IFERROR(VLOOKUP(F20,TICO09!$F:$O,8,FALSE),0)</f>
        <v>21.394500000000001</v>
      </c>
      <c r="N20">
        <f>IFERROR(VLOOKUP(F20,SROU03!$F:$O,9,FALSE),0)</f>
        <v>27.420100000000001</v>
      </c>
      <c r="O20">
        <v>29.823899999999998</v>
      </c>
      <c r="P20" t="str">
        <f t="shared" si="1"/>
        <v>BM3D</v>
      </c>
      <c r="Q20">
        <f t="shared" si="2"/>
        <v>29.823899999999998</v>
      </c>
      <c r="R20">
        <f>VLOOKUP(P20,'Color codes'!$A:$B,2,FALSE)</f>
        <v>1</v>
      </c>
      <c r="S20">
        <f>TRUNC(VLOOKUP(P20,'Color codes'!$A:$E,3,FALSE)*(0.25 + 0.75*Q20/40))</f>
        <v>206</v>
      </c>
      <c r="T20">
        <f>TRUNC(VLOOKUP(P20,'Color codes'!$A:$E,4,FALSE)*(0.25 + 0.75*Q20/40))</f>
        <v>86</v>
      </c>
      <c r="U20">
        <f>TRUNC(VLOOKUP(P20,'Color codes'!$A:$E,5,FALSE)*(0.25 + 0.75*Q20/40))</f>
        <v>84</v>
      </c>
      <c r="V20" t="b">
        <f t="shared" si="3"/>
        <v>1</v>
      </c>
    </row>
    <row r="21" spans="1:22" x14ac:dyDescent="0.25">
      <c r="A21" t="s">
        <v>14</v>
      </c>
      <c r="B21" t="s">
        <v>15</v>
      </c>
      <c r="C21">
        <v>15</v>
      </c>
      <c r="D21">
        <v>100</v>
      </c>
      <c r="E21">
        <v>1600</v>
      </c>
      <c r="F21" t="str">
        <f t="shared" si="0"/>
        <v>lena256_blurkernel7_15_100_1600</v>
      </c>
      <c r="G21">
        <f>IFERROR(VLOOKUP(F21,SROU03!$F:$H,2,FALSE),0)</f>
        <v>16.574349000000002</v>
      </c>
      <c r="H21">
        <f>IFERROR(VLOOKUP(F21,SROU03!$F:$H,3,FALSE),0)</f>
        <v>19.763392</v>
      </c>
      <c r="I21">
        <v>1.81404E-4</v>
      </c>
      <c r="J21">
        <v>9.4669999999999993E-6</v>
      </c>
      <c r="K21">
        <v>22.822800000000001</v>
      </c>
      <c r="L21">
        <v>8.2094000000000005</v>
      </c>
      <c r="M21">
        <f>IFERROR(VLOOKUP(F21,TICO09!$F:$O,8,FALSE),0)</f>
        <v>20.975899999999999</v>
      </c>
      <c r="N21">
        <f>IFERROR(VLOOKUP(F21,SROU03!$F:$O,9,FALSE),0)</f>
        <v>25.178000000000001</v>
      </c>
      <c r="O21">
        <v>27.5227</v>
      </c>
      <c r="P21" t="str">
        <f t="shared" si="1"/>
        <v>BM3D</v>
      </c>
      <c r="Q21">
        <f t="shared" si="2"/>
        <v>27.5227</v>
      </c>
      <c r="R21">
        <f>VLOOKUP(P21,'Color codes'!$A:$B,2,FALSE)</f>
        <v>1</v>
      </c>
      <c r="S21">
        <f>TRUNC(VLOOKUP(P21,'Color codes'!$A:$E,3,FALSE)*(0.25 + 0.75*Q21/40))</f>
        <v>195</v>
      </c>
      <c r="T21">
        <f>TRUNC(VLOOKUP(P21,'Color codes'!$A:$E,4,FALSE)*(0.25 + 0.75*Q21/40))</f>
        <v>81</v>
      </c>
      <c r="U21">
        <f>TRUNC(VLOOKUP(P21,'Color codes'!$A:$E,5,FALSE)*(0.25 + 0.75*Q21/40))</f>
        <v>79</v>
      </c>
      <c r="V21" t="b">
        <f t="shared" si="3"/>
        <v>1</v>
      </c>
    </row>
    <row r="22" spans="1:22" x14ac:dyDescent="0.25">
      <c r="A22" t="s">
        <v>14</v>
      </c>
      <c r="B22" t="s">
        <v>15</v>
      </c>
      <c r="C22">
        <v>15</v>
      </c>
      <c r="D22">
        <v>100</v>
      </c>
      <c r="E22">
        <v>3200</v>
      </c>
      <c r="F22" t="str">
        <f t="shared" si="0"/>
        <v>lena256_blurkernel7_15_100_3200</v>
      </c>
      <c r="G22">
        <f>IFERROR(VLOOKUP(F22,SROU03!$F:$H,2,FALSE),0)</f>
        <v>12.63973</v>
      </c>
      <c r="H22">
        <f>IFERROR(VLOOKUP(F22,SROU03!$F:$H,3,FALSE),0)</f>
        <v>19.4133</v>
      </c>
      <c r="I22">
        <v>3.7330499999999999E-4</v>
      </c>
      <c r="J22">
        <v>9.4669999999999993E-6</v>
      </c>
      <c r="K22">
        <v>19.721399999999999</v>
      </c>
      <c r="L22">
        <v>8.2094000000000005</v>
      </c>
      <c r="M22">
        <f>IFERROR(VLOOKUP(F22,TICO09!$F:$O,8,FALSE),0)</f>
        <v>20.244700000000002</v>
      </c>
      <c r="N22">
        <f>IFERROR(VLOOKUP(F22,SROU03!$F:$O,9,FALSE),0)</f>
        <v>23.127099999999999</v>
      </c>
      <c r="O22">
        <v>25.155799999999999</v>
      </c>
      <c r="P22" t="str">
        <f t="shared" si="1"/>
        <v>BM3D</v>
      </c>
      <c r="Q22">
        <f t="shared" si="2"/>
        <v>25.155799999999999</v>
      </c>
      <c r="R22">
        <f>VLOOKUP(P22,'Color codes'!$A:$B,2,FALSE)</f>
        <v>1</v>
      </c>
      <c r="S22">
        <f>TRUNC(VLOOKUP(P22,'Color codes'!$A:$E,3,FALSE)*(0.25 + 0.75*Q22/40))</f>
        <v>184</v>
      </c>
      <c r="T22">
        <f>TRUNC(VLOOKUP(P22,'Color codes'!$A:$E,4,FALSE)*(0.25 + 0.75*Q22/40))</f>
        <v>77</v>
      </c>
      <c r="U22">
        <f>TRUNC(VLOOKUP(P22,'Color codes'!$A:$E,5,FALSE)*(0.25 + 0.75*Q22/40))</f>
        <v>75</v>
      </c>
      <c r="V22" t="b">
        <f t="shared" si="3"/>
        <v>1</v>
      </c>
    </row>
    <row r="23" spans="1:22" x14ac:dyDescent="0.25">
      <c r="A23" t="s">
        <v>14</v>
      </c>
      <c r="B23" t="s">
        <v>15</v>
      </c>
      <c r="C23">
        <v>15</v>
      </c>
      <c r="D23">
        <v>100</v>
      </c>
      <c r="E23">
        <v>6400</v>
      </c>
      <c r="F23" t="str">
        <f t="shared" si="0"/>
        <v>lena256_blurkernel7_15_100_6400</v>
      </c>
      <c r="G23">
        <f>IFERROR(VLOOKUP(F23,SROU03!$F:$H,2,FALSE),0)</f>
        <v>10.038809000000001</v>
      </c>
      <c r="H23">
        <f>IFERROR(VLOOKUP(F23,SROU03!$F:$H,3,FALSE),0)</f>
        <v>19.401361999999999</v>
      </c>
      <c r="I23">
        <v>7.5745399999999996E-4</v>
      </c>
      <c r="J23">
        <v>9.4669999999999993E-6</v>
      </c>
      <c r="K23">
        <v>16.682099999999998</v>
      </c>
      <c r="L23">
        <v>8.2094000000000005</v>
      </c>
      <c r="M23">
        <f>IFERROR(VLOOKUP(F23,TICO09!$F:$O,8,FALSE),0)</f>
        <v>19.292999999999999</v>
      </c>
      <c r="N23">
        <f>IFERROR(VLOOKUP(F23,SROU03!$F:$O,9,FALSE),0)</f>
        <v>21.258900000000001</v>
      </c>
      <c r="O23">
        <v>22.9877</v>
      </c>
      <c r="P23" t="str">
        <f t="shared" si="1"/>
        <v>BM3D</v>
      </c>
      <c r="Q23">
        <f t="shared" si="2"/>
        <v>22.9877</v>
      </c>
      <c r="R23">
        <f>VLOOKUP(P23,'Color codes'!$A:$B,2,FALSE)</f>
        <v>1</v>
      </c>
      <c r="S23">
        <f>TRUNC(VLOOKUP(P23,'Color codes'!$A:$E,3,FALSE)*(0.25 + 0.75*Q23/40))</f>
        <v>173</v>
      </c>
      <c r="T23">
        <f>TRUNC(VLOOKUP(P23,'Color codes'!$A:$E,4,FALSE)*(0.25 + 0.75*Q23/40))</f>
        <v>72</v>
      </c>
      <c r="U23">
        <f>TRUNC(VLOOKUP(P23,'Color codes'!$A:$E,5,FALSE)*(0.25 + 0.75*Q23/40))</f>
        <v>70</v>
      </c>
      <c r="V23" t="b">
        <f t="shared" si="3"/>
        <v>1</v>
      </c>
    </row>
    <row r="24" spans="1:22" x14ac:dyDescent="0.25">
      <c r="A24" t="s">
        <v>14</v>
      </c>
      <c r="B24" t="s">
        <v>15</v>
      </c>
      <c r="C24">
        <v>15</v>
      </c>
      <c r="D24">
        <v>100</v>
      </c>
      <c r="E24">
        <v>12800</v>
      </c>
      <c r="F24" t="str">
        <f t="shared" si="0"/>
        <v>lena256_blurkernel7_15_100_12800</v>
      </c>
      <c r="G24">
        <f>IFERROR(VLOOKUP(F24,SROU03!$F:$H,2,FALSE),0)</f>
        <v>8.3122159999999994</v>
      </c>
      <c r="H24">
        <f>IFERROR(VLOOKUP(F24,SROU03!$F:$H,3,FALSE),0)</f>
        <v>19.251139999999999</v>
      </c>
      <c r="I24">
        <v>1.6098390000000001E-3</v>
      </c>
      <c r="J24">
        <v>9.4669999999999993E-6</v>
      </c>
      <c r="K24">
        <v>13.521599999999999</v>
      </c>
      <c r="L24">
        <v>8.2094000000000005</v>
      </c>
      <c r="M24">
        <f>IFERROR(VLOOKUP(F24,TICO09!$F:$O,8,FALSE),0)</f>
        <v>18.007200000000001</v>
      </c>
      <c r="N24">
        <f>IFERROR(VLOOKUP(F24,SROU03!$F:$O,9,FALSE),0)</f>
        <v>19.804400000000001</v>
      </c>
      <c r="O24">
        <v>20.805</v>
      </c>
      <c r="P24" t="str">
        <f t="shared" si="1"/>
        <v>BM3D</v>
      </c>
      <c r="Q24">
        <f t="shared" si="2"/>
        <v>20.805</v>
      </c>
      <c r="R24">
        <f>VLOOKUP(P24,'Color codes'!$A:$B,2,FALSE)</f>
        <v>1</v>
      </c>
      <c r="S24">
        <f>TRUNC(VLOOKUP(P24,'Color codes'!$A:$E,3,FALSE)*(0.25 + 0.75*Q24/40))</f>
        <v>163</v>
      </c>
      <c r="T24">
        <f>TRUNC(VLOOKUP(P24,'Color codes'!$A:$E,4,FALSE)*(0.25 + 0.75*Q24/40))</f>
        <v>68</v>
      </c>
      <c r="U24">
        <f>TRUNC(VLOOKUP(P24,'Color codes'!$A:$E,5,FALSE)*(0.25 + 0.75*Q24/40))</f>
        <v>66</v>
      </c>
      <c r="V24" t="b">
        <f t="shared" si="3"/>
        <v>1</v>
      </c>
    </row>
    <row r="25" spans="1:22" x14ac:dyDescent="0.25">
      <c r="A25" t="s">
        <v>14</v>
      </c>
      <c r="B25" t="s">
        <v>15</v>
      </c>
      <c r="C25">
        <v>15</v>
      </c>
      <c r="D25">
        <v>100</v>
      </c>
      <c r="E25">
        <v>25600</v>
      </c>
      <c r="F25" t="str">
        <f t="shared" si="0"/>
        <v>lena256_blurkernel7_15_100_25600</v>
      </c>
      <c r="G25">
        <f>IFERROR(VLOOKUP(F25,SROU03!$F:$H,2,FALSE),0)</f>
        <v>7.1814819999999999</v>
      </c>
      <c r="H25">
        <f>IFERROR(VLOOKUP(F25,SROU03!$F:$H,3,FALSE),0)</f>
        <v>19.340778</v>
      </c>
      <c r="I25">
        <v>3.5316000000000002E-3</v>
      </c>
      <c r="J25">
        <v>9.4669999999999993E-6</v>
      </c>
      <c r="K25">
        <v>10.328799999999999</v>
      </c>
      <c r="L25">
        <v>8.2094000000000005</v>
      </c>
      <c r="M25">
        <f>IFERROR(VLOOKUP(F25,TICO09!$F:$O,8,FALSE),0)</f>
        <v>16.27</v>
      </c>
      <c r="N25">
        <f>IFERROR(VLOOKUP(F25,SROU03!$F:$O,9,FALSE),0)</f>
        <v>18.7834</v>
      </c>
      <c r="O25">
        <v>18.494499999999999</v>
      </c>
      <c r="P25" t="str">
        <f t="shared" si="1"/>
        <v>SROU03</v>
      </c>
      <c r="Q25">
        <f t="shared" si="2"/>
        <v>18.7834</v>
      </c>
      <c r="R25">
        <f>VLOOKUP(P25,'Color codes'!$A:$B,2,FALSE)</f>
        <v>3</v>
      </c>
      <c r="S25">
        <f>TRUNC(VLOOKUP(P25,'Color codes'!$A:$E,3,FALSE)*(0.25 + 0.75*Q25/40))</f>
        <v>64</v>
      </c>
      <c r="T25">
        <f>TRUNC(VLOOKUP(P25,'Color codes'!$A:$E,4,FALSE)*(0.25 + 0.75*Q25/40))</f>
        <v>105</v>
      </c>
      <c r="U25">
        <f>TRUNC(VLOOKUP(P25,'Color codes'!$A:$E,5,FALSE)*(0.25 + 0.75*Q25/40))</f>
        <v>153</v>
      </c>
      <c r="V25" t="b">
        <f t="shared" si="3"/>
        <v>0</v>
      </c>
    </row>
    <row r="26" spans="1:22" x14ac:dyDescent="0.25">
      <c r="A26" t="s">
        <v>14</v>
      </c>
      <c r="B26" t="s">
        <v>15</v>
      </c>
      <c r="C26">
        <v>31</v>
      </c>
      <c r="D26">
        <v>100</v>
      </c>
      <c r="E26">
        <v>200</v>
      </c>
      <c r="F26" t="str">
        <f t="shared" si="0"/>
        <v>lena256_blurkernel7_31_100_200</v>
      </c>
      <c r="G26">
        <f>IFERROR(VLOOKUP(F26,SROU03!$F:$H,2,FALSE),0)</f>
        <v>44.294725</v>
      </c>
      <c r="H26">
        <f>IFERROR(VLOOKUP(F26,SROU03!$F:$H,3,FALSE),0)</f>
        <v>48.234746999999999</v>
      </c>
      <c r="I26">
        <v>2.0713999999999999E-5</v>
      </c>
      <c r="J26">
        <v>9.4830000000000005E-6</v>
      </c>
      <c r="K26">
        <v>32.2256</v>
      </c>
      <c r="L26">
        <v>5.3202999999999996</v>
      </c>
      <c r="M26">
        <f>IFERROR(VLOOKUP(F26,TICO09!$F:$O,8,FALSE),0)</f>
        <v>21.878299999999999</v>
      </c>
      <c r="N26">
        <f>IFERROR(VLOOKUP(F26,SROU03!$F:$O,9,FALSE),0)</f>
        <v>32.2333</v>
      </c>
      <c r="O26">
        <v>34.916400000000003</v>
      </c>
      <c r="P26" t="str">
        <f t="shared" si="1"/>
        <v>BM3D</v>
      </c>
      <c r="Q26">
        <f t="shared" si="2"/>
        <v>34.916400000000003</v>
      </c>
      <c r="R26">
        <f>VLOOKUP(P26,'Color codes'!$A:$B,2,FALSE)</f>
        <v>1</v>
      </c>
      <c r="S26">
        <f>TRUNC(VLOOKUP(P26,'Color codes'!$A:$E,3,FALSE)*(0.25 + 0.75*Q26/40))</f>
        <v>230</v>
      </c>
      <c r="T26">
        <f>TRUNC(VLOOKUP(P26,'Color codes'!$A:$E,4,FALSE)*(0.25 + 0.75*Q26/40))</f>
        <v>96</v>
      </c>
      <c r="U26">
        <f>TRUNC(VLOOKUP(P26,'Color codes'!$A:$E,5,FALSE)*(0.25 + 0.75*Q26/40))</f>
        <v>94</v>
      </c>
      <c r="V26" t="b">
        <f t="shared" si="3"/>
        <v>1</v>
      </c>
    </row>
    <row r="27" spans="1:22" x14ac:dyDescent="0.25">
      <c r="A27" t="s">
        <v>14</v>
      </c>
      <c r="B27" t="s">
        <v>15</v>
      </c>
      <c r="C27">
        <v>31</v>
      </c>
      <c r="D27">
        <v>100</v>
      </c>
      <c r="E27">
        <v>400</v>
      </c>
      <c r="F27" t="str">
        <f t="shared" si="0"/>
        <v>lena256_blurkernel7_31_100_400</v>
      </c>
      <c r="G27">
        <f>IFERROR(VLOOKUP(F27,SROU03!$F:$H,2,FALSE),0)</f>
        <v>30.827767999999999</v>
      </c>
      <c r="H27">
        <f>IFERROR(VLOOKUP(F27,SROU03!$F:$H,3,FALSE),0)</f>
        <v>43.800880999999997</v>
      </c>
      <c r="I27">
        <v>4.3615000000000002E-5</v>
      </c>
      <c r="J27">
        <v>9.4830000000000005E-6</v>
      </c>
      <c r="K27">
        <v>28.995899999999999</v>
      </c>
      <c r="L27">
        <v>5.3202999999999996</v>
      </c>
      <c r="M27">
        <f>IFERROR(VLOOKUP(F27,TICO09!$F:$O,8,FALSE),0)</f>
        <v>21.718699999999998</v>
      </c>
      <c r="N27">
        <f>IFERROR(VLOOKUP(F27,SROU03!$F:$O,9,FALSE),0)</f>
        <v>29.401199999999999</v>
      </c>
      <c r="O27">
        <v>32.2517</v>
      </c>
      <c r="P27" t="str">
        <f t="shared" si="1"/>
        <v>BM3D</v>
      </c>
      <c r="Q27">
        <f t="shared" si="2"/>
        <v>32.2517</v>
      </c>
      <c r="R27">
        <f>VLOOKUP(P27,'Color codes'!$A:$B,2,FALSE)</f>
        <v>1</v>
      </c>
      <c r="S27">
        <f>TRUNC(VLOOKUP(P27,'Color codes'!$A:$E,3,FALSE)*(0.25 + 0.75*Q27/40))</f>
        <v>217</v>
      </c>
      <c r="T27">
        <f>TRUNC(VLOOKUP(P27,'Color codes'!$A:$E,4,FALSE)*(0.25 + 0.75*Q27/40))</f>
        <v>91</v>
      </c>
      <c r="U27">
        <f>TRUNC(VLOOKUP(P27,'Color codes'!$A:$E,5,FALSE)*(0.25 + 0.75*Q27/40))</f>
        <v>88</v>
      </c>
      <c r="V27" t="b">
        <f t="shared" si="3"/>
        <v>1</v>
      </c>
    </row>
    <row r="28" spans="1:22" x14ac:dyDescent="0.25">
      <c r="A28" t="s">
        <v>14</v>
      </c>
      <c r="B28" t="s">
        <v>15</v>
      </c>
      <c r="C28">
        <v>31</v>
      </c>
      <c r="D28">
        <v>100</v>
      </c>
      <c r="E28">
        <v>800</v>
      </c>
      <c r="F28" t="str">
        <f t="shared" si="0"/>
        <v>lena256_blurkernel7_31_100_800</v>
      </c>
      <c r="G28">
        <f>IFERROR(VLOOKUP(F28,SROU03!$F:$H,2,FALSE),0)</f>
        <v>21.74277</v>
      </c>
      <c r="H28">
        <f>IFERROR(VLOOKUP(F28,SROU03!$F:$H,3,FALSE),0)</f>
        <v>41.745837999999999</v>
      </c>
      <c r="I28">
        <v>8.9926000000000006E-5</v>
      </c>
      <c r="J28">
        <v>9.4830000000000005E-6</v>
      </c>
      <c r="K28">
        <v>25.858599999999999</v>
      </c>
      <c r="L28">
        <v>5.3202999999999996</v>
      </c>
      <c r="M28">
        <f>IFERROR(VLOOKUP(F28,TICO09!$F:$O,8,FALSE),0)</f>
        <v>21.381799999999998</v>
      </c>
      <c r="N28">
        <f>IFERROR(VLOOKUP(F28,SROU03!$F:$O,9,FALSE),0)</f>
        <v>26.841799999999999</v>
      </c>
      <c r="O28">
        <v>29.820599999999999</v>
      </c>
      <c r="P28" t="str">
        <f t="shared" si="1"/>
        <v>BM3D</v>
      </c>
      <c r="Q28">
        <f t="shared" si="2"/>
        <v>29.820599999999999</v>
      </c>
      <c r="R28">
        <f>VLOOKUP(P28,'Color codes'!$A:$B,2,FALSE)</f>
        <v>1</v>
      </c>
      <c r="S28">
        <f>TRUNC(VLOOKUP(P28,'Color codes'!$A:$E,3,FALSE)*(0.25 + 0.75*Q28/40))</f>
        <v>206</v>
      </c>
      <c r="T28">
        <f>TRUNC(VLOOKUP(P28,'Color codes'!$A:$E,4,FALSE)*(0.25 + 0.75*Q28/40))</f>
        <v>86</v>
      </c>
      <c r="U28">
        <f>TRUNC(VLOOKUP(P28,'Color codes'!$A:$E,5,FALSE)*(0.25 + 0.75*Q28/40))</f>
        <v>84</v>
      </c>
      <c r="V28" t="b">
        <f t="shared" si="3"/>
        <v>1</v>
      </c>
    </row>
    <row r="29" spans="1:22" x14ac:dyDescent="0.25">
      <c r="A29" t="s">
        <v>14</v>
      </c>
      <c r="B29" t="s">
        <v>15</v>
      </c>
      <c r="C29">
        <v>31</v>
      </c>
      <c r="D29">
        <v>100</v>
      </c>
      <c r="E29">
        <v>1600</v>
      </c>
      <c r="F29" t="str">
        <f t="shared" si="0"/>
        <v>lena256_blurkernel7_31_100_1600</v>
      </c>
      <c r="G29">
        <f>IFERROR(VLOOKUP(F29,SROU03!$F:$H,2,FALSE),0)</f>
        <v>15.543908</v>
      </c>
      <c r="H29">
        <f>IFERROR(VLOOKUP(F29,SROU03!$F:$H,3,FALSE),0)</f>
        <v>40.519975000000002</v>
      </c>
      <c r="I29">
        <v>1.8109499999999999E-4</v>
      </c>
      <c r="J29">
        <v>9.4830000000000005E-6</v>
      </c>
      <c r="K29">
        <v>22.8279</v>
      </c>
      <c r="L29">
        <v>5.3202999999999996</v>
      </c>
      <c r="M29">
        <f>IFERROR(VLOOKUP(F29,TICO09!$F:$O,8,FALSE),0)</f>
        <v>20.9802</v>
      </c>
      <c r="N29">
        <f>IFERROR(VLOOKUP(F29,SROU03!$F:$O,9,FALSE),0)</f>
        <v>24.4802</v>
      </c>
      <c r="O29">
        <v>27.479299999999999</v>
      </c>
      <c r="P29" t="str">
        <f t="shared" si="1"/>
        <v>BM3D</v>
      </c>
      <c r="Q29">
        <f t="shared" si="2"/>
        <v>27.479299999999999</v>
      </c>
      <c r="R29">
        <f>VLOOKUP(P29,'Color codes'!$A:$B,2,FALSE)</f>
        <v>1</v>
      </c>
      <c r="S29">
        <f>TRUNC(VLOOKUP(P29,'Color codes'!$A:$E,3,FALSE)*(0.25 + 0.75*Q29/40))</f>
        <v>195</v>
      </c>
      <c r="T29">
        <f>TRUNC(VLOOKUP(P29,'Color codes'!$A:$E,4,FALSE)*(0.25 + 0.75*Q29/40))</f>
        <v>81</v>
      </c>
      <c r="U29">
        <f>TRUNC(VLOOKUP(P29,'Color codes'!$A:$E,5,FALSE)*(0.25 + 0.75*Q29/40))</f>
        <v>79</v>
      </c>
      <c r="V29" t="b">
        <f t="shared" si="3"/>
        <v>1</v>
      </c>
    </row>
    <row r="30" spans="1:22" x14ac:dyDescent="0.25">
      <c r="A30" t="s">
        <v>14</v>
      </c>
      <c r="B30" t="s">
        <v>15</v>
      </c>
      <c r="C30">
        <v>31</v>
      </c>
      <c r="D30">
        <v>100</v>
      </c>
      <c r="E30">
        <v>3200</v>
      </c>
      <c r="F30" t="str">
        <f t="shared" si="0"/>
        <v>lena256_blurkernel7_31_100_3200</v>
      </c>
      <c r="G30">
        <f>IFERROR(VLOOKUP(F30,SROU03!$F:$H,2,FALSE),0)</f>
        <v>11.404577</v>
      </c>
      <c r="H30">
        <f>IFERROR(VLOOKUP(F30,SROU03!$F:$H,3,FALSE),0)</f>
        <v>40.120415000000001</v>
      </c>
      <c r="I30">
        <v>3.7241500000000002E-4</v>
      </c>
      <c r="J30">
        <v>9.4830000000000005E-6</v>
      </c>
      <c r="K30">
        <v>19.723500000000001</v>
      </c>
      <c r="L30">
        <v>5.3202999999999996</v>
      </c>
      <c r="M30">
        <f>IFERROR(VLOOKUP(F30,TICO09!$F:$O,8,FALSE),0)</f>
        <v>20.209499999999998</v>
      </c>
      <c r="N30">
        <f>IFERROR(VLOOKUP(F30,SROU03!$F:$O,9,FALSE),0)</f>
        <v>22.332000000000001</v>
      </c>
      <c r="O30">
        <v>25.1968</v>
      </c>
      <c r="P30" t="str">
        <f t="shared" si="1"/>
        <v>BM3D</v>
      </c>
      <c r="Q30">
        <f t="shared" si="2"/>
        <v>25.1968</v>
      </c>
      <c r="R30">
        <f>VLOOKUP(P30,'Color codes'!$A:$B,2,FALSE)</f>
        <v>1</v>
      </c>
      <c r="S30">
        <f>TRUNC(VLOOKUP(P30,'Color codes'!$A:$E,3,FALSE)*(0.25 + 0.75*Q30/40))</f>
        <v>184</v>
      </c>
      <c r="T30">
        <f>TRUNC(VLOOKUP(P30,'Color codes'!$A:$E,4,FALSE)*(0.25 + 0.75*Q30/40))</f>
        <v>77</v>
      </c>
      <c r="U30">
        <f>TRUNC(VLOOKUP(P30,'Color codes'!$A:$E,5,FALSE)*(0.25 + 0.75*Q30/40))</f>
        <v>75</v>
      </c>
      <c r="V30" t="b">
        <f t="shared" si="3"/>
        <v>1</v>
      </c>
    </row>
    <row r="31" spans="1:22" x14ac:dyDescent="0.25">
      <c r="A31" t="s">
        <v>14</v>
      </c>
      <c r="B31" t="s">
        <v>15</v>
      </c>
      <c r="C31">
        <v>31</v>
      </c>
      <c r="D31">
        <v>100</v>
      </c>
      <c r="E31">
        <v>6400</v>
      </c>
      <c r="F31" t="str">
        <f t="shared" si="0"/>
        <v>lena256_blurkernel7_31_100_6400</v>
      </c>
      <c r="G31">
        <f>IFERROR(VLOOKUP(F31,SROU03!$F:$H,2,FALSE),0)</f>
        <v>8.5038319999999992</v>
      </c>
      <c r="H31">
        <f>IFERROR(VLOOKUP(F31,SROU03!$F:$H,3,FALSE),0)</f>
        <v>39.72242</v>
      </c>
      <c r="I31">
        <v>7.5834899999999996E-4</v>
      </c>
      <c r="J31">
        <v>9.4830000000000005E-6</v>
      </c>
      <c r="K31">
        <v>16.685700000000001</v>
      </c>
      <c r="L31">
        <v>5.3202999999999996</v>
      </c>
      <c r="M31">
        <f>IFERROR(VLOOKUP(F31,TICO09!$F:$O,8,FALSE),0)</f>
        <v>19.273800000000001</v>
      </c>
      <c r="N31">
        <f>IFERROR(VLOOKUP(F31,SROU03!$F:$O,9,FALSE),0)</f>
        <v>20.227599999999999</v>
      </c>
      <c r="O31">
        <v>22.993099999999998</v>
      </c>
      <c r="P31" t="str">
        <f t="shared" si="1"/>
        <v>BM3D</v>
      </c>
      <c r="Q31">
        <f t="shared" si="2"/>
        <v>22.993099999999998</v>
      </c>
      <c r="R31">
        <f>VLOOKUP(P31,'Color codes'!$A:$B,2,FALSE)</f>
        <v>1</v>
      </c>
      <c r="S31">
        <f>TRUNC(VLOOKUP(P31,'Color codes'!$A:$E,3,FALSE)*(0.25 + 0.75*Q31/40))</f>
        <v>173</v>
      </c>
      <c r="T31">
        <f>TRUNC(VLOOKUP(P31,'Color codes'!$A:$E,4,FALSE)*(0.25 + 0.75*Q31/40))</f>
        <v>72</v>
      </c>
      <c r="U31">
        <f>TRUNC(VLOOKUP(P31,'Color codes'!$A:$E,5,FALSE)*(0.25 + 0.75*Q31/40))</f>
        <v>70</v>
      </c>
      <c r="V31" t="b">
        <f t="shared" si="3"/>
        <v>1</v>
      </c>
    </row>
    <row r="32" spans="1:22" x14ac:dyDescent="0.25">
      <c r="A32" t="s">
        <v>14</v>
      </c>
      <c r="B32" t="s">
        <v>15</v>
      </c>
      <c r="C32">
        <v>31</v>
      </c>
      <c r="D32">
        <v>100</v>
      </c>
      <c r="E32">
        <v>12800</v>
      </c>
      <c r="F32" t="str">
        <f t="shared" si="0"/>
        <v>lena256_blurkernel7_31_100_12800</v>
      </c>
      <c r="G32">
        <f>IFERROR(VLOOKUP(F32,SROU03!$F:$H,2,FALSE),0)</f>
        <v>6.5522530000000003</v>
      </c>
      <c r="H32">
        <f>IFERROR(VLOOKUP(F32,SROU03!$F:$H,3,FALSE),0)</f>
        <v>39.732953999999999</v>
      </c>
      <c r="I32">
        <v>1.5964919999999999E-3</v>
      </c>
      <c r="J32">
        <v>9.4830000000000005E-6</v>
      </c>
      <c r="K32">
        <v>13.5466</v>
      </c>
      <c r="L32">
        <v>5.3202999999999996</v>
      </c>
      <c r="M32">
        <f>IFERROR(VLOOKUP(F32,TICO09!$F:$O,8,FALSE),0)</f>
        <v>17.853200000000001</v>
      </c>
      <c r="N32">
        <f>IFERROR(VLOOKUP(F32,SROU03!$F:$O,9,FALSE),0)</f>
        <v>18.439800000000002</v>
      </c>
      <c r="O32">
        <v>20.793800000000001</v>
      </c>
      <c r="P32" t="str">
        <f t="shared" si="1"/>
        <v>BM3D</v>
      </c>
      <c r="Q32">
        <f t="shared" si="2"/>
        <v>20.793800000000001</v>
      </c>
      <c r="R32">
        <f>VLOOKUP(P32,'Color codes'!$A:$B,2,FALSE)</f>
        <v>1</v>
      </c>
      <c r="S32">
        <f>TRUNC(VLOOKUP(P32,'Color codes'!$A:$E,3,FALSE)*(0.25 + 0.75*Q32/40))</f>
        <v>163</v>
      </c>
      <c r="T32">
        <f>TRUNC(VLOOKUP(P32,'Color codes'!$A:$E,4,FALSE)*(0.25 + 0.75*Q32/40))</f>
        <v>68</v>
      </c>
      <c r="U32">
        <f>TRUNC(VLOOKUP(P32,'Color codes'!$A:$E,5,FALSE)*(0.25 + 0.75*Q32/40))</f>
        <v>66</v>
      </c>
      <c r="V32" t="b">
        <f t="shared" si="3"/>
        <v>1</v>
      </c>
    </row>
    <row r="33" spans="1:22" x14ac:dyDescent="0.25">
      <c r="A33" t="s">
        <v>14</v>
      </c>
      <c r="B33" t="s">
        <v>15</v>
      </c>
      <c r="C33">
        <v>31</v>
      </c>
      <c r="D33">
        <v>100</v>
      </c>
      <c r="E33">
        <v>25600</v>
      </c>
      <c r="F33" t="str">
        <f t="shared" si="0"/>
        <v>lena256_blurkernel7_31_100_25600</v>
      </c>
      <c r="G33">
        <f>IFERROR(VLOOKUP(F33,SROU03!$F:$H,2,FALSE),0)</f>
        <v>5.2041950000000003</v>
      </c>
      <c r="H33">
        <f>IFERROR(VLOOKUP(F33,SROU03!$F:$H,3,FALSE),0)</f>
        <v>39.546695</v>
      </c>
      <c r="I33">
        <v>3.5367720000000001E-3</v>
      </c>
      <c r="J33">
        <v>9.4830000000000005E-6</v>
      </c>
      <c r="K33">
        <v>10.328900000000001</v>
      </c>
      <c r="L33">
        <v>5.3202999999999996</v>
      </c>
      <c r="M33">
        <f>IFERROR(VLOOKUP(F33,TICO09!$F:$O,8,FALSE),0)</f>
        <v>16.187200000000001</v>
      </c>
      <c r="N33">
        <f>IFERROR(VLOOKUP(F33,SROU03!$F:$O,9,FALSE),0)</f>
        <v>16.919699999999999</v>
      </c>
      <c r="O33">
        <v>18.5443</v>
      </c>
      <c r="P33" t="str">
        <f t="shared" si="1"/>
        <v>BM3D</v>
      </c>
      <c r="Q33">
        <f t="shared" si="2"/>
        <v>18.5443</v>
      </c>
      <c r="R33">
        <f>VLOOKUP(P33,'Color codes'!$A:$B,2,FALSE)</f>
        <v>1</v>
      </c>
      <c r="S33">
        <f>TRUNC(VLOOKUP(P33,'Color codes'!$A:$E,3,FALSE)*(0.25 + 0.75*Q33/40))</f>
        <v>152</v>
      </c>
      <c r="T33">
        <f>TRUNC(VLOOKUP(P33,'Color codes'!$A:$E,4,FALSE)*(0.25 + 0.75*Q33/40))</f>
        <v>63</v>
      </c>
      <c r="U33">
        <f>TRUNC(VLOOKUP(P33,'Color codes'!$A:$E,5,FALSE)*(0.25 + 0.75*Q33/40))</f>
        <v>62</v>
      </c>
      <c r="V33" t="b">
        <f t="shared" si="3"/>
        <v>1</v>
      </c>
    </row>
    <row r="34" spans="1:22" x14ac:dyDescent="0.25">
      <c r="A34" t="s">
        <v>14</v>
      </c>
      <c r="B34" t="s">
        <v>16</v>
      </c>
      <c r="C34">
        <v>3</v>
      </c>
      <c r="D34">
        <v>100</v>
      </c>
      <c r="E34">
        <v>200</v>
      </c>
      <c r="F34" t="str">
        <f t="shared" si="0"/>
        <v>lena256_blurkernel8_3_100_200</v>
      </c>
      <c r="G34">
        <f>IFERROR(VLOOKUP(F34,SROU03!$F:$H,2,FALSE),0)</f>
        <v>52.294750000000001</v>
      </c>
      <c r="H34">
        <f>IFERROR(VLOOKUP(F34,SROU03!$F:$H,3,FALSE),0)</f>
        <v>3.978488</v>
      </c>
      <c r="I34">
        <v>2.0803000000000001E-5</v>
      </c>
      <c r="J34">
        <v>9.5419999999999994E-6</v>
      </c>
      <c r="K34">
        <v>32.207299999999996</v>
      </c>
      <c r="L34">
        <v>17.597200000000001</v>
      </c>
      <c r="M34">
        <f>IFERROR(VLOOKUP(F34,TICO09!$F:$O,8,FALSE),0)</f>
        <v>21.0289</v>
      </c>
      <c r="N34">
        <f>IFERROR(VLOOKUP(F34,SROU03!$F:$O,9,FALSE),0)</f>
        <v>33.953299999999999</v>
      </c>
      <c r="O34">
        <v>34.866399999999999</v>
      </c>
      <c r="P34" t="str">
        <f t="shared" si="1"/>
        <v>BM3D</v>
      </c>
      <c r="Q34">
        <f t="shared" si="2"/>
        <v>34.866399999999999</v>
      </c>
      <c r="R34">
        <f>VLOOKUP(P34,'Color codes'!$A:$B,2,FALSE)</f>
        <v>1</v>
      </c>
      <c r="S34">
        <f>TRUNC(VLOOKUP(P34,'Color codes'!$A:$E,3,FALSE)*(0.25 + 0.75*Q34/40))</f>
        <v>230</v>
      </c>
      <c r="T34">
        <f>TRUNC(VLOOKUP(P34,'Color codes'!$A:$E,4,FALSE)*(0.25 + 0.75*Q34/40))</f>
        <v>96</v>
      </c>
      <c r="U34">
        <f>TRUNC(VLOOKUP(P34,'Color codes'!$A:$E,5,FALSE)*(0.25 + 0.75*Q34/40))</f>
        <v>93</v>
      </c>
      <c r="V34" t="b">
        <f t="shared" si="3"/>
        <v>0</v>
      </c>
    </row>
    <row r="35" spans="1:22" x14ac:dyDescent="0.25">
      <c r="A35" t="s">
        <v>14</v>
      </c>
      <c r="B35" t="s">
        <v>16</v>
      </c>
      <c r="C35">
        <v>3</v>
      </c>
      <c r="D35">
        <v>100</v>
      </c>
      <c r="E35">
        <v>400</v>
      </c>
      <c r="F35" t="str">
        <f t="shared" si="0"/>
        <v>lena256_blurkernel8_3_100_400</v>
      </c>
      <c r="G35">
        <f>IFERROR(VLOOKUP(F35,SROU03!$F:$H,2,FALSE),0)</f>
        <v>41.499173999999996</v>
      </c>
      <c r="H35">
        <f>IFERROR(VLOOKUP(F35,SROU03!$F:$H,3,FALSE),0)</f>
        <v>3.6534439999999999</v>
      </c>
      <c r="I35">
        <v>4.3711999999999998E-5</v>
      </c>
      <c r="J35">
        <v>9.5419999999999994E-6</v>
      </c>
      <c r="K35">
        <v>28.986999999999998</v>
      </c>
      <c r="L35">
        <v>17.597200000000001</v>
      </c>
      <c r="M35">
        <f>IFERROR(VLOOKUP(F35,TICO09!$F:$O,8,FALSE),0)</f>
        <v>20.955500000000001</v>
      </c>
      <c r="N35">
        <f>IFERROR(VLOOKUP(F35,SROU03!$F:$O,9,FALSE),0)</f>
        <v>31.823599999999999</v>
      </c>
      <c r="O35">
        <v>32.252200000000002</v>
      </c>
      <c r="P35" t="str">
        <f t="shared" si="1"/>
        <v>BM3D</v>
      </c>
      <c r="Q35">
        <f t="shared" si="2"/>
        <v>32.252200000000002</v>
      </c>
      <c r="R35">
        <f>VLOOKUP(P35,'Color codes'!$A:$B,2,FALSE)</f>
        <v>1</v>
      </c>
      <c r="S35">
        <f>TRUNC(VLOOKUP(P35,'Color codes'!$A:$E,3,FALSE)*(0.25 + 0.75*Q35/40))</f>
        <v>217</v>
      </c>
      <c r="T35">
        <f>TRUNC(VLOOKUP(P35,'Color codes'!$A:$E,4,FALSE)*(0.25 + 0.75*Q35/40))</f>
        <v>91</v>
      </c>
      <c r="U35">
        <f>TRUNC(VLOOKUP(P35,'Color codes'!$A:$E,5,FALSE)*(0.25 + 0.75*Q35/40))</f>
        <v>88</v>
      </c>
      <c r="V35" t="b">
        <f t="shared" si="3"/>
        <v>0</v>
      </c>
    </row>
    <row r="36" spans="1:22" x14ac:dyDescent="0.25">
      <c r="A36" t="s">
        <v>14</v>
      </c>
      <c r="B36" t="s">
        <v>16</v>
      </c>
      <c r="C36">
        <v>3</v>
      </c>
      <c r="D36">
        <v>100</v>
      </c>
      <c r="E36">
        <v>800</v>
      </c>
      <c r="F36" t="str">
        <f t="shared" si="0"/>
        <v>lena256_blurkernel8_3_100_800</v>
      </c>
      <c r="G36">
        <f>IFERROR(VLOOKUP(F36,SROU03!$F:$H,2,FALSE),0)</f>
        <v>35.018250000000002</v>
      </c>
      <c r="H36">
        <f>IFERROR(VLOOKUP(F36,SROU03!$F:$H,3,FALSE),0)</f>
        <v>3.5081009999999999</v>
      </c>
      <c r="I36">
        <v>8.9766999999999996E-5</v>
      </c>
      <c r="J36">
        <v>9.5419999999999994E-6</v>
      </c>
      <c r="K36">
        <v>25.866800000000001</v>
      </c>
      <c r="L36">
        <v>17.597200000000001</v>
      </c>
      <c r="M36">
        <f>IFERROR(VLOOKUP(F36,TICO09!$F:$O,8,FALSE),0)</f>
        <v>20.8186</v>
      </c>
      <c r="N36">
        <f>IFERROR(VLOOKUP(F36,SROU03!$F:$O,9,FALSE),0)</f>
        <v>30.152899999999999</v>
      </c>
      <c r="O36">
        <v>29.7986</v>
      </c>
      <c r="P36" t="str">
        <f t="shared" si="1"/>
        <v>SROU03</v>
      </c>
      <c r="Q36">
        <f t="shared" si="2"/>
        <v>30.152899999999999</v>
      </c>
      <c r="R36">
        <f>VLOOKUP(P36,'Color codes'!$A:$B,2,FALSE)</f>
        <v>3</v>
      </c>
      <c r="S36">
        <f>TRUNC(VLOOKUP(P36,'Color codes'!$A:$E,3,FALSE)*(0.25 + 0.75*Q36/40))</f>
        <v>87</v>
      </c>
      <c r="T36">
        <f>TRUNC(VLOOKUP(P36,'Color codes'!$A:$E,4,FALSE)*(0.25 + 0.75*Q36/40))</f>
        <v>143</v>
      </c>
      <c r="U36">
        <f>TRUNC(VLOOKUP(P36,'Color codes'!$A:$E,5,FALSE)*(0.25 + 0.75*Q36/40))</f>
        <v>207</v>
      </c>
      <c r="V36" t="b">
        <f t="shared" si="3"/>
        <v>0</v>
      </c>
    </row>
    <row r="37" spans="1:22" x14ac:dyDescent="0.25">
      <c r="A37" t="s">
        <v>14</v>
      </c>
      <c r="B37" t="s">
        <v>16</v>
      </c>
      <c r="C37">
        <v>3</v>
      </c>
      <c r="D37">
        <v>100</v>
      </c>
      <c r="E37">
        <v>1600</v>
      </c>
      <c r="F37" t="str">
        <f t="shared" si="0"/>
        <v>lena256_blurkernel8_3_100_1600</v>
      </c>
      <c r="G37">
        <f>IFERROR(VLOOKUP(F37,SROU03!$F:$H,2,FALSE),0)</f>
        <v>30.691127999999999</v>
      </c>
      <c r="H37">
        <f>IFERROR(VLOOKUP(F37,SROU03!$F:$H,3,FALSE),0)</f>
        <v>3.4608159999999999</v>
      </c>
      <c r="I37">
        <v>1.828E-4</v>
      </c>
      <c r="J37">
        <v>9.5419999999999994E-6</v>
      </c>
      <c r="K37">
        <v>22.788</v>
      </c>
      <c r="L37">
        <v>17.597200000000001</v>
      </c>
      <c r="M37">
        <f>IFERROR(VLOOKUP(F37,TICO09!$F:$O,8,FALSE),0)</f>
        <v>20.613800000000001</v>
      </c>
      <c r="N37">
        <f>IFERROR(VLOOKUP(F37,SROU03!$F:$O,9,FALSE),0)</f>
        <v>28.625800000000002</v>
      </c>
      <c r="O37">
        <v>27.455300000000001</v>
      </c>
      <c r="P37" t="str">
        <f t="shared" si="1"/>
        <v>SROU03</v>
      </c>
      <c r="Q37">
        <f t="shared" si="2"/>
        <v>28.625800000000002</v>
      </c>
      <c r="R37">
        <f>VLOOKUP(P37,'Color codes'!$A:$B,2,FALSE)</f>
        <v>3</v>
      </c>
      <c r="S37">
        <f>TRUNC(VLOOKUP(P37,'Color codes'!$A:$E,3,FALSE)*(0.25 + 0.75*Q37/40))</f>
        <v>84</v>
      </c>
      <c r="T37">
        <f>TRUNC(VLOOKUP(P37,'Color codes'!$A:$E,4,FALSE)*(0.25 + 0.75*Q37/40))</f>
        <v>138</v>
      </c>
      <c r="U37">
        <f>TRUNC(VLOOKUP(P37,'Color codes'!$A:$E,5,FALSE)*(0.25 + 0.75*Q37/40))</f>
        <v>200</v>
      </c>
      <c r="V37" t="b">
        <f t="shared" si="3"/>
        <v>1</v>
      </c>
    </row>
    <row r="38" spans="1:22" x14ac:dyDescent="0.25">
      <c r="A38" t="s">
        <v>14</v>
      </c>
      <c r="B38" t="s">
        <v>16</v>
      </c>
      <c r="C38">
        <v>3</v>
      </c>
      <c r="D38">
        <v>100</v>
      </c>
      <c r="E38">
        <v>3200</v>
      </c>
      <c r="F38" t="str">
        <f t="shared" si="0"/>
        <v>lena256_blurkernel8_3_100_3200</v>
      </c>
      <c r="G38">
        <f>IFERROR(VLOOKUP(F38,SROU03!$F:$H,2,FALSE),0)</f>
        <v>27.633407999999999</v>
      </c>
      <c r="H38">
        <f>IFERROR(VLOOKUP(F38,SROU03!$F:$H,3,FALSE),0)</f>
        <v>3.4642689999999998</v>
      </c>
      <c r="I38">
        <v>3.7419100000000001E-4</v>
      </c>
      <c r="J38">
        <v>9.5419999999999994E-6</v>
      </c>
      <c r="K38">
        <v>19.703099999999999</v>
      </c>
      <c r="L38">
        <v>17.597200000000001</v>
      </c>
      <c r="M38">
        <f>IFERROR(VLOOKUP(F38,TICO09!$F:$O,8,FALSE),0)</f>
        <v>20.3294</v>
      </c>
      <c r="N38">
        <f>IFERROR(VLOOKUP(F38,SROU03!$F:$O,9,FALSE),0)</f>
        <v>27.519400000000001</v>
      </c>
      <c r="O38">
        <v>25.235600000000002</v>
      </c>
      <c r="P38" t="str">
        <f t="shared" si="1"/>
        <v>SROU03</v>
      </c>
      <c r="Q38">
        <f t="shared" si="2"/>
        <v>27.519400000000001</v>
      </c>
      <c r="R38">
        <f>VLOOKUP(P38,'Color codes'!$A:$B,2,FALSE)</f>
        <v>3</v>
      </c>
      <c r="S38">
        <f>TRUNC(VLOOKUP(P38,'Color codes'!$A:$E,3,FALSE)*(0.25 + 0.75*Q38/40))</f>
        <v>81</v>
      </c>
      <c r="T38">
        <f>TRUNC(VLOOKUP(P38,'Color codes'!$A:$E,4,FALSE)*(0.25 + 0.75*Q38/40))</f>
        <v>134</v>
      </c>
      <c r="U38">
        <f>TRUNC(VLOOKUP(P38,'Color codes'!$A:$E,5,FALSE)*(0.25 + 0.75*Q38/40))</f>
        <v>195</v>
      </c>
      <c r="V38" t="b">
        <f t="shared" si="3"/>
        <v>1</v>
      </c>
    </row>
    <row r="39" spans="1:22" x14ac:dyDescent="0.25">
      <c r="A39" t="s">
        <v>14</v>
      </c>
      <c r="B39" t="s">
        <v>16</v>
      </c>
      <c r="C39">
        <v>3</v>
      </c>
      <c r="D39">
        <v>100</v>
      </c>
      <c r="E39">
        <v>6400</v>
      </c>
      <c r="F39" t="str">
        <f t="shared" si="0"/>
        <v>lena256_blurkernel8_3_100_6400</v>
      </c>
      <c r="G39">
        <f>IFERROR(VLOOKUP(F39,SROU03!$F:$H,2,FALSE),0)</f>
        <v>25.317796999999999</v>
      </c>
      <c r="H39">
        <f>IFERROR(VLOOKUP(F39,SROU03!$F:$H,3,FALSE),0)</f>
        <v>3.4906470000000001</v>
      </c>
      <c r="I39">
        <v>7.5465700000000005E-4</v>
      </c>
      <c r="J39">
        <v>9.5419999999999994E-6</v>
      </c>
      <c r="K39">
        <v>16.707000000000001</v>
      </c>
      <c r="L39">
        <v>17.597200000000001</v>
      </c>
      <c r="M39">
        <f>IFERROR(VLOOKUP(F39,TICO09!$F:$O,8,FALSE),0)</f>
        <v>19.861999999999998</v>
      </c>
      <c r="N39">
        <f>IFERROR(VLOOKUP(F39,SROU03!$F:$O,9,FALSE),0)</f>
        <v>26.6371</v>
      </c>
      <c r="O39">
        <v>23.015999999999998</v>
      </c>
      <c r="P39" t="str">
        <f t="shared" si="1"/>
        <v>SROU03</v>
      </c>
      <c r="Q39">
        <f t="shared" si="2"/>
        <v>26.6371</v>
      </c>
      <c r="R39">
        <f>VLOOKUP(P39,'Color codes'!$A:$B,2,FALSE)</f>
        <v>3</v>
      </c>
      <c r="S39">
        <f>TRUNC(VLOOKUP(P39,'Color codes'!$A:$E,3,FALSE)*(0.25 + 0.75*Q39/40))</f>
        <v>80</v>
      </c>
      <c r="T39">
        <f>TRUNC(VLOOKUP(P39,'Color codes'!$A:$E,4,FALSE)*(0.25 + 0.75*Q39/40))</f>
        <v>131</v>
      </c>
      <c r="U39">
        <f>TRUNC(VLOOKUP(P39,'Color codes'!$A:$E,5,FALSE)*(0.25 + 0.75*Q39/40))</f>
        <v>191</v>
      </c>
      <c r="V39" t="b">
        <f t="shared" si="3"/>
        <v>1</v>
      </c>
    </row>
    <row r="40" spans="1:22" x14ac:dyDescent="0.25">
      <c r="A40" t="s">
        <v>14</v>
      </c>
      <c r="B40" t="s">
        <v>16</v>
      </c>
      <c r="C40">
        <v>3</v>
      </c>
      <c r="D40">
        <v>100</v>
      </c>
      <c r="E40">
        <v>12800</v>
      </c>
      <c r="F40" t="str">
        <f t="shared" si="0"/>
        <v>lena256_blurkernel8_3_100_12800</v>
      </c>
      <c r="G40">
        <f>IFERROR(VLOOKUP(F40,SROU03!$F:$H,2,FALSE),0)</f>
        <v>23.686568999999999</v>
      </c>
      <c r="H40">
        <f>IFERROR(VLOOKUP(F40,SROU03!$F:$H,3,FALSE),0)</f>
        <v>3.518122</v>
      </c>
      <c r="I40">
        <v>1.60531E-3</v>
      </c>
      <c r="J40">
        <v>9.5419999999999994E-6</v>
      </c>
      <c r="K40">
        <v>13.5273</v>
      </c>
      <c r="L40">
        <v>17.597200000000001</v>
      </c>
      <c r="M40">
        <f>IFERROR(VLOOKUP(F40,TICO09!$F:$O,8,FALSE),0)</f>
        <v>19.3537</v>
      </c>
      <c r="N40">
        <f>IFERROR(VLOOKUP(F40,SROU03!$F:$O,9,FALSE),0)</f>
        <v>25.920500000000001</v>
      </c>
      <c r="O40">
        <v>20.773199999999999</v>
      </c>
      <c r="P40" t="str">
        <f t="shared" si="1"/>
        <v>SROU03</v>
      </c>
      <c r="Q40">
        <f t="shared" si="2"/>
        <v>25.920500000000001</v>
      </c>
      <c r="R40">
        <f>VLOOKUP(P40,'Color codes'!$A:$B,2,FALSE)</f>
        <v>3</v>
      </c>
      <c r="S40">
        <f>TRUNC(VLOOKUP(P40,'Color codes'!$A:$E,3,FALSE)*(0.25 + 0.75*Q40/40))</f>
        <v>78</v>
      </c>
      <c r="T40">
        <f>TRUNC(VLOOKUP(P40,'Color codes'!$A:$E,4,FALSE)*(0.25 + 0.75*Q40/40))</f>
        <v>129</v>
      </c>
      <c r="U40">
        <f>TRUNC(VLOOKUP(P40,'Color codes'!$A:$E,5,FALSE)*(0.25 + 0.75*Q40/40))</f>
        <v>187</v>
      </c>
      <c r="V40" t="b">
        <f t="shared" si="3"/>
        <v>1</v>
      </c>
    </row>
    <row r="41" spans="1:22" x14ac:dyDescent="0.25">
      <c r="A41" t="s">
        <v>14</v>
      </c>
      <c r="B41" t="s">
        <v>16</v>
      </c>
      <c r="C41">
        <v>3</v>
      </c>
      <c r="D41">
        <v>100</v>
      </c>
      <c r="E41">
        <v>25600</v>
      </c>
      <c r="F41" t="str">
        <f t="shared" si="0"/>
        <v>lena256_blurkernel8_3_100_25600</v>
      </c>
      <c r="G41">
        <f>IFERROR(VLOOKUP(F41,SROU03!$F:$H,2,FALSE),0)</f>
        <v>22.575042</v>
      </c>
      <c r="H41">
        <f>IFERROR(VLOOKUP(F41,SROU03!$F:$H,3,FALSE),0)</f>
        <v>3.5399340000000001</v>
      </c>
      <c r="I41">
        <v>3.5524020000000001E-3</v>
      </c>
      <c r="J41">
        <v>9.5419999999999994E-6</v>
      </c>
      <c r="K41">
        <v>10.3028</v>
      </c>
      <c r="L41">
        <v>17.597200000000001</v>
      </c>
      <c r="M41">
        <f>IFERROR(VLOOKUP(F41,TICO09!$F:$O,8,FALSE),0)</f>
        <v>18.532599999999999</v>
      </c>
      <c r="N41">
        <f>IFERROR(VLOOKUP(F41,SROU03!$F:$O,9,FALSE),0)</f>
        <v>25.326699999999999</v>
      </c>
      <c r="O41">
        <v>18.546299999999999</v>
      </c>
      <c r="P41" t="str">
        <f t="shared" si="1"/>
        <v>SROU03</v>
      </c>
      <c r="Q41">
        <f t="shared" si="2"/>
        <v>25.326699999999999</v>
      </c>
      <c r="R41">
        <f>VLOOKUP(P41,'Color codes'!$A:$B,2,FALSE)</f>
        <v>3</v>
      </c>
      <c r="S41">
        <f>TRUNC(VLOOKUP(P41,'Color codes'!$A:$E,3,FALSE)*(0.25 + 0.75*Q41/40))</f>
        <v>77</v>
      </c>
      <c r="T41">
        <f>TRUNC(VLOOKUP(P41,'Color codes'!$A:$E,4,FALSE)*(0.25 + 0.75*Q41/40))</f>
        <v>127</v>
      </c>
      <c r="U41">
        <f>TRUNC(VLOOKUP(P41,'Color codes'!$A:$E,5,FALSE)*(0.25 + 0.75*Q41/40))</f>
        <v>184</v>
      </c>
      <c r="V41" t="b">
        <f t="shared" si="3"/>
        <v>1</v>
      </c>
    </row>
    <row r="42" spans="1:22" x14ac:dyDescent="0.25">
      <c r="A42" t="s">
        <v>14</v>
      </c>
      <c r="B42" t="s">
        <v>16</v>
      </c>
      <c r="C42">
        <v>7</v>
      </c>
      <c r="D42">
        <v>100</v>
      </c>
      <c r="E42">
        <v>200</v>
      </c>
      <c r="F42" t="str">
        <f t="shared" si="0"/>
        <v>lena256_blurkernel8_7_100_200</v>
      </c>
      <c r="G42">
        <f>IFERROR(VLOOKUP(F42,SROU03!$F:$H,2,FALSE),0)</f>
        <v>46.603087000000002</v>
      </c>
      <c r="H42">
        <f>IFERROR(VLOOKUP(F42,SROU03!$F:$H,3,FALSE),0)</f>
        <v>10.517125</v>
      </c>
      <c r="I42">
        <v>2.0971E-5</v>
      </c>
      <c r="J42">
        <v>9.4909999999999994E-6</v>
      </c>
      <c r="K42">
        <v>32.172600000000003</v>
      </c>
      <c r="L42">
        <v>12.0022</v>
      </c>
      <c r="M42">
        <f>IFERROR(VLOOKUP(F42,TICO09!$F:$O,8,FALSE),0)</f>
        <v>20.972000000000001</v>
      </c>
      <c r="N42">
        <f>IFERROR(VLOOKUP(F42,SROU03!$F:$O,9,FALSE),0)</f>
        <v>32.861800000000002</v>
      </c>
      <c r="O42">
        <v>34.8018</v>
      </c>
      <c r="P42" t="str">
        <f t="shared" si="1"/>
        <v>BM3D</v>
      </c>
      <c r="Q42">
        <f t="shared" si="2"/>
        <v>34.8018</v>
      </c>
      <c r="R42">
        <f>VLOOKUP(P42,'Color codes'!$A:$B,2,FALSE)</f>
        <v>1</v>
      </c>
      <c r="S42">
        <f>TRUNC(VLOOKUP(P42,'Color codes'!$A:$E,3,FALSE)*(0.25 + 0.75*Q42/40))</f>
        <v>230</v>
      </c>
      <c r="T42">
        <f>TRUNC(VLOOKUP(P42,'Color codes'!$A:$E,4,FALSE)*(0.25 + 0.75*Q42/40))</f>
        <v>96</v>
      </c>
      <c r="U42">
        <f>TRUNC(VLOOKUP(P42,'Color codes'!$A:$E,5,FALSE)*(0.25 + 0.75*Q42/40))</f>
        <v>93</v>
      </c>
      <c r="V42" t="b">
        <f t="shared" si="3"/>
        <v>1</v>
      </c>
    </row>
    <row r="43" spans="1:22" x14ac:dyDescent="0.25">
      <c r="A43" t="s">
        <v>14</v>
      </c>
      <c r="B43" t="s">
        <v>16</v>
      </c>
      <c r="C43">
        <v>7</v>
      </c>
      <c r="D43">
        <v>100</v>
      </c>
      <c r="E43">
        <v>400</v>
      </c>
      <c r="F43" t="str">
        <f t="shared" si="0"/>
        <v>lena256_blurkernel8_7_100_400</v>
      </c>
      <c r="G43">
        <f>IFERROR(VLOOKUP(F43,SROU03!$F:$H,2,FALSE),0)</f>
        <v>33.977851999999999</v>
      </c>
      <c r="H43">
        <f>IFERROR(VLOOKUP(F43,SROU03!$F:$H,3,FALSE),0)</f>
        <v>9.6058869999999992</v>
      </c>
      <c r="I43">
        <v>4.3687999999999999E-5</v>
      </c>
      <c r="J43">
        <v>9.4909999999999994E-6</v>
      </c>
      <c r="K43">
        <v>28.989599999999999</v>
      </c>
      <c r="L43">
        <v>12.0022</v>
      </c>
      <c r="M43">
        <f>IFERROR(VLOOKUP(F43,TICO09!$F:$O,8,FALSE),0)</f>
        <v>20.872199999999999</v>
      </c>
      <c r="N43">
        <f>IFERROR(VLOOKUP(F43,SROU03!$F:$O,9,FALSE),0)</f>
        <v>30.5154</v>
      </c>
      <c r="O43">
        <v>32.2545</v>
      </c>
      <c r="P43" t="str">
        <f t="shared" si="1"/>
        <v>BM3D</v>
      </c>
      <c r="Q43">
        <f t="shared" si="2"/>
        <v>32.2545</v>
      </c>
      <c r="R43">
        <f>VLOOKUP(P43,'Color codes'!$A:$B,2,FALSE)</f>
        <v>1</v>
      </c>
      <c r="S43">
        <f>TRUNC(VLOOKUP(P43,'Color codes'!$A:$E,3,FALSE)*(0.25 + 0.75*Q43/40))</f>
        <v>217</v>
      </c>
      <c r="T43">
        <f>TRUNC(VLOOKUP(P43,'Color codes'!$A:$E,4,FALSE)*(0.25 + 0.75*Q43/40))</f>
        <v>91</v>
      </c>
      <c r="U43">
        <f>TRUNC(VLOOKUP(P43,'Color codes'!$A:$E,5,FALSE)*(0.25 + 0.75*Q43/40))</f>
        <v>88</v>
      </c>
      <c r="V43" t="b">
        <f t="shared" si="3"/>
        <v>1</v>
      </c>
    </row>
    <row r="44" spans="1:22" x14ac:dyDescent="0.25">
      <c r="A44" t="s">
        <v>14</v>
      </c>
      <c r="B44" t="s">
        <v>16</v>
      </c>
      <c r="C44">
        <v>7</v>
      </c>
      <c r="D44">
        <v>100</v>
      </c>
      <c r="E44">
        <v>800</v>
      </c>
      <c r="F44" t="str">
        <f t="shared" si="0"/>
        <v>lena256_blurkernel8_7_100_800</v>
      </c>
      <c r="G44">
        <f>IFERROR(VLOOKUP(F44,SROU03!$F:$H,2,FALSE),0)</f>
        <v>26.070549</v>
      </c>
      <c r="H44">
        <f>IFERROR(VLOOKUP(F44,SROU03!$F:$H,3,FALSE),0)</f>
        <v>9.1693149999999992</v>
      </c>
      <c r="I44">
        <v>8.9695000000000001E-5</v>
      </c>
      <c r="J44">
        <v>9.4909999999999994E-6</v>
      </c>
      <c r="K44">
        <v>25.867899999999999</v>
      </c>
      <c r="L44">
        <v>12.0022</v>
      </c>
      <c r="M44">
        <f>IFERROR(VLOOKUP(F44,TICO09!$F:$O,8,FALSE),0)</f>
        <v>20.694299999999998</v>
      </c>
      <c r="N44">
        <f>IFERROR(VLOOKUP(F44,SROU03!$F:$O,9,FALSE),0)</f>
        <v>28.264299999999999</v>
      </c>
      <c r="O44">
        <v>29.8354</v>
      </c>
      <c r="P44" t="str">
        <f t="shared" si="1"/>
        <v>BM3D</v>
      </c>
      <c r="Q44">
        <f t="shared" si="2"/>
        <v>29.8354</v>
      </c>
      <c r="R44">
        <f>VLOOKUP(P44,'Color codes'!$A:$B,2,FALSE)</f>
        <v>1</v>
      </c>
      <c r="S44">
        <f>TRUNC(VLOOKUP(P44,'Color codes'!$A:$E,3,FALSE)*(0.25 + 0.75*Q44/40))</f>
        <v>206</v>
      </c>
      <c r="T44">
        <f>TRUNC(VLOOKUP(P44,'Color codes'!$A:$E,4,FALSE)*(0.25 + 0.75*Q44/40))</f>
        <v>86</v>
      </c>
      <c r="U44">
        <f>TRUNC(VLOOKUP(P44,'Color codes'!$A:$E,5,FALSE)*(0.25 + 0.75*Q44/40))</f>
        <v>84</v>
      </c>
      <c r="V44" t="b">
        <f t="shared" si="3"/>
        <v>1</v>
      </c>
    </row>
    <row r="45" spans="1:22" x14ac:dyDescent="0.25">
      <c r="A45" t="s">
        <v>14</v>
      </c>
      <c r="B45" t="s">
        <v>16</v>
      </c>
      <c r="C45">
        <v>7</v>
      </c>
      <c r="D45">
        <v>100</v>
      </c>
      <c r="E45">
        <v>1600</v>
      </c>
      <c r="F45" t="str">
        <f t="shared" si="0"/>
        <v>lena256_blurkernel8_7_100_1600</v>
      </c>
      <c r="G45">
        <f>IFERROR(VLOOKUP(F45,SROU03!$F:$H,2,FALSE),0)</f>
        <v>20.975252999999999</v>
      </c>
      <c r="H45">
        <f>IFERROR(VLOOKUP(F45,SROU03!$F:$H,3,FALSE),0)</f>
        <v>8.9681289999999994</v>
      </c>
      <c r="I45">
        <v>1.8348600000000001E-4</v>
      </c>
      <c r="J45">
        <v>9.4909999999999994E-6</v>
      </c>
      <c r="K45">
        <v>22.773</v>
      </c>
      <c r="L45">
        <v>12.0022</v>
      </c>
      <c r="M45">
        <f>IFERROR(VLOOKUP(F45,TICO09!$F:$O,8,FALSE),0)</f>
        <v>20.3231</v>
      </c>
      <c r="N45">
        <f>IFERROR(VLOOKUP(F45,SROU03!$F:$O,9,FALSE),0)</f>
        <v>26.288699999999999</v>
      </c>
      <c r="O45">
        <v>27.446400000000001</v>
      </c>
      <c r="P45" t="str">
        <f t="shared" si="1"/>
        <v>BM3D</v>
      </c>
      <c r="Q45">
        <f t="shared" si="2"/>
        <v>27.446400000000001</v>
      </c>
      <c r="R45">
        <f>VLOOKUP(P45,'Color codes'!$A:$B,2,FALSE)</f>
        <v>1</v>
      </c>
      <c r="S45">
        <f>TRUNC(VLOOKUP(P45,'Color codes'!$A:$E,3,FALSE)*(0.25 + 0.75*Q45/40))</f>
        <v>194</v>
      </c>
      <c r="T45">
        <f>TRUNC(VLOOKUP(P45,'Color codes'!$A:$E,4,FALSE)*(0.25 + 0.75*Q45/40))</f>
        <v>81</v>
      </c>
      <c r="U45">
        <f>TRUNC(VLOOKUP(P45,'Color codes'!$A:$E,5,FALSE)*(0.25 + 0.75*Q45/40))</f>
        <v>79</v>
      </c>
      <c r="V45" t="b">
        <f t="shared" si="3"/>
        <v>1</v>
      </c>
    </row>
    <row r="46" spans="1:22" x14ac:dyDescent="0.25">
      <c r="A46" t="s">
        <v>14</v>
      </c>
      <c r="B46" t="s">
        <v>16</v>
      </c>
      <c r="C46">
        <v>7</v>
      </c>
      <c r="D46">
        <v>100</v>
      </c>
      <c r="E46">
        <v>3200</v>
      </c>
      <c r="F46" t="str">
        <f t="shared" si="0"/>
        <v>lena256_blurkernel8_7_100_3200</v>
      </c>
      <c r="G46">
        <f>IFERROR(VLOOKUP(F46,SROU03!$F:$H,2,FALSE),0)</f>
        <v>17.742101999999999</v>
      </c>
      <c r="H46">
        <f>IFERROR(VLOOKUP(F46,SROU03!$F:$H,3,FALSE),0)</f>
        <v>8.8847749999999994</v>
      </c>
      <c r="I46">
        <v>3.69997E-4</v>
      </c>
      <c r="J46">
        <v>9.4909999999999994E-6</v>
      </c>
      <c r="K46">
        <v>19.751200000000001</v>
      </c>
      <c r="L46">
        <v>12.0022</v>
      </c>
      <c r="M46">
        <f>IFERROR(VLOOKUP(F46,TICO09!$F:$O,8,FALSE),0)</f>
        <v>19.744700000000002</v>
      </c>
      <c r="N46">
        <f>IFERROR(VLOOKUP(F46,SROU03!$F:$O,9,FALSE),0)</f>
        <v>24.7148</v>
      </c>
      <c r="O46">
        <v>25.197900000000001</v>
      </c>
      <c r="P46" t="str">
        <f t="shared" si="1"/>
        <v>BM3D</v>
      </c>
      <c r="Q46">
        <f t="shared" si="2"/>
        <v>25.197900000000001</v>
      </c>
      <c r="R46">
        <f>VLOOKUP(P46,'Color codes'!$A:$B,2,FALSE)</f>
        <v>1</v>
      </c>
      <c r="S46">
        <f>TRUNC(VLOOKUP(P46,'Color codes'!$A:$E,3,FALSE)*(0.25 + 0.75*Q46/40))</f>
        <v>184</v>
      </c>
      <c r="T46">
        <f>TRUNC(VLOOKUP(P46,'Color codes'!$A:$E,4,FALSE)*(0.25 + 0.75*Q46/40))</f>
        <v>77</v>
      </c>
      <c r="U46">
        <f>TRUNC(VLOOKUP(P46,'Color codes'!$A:$E,5,FALSE)*(0.25 + 0.75*Q46/40))</f>
        <v>75</v>
      </c>
      <c r="V46" t="b">
        <f t="shared" si="3"/>
        <v>0</v>
      </c>
    </row>
    <row r="47" spans="1:22" x14ac:dyDescent="0.25">
      <c r="A47" t="s">
        <v>14</v>
      </c>
      <c r="B47" t="s">
        <v>16</v>
      </c>
      <c r="C47">
        <v>7</v>
      </c>
      <c r="D47">
        <v>100</v>
      </c>
      <c r="E47">
        <v>6400</v>
      </c>
      <c r="F47" t="str">
        <f t="shared" si="0"/>
        <v>lena256_blurkernel8_7_100_6400</v>
      </c>
      <c r="G47">
        <f>IFERROR(VLOOKUP(F47,SROU03!$F:$H,2,FALSE),0)</f>
        <v>15.512241</v>
      </c>
      <c r="H47">
        <f>IFERROR(VLOOKUP(F47,SROU03!$F:$H,3,FALSE),0)</f>
        <v>8.8635470000000005</v>
      </c>
      <c r="I47">
        <v>7.6647300000000005E-4</v>
      </c>
      <c r="J47">
        <v>9.4909999999999994E-6</v>
      </c>
      <c r="K47">
        <v>16.6403</v>
      </c>
      <c r="L47">
        <v>12.0022</v>
      </c>
      <c r="M47">
        <f>IFERROR(VLOOKUP(F47,TICO09!$F:$O,8,FALSE),0)</f>
        <v>18.9602</v>
      </c>
      <c r="N47">
        <f>IFERROR(VLOOKUP(F47,SROU03!$F:$O,9,FALSE),0)</f>
        <v>23.153400000000001</v>
      </c>
      <c r="O47">
        <v>22.974699999999999</v>
      </c>
      <c r="P47" t="str">
        <f t="shared" si="1"/>
        <v>SROU03</v>
      </c>
      <c r="Q47">
        <f t="shared" si="2"/>
        <v>23.153400000000001</v>
      </c>
      <c r="R47">
        <f>VLOOKUP(P47,'Color codes'!$A:$B,2,FALSE)</f>
        <v>3</v>
      </c>
      <c r="S47">
        <f>TRUNC(VLOOKUP(P47,'Color codes'!$A:$E,3,FALSE)*(0.25 + 0.75*Q47/40))</f>
        <v>73</v>
      </c>
      <c r="T47">
        <f>TRUNC(VLOOKUP(P47,'Color codes'!$A:$E,4,FALSE)*(0.25 + 0.75*Q47/40))</f>
        <v>120</v>
      </c>
      <c r="U47">
        <f>TRUNC(VLOOKUP(P47,'Color codes'!$A:$E,5,FALSE)*(0.25 + 0.75*Q47/40))</f>
        <v>174</v>
      </c>
      <c r="V47" t="b">
        <f t="shared" si="3"/>
        <v>0</v>
      </c>
    </row>
    <row r="48" spans="1:22" x14ac:dyDescent="0.25">
      <c r="A48" t="s">
        <v>14</v>
      </c>
      <c r="B48" t="s">
        <v>16</v>
      </c>
      <c r="C48">
        <v>7</v>
      </c>
      <c r="D48">
        <v>100</v>
      </c>
      <c r="E48">
        <v>12800</v>
      </c>
      <c r="F48" t="str">
        <f t="shared" si="0"/>
        <v>lena256_blurkernel8_7_100_12800</v>
      </c>
      <c r="G48">
        <f>IFERROR(VLOOKUP(F48,SROU03!$F:$H,2,FALSE),0)</f>
        <v>13.783006</v>
      </c>
      <c r="H48">
        <f>IFERROR(VLOOKUP(F48,SROU03!$F:$H,3,FALSE),0)</f>
        <v>8.8822209999999995</v>
      </c>
      <c r="I48">
        <v>1.607994E-3</v>
      </c>
      <c r="J48">
        <v>9.4909999999999994E-6</v>
      </c>
      <c r="K48">
        <v>13.513299999999999</v>
      </c>
      <c r="L48">
        <v>12.0022</v>
      </c>
      <c r="M48">
        <f>IFERROR(VLOOKUP(F48,TICO09!$F:$O,8,FALSE),0)</f>
        <v>17.953800000000001</v>
      </c>
      <c r="N48">
        <f>IFERROR(VLOOKUP(F48,SROU03!$F:$O,9,FALSE),0)</f>
        <v>21.860199999999999</v>
      </c>
      <c r="O48">
        <v>20.745100000000001</v>
      </c>
      <c r="P48" t="str">
        <f t="shared" si="1"/>
        <v>SROU03</v>
      </c>
      <c r="Q48">
        <f t="shared" si="2"/>
        <v>21.860199999999999</v>
      </c>
      <c r="R48">
        <f>VLOOKUP(P48,'Color codes'!$A:$B,2,FALSE)</f>
        <v>3</v>
      </c>
      <c r="S48">
        <f>TRUNC(VLOOKUP(P48,'Color codes'!$A:$E,3,FALSE)*(0.25 + 0.75*Q48/40))</f>
        <v>70</v>
      </c>
      <c r="T48">
        <f>TRUNC(VLOOKUP(P48,'Color codes'!$A:$E,4,FALSE)*(0.25 + 0.75*Q48/40))</f>
        <v>116</v>
      </c>
      <c r="U48">
        <f>TRUNC(VLOOKUP(P48,'Color codes'!$A:$E,5,FALSE)*(0.25 + 0.75*Q48/40))</f>
        <v>168</v>
      </c>
      <c r="V48" t="b">
        <f t="shared" si="3"/>
        <v>1</v>
      </c>
    </row>
    <row r="49" spans="1:22" x14ac:dyDescent="0.25">
      <c r="A49" t="s">
        <v>14</v>
      </c>
      <c r="B49" t="s">
        <v>16</v>
      </c>
      <c r="C49">
        <v>7</v>
      </c>
      <c r="D49">
        <v>100</v>
      </c>
      <c r="E49">
        <v>25600</v>
      </c>
      <c r="F49" t="str">
        <f t="shared" si="0"/>
        <v>lena256_blurkernel8_7_100_25600</v>
      </c>
      <c r="G49">
        <f>IFERROR(VLOOKUP(F49,SROU03!$F:$H,2,FALSE),0)</f>
        <v>12.376163</v>
      </c>
      <c r="H49">
        <f>IFERROR(VLOOKUP(F49,SROU03!$F:$H,3,FALSE),0)</f>
        <v>8.9147800000000004</v>
      </c>
      <c r="I49">
        <v>3.560101E-3</v>
      </c>
      <c r="J49">
        <v>9.4909999999999994E-6</v>
      </c>
      <c r="K49">
        <v>10.2902</v>
      </c>
      <c r="L49">
        <v>12.0022</v>
      </c>
      <c r="M49">
        <f>IFERROR(VLOOKUP(F49,TICO09!$F:$O,8,FALSE),0)</f>
        <v>16.6235</v>
      </c>
      <c r="N49">
        <f>IFERROR(VLOOKUP(F49,SROU03!$F:$O,9,FALSE),0)</f>
        <v>21.180199999999999</v>
      </c>
      <c r="O49">
        <v>18.477399999999999</v>
      </c>
      <c r="P49" t="str">
        <f t="shared" si="1"/>
        <v>SROU03</v>
      </c>
      <c r="Q49">
        <f t="shared" si="2"/>
        <v>21.180199999999999</v>
      </c>
      <c r="R49">
        <f>VLOOKUP(P49,'Color codes'!$A:$B,2,FALSE)</f>
        <v>3</v>
      </c>
      <c r="S49">
        <f>TRUNC(VLOOKUP(P49,'Color codes'!$A:$E,3,FALSE)*(0.25 + 0.75*Q49/40))</f>
        <v>69</v>
      </c>
      <c r="T49">
        <f>TRUNC(VLOOKUP(P49,'Color codes'!$A:$E,4,FALSE)*(0.25 + 0.75*Q49/40))</f>
        <v>113</v>
      </c>
      <c r="U49">
        <f>TRUNC(VLOOKUP(P49,'Color codes'!$A:$E,5,FALSE)*(0.25 + 0.75*Q49/40))</f>
        <v>165</v>
      </c>
      <c r="V49" t="b">
        <f t="shared" si="3"/>
        <v>1</v>
      </c>
    </row>
    <row r="50" spans="1:22" x14ac:dyDescent="0.25">
      <c r="A50" t="s">
        <v>14</v>
      </c>
      <c r="B50" t="s">
        <v>16</v>
      </c>
      <c r="C50">
        <v>15</v>
      </c>
      <c r="D50">
        <v>100</v>
      </c>
      <c r="E50">
        <v>200</v>
      </c>
      <c r="F50" t="str">
        <f t="shared" si="0"/>
        <v>lena256_blurkernel8_15_100_200</v>
      </c>
      <c r="G50">
        <f>IFERROR(VLOOKUP(F50,SROU03!$F:$H,2,FALSE),0)</f>
        <v>44.664202000000003</v>
      </c>
      <c r="H50">
        <f>IFERROR(VLOOKUP(F50,SROU03!$F:$H,3,FALSE),0)</f>
        <v>23.118221999999999</v>
      </c>
      <c r="I50">
        <v>2.0823E-5</v>
      </c>
      <c r="J50">
        <v>9.4229999999999994E-6</v>
      </c>
      <c r="K50">
        <v>32.202399999999997</v>
      </c>
      <c r="L50">
        <v>8.2184000000000008</v>
      </c>
      <c r="M50">
        <f>IFERROR(VLOOKUP(F50,TICO09!$F:$O,8,FALSE),0)</f>
        <v>21.733599999999999</v>
      </c>
      <c r="N50">
        <f>IFERROR(VLOOKUP(F50,SROU03!$F:$O,9,FALSE),0)</f>
        <v>32.615900000000003</v>
      </c>
      <c r="O50">
        <v>34.867899999999999</v>
      </c>
      <c r="P50" t="str">
        <f t="shared" si="1"/>
        <v>BM3D</v>
      </c>
      <c r="Q50">
        <f t="shared" si="2"/>
        <v>34.867899999999999</v>
      </c>
      <c r="R50">
        <f>VLOOKUP(P50,'Color codes'!$A:$B,2,FALSE)</f>
        <v>1</v>
      </c>
      <c r="S50">
        <f>TRUNC(VLOOKUP(P50,'Color codes'!$A:$E,3,FALSE)*(0.25 + 0.75*Q50/40))</f>
        <v>230</v>
      </c>
      <c r="T50">
        <f>TRUNC(VLOOKUP(P50,'Color codes'!$A:$E,4,FALSE)*(0.25 + 0.75*Q50/40))</f>
        <v>96</v>
      </c>
      <c r="U50">
        <f>TRUNC(VLOOKUP(P50,'Color codes'!$A:$E,5,FALSE)*(0.25 + 0.75*Q50/40))</f>
        <v>93</v>
      </c>
      <c r="V50" t="b">
        <f t="shared" si="3"/>
        <v>1</v>
      </c>
    </row>
    <row r="51" spans="1:22" x14ac:dyDescent="0.25">
      <c r="A51" t="s">
        <v>14</v>
      </c>
      <c r="B51" t="s">
        <v>16</v>
      </c>
      <c r="C51">
        <v>15</v>
      </c>
      <c r="D51">
        <v>100</v>
      </c>
      <c r="E51">
        <v>400</v>
      </c>
      <c r="F51" t="str">
        <f t="shared" si="0"/>
        <v>lena256_blurkernel8_15_100_400</v>
      </c>
      <c r="G51">
        <f>IFERROR(VLOOKUP(F51,SROU03!$F:$H,2,FALSE),0)</f>
        <v>31.862772</v>
      </c>
      <c r="H51">
        <f>IFERROR(VLOOKUP(F51,SROU03!$F:$H,3,FALSE),0)</f>
        <v>21.171213999999999</v>
      </c>
      <c r="I51">
        <v>4.3476999999999997E-5</v>
      </c>
      <c r="J51">
        <v>9.4229999999999994E-6</v>
      </c>
      <c r="K51">
        <v>29.008199999999999</v>
      </c>
      <c r="L51">
        <v>8.2184000000000008</v>
      </c>
      <c r="M51">
        <f>IFERROR(VLOOKUP(F51,TICO09!$F:$O,8,FALSE),0)</f>
        <v>21.601900000000001</v>
      </c>
      <c r="N51">
        <f>IFERROR(VLOOKUP(F51,SROU03!$F:$O,9,FALSE),0)</f>
        <v>29.8431</v>
      </c>
      <c r="O51">
        <v>32.258299999999998</v>
      </c>
      <c r="P51" t="str">
        <f t="shared" si="1"/>
        <v>BM3D</v>
      </c>
      <c r="Q51">
        <f t="shared" si="2"/>
        <v>32.258299999999998</v>
      </c>
      <c r="R51">
        <f>VLOOKUP(P51,'Color codes'!$A:$B,2,FALSE)</f>
        <v>1</v>
      </c>
      <c r="S51">
        <f>TRUNC(VLOOKUP(P51,'Color codes'!$A:$E,3,FALSE)*(0.25 + 0.75*Q51/40))</f>
        <v>217</v>
      </c>
      <c r="T51">
        <f>TRUNC(VLOOKUP(P51,'Color codes'!$A:$E,4,FALSE)*(0.25 + 0.75*Q51/40))</f>
        <v>91</v>
      </c>
      <c r="U51">
        <f>TRUNC(VLOOKUP(P51,'Color codes'!$A:$E,5,FALSE)*(0.25 + 0.75*Q51/40))</f>
        <v>88</v>
      </c>
      <c r="V51" t="b">
        <f t="shared" si="3"/>
        <v>1</v>
      </c>
    </row>
    <row r="52" spans="1:22" x14ac:dyDescent="0.25">
      <c r="A52" t="s">
        <v>14</v>
      </c>
      <c r="B52" t="s">
        <v>16</v>
      </c>
      <c r="C52">
        <v>15</v>
      </c>
      <c r="D52">
        <v>100</v>
      </c>
      <c r="E52">
        <v>800</v>
      </c>
      <c r="F52" t="str">
        <f t="shared" si="0"/>
        <v>lena256_blurkernel8_15_100_800</v>
      </c>
      <c r="G52">
        <f>IFERROR(VLOOKUP(F52,SROU03!$F:$H,2,FALSE),0)</f>
        <v>23.038454000000002</v>
      </c>
      <c r="H52">
        <f>IFERROR(VLOOKUP(F52,SROU03!$F:$H,3,FALSE),0)</f>
        <v>20.102768999999999</v>
      </c>
      <c r="I52">
        <v>8.9398E-5</v>
      </c>
      <c r="J52">
        <v>9.4229999999999994E-6</v>
      </c>
      <c r="K52">
        <v>25.8841</v>
      </c>
      <c r="L52">
        <v>8.2184000000000008</v>
      </c>
      <c r="M52">
        <f>IFERROR(VLOOKUP(F52,TICO09!$F:$O,8,FALSE),0)</f>
        <v>21.313600000000001</v>
      </c>
      <c r="N52">
        <f>IFERROR(VLOOKUP(F52,SROU03!$F:$O,9,FALSE),0)</f>
        <v>27.477</v>
      </c>
      <c r="O52">
        <v>29.855899999999998</v>
      </c>
      <c r="P52" t="str">
        <f t="shared" si="1"/>
        <v>BM3D</v>
      </c>
      <c r="Q52">
        <f t="shared" si="2"/>
        <v>29.855899999999998</v>
      </c>
      <c r="R52">
        <f>VLOOKUP(P52,'Color codes'!$A:$B,2,FALSE)</f>
        <v>1</v>
      </c>
      <c r="S52">
        <f>TRUNC(VLOOKUP(P52,'Color codes'!$A:$E,3,FALSE)*(0.25 + 0.75*Q52/40))</f>
        <v>206</v>
      </c>
      <c r="T52">
        <f>TRUNC(VLOOKUP(P52,'Color codes'!$A:$E,4,FALSE)*(0.25 + 0.75*Q52/40))</f>
        <v>86</v>
      </c>
      <c r="U52">
        <f>TRUNC(VLOOKUP(P52,'Color codes'!$A:$E,5,FALSE)*(0.25 + 0.75*Q52/40))</f>
        <v>84</v>
      </c>
      <c r="V52" t="b">
        <f t="shared" si="3"/>
        <v>1</v>
      </c>
    </row>
    <row r="53" spans="1:22" x14ac:dyDescent="0.25">
      <c r="A53" t="s">
        <v>14</v>
      </c>
      <c r="B53" t="s">
        <v>16</v>
      </c>
      <c r="C53">
        <v>15</v>
      </c>
      <c r="D53">
        <v>100</v>
      </c>
      <c r="E53">
        <v>1600</v>
      </c>
      <c r="F53" t="str">
        <f t="shared" si="0"/>
        <v>lena256_blurkernel8_15_100_1600</v>
      </c>
      <c r="G53">
        <f>IFERROR(VLOOKUP(F53,SROU03!$F:$H,2,FALSE),0)</f>
        <v>17.449448</v>
      </c>
      <c r="H53">
        <f>IFERROR(VLOOKUP(F53,SROU03!$F:$H,3,FALSE),0)</f>
        <v>19.650072000000002</v>
      </c>
      <c r="I53">
        <v>1.81502E-4</v>
      </c>
      <c r="J53">
        <v>9.4229999999999994E-6</v>
      </c>
      <c r="K53">
        <v>22.8203</v>
      </c>
      <c r="L53">
        <v>8.2184000000000008</v>
      </c>
      <c r="M53">
        <f>IFERROR(VLOOKUP(F53,TICO09!$F:$O,8,FALSE),0)</f>
        <v>20.867699999999999</v>
      </c>
      <c r="N53">
        <f>IFERROR(VLOOKUP(F53,SROU03!$F:$O,9,FALSE),0)</f>
        <v>25.392800000000001</v>
      </c>
      <c r="O53">
        <v>27.5261</v>
      </c>
      <c r="P53" t="str">
        <f t="shared" si="1"/>
        <v>BM3D</v>
      </c>
      <c r="Q53">
        <f t="shared" si="2"/>
        <v>27.5261</v>
      </c>
      <c r="R53">
        <f>VLOOKUP(P53,'Color codes'!$A:$B,2,FALSE)</f>
        <v>1</v>
      </c>
      <c r="S53">
        <f>TRUNC(VLOOKUP(P53,'Color codes'!$A:$E,3,FALSE)*(0.25 + 0.75*Q53/40))</f>
        <v>195</v>
      </c>
      <c r="T53">
        <f>TRUNC(VLOOKUP(P53,'Color codes'!$A:$E,4,FALSE)*(0.25 + 0.75*Q53/40))</f>
        <v>81</v>
      </c>
      <c r="U53">
        <f>TRUNC(VLOOKUP(P53,'Color codes'!$A:$E,5,FALSE)*(0.25 + 0.75*Q53/40))</f>
        <v>79</v>
      </c>
      <c r="V53" t="b">
        <f t="shared" si="3"/>
        <v>1</v>
      </c>
    </row>
    <row r="54" spans="1:22" x14ac:dyDescent="0.25">
      <c r="A54" t="s">
        <v>14</v>
      </c>
      <c r="B54" t="s">
        <v>16</v>
      </c>
      <c r="C54">
        <v>15</v>
      </c>
      <c r="D54">
        <v>100</v>
      </c>
      <c r="E54">
        <v>3200</v>
      </c>
      <c r="F54" t="str">
        <f t="shared" si="0"/>
        <v>lena256_blurkernel8_15_100_3200</v>
      </c>
      <c r="G54">
        <f>IFERROR(VLOOKUP(F54,SROU03!$F:$H,2,FALSE),0)</f>
        <v>13.701396000000001</v>
      </c>
      <c r="H54">
        <f>IFERROR(VLOOKUP(F54,SROU03!$F:$H,3,FALSE),0)</f>
        <v>19.380531000000001</v>
      </c>
      <c r="I54">
        <v>3.7632399999999998E-4</v>
      </c>
      <c r="J54">
        <v>9.4229999999999994E-6</v>
      </c>
      <c r="K54">
        <v>19.6769</v>
      </c>
      <c r="L54">
        <v>8.2184000000000008</v>
      </c>
      <c r="M54">
        <f>IFERROR(VLOOKUP(F54,TICO09!$F:$O,8,FALSE),0)</f>
        <v>20.1904</v>
      </c>
      <c r="N54">
        <f>IFERROR(VLOOKUP(F54,SROU03!$F:$O,9,FALSE),0)</f>
        <v>23.398900000000001</v>
      </c>
      <c r="O54">
        <v>25.162099999999999</v>
      </c>
      <c r="P54" t="str">
        <f t="shared" si="1"/>
        <v>BM3D</v>
      </c>
      <c r="Q54">
        <f t="shared" si="2"/>
        <v>25.162099999999999</v>
      </c>
      <c r="R54">
        <f>VLOOKUP(P54,'Color codes'!$A:$B,2,FALSE)</f>
        <v>1</v>
      </c>
      <c r="S54">
        <f>TRUNC(VLOOKUP(P54,'Color codes'!$A:$E,3,FALSE)*(0.25 + 0.75*Q54/40))</f>
        <v>184</v>
      </c>
      <c r="T54">
        <f>TRUNC(VLOOKUP(P54,'Color codes'!$A:$E,4,FALSE)*(0.25 + 0.75*Q54/40))</f>
        <v>77</v>
      </c>
      <c r="U54">
        <f>TRUNC(VLOOKUP(P54,'Color codes'!$A:$E,5,FALSE)*(0.25 + 0.75*Q54/40))</f>
        <v>75</v>
      </c>
      <c r="V54" t="b">
        <f t="shared" si="3"/>
        <v>1</v>
      </c>
    </row>
    <row r="55" spans="1:22" x14ac:dyDescent="0.25">
      <c r="A55" t="s">
        <v>14</v>
      </c>
      <c r="B55" t="s">
        <v>16</v>
      </c>
      <c r="C55">
        <v>15</v>
      </c>
      <c r="D55">
        <v>100</v>
      </c>
      <c r="E55">
        <v>6400</v>
      </c>
      <c r="F55" t="str">
        <f t="shared" si="0"/>
        <v>lena256_blurkernel8_15_100_6400</v>
      </c>
      <c r="G55">
        <f>IFERROR(VLOOKUP(F55,SROU03!$F:$H,2,FALSE),0)</f>
        <v>11.186574999999999</v>
      </c>
      <c r="H55">
        <f>IFERROR(VLOOKUP(F55,SROU03!$F:$H,3,FALSE),0)</f>
        <v>19.314679999999999</v>
      </c>
      <c r="I55">
        <v>7.6393100000000003E-4</v>
      </c>
      <c r="J55">
        <v>9.4229999999999994E-6</v>
      </c>
      <c r="K55">
        <v>16.653400000000001</v>
      </c>
      <c r="L55">
        <v>8.2184000000000008</v>
      </c>
      <c r="M55">
        <f>IFERROR(VLOOKUP(F55,TICO09!$F:$O,8,FALSE),0)</f>
        <v>19.160799999999998</v>
      </c>
      <c r="N55">
        <f>IFERROR(VLOOKUP(F55,SROU03!$F:$O,9,FALSE),0)</f>
        <v>21.772300000000001</v>
      </c>
      <c r="O55">
        <v>22.9467</v>
      </c>
      <c r="P55" t="str">
        <f t="shared" si="1"/>
        <v>BM3D</v>
      </c>
      <c r="Q55">
        <f t="shared" si="2"/>
        <v>22.9467</v>
      </c>
      <c r="R55">
        <f>VLOOKUP(P55,'Color codes'!$A:$B,2,FALSE)</f>
        <v>1</v>
      </c>
      <c r="S55">
        <f>TRUNC(VLOOKUP(P55,'Color codes'!$A:$E,3,FALSE)*(0.25 + 0.75*Q55/40))</f>
        <v>173</v>
      </c>
      <c r="T55">
        <f>TRUNC(VLOOKUP(P55,'Color codes'!$A:$E,4,FALSE)*(0.25 + 0.75*Q55/40))</f>
        <v>72</v>
      </c>
      <c r="U55">
        <f>TRUNC(VLOOKUP(P55,'Color codes'!$A:$E,5,FALSE)*(0.25 + 0.75*Q55/40))</f>
        <v>70</v>
      </c>
      <c r="V55" t="b">
        <f t="shared" si="3"/>
        <v>1</v>
      </c>
    </row>
    <row r="56" spans="1:22" x14ac:dyDescent="0.25">
      <c r="A56" t="s">
        <v>14</v>
      </c>
      <c r="B56" t="s">
        <v>16</v>
      </c>
      <c r="C56">
        <v>15</v>
      </c>
      <c r="D56">
        <v>100</v>
      </c>
      <c r="E56">
        <v>12800</v>
      </c>
      <c r="F56" t="str">
        <f t="shared" si="0"/>
        <v>lena256_blurkernel8_15_100_12800</v>
      </c>
      <c r="G56">
        <f>IFERROR(VLOOKUP(F56,SROU03!$F:$H,2,FALSE),0)</f>
        <v>9.4478519999999993</v>
      </c>
      <c r="H56">
        <f>IFERROR(VLOOKUP(F56,SROU03!$F:$H,3,FALSE),0)</f>
        <v>19.249309</v>
      </c>
      <c r="I56">
        <v>1.6113709999999999E-3</v>
      </c>
      <c r="J56">
        <v>9.4229999999999994E-6</v>
      </c>
      <c r="K56">
        <v>13.504899999999999</v>
      </c>
      <c r="L56">
        <v>8.2184000000000008</v>
      </c>
      <c r="M56">
        <f>IFERROR(VLOOKUP(F56,TICO09!$F:$O,8,FALSE),0)</f>
        <v>17.9466</v>
      </c>
      <c r="N56">
        <f>IFERROR(VLOOKUP(F56,SROU03!$F:$O,9,FALSE),0)</f>
        <v>20.496400000000001</v>
      </c>
      <c r="O56">
        <v>20.764600000000002</v>
      </c>
      <c r="P56" t="str">
        <f t="shared" si="1"/>
        <v>BM3D</v>
      </c>
      <c r="Q56">
        <f t="shared" si="2"/>
        <v>20.764600000000002</v>
      </c>
      <c r="R56">
        <f>VLOOKUP(P56,'Color codes'!$A:$B,2,FALSE)</f>
        <v>1</v>
      </c>
      <c r="S56">
        <f>TRUNC(VLOOKUP(P56,'Color codes'!$A:$E,3,FALSE)*(0.25 + 0.75*Q56/40))</f>
        <v>163</v>
      </c>
      <c r="T56">
        <f>TRUNC(VLOOKUP(P56,'Color codes'!$A:$E,4,FALSE)*(0.25 + 0.75*Q56/40))</f>
        <v>68</v>
      </c>
      <c r="U56">
        <f>TRUNC(VLOOKUP(P56,'Color codes'!$A:$E,5,FALSE)*(0.25 + 0.75*Q56/40))</f>
        <v>66</v>
      </c>
      <c r="V56" t="b">
        <f t="shared" si="3"/>
        <v>0</v>
      </c>
    </row>
    <row r="57" spans="1:22" x14ac:dyDescent="0.25">
      <c r="A57" t="s">
        <v>14</v>
      </c>
      <c r="B57" t="s">
        <v>16</v>
      </c>
      <c r="C57">
        <v>15</v>
      </c>
      <c r="D57">
        <v>100</v>
      </c>
      <c r="E57">
        <v>25600</v>
      </c>
      <c r="F57" t="str">
        <f t="shared" si="0"/>
        <v>lena256_blurkernel8_15_100_25600</v>
      </c>
      <c r="G57">
        <f>IFERROR(VLOOKUP(F57,SROU03!$F:$H,2,FALSE),0)</f>
        <v>8.2086100000000002</v>
      </c>
      <c r="H57">
        <f>IFERROR(VLOOKUP(F57,SROU03!$F:$H,3,FALSE),0)</f>
        <v>19.290410999999999</v>
      </c>
      <c r="I57">
        <v>3.5546549999999999E-3</v>
      </c>
      <c r="J57">
        <v>9.4229999999999994E-6</v>
      </c>
      <c r="K57">
        <v>10.3081</v>
      </c>
      <c r="L57">
        <v>8.2184000000000008</v>
      </c>
      <c r="M57">
        <f>IFERROR(VLOOKUP(F57,TICO09!$F:$O,8,FALSE),0)</f>
        <v>16.259599999999999</v>
      </c>
      <c r="N57">
        <f>IFERROR(VLOOKUP(F57,SROU03!$F:$O,9,FALSE),0)</f>
        <v>19.495100000000001</v>
      </c>
      <c r="O57">
        <v>18.484500000000001</v>
      </c>
      <c r="P57" t="str">
        <f t="shared" si="1"/>
        <v>SROU03</v>
      </c>
      <c r="Q57">
        <f t="shared" si="2"/>
        <v>19.495100000000001</v>
      </c>
      <c r="R57">
        <f>VLOOKUP(P57,'Color codes'!$A:$B,2,FALSE)</f>
        <v>3</v>
      </c>
      <c r="S57">
        <f>TRUNC(VLOOKUP(P57,'Color codes'!$A:$E,3,FALSE)*(0.25 + 0.75*Q57/40))</f>
        <v>65</v>
      </c>
      <c r="T57">
        <f>TRUNC(VLOOKUP(P57,'Color codes'!$A:$E,4,FALSE)*(0.25 + 0.75*Q57/40))</f>
        <v>108</v>
      </c>
      <c r="U57">
        <f>TRUNC(VLOOKUP(P57,'Color codes'!$A:$E,5,FALSE)*(0.25 + 0.75*Q57/40))</f>
        <v>156</v>
      </c>
      <c r="V57" t="b">
        <f t="shared" si="3"/>
        <v>1</v>
      </c>
    </row>
    <row r="58" spans="1:22" x14ac:dyDescent="0.25">
      <c r="A58" t="s">
        <v>14</v>
      </c>
      <c r="B58" t="s">
        <v>16</v>
      </c>
      <c r="C58">
        <v>31</v>
      </c>
      <c r="D58">
        <v>100</v>
      </c>
      <c r="E58">
        <v>200</v>
      </c>
      <c r="F58" t="str">
        <f t="shared" si="0"/>
        <v>lena256_blurkernel8_31_100_200</v>
      </c>
      <c r="G58">
        <f>IFERROR(VLOOKUP(F58,SROU03!$F:$H,2,FALSE),0)</f>
        <v>44.511468999999998</v>
      </c>
      <c r="H58">
        <f>IFERROR(VLOOKUP(F58,SROU03!$F:$H,3,FALSE),0)</f>
        <v>48.281649999999999</v>
      </c>
      <c r="I58">
        <v>2.0783000000000001E-5</v>
      </c>
      <c r="J58">
        <v>9.6600000000000007E-6</v>
      </c>
      <c r="K58">
        <v>32.212499999999999</v>
      </c>
      <c r="L58">
        <v>5.3064</v>
      </c>
      <c r="M58">
        <f>IFERROR(VLOOKUP(F58,TICO09!$F:$O,8,FALSE),0)</f>
        <v>21.838999999999999</v>
      </c>
      <c r="N58">
        <f>IFERROR(VLOOKUP(F58,SROU03!$F:$O,9,FALSE),0)</f>
        <v>31.910799999999998</v>
      </c>
      <c r="O58">
        <v>34.862299999999998</v>
      </c>
      <c r="P58" t="str">
        <f t="shared" si="1"/>
        <v>BM3D</v>
      </c>
      <c r="Q58">
        <f t="shared" si="2"/>
        <v>34.862299999999998</v>
      </c>
      <c r="R58">
        <f>VLOOKUP(P58,'Color codes'!$A:$B,2,FALSE)</f>
        <v>1</v>
      </c>
      <c r="S58">
        <f>TRUNC(VLOOKUP(P58,'Color codes'!$A:$E,3,FALSE)*(0.25 + 0.75*Q58/40))</f>
        <v>230</v>
      </c>
      <c r="T58">
        <f>TRUNC(VLOOKUP(P58,'Color codes'!$A:$E,4,FALSE)*(0.25 + 0.75*Q58/40))</f>
        <v>96</v>
      </c>
      <c r="U58">
        <f>TRUNC(VLOOKUP(P58,'Color codes'!$A:$E,5,FALSE)*(0.25 + 0.75*Q58/40))</f>
        <v>93</v>
      </c>
      <c r="V58" t="b">
        <f t="shared" si="3"/>
        <v>1</v>
      </c>
    </row>
    <row r="59" spans="1:22" x14ac:dyDescent="0.25">
      <c r="A59" t="s">
        <v>14</v>
      </c>
      <c r="B59" t="s">
        <v>16</v>
      </c>
      <c r="C59">
        <v>31</v>
      </c>
      <c r="D59">
        <v>100</v>
      </c>
      <c r="E59">
        <v>400</v>
      </c>
      <c r="F59" t="str">
        <f t="shared" ref="F59:F106" si="4">A59&amp;"_"&amp;B59&amp;"_"&amp;C59&amp;"_"&amp;D59&amp;"_"&amp;E59</f>
        <v>lena256_blurkernel8_31_100_400</v>
      </c>
      <c r="G59">
        <f>IFERROR(VLOOKUP(F59,SROU03!$F:$H,2,FALSE),0)</f>
        <v>31.114661000000002</v>
      </c>
      <c r="H59">
        <f>IFERROR(VLOOKUP(F59,SROU03!$F:$H,3,FALSE),0)</f>
        <v>43.911307000000001</v>
      </c>
      <c r="I59">
        <v>4.3894999999999999E-5</v>
      </c>
      <c r="J59">
        <v>9.6600000000000007E-6</v>
      </c>
      <c r="K59">
        <v>28.969799999999999</v>
      </c>
      <c r="L59">
        <v>5.3064</v>
      </c>
      <c r="M59">
        <f>IFERROR(VLOOKUP(F59,TICO09!$F:$O,8,FALSE),0)</f>
        <v>21.6556</v>
      </c>
      <c r="N59">
        <f>IFERROR(VLOOKUP(F59,SROU03!$F:$O,9,FALSE),0)</f>
        <v>29.1419</v>
      </c>
      <c r="O59">
        <v>32.242899999999999</v>
      </c>
      <c r="P59" t="str">
        <f t="shared" ref="P59:P106" si="5">IF((O59&gt;(MAX(M59,N59))),"BM3D",IF(N59&gt;(MAX(M59,O59)),"SROU03","TICO09"))</f>
        <v>BM3D</v>
      </c>
      <c r="Q59">
        <f t="shared" si="2"/>
        <v>32.242899999999999</v>
      </c>
      <c r="R59">
        <f>VLOOKUP(P59,'Color codes'!$A:$B,2,FALSE)</f>
        <v>1</v>
      </c>
      <c r="S59">
        <f>TRUNC(VLOOKUP(P59,'Color codes'!$A:$E,3,FALSE)*(0.25 + 0.75*Q59/40))</f>
        <v>217</v>
      </c>
      <c r="T59">
        <f>TRUNC(VLOOKUP(P59,'Color codes'!$A:$E,4,FALSE)*(0.25 + 0.75*Q59/40))</f>
        <v>91</v>
      </c>
      <c r="U59">
        <f>TRUNC(VLOOKUP(P59,'Color codes'!$A:$E,5,FALSE)*(0.25 + 0.75*Q59/40))</f>
        <v>88</v>
      </c>
      <c r="V59" t="b">
        <f t="shared" si="3"/>
        <v>1</v>
      </c>
    </row>
    <row r="60" spans="1:22" x14ac:dyDescent="0.25">
      <c r="A60" t="s">
        <v>14</v>
      </c>
      <c r="B60" t="s">
        <v>16</v>
      </c>
      <c r="C60">
        <v>31</v>
      </c>
      <c r="D60">
        <v>100</v>
      </c>
      <c r="E60">
        <v>800</v>
      </c>
      <c r="F60" t="str">
        <f t="shared" si="4"/>
        <v>lena256_blurkernel8_31_100_800</v>
      </c>
      <c r="G60">
        <f>IFERROR(VLOOKUP(F60,SROU03!$F:$H,2,FALSE),0)</f>
        <v>22.062194999999999</v>
      </c>
      <c r="H60">
        <f>IFERROR(VLOOKUP(F60,SROU03!$F:$H,3,FALSE),0)</f>
        <v>41.805796000000001</v>
      </c>
      <c r="I60">
        <v>8.9920999999999995E-5</v>
      </c>
      <c r="J60">
        <v>9.6600000000000007E-6</v>
      </c>
      <c r="K60">
        <v>25.856999999999999</v>
      </c>
      <c r="L60">
        <v>5.3064</v>
      </c>
      <c r="M60">
        <f>IFERROR(VLOOKUP(F60,TICO09!$F:$O,8,FALSE),0)</f>
        <v>21.362200000000001</v>
      </c>
      <c r="N60">
        <f>IFERROR(VLOOKUP(F60,SROU03!$F:$O,9,FALSE),0)</f>
        <v>26.570699999999999</v>
      </c>
      <c r="O60">
        <v>29.845600000000001</v>
      </c>
      <c r="P60" t="str">
        <f t="shared" si="5"/>
        <v>BM3D</v>
      </c>
      <c r="Q60">
        <f t="shared" si="2"/>
        <v>29.845600000000001</v>
      </c>
      <c r="R60">
        <f>VLOOKUP(P60,'Color codes'!$A:$B,2,FALSE)</f>
        <v>1</v>
      </c>
      <c r="S60">
        <f>TRUNC(VLOOKUP(P60,'Color codes'!$A:$E,3,FALSE)*(0.25 + 0.75*Q60/40))</f>
        <v>206</v>
      </c>
      <c r="T60">
        <f>TRUNC(VLOOKUP(P60,'Color codes'!$A:$E,4,FALSE)*(0.25 + 0.75*Q60/40))</f>
        <v>86</v>
      </c>
      <c r="U60">
        <f>TRUNC(VLOOKUP(P60,'Color codes'!$A:$E,5,FALSE)*(0.25 + 0.75*Q60/40))</f>
        <v>84</v>
      </c>
      <c r="V60" t="b">
        <f t="shared" si="3"/>
        <v>1</v>
      </c>
    </row>
    <row r="61" spans="1:22" x14ac:dyDescent="0.25">
      <c r="A61" t="s">
        <v>14</v>
      </c>
      <c r="B61" t="s">
        <v>16</v>
      </c>
      <c r="C61">
        <v>31</v>
      </c>
      <c r="D61">
        <v>100</v>
      </c>
      <c r="E61">
        <v>1600</v>
      </c>
      <c r="F61" t="str">
        <f t="shared" si="4"/>
        <v>lena256_blurkernel8_31_100_1600</v>
      </c>
      <c r="G61">
        <f>IFERROR(VLOOKUP(F61,SROU03!$F:$H,2,FALSE),0)</f>
        <v>15.966108999999999</v>
      </c>
      <c r="H61">
        <f>IFERROR(VLOOKUP(F61,SROU03!$F:$H,3,FALSE),0)</f>
        <v>40.631193000000003</v>
      </c>
      <c r="I61">
        <v>1.80822E-4</v>
      </c>
      <c r="J61">
        <v>9.6600000000000007E-6</v>
      </c>
      <c r="K61">
        <v>22.837700000000002</v>
      </c>
      <c r="L61">
        <v>5.3064</v>
      </c>
      <c r="M61">
        <f>IFERROR(VLOOKUP(F61,TICO09!$F:$O,8,FALSE),0)</f>
        <v>20.904299999999999</v>
      </c>
      <c r="N61">
        <f>IFERROR(VLOOKUP(F61,SROU03!$F:$O,9,FALSE),0)</f>
        <v>24.185400000000001</v>
      </c>
      <c r="O61">
        <v>27.4831</v>
      </c>
      <c r="P61" t="str">
        <f t="shared" si="5"/>
        <v>BM3D</v>
      </c>
      <c r="Q61">
        <f t="shared" si="2"/>
        <v>27.4831</v>
      </c>
      <c r="R61">
        <f>VLOOKUP(P61,'Color codes'!$A:$B,2,FALSE)</f>
        <v>1</v>
      </c>
      <c r="S61">
        <f>TRUNC(VLOOKUP(P61,'Color codes'!$A:$E,3,FALSE)*(0.25 + 0.75*Q61/40))</f>
        <v>195</v>
      </c>
      <c r="T61">
        <f>TRUNC(VLOOKUP(P61,'Color codes'!$A:$E,4,FALSE)*(0.25 + 0.75*Q61/40))</f>
        <v>81</v>
      </c>
      <c r="U61">
        <f>TRUNC(VLOOKUP(P61,'Color codes'!$A:$E,5,FALSE)*(0.25 + 0.75*Q61/40))</f>
        <v>79</v>
      </c>
      <c r="V61" t="b">
        <f t="shared" si="3"/>
        <v>1</v>
      </c>
    </row>
    <row r="62" spans="1:22" x14ac:dyDescent="0.25">
      <c r="A62" t="s">
        <v>14</v>
      </c>
      <c r="B62" t="s">
        <v>16</v>
      </c>
      <c r="C62">
        <v>31</v>
      </c>
      <c r="D62">
        <v>100</v>
      </c>
      <c r="E62">
        <v>3200</v>
      </c>
      <c r="F62" t="str">
        <f t="shared" si="4"/>
        <v>lena256_blurkernel8_31_100_3200</v>
      </c>
      <c r="G62">
        <f>IFERROR(VLOOKUP(F62,SROU03!$F:$H,2,FALSE),0)</f>
        <v>11.890314</v>
      </c>
      <c r="H62">
        <f>IFERROR(VLOOKUP(F62,SROU03!$F:$H,3,FALSE),0)</f>
        <v>40.193491000000002</v>
      </c>
      <c r="I62">
        <v>3.7215799999999998E-4</v>
      </c>
      <c r="J62">
        <v>9.6600000000000007E-6</v>
      </c>
      <c r="K62">
        <v>19.723500000000001</v>
      </c>
      <c r="L62">
        <v>5.3064</v>
      </c>
      <c r="M62">
        <f>IFERROR(VLOOKUP(F62,TICO09!$F:$O,8,FALSE),0)</f>
        <v>20.224399999999999</v>
      </c>
      <c r="N62">
        <f>IFERROR(VLOOKUP(F62,SROU03!$F:$O,9,FALSE),0)</f>
        <v>22.1051</v>
      </c>
      <c r="O62">
        <v>25.183</v>
      </c>
      <c r="P62" t="str">
        <f t="shared" si="5"/>
        <v>BM3D</v>
      </c>
      <c r="Q62">
        <f t="shared" si="2"/>
        <v>25.183</v>
      </c>
      <c r="R62">
        <f>VLOOKUP(P62,'Color codes'!$A:$B,2,FALSE)</f>
        <v>1</v>
      </c>
      <c r="S62">
        <f>TRUNC(VLOOKUP(P62,'Color codes'!$A:$E,3,FALSE)*(0.25 + 0.75*Q62/40))</f>
        <v>184</v>
      </c>
      <c r="T62">
        <f>TRUNC(VLOOKUP(P62,'Color codes'!$A:$E,4,FALSE)*(0.25 + 0.75*Q62/40))</f>
        <v>77</v>
      </c>
      <c r="U62">
        <f>TRUNC(VLOOKUP(P62,'Color codes'!$A:$E,5,FALSE)*(0.25 + 0.75*Q62/40))</f>
        <v>75</v>
      </c>
      <c r="V62" t="b">
        <f t="shared" si="3"/>
        <v>1</v>
      </c>
    </row>
    <row r="63" spans="1:22" x14ac:dyDescent="0.25">
      <c r="A63" t="s">
        <v>14</v>
      </c>
      <c r="B63" t="s">
        <v>16</v>
      </c>
      <c r="C63">
        <v>31</v>
      </c>
      <c r="D63">
        <v>100</v>
      </c>
      <c r="E63">
        <v>6400</v>
      </c>
      <c r="F63" t="str">
        <f t="shared" si="4"/>
        <v>lena256_blurkernel8_31_100_6400</v>
      </c>
      <c r="G63">
        <f>IFERROR(VLOOKUP(F63,SROU03!$F:$H,2,FALSE),0)</f>
        <v>9.0721600000000002</v>
      </c>
      <c r="H63">
        <f>IFERROR(VLOOKUP(F63,SROU03!$F:$H,3,FALSE),0)</f>
        <v>39.841124999999998</v>
      </c>
      <c r="I63">
        <v>7.6335900000000002E-4</v>
      </c>
      <c r="J63">
        <v>9.6600000000000007E-6</v>
      </c>
      <c r="K63">
        <v>16.648199999999999</v>
      </c>
      <c r="L63">
        <v>5.3064</v>
      </c>
      <c r="M63">
        <f>IFERROR(VLOOKUP(F63,TICO09!$F:$O,8,FALSE),0)</f>
        <v>19.094799999999999</v>
      </c>
      <c r="N63">
        <f>IFERROR(VLOOKUP(F63,SROU03!$F:$O,9,FALSE),0)</f>
        <v>20.120100000000001</v>
      </c>
      <c r="O63">
        <v>22.959099999999999</v>
      </c>
      <c r="P63" t="str">
        <f t="shared" si="5"/>
        <v>BM3D</v>
      </c>
      <c r="Q63">
        <f t="shared" si="2"/>
        <v>22.959099999999999</v>
      </c>
      <c r="R63">
        <f>VLOOKUP(P63,'Color codes'!$A:$B,2,FALSE)</f>
        <v>1</v>
      </c>
      <c r="S63">
        <f>TRUNC(VLOOKUP(P63,'Color codes'!$A:$E,3,FALSE)*(0.25 + 0.75*Q63/40))</f>
        <v>173</v>
      </c>
      <c r="T63">
        <f>TRUNC(VLOOKUP(P63,'Color codes'!$A:$E,4,FALSE)*(0.25 + 0.75*Q63/40))</f>
        <v>72</v>
      </c>
      <c r="U63">
        <f>TRUNC(VLOOKUP(P63,'Color codes'!$A:$E,5,FALSE)*(0.25 + 0.75*Q63/40))</f>
        <v>70</v>
      </c>
      <c r="V63" t="b">
        <f t="shared" si="3"/>
        <v>1</v>
      </c>
    </row>
    <row r="64" spans="1:22" x14ac:dyDescent="0.25">
      <c r="A64" t="s">
        <v>14</v>
      </c>
      <c r="B64" t="s">
        <v>16</v>
      </c>
      <c r="C64">
        <v>31</v>
      </c>
      <c r="D64">
        <v>100</v>
      </c>
      <c r="E64">
        <v>12800</v>
      </c>
      <c r="F64" t="str">
        <f t="shared" si="4"/>
        <v>lena256_blurkernel8_31_100_12800</v>
      </c>
      <c r="G64">
        <f>IFERROR(VLOOKUP(F64,SROU03!$F:$H,2,FALSE),0)</f>
        <v>7.2037509999999996</v>
      </c>
      <c r="H64">
        <f>IFERROR(VLOOKUP(F64,SROU03!$F:$H,3,FALSE),0)</f>
        <v>39.817498999999998</v>
      </c>
      <c r="I64">
        <v>1.6237070000000001E-3</v>
      </c>
      <c r="J64">
        <v>9.6600000000000007E-6</v>
      </c>
      <c r="K64">
        <v>13.482100000000001</v>
      </c>
      <c r="L64">
        <v>5.3064</v>
      </c>
      <c r="M64">
        <f>IFERROR(VLOOKUP(F64,TICO09!$F:$O,8,FALSE),0)</f>
        <v>17.8872</v>
      </c>
      <c r="N64">
        <f>IFERROR(VLOOKUP(F64,SROU03!$F:$O,9,FALSE),0)</f>
        <v>18.411799999999999</v>
      </c>
      <c r="O64">
        <v>20.724900000000002</v>
      </c>
      <c r="P64" t="str">
        <f t="shared" si="5"/>
        <v>BM3D</v>
      </c>
      <c r="Q64">
        <f t="shared" si="2"/>
        <v>20.724900000000002</v>
      </c>
      <c r="R64">
        <f>VLOOKUP(P64,'Color codes'!$A:$B,2,FALSE)</f>
        <v>1</v>
      </c>
      <c r="S64">
        <f>TRUNC(VLOOKUP(P64,'Color codes'!$A:$E,3,FALSE)*(0.25 + 0.75*Q64/40))</f>
        <v>162</v>
      </c>
      <c r="T64">
        <f>TRUNC(VLOOKUP(P64,'Color codes'!$A:$E,4,FALSE)*(0.25 + 0.75*Q64/40))</f>
        <v>68</v>
      </c>
      <c r="U64">
        <f>TRUNC(VLOOKUP(P64,'Color codes'!$A:$E,5,FALSE)*(0.25 + 0.75*Q64/40))</f>
        <v>66</v>
      </c>
      <c r="V64" t="b">
        <f t="shared" si="3"/>
        <v>1</v>
      </c>
    </row>
    <row r="65" spans="1:22" x14ac:dyDescent="0.25">
      <c r="A65" t="s">
        <v>14</v>
      </c>
      <c r="B65" t="s">
        <v>16</v>
      </c>
      <c r="C65">
        <v>31</v>
      </c>
      <c r="D65">
        <v>100</v>
      </c>
      <c r="E65">
        <v>25600</v>
      </c>
      <c r="F65" t="str">
        <f t="shared" si="4"/>
        <v>lena256_blurkernel8_31_100_25600</v>
      </c>
      <c r="G65">
        <f>IFERROR(VLOOKUP(F65,SROU03!$F:$H,2,FALSE),0)</f>
        <v>5.916061</v>
      </c>
      <c r="H65">
        <f>IFERROR(VLOOKUP(F65,SROU03!$F:$H,3,FALSE),0)</f>
        <v>39.687967</v>
      </c>
      <c r="I65">
        <v>3.5406729999999998E-3</v>
      </c>
      <c r="J65">
        <v>9.6600000000000007E-6</v>
      </c>
      <c r="K65">
        <v>10.3156</v>
      </c>
      <c r="L65">
        <v>5.3064</v>
      </c>
      <c r="M65">
        <f>IFERROR(VLOOKUP(F65,TICO09!$F:$O,8,FALSE),0)</f>
        <v>16.121200000000002</v>
      </c>
      <c r="N65">
        <f>IFERROR(VLOOKUP(F65,SROU03!$F:$O,9,FALSE),0)</f>
        <v>17.0535</v>
      </c>
      <c r="O65">
        <v>18.4956</v>
      </c>
      <c r="P65" t="str">
        <f t="shared" si="5"/>
        <v>BM3D</v>
      </c>
      <c r="Q65">
        <f t="shared" si="2"/>
        <v>18.4956</v>
      </c>
      <c r="R65">
        <f>VLOOKUP(P65,'Color codes'!$A:$B,2,FALSE)</f>
        <v>1</v>
      </c>
      <c r="S65">
        <f>TRUNC(VLOOKUP(P65,'Color codes'!$A:$E,3,FALSE)*(0.25 + 0.75*Q65/40))</f>
        <v>152</v>
      </c>
      <c r="T65">
        <f>TRUNC(VLOOKUP(P65,'Color codes'!$A:$E,4,FALSE)*(0.25 + 0.75*Q65/40))</f>
        <v>63</v>
      </c>
      <c r="U65">
        <f>TRUNC(VLOOKUP(P65,'Color codes'!$A:$E,5,FALSE)*(0.25 + 0.75*Q65/40))</f>
        <v>62</v>
      </c>
      <c r="V65" t="b">
        <f t="shared" si="3"/>
        <v>1</v>
      </c>
    </row>
    <row r="66" spans="1:22" x14ac:dyDescent="0.25">
      <c r="A66" t="s">
        <v>14</v>
      </c>
      <c r="B66" t="s">
        <v>17</v>
      </c>
      <c r="C66">
        <v>3</v>
      </c>
      <c r="D66">
        <v>100</v>
      </c>
      <c r="E66">
        <v>200</v>
      </c>
      <c r="F66" t="str">
        <f t="shared" si="4"/>
        <v>lena256_line_3_100_200</v>
      </c>
      <c r="G66">
        <f>IFERROR(VLOOKUP(F66,SROU03!$F:$H,2,FALSE),0)</f>
        <v>56.504685000000002</v>
      </c>
      <c r="H66">
        <f>IFERROR(VLOOKUP(F66,SROU03!$F:$H,3,FALSE),0)</f>
        <v>3.6216979999999999</v>
      </c>
      <c r="I66">
        <v>2.0854000000000001E-5</v>
      </c>
      <c r="J66">
        <v>9.5650000000000007E-6</v>
      </c>
      <c r="K66">
        <v>32.195799999999998</v>
      </c>
      <c r="L66">
        <v>15.0648</v>
      </c>
      <c r="M66">
        <f>IFERROR(VLOOKUP(F66,TICO09!$F:$O,8,FALSE),0)</f>
        <v>21.159500000000001</v>
      </c>
      <c r="N66">
        <f>IFERROR(VLOOKUP(F66,SROU03!$F:$O,9,FALSE),0)</f>
        <v>34.119300000000003</v>
      </c>
      <c r="O66">
        <v>34.844799999999999</v>
      </c>
      <c r="P66" t="str">
        <f t="shared" si="5"/>
        <v>BM3D</v>
      </c>
      <c r="Q66">
        <f t="shared" si="2"/>
        <v>34.844799999999999</v>
      </c>
      <c r="R66">
        <f>VLOOKUP(P66,'Color codes'!$A:$B,2,FALSE)</f>
        <v>1</v>
      </c>
      <c r="S66">
        <f>TRUNC(VLOOKUP(P66,'Color codes'!$A:$E,3,FALSE)*(0.25 + 0.75*Q66/40))</f>
        <v>230</v>
      </c>
      <c r="T66">
        <f>TRUNC(VLOOKUP(P66,'Color codes'!$A:$E,4,FALSE)*(0.25 + 0.75*Q66/40))</f>
        <v>96</v>
      </c>
      <c r="U66">
        <f>TRUNC(VLOOKUP(P66,'Color codes'!$A:$E,5,FALSE)*(0.25 + 0.75*Q66/40))</f>
        <v>93</v>
      </c>
      <c r="V66" t="b">
        <f t="shared" si="3"/>
        <v>0</v>
      </c>
    </row>
    <row r="67" spans="1:22" x14ac:dyDescent="0.25">
      <c r="A67" t="s">
        <v>14</v>
      </c>
      <c r="B67" t="s">
        <v>17</v>
      </c>
      <c r="C67">
        <v>3</v>
      </c>
      <c r="D67">
        <v>100</v>
      </c>
      <c r="E67">
        <v>400</v>
      </c>
      <c r="F67" t="str">
        <f t="shared" si="4"/>
        <v>lena256_line_3_100_400</v>
      </c>
      <c r="G67">
        <f>IFERROR(VLOOKUP(F67,SROU03!$F:$H,2,FALSE),0)</f>
        <v>46.293356000000003</v>
      </c>
      <c r="H67">
        <f>IFERROR(VLOOKUP(F67,SROU03!$F:$H,3,FALSE),0)</f>
        <v>3.354209</v>
      </c>
      <c r="I67">
        <v>4.3621999999999997E-5</v>
      </c>
      <c r="J67">
        <v>9.5650000000000007E-6</v>
      </c>
      <c r="K67">
        <v>28.992599999999999</v>
      </c>
      <c r="L67">
        <v>15.0648</v>
      </c>
      <c r="M67">
        <f>IFERROR(VLOOKUP(F67,TICO09!$F:$O,8,FALSE),0)</f>
        <v>21.0533</v>
      </c>
      <c r="N67">
        <f>IFERROR(VLOOKUP(F67,SROU03!$F:$O,9,FALSE),0)</f>
        <v>32.033200000000001</v>
      </c>
      <c r="O67">
        <v>32.220500000000001</v>
      </c>
      <c r="P67" t="str">
        <f t="shared" si="5"/>
        <v>BM3D</v>
      </c>
      <c r="Q67">
        <f t="shared" ref="Q67:Q130" si="6">MAX(M67:O67)</f>
        <v>32.220500000000001</v>
      </c>
      <c r="R67">
        <f>VLOOKUP(P67,'Color codes'!$A:$B,2,FALSE)</f>
        <v>1</v>
      </c>
      <c r="S67">
        <f>TRUNC(VLOOKUP(P67,'Color codes'!$A:$E,3,FALSE)*(0.25 + 0.75*Q67/40))</f>
        <v>217</v>
      </c>
      <c r="T67">
        <f>TRUNC(VLOOKUP(P67,'Color codes'!$A:$E,4,FALSE)*(0.25 + 0.75*Q67/40))</f>
        <v>91</v>
      </c>
      <c r="U67">
        <f>TRUNC(VLOOKUP(P67,'Color codes'!$A:$E,5,FALSE)*(0.25 + 0.75*Q67/40))</f>
        <v>88</v>
      </c>
      <c r="V67" t="b">
        <f t="shared" ref="V67:V100" si="7">(ABS(N67-O67)  &gt; 1)</f>
        <v>0</v>
      </c>
    </row>
    <row r="68" spans="1:22" x14ac:dyDescent="0.25">
      <c r="A68" t="s">
        <v>14</v>
      </c>
      <c r="B68" t="s">
        <v>17</v>
      </c>
      <c r="C68">
        <v>3</v>
      </c>
      <c r="D68">
        <v>100</v>
      </c>
      <c r="E68">
        <v>800</v>
      </c>
      <c r="F68" t="str">
        <f t="shared" si="4"/>
        <v>lena256_line_3_100_800</v>
      </c>
      <c r="G68">
        <f>IFERROR(VLOOKUP(F68,SROU03!$F:$H,2,FALSE),0)</f>
        <v>39.556068000000003</v>
      </c>
      <c r="H68">
        <f>IFERROR(VLOOKUP(F68,SROU03!$F:$H,3,FALSE),0)</f>
        <v>3.2576239999999999</v>
      </c>
      <c r="I68">
        <v>8.8769000000000003E-5</v>
      </c>
      <c r="J68">
        <v>9.5650000000000007E-6</v>
      </c>
      <c r="K68">
        <v>25.914999999999999</v>
      </c>
      <c r="L68">
        <v>15.0648</v>
      </c>
      <c r="M68">
        <f>IFERROR(VLOOKUP(F68,TICO09!$F:$O,8,FALSE),0)</f>
        <v>20.8644</v>
      </c>
      <c r="N68">
        <f>IFERROR(VLOOKUP(F68,SROU03!$F:$O,9,FALSE),0)</f>
        <v>30.028600000000001</v>
      </c>
      <c r="O68">
        <v>29.8521</v>
      </c>
      <c r="P68" t="str">
        <f t="shared" si="5"/>
        <v>SROU03</v>
      </c>
      <c r="Q68">
        <f t="shared" si="6"/>
        <v>30.028600000000001</v>
      </c>
      <c r="R68">
        <f>VLOOKUP(P68,'Color codes'!$A:$B,2,FALSE)</f>
        <v>3</v>
      </c>
      <c r="S68">
        <f>TRUNC(VLOOKUP(P68,'Color codes'!$A:$E,3,FALSE)*(0.25 + 0.75*Q68/40))</f>
        <v>86</v>
      </c>
      <c r="T68">
        <f>TRUNC(VLOOKUP(P68,'Color codes'!$A:$E,4,FALSE)*(0.25 + 0.75*Q68/40))</f>
        <v>143</v>
      </c>
      <c r="U68">
        <f>TRUNC(VLOOKUP(P68,'Color codes'!$A:$E,5,FALSE)*(0.25 + 0.75*Q68/40))</f>
        <v>207</v>
      </c>
      <c r="V68" t="b">
        <f t="shared" si="7"/>
        <v>0</v>
      </c>
    </row>
    <row r="69" spans="1:22" x14ac:dyDescent="0.25">
      <c r="A69" t="s">
        <v>14</v>
      </c>
      <c r="B69" t="s">
        <v>17</v>
      </c>
      <c r="C69">
        <v>3</v>
      </c>
      <c r="D69">
        <v>100</v>
      </c>
      <c r="E69">
        <v>1600</v>
      </c>
      <c r="F69" t="str">
        <f t="shared" si="4"/>
        <v>lena256_line_3_100_1600</v>
      </c>
      <c r="G69">
        <f>IFERROR(VLOOKUP(F69,SROU03!$F:$H,2,FALSE),0)</f>
        <v>34.618613000000003</v>
      </c>
      <c r="H69">
        <f>IFERROR(VLOOKUP(F69,SROU03!$F:$H,3,FALSE),0)</f>
        <v>3.2640169999999999</v>
      </c>
      <c r="I69">
        <v>1.82459E-4</v>
      </c>
      <c r="J69">
        <v>9.5650000000000007E-6</v>
      </c>
      <c r="K69">
        <v>22.798400000000001</v>
      </c>
      <c r="L69">
        <v>15.0648</v>
      </c>
      <c r="M69">
        <f>IFERROR(VLOOKUP(F69,TICO09!$F:$O,8,FALSE),0)</f>
        <v>20.6067</v>
      </c>
      <c r="N69">
        <f>IFERROR(VLOOKUP(F69,SROU03!$F:$O,9,FALSE),0)</f>
        <v>28.4011</v>
      </c>
      <c r="O69">
        <v>27.427299999999999</v>
      </c>
      <c r="P69" t="str">
        <f t="shared" si="5"/>
        <v>SROU03</v>
      </c>
      <c r="Q69">
        <f t="shared" si="6"/>
        <v>28.4011</v>
      </c>
      <c r="R69">
        <f>VLOOKUP(P69,'Color codes'!$A:$B,2,FALSE)</f>
        <v>3</v>
      </c>
      <c r="S69">
        <f>TRUNC(VLOOKUP(P69,'Color codes'!$A:$E,3,FALSE)*(0.25 + 0.75*Q69/40))</f>
        <v>83</v>
      </c>
      <c r="T69">
        <f>TRUNC(VLOOKUP(P69,'Color codes'!$A:$E,4,FALSE)*(0.25 + 0.75*Q69/40))</f>
        <v>137</v>
      </c>
      <c r="U69">
        <f>TRUNC(VLOOKUP(P69,'Color codes'!$A:$E,5,FALSE)*(0.25 + 0.75*Q69/40))</f>
        <v>199</v>
      </c>
      <c r="V69" t="b">
        <f t="shared" si="7"/>
        <v>0</v>
      </c>
    </row>
    <row r="70" spans="1:22" x14ac:dyDescent="0.25">
      <c r="A70" t="s">
        <v>14</v>
      </c>
      <c r="B70" t="s">
        <v>17</v>
      </c>
      <c r="C70">
        <v>3</v>
      </c>
      <c r="D70">
        <v>100</v>
      </c>
      <c r="E70">
        <v>3200</v>
      </c>
      <c r="F70" t="str">
        <f t="shared" si="4"/>
        <v>lena256_line_3_100_3200</v>
      </c>
      <c r="G70">
        <f>IFERROR(VLOOKUP(F70,SROU03!$F:$H,2,FALSE),0)</f>
        <v>30.592155999999999</v>
      </c>
      <c r="H70">
        <f>IFERROR(VLOOKUP(F70,SROU03!$F:$H,3,FALSE),0)</f>
        <v>3.3186529999999999</v>
      </c>
      <c r="I70">
        <v>3.67246E-4</v>
      </c>
      <c r="J70">
        <v>9.5650000000000007E-6</v>
      </c>
      <c r="K70">
        <v>19.788399999999999</v>
      </c>
      <c r="L70">
        <v>15.0648</v>
      </c>
      <c r="M70">
        <f>IFERROR(VLOOKUP(F70,TICO09!$F:$O,8,FALSE),0)</f>
        <v>20.193100000000001</v>
      </c>
      <c r="N70">
        <f>IFERROR(VLOOKUP(F70,SROU03!$F:$O,9,FALSE),0)</f>
        <v>26.226299999999998</v>
      </c>
      <c r="O70">
        <v>25.217400000000001</v>
      </c>
      <c r="P70" t="str">
        <f t="shared" si="5"/>
        <v>SROU03</v>
      </c>
      <c r="Q70">
        <f t="shared" si="6"/>
        <v>26.226299999999998</v>
      </c>
      <c r="R70">
        <f>VLOOKUP(P70,'Color codes'!$A:$B,2,FALSE)</f>
        <v>3</v>
      </c>
      <c r="S70">
        <f>TRUNC(VLOOKUP(P70,'Color codes'!$A:$E,3,FALSE)*(0.25 + 0.75*Q70/40))</f>
        <v>79</v>
      </c>
      <c r="T70">
        <f>TRUNC(VLOOKUP(P70,'Color codes'!$A:$E,4,FALSE)*(0.25 + 0.75*Q70/40))</f>
        <v>130</v>
      </c>
      <c r="U70">
        <f>TRUNC(VLOOKUP(P70,'Color codes'!$A:$E,5,FALSE)*(0.25 + 0.75*Q70/40))</f>
        <v>189</v>
      </c>
      <c r="V70" t="b">
        <f t="shared" si="7"/>
        <v>1</v>
      </c>
    </row>
    <row r="71" spans="1:22" x14ac:dyDescent="0.25">
      <c r="A71" t="s">
        <v>14</v>
      </c>
      <c r="B71" t="s">
        <v>17</v>
      </c>
      <c r="C71">
        <v>3</v>
      </c>
      <c r="D71">
        <v>100</v>
      </c>
      <c r="E71">
        <v>6400</v>
      </c>
      <c r="F71" t="str">
        <f t="shared" si="4"/>
        <v>lena256_line_3_100_6400</v>
      </c>
      <c r="G71">
        <f>IFERROR(VLOOKUP(F71,SROU03!$F:$H,2,FALSE),0)</f>
        <v>27.519836999999999</v>
      </c>
      <c r="H71">
        <f>IFERROR(VLOOKUP(F71,SROU03!$F:$H,3,FALSE),0)</f>
        <v>3.3820239999999999</v>
      </c>
      <c r="I71">
        <v>7.6862399999999998E-4</v>
      </c>
      <c r="J71">
        <v>9.5650000000000007E-6</v>
      </c>
      <c r="K71">
        <v>16.624199999999998</v>
      </c>
      <c r="L71">
        <v>15.0648</v>
      </c>
      <c r="M71">
        <f>IFERROR(VLOOKUP(F71,TICO09!$F:$O,8,FALSE),0)</f>
        <v>19.515699999999999</v>
      </c>
      <c r="N71">
        <f>IFERROR(VLOOKUP(F71,SROU03!$F:$O,9,FALSE),0)</f>
        <v>24.2364</v>
      </c>
      <c r="O71">
        <v>22.96</v>
      </c>
      <c r="P71" t="str">
        <f t="shared" si="5"/>
        <v>SROU03</v>
      </c>
      <c r="Q71">
        <f t="shared" si="6"/>
        <v>24.2364</v>
      </c>
      <c r="R71">
        <f>VLOOKUP(P71,'Color codes'!$A:$B,2,FALSE)</f>
        <v>3</v>
      </c>
      <c r="S71">
        <f>TRUNC(VLOOKUP(P71,'Color codes'!$A:$E,3,FALSE)*(0.25 + 0.75*Q71/40))</f>
        <v>75</v>
      </c>
      <c r="T71">
        <f>TRUNC(VLOOKUP(P71,'Color codes'!$A:$E,4,FALSE)*(0.25 + 0.75*Q71/40))</f>
        <v>123</v>
      </c>
      <c r="U71">
        <f>TRUNC(VLOOKUP(P71,'Color codes'!$A:$E,5,FALSE)*(0.25 + 0.75*Q71/40))</f>
        <v>179</v>
      </c>
      <c r="V71" t="b">
        <f t="shared" si="7"/>
        <v>1</v>
      </c>
    </row>
    <row r="72" spans="1:22" x14ac:dyDescent="0.25">
      <c r="A72" t="s">
        <v>14</v>
      </c>
      <c r="B72" t="s">
        <v>17</v>
      </c>
      <c r="C72">
        <v>3</v>
      </c>
      <c r="D72">
        <v>100</v>
      </c>
      <c r="E72">
        <v>12800</v>
      </c>
      <c r="F72" t="str">
        <f t="shared" si="4"/>
        <v>lena256_line_3_100_12800</v>
      </c>
      <c r="G72">
        <f>IFERROR(VLOOKUP(F72,SROU03!$F:$H,2,FALSE),0)</f>
        <v>24.809479</v>
      </c>
      <c r="H72">
        <f>IFERROR(VLOOKUP(F72,SROU03!$F:$H,3,FALSE),0)</f>
        <v>3.4522910000000002</v>
      </c>
      <c r="I72">
        <v>1.6045269999999999E-3</v>
      </c>
      <c r="J72">
        <v>9.5650000000000007E-6</v>
      </c>
      <c r="K72">
        <v>13.5214</v>
      </c>
      <c r="L72">
        <v>15.0648</v>
      </c>
      <c r="M72">
        <f>IFERROR(VLOOKUP(F72,TICO09!$F:$O,8,FALSE),0)</f>
        <v>18.718699999999998</v>
      </c>
      <c r="N72">
        <f>IFERROR(VLOOKUP(F72,SROU03!$F:$O,9,FALSE),0)</f>
        <v>23.4772</v>
      </c>
      <c r="O72">
        <v>20.8034</v>
      </c>
      <c r="P72" t="str">
        <f t="shared" si="5"/>
        <v>SROU03</v>
      </c>
      <c r="Q72">
        <f t="shared" si="6"/>
        <v>23.4772</v>
      </c>
      <c r="R72">
        <f>VLOOKUP(P72,'Color codes'!$A:$B,2,FALSE)</f>
        <v>3</v>
      </c>
      <c r="S72">
        <f>TRUNC(VLOOKUP(P72,'Color codes'!$A:$E,3,FALSE)*(0.25 + 0.75*Q72/40))</f>
        <v>73</v>
      </c>
      <c r="T72">
        <f>TRUNC(VLOOKUP(P72,'Color codes'!$A:$E,4,FALSE)*(0.25 + 0.75*Q72/40))</f>
        <v>121</v>
      </c>
      <c r="U72">
        <f>TRUNC(VLOOKUP(P72,'Color codes'!$A:$E,5,FALSE)*(0.25 + 0.75*Q72/40))</f>
        <v>176</v>
      </c>
      <c r="V72" t="b">
        <f t="shared" si="7"/>
        <v>1</v>
      </c>
    </row>
    <row r="73" spans="1:22" x14ac:dyDescent="0.25">
      <c r="A73" t="s">
        <v>14</v>
      </c>
      <c r="B73" t="s">
        <v>17</v>
      </c>
      <c r="C73">
        <v>3</v>
      </c>
      <c r="D73">
        <v>100</v>
      </c>
      <c r="E73">
        <v>25600</v>
      </c>
      <c r="F73" t="str">
        <f t="shared" si="4"/>
        <v>lena256_line_3_100_25600</v>
      </c>
      <c r="G73">
        <f>IFERROR(VLOOKUP(F73,SROU03!$F:$H,2,FALSE),0)</f>
        <v>22.885355000000001</v>
      </c>
      <c r="H73">
        <f>IFERROR(VLOOKUP(F73,SROU03!$F:$H,3,FALSE),0)</f>
        <v>3.5041690000000001</v>
      </c>
      <c r="I73">
        <v>3.5173359999999998E-3</v>
      </c>
      <c r="J73">
        <v>9.5650000000000007E-6</v>
      </c>
      <c r="K73">
        <v>10.3408</v>
      </c>
      <c r="L73">
        <v>15.0648</v>
      </c>
      <c r="M73">
        <f>IFERROR(VLOOKUP(F73,TICO09!$F:$O,8,FALSE),0)</f>
        <v>17.577500000000001</v>
      </c>
      <c r="N73">
        <f>IFERROR(VLOOKUP(F73,SROU03!$F:$O,9,FALSE),0)</f>
        <v>22.8401</v>
      </c>
      <c r="O73">
        <v>18.457100000000001</v>
      </c>
      <c r="P73" t="str">
        <f t="shared" si="5"/>
        <v>SROU03</v>
      </c>
      <c r="Q73">
        <f t="shared" si="6"/>
        <v>22.8401</v>
      </c>
      <c r="R73">
        <f>VLOOKUP(P73,'Color codes'!$A:$B,2,FALSE)</f>
        <v>3</v>
      </c>
      <c r="S73">
        <f>TRUNC(VLOOKUP(P73,'Color codes'!$A:$E,3,FALSE)*(0.25 + 0.75*Q73/40))</f>
        <v>72</v>
      </c>
      <c r="T73">
        <f>TRUNC(VLOOKUP(P73,'Color codes'!$A:$E,4,FALSE)*(0.25 + 0.75*Q73/40))</f>
        <v>119</v>
      </c>
      <c r="U73">
        <f>TRUNC(VLOOKUP(P73,'Color codes'!$A:$E,5,FALSE)*(0.25 + 0.75*Q73/40))</f>
        <v>172</v>
      </c>
      <c r="V73" t="b">
        <f t="shared" si="7"/>
        <v>1</v>
      </c>
    </row>
    <row r="74" spans="1:22" x14ac:dyDescent="0.25">
      <c r="A74" t="s">
        <v>14</v>
      </c>
      <c r="B74" t="s">
        <v>17</v>
      </c>
      <c r="C74">
        <v>7</v>
      </c>
      <c r="D74">
        <v>100</v>
      </c>
      <c r="E74">
        <v>200</v>
      </c>
      <c r="F74" t="str">
        <f t="shared" si="4"/>
        <v>lena256_line_7_100_200</v>
      </c>
      <c r="G74">
        <f>IFERROR(VLOOKUP(F74,SROU03!$F:$H,2,FALSE),0)</f>
        <v>49.847630000000002</v>
      </c>
      <c r="H74">
        <f>IFERROR(VLOOKUP(F74,SROU03!$F:$H,3,FALSE),0)</f>
        <v>9.8086520000000004</v>
      </c>
      <c r="I74">
        <v>2.0718999999999999E-5</v>
      </c>
      <c r="J74">
        <v>9.6050000000000004E-6</v>
      </c>
      <c r="K74">
        <v>32.225999999999999</v>
      </c>
      <c r="L74">
        <v>10.083</v>
      </c>
      <c r="M74">
        <f>IFERROR(VLOOKUP(F74,TICO09!$F:$O,8,FALSE),0)</f>
        <v>21.895399999999999</v>
      </c>
      <c r="N74">
        <f>IFERROR(VLOOKUP(F74,SROU03!$F:$O,9,FALSE),0)</f>
        <v>33.286299999999997</v>
      </c>
      <c r="O74">
        <v>34.895899999999997</v>
      </c>
      <c r="P74" t="str">
        <f t="shared" si="5"/>
        <v>BM3D</v>
      </c>
      <c r="Q74">
        <f t="shared" si="6"/>
        <v>34.895899999999997</v>
      </c>
      <c r="R74">
        <f>VLOOKUP(P74,'Color codes'!$A:$B,2,FALSE)</f>
        <v>1</v>
      </c>
      <c r="S74">
        <f>TRUNC(VLOOKUP(P74,'Color codes'!$A:$E,3,FALSE)*(0.25 + 0.75*Q74/40))</f>
        <v>230</v>
      </c>
      <c r="T74">
        <f>TRUNC(VLOOKUP(P74,'Color codes'!$A:$E,4,FALSE)*(0.25 + 0.75*Q74/40))</f>
        <v>96</v>
      </c>
      <c r="U74">
        <f>TRUNC(VLOOKUP(P74,'Color codes'!$A:$E,5,FALSE)*(0.25 + 0.75*Q74/40))</f>
        <v>94</v>
      </c>
      <c r="V74" t="b">
        <f t="shared" si="7"/>
        <v>1</v>
      </c>
    </row>
    <row r="75" spans="1:22" x14ac:dyDescent="0.25">
      <c r="A75" t="s">
        <v>14</v>
      </c>
      <c r="B75" t="s">
        <v>17</v>
      </c>
      <c r="C75">
        <v>7</v>
      </c>
      <c r="D75">
        <v>100</v>
      </c>
      <c r="E75">
        <v>400</v>
      </c>
      <c r="F75" t="str">
        <f t="shared" si="4"/>
        <v>lena256_line_7_100_400</v>
      </c>
      <c r="G75">
        <f>IFERROR(VLOOKUP(F75,SROU03!$F:$H,2,FALSE),0)</f>
        <v>37.906213999999999</v>
      </c>
      <c r="H75">
        <f>IFERROR(VLOOKUP(F75,SROU03!$F:$H,3,FALSE),0)</f>
        <v>9.0159719999999997</v>
      </c>
      <c r="I75">
        <v>4.3368000000000002E-5</v>
      </c>
      <c r="J75">
        <v>9.6050000000000004E-6</v>
      </c>
      <c r="K75">
        <v>29.017700000000001</v>
      </c>
      <c r="L75">
        <v>10.083</v>
      </c>
      <c r="M75">
        <f>IFERROR(VLOOKUP(F75,TICO09!$F:$O,8,FALSE),0)</f>
        <v>21.726299999999998</v>
      </c>
      <c r="N75">
        <f>IFERROR(VLOOKUP(F75,SROU03!$F:$O,9,FALSE),0)</f>
        <v>30.551600000000001</v>
      </c>
      <c r="O75">
        <v>32.282600000000002</v>
      </c>
      <c r="P75" t="str">
        <f t="shared" si="5"/>
        <v>BM3D</v>
      </c>
      <c r="Q75">
        <f t="shared" si="6"/>
        <v>32.282600000000002</v>
      </c>
      <c r="R75">
        <f>VLOOKUP(P75,'Color codes'!$A:$B,2,FALSE)</f>
        <v>1</v>
      </c>
      <c r="S75">
        <f>TRUNC(VLOOKUP(P75,'Color codes'!$A:$E,3,FALSE)*(0.25 + 0.75*Q75/40))</f>
        <v>218</v>
      </c>
      <c r="T75">
        <f>TRUNC(VLOOKUP(P75,'Color codes'!$A:$E,4,FALSE)*(0.25 + 0.75*Q75/40))</f>
        <v>91</v>
      </c>
      <c r="U75">
        <f>TRUNC(VLOOKUP(P75,'Color codes'!$A:$E,5,FALSE)*(0.25 + 0.75*Q75/40))</f>
        <v>88</v>
      </c>
      <c r="V75" t="b">
        <f t="shared" si="7"/>
        <v>1</v>
      </c>
    </row>
    <row r="76" spans="1:22" x14ac:dyDescent="0.25">
      <c r="A76" t="s">
        <v>14</v>
      </c>
      <c r="B76" t="s">
        <v>17</v>
      </c>
      <c r="C76">
        <v>7</v>
      </c>
      <c r="D76">
        <v>100</v>
      </c>
      <c r="E76">
        <v>800</v>
      </c>
      <c r="F76" t="str">
        <f t="shared" si="4"/>
        <v>lena256_line_7_100_800</v>
      </c>
      <c r="G76">
        <f>IFERROR(VLOOKUP(F76,SROU03!$F:$H,2,FALSE),0)</f>
        <v>30.368625999999999</v>
      </c>
      <c r="H76">
        <f>IFERROR(VLOOKUP(F76,SROU03!$F:$H,3,FALSE),0)</f>
        <v>8.6821280000000005</v>
      </c>
      <c r="I76">
        <v>8.9297999999999998E-5</v>
      </c>
      <c r="J76">
        <v>9.6050000000000004E-6</v>
      </c>
      <c r="K76">
        <v>25.8887</v>
      </c>
      <c r="L76">
        <v>10.083</v>
      </c>
      <c r="M76">
        <f>IFERROR(VLOOKUP(F76,TICO09!$F:$O,8,FALSE),0)</f>
        <v>21.525500000000001</v>
      </c>
      <c r="N76">
        <f>IFERROR(VLOOKUP(F76,SROU03!$F:$O,9,FALSE),0)</f>
        <v>28.43</v>
      </c>
      <c r="O76">
        <v>29.772600000000001</v>
      </c>
      <c r="P76" t="str">
        <f t="shared" si="5"/>
        <v>BM3D</v>
      </c>
      <c r="Q76">
        <f t="shared" si="6"/>
        <v>29.772600000000001</v>
      </c>
      <c r="R76">
        <f>VLOOKUP(P76,'Color codes'!$A:$B,2,FALSE)</f>
        <v>1</v>
      </c>
      <c r="S76">
        <f>TRUNC(VLOOKUP(P76,'Color codes'!$A:$E,3,FALSE)*(0.25 + 0.75*Q76/40))</f>
        <v>206</v>
      </c>
      <c r="T76">
        <f>TRUNC(VLOOKUP(P76,'Color codes'!$A:$E,4,FALSE)*(0.25 + 0.75*Q76/40))</f>
        <v>86</v>
      </c>
      <c r="U76">
        <f>TRUNC(VLOOKUP(P76,'Color codes'!$A:$E,5,FALSE)*(0.25 + 0.75*Q76/40))</f>
        <v>84</v>
      </c>
      <c r="V76" t="b">
        <f t="shared" si="7"/>
        <v>1</v>
      </c>
    </row>
    <row r="77" spans="1:22" x14ac:dyDescent="0.25">
      <c r="A77" t="s">
        <v>14</v>
      </c>
      <c r="B77" t="s">
        <v>17</v>
      </c>
      <c r="C77">
        <v>7</v>
      </c>
      <c r="D77">
        <v>100</v>
      </c>
      <c r="E77">
        <v>1600</v>
      </c>
      <c r="F77" t="str">
        <f t="shared" si="4"/>
        <v>lena256_line_7_100_1600</v>
      </c>
      <c r="G77">
        <f>IFERROR(VLOOKUP(F77,SROU03!$F:$H,2,FALSE),0)</f>
        <v>24.795572</v>
      </c>
      <c r="H77">
        <f>IFERROR(VLOOKUP(F77,SROU03!$F:$H,3,FALSE),0)</f>
        <v>8.5976590000000002</v>
      </c>
      <c r="I77">
        <v>1.8168700000000001E-4</v>
      </c>
      <c r="J77">
        <v>9.6050000000000004E-6</v>
      </c>
      <c r="K77">
        <v>22.8139</v>
      </c>
      <c r="L77">
        <v>10.083</v>
      </c>
      <c r="M77">
        <f>IFERROR(VLOOKUP(F77,TICO09!$F:$O,8,FALSE),0)</f>
        <v>21.076499999999999</v>
      </c>
      <c r="N77">
        <f>IFERROR(VLOOKUP(F77,SROU03!$F:$O,9,FALSE),0)</f>
        <v>26.242599999999999</v>
      </c>
      <c r="O77">
        <v>27.542999999999999</v>
      </c>
      <c r="P77" t="str">
        <f t="shared" si="5"/>
        <v>BM3D</v>
      </c>
      <c r="Q77">
        <f t="shared" si="6"/>
        <v>27.542999999999999</v>
      </c>
      <c r="R77">
        <f>VLOOKUP(P77,'Color codes'!$A:$B,2,FALSE)</f>
        <v>1</v>
      </c>
      <c r="S77">
        <f>TRUNC(VLOOKUP(P77,'Color codes'!$A:$E,3,FALSE)*(0.25 + 0.75*Q77/40))</f>
        <v>195</v>
      </c>
      <c r="T77">
        <f>TRUNC(VLOOKUP(P77,'Color codes'!$A:$E,4,FALSE)*(0.25 + 0.75*Q77/40))</f>
        <v>82</v>
      </c>
      <c r="U77">
        <f>TRUNC(VLOOKUP(P77,'Color codes'!$A:$E,5,FALSE)*(0.25 + 0.75*Q77/40))</f>
        <v>79</v>
      </c>
      <c r="V77" t="b">
        <f t="shared" si="7"/>
        <v>1</v>
      </c>
    </row>
    <row r="78" spans="1:22" x14ac:dyDescent="0.25">
      <c r="A78" t="s">
        <v>14</v>
      </c>
      <c r="B78" t="s">
        <v>17</v>
      </c>
      <c r="C78">
        <v>7</v>
      </c>
      <c r="D78">
        <v>100</v>
      </c>
      <c r="E78">
        <v>3200</v>
      </c>
      <c r="F78" t="str">
        <f t="shared" si="4"/>
        <v>lena256_line_7_100_3200</v>
      </c>
      <c r="G78">
        <f>IFERROR(VLOOKUP(F78,SROU03!$F:$H,2,FALSE),0)</f>
        <v>20.808078999999999</v>
      </c>
      <c r="H78">
        <f>IFERROR(VLOOKUP(F78,SROU03!$F:$H,3,FALSE),0)</f>
        <v>8.6237530000000007</v>
      </c>
      <c r="I78">
        <v>3.6874800000000001E-4</v>
      </c>
      <c r="J78">
        <v>9.6050000000000004E-6</v>
      </c>
      <c r="K78">
        <v>19.762799999999999</v>
      </c>
      <c r="L78">
        <v>10.083</v>
      </c>
      <c r="M78">
        <f>IFERROR(VLOOKUP(F78,TICO09!$F:$O,8,FALSE),0)</f>
        <v>20.426500000000001</v>
      </c>
      <c r="N78">
        <f>IFERROR(VLOOKUP(F78,SROU03!$F:$O,9,FALSE),0)</f>
        <v>24.390599999999999</v>
      </c>
      <c r="O78">
        <v>25.278400000000001</v>
      </c>
      <c r="P78" t="str">
        <f t="shared" si="5"/>
        <v>BM3D</v>
      </c>
      <c r="Q78">
        <f t="shared" si="6"/>
        <v>25.278400000000001</v>
      </c>
      <c r="R78">
        <f>VLOOKUP(P78,'Color codes'!$A:$B,2,FALSE)</f>
        <v>1</v>
      </c>
      <c r="S78">
        <f>TRUNC(VLOOKUP(P78,'Color codes'!$A:$E,3,FALSE)*(0.25 + 0.75*Q78/40))</f>
        <v>184</v>
      </c>
      <c r="T78">
        <f>TRUNC(VLOOKUP(P78,'Color codes'!$A:$E,4,FALSE)*(0.25 + 0.75*Q78/40))</f>
        <v>77</v>
      </c>
      <c r="U78">
        <f>TRUNC(VLOOKUP(P78,'Color codes'!$A:$E,5,FALSE)*(0.25 + 0.75*Q78/40))</f>
        <v>75</v>
      </c>
      <c r="V78" t="b">
        <f t="shared" si="7"/>
        <v>0</v>
      </c>
    </row>
    <row r="79" spans="1:22" x14ac:dyDescent="0.25">
      <c r="A79" t="s">
        <v>14</v>
      </c>
      <c r="B79" t="s">
        <v>17</v>
      </c>
      <c r="C79">
        <v>7</v>
      </c>
      <c r="D79">
        <v>100</v>
      </c>
      <c r="E79">
        <v>6400</v>
      </c>
      <c r="F79" t="str">
        <f t="shared" si="4"/>
        <v>lena256_line_7_100_6400</v>
      </c>
      <c r="G79">
        <f>IFERROR(VLOOKUP(F79,SROU03!$F:$H,2,FALSE),0)</f>
        <v>17.940296</v>
      </c>
      <c r="H79">
        <f>IFERROR(VLOOKUP(F79,SROU03!$F:$H,3,FALSE),0)</f>
        <v>8.6719139999999992</v>
      </c>
      <c r="I79">
        <v>7.5782699999999998E-4</v>
      </c>
      <c r="J79">
        <v>9.6050000000000004E-6</v>
      </c>
      <c r="K79">
        <v>16.683499999999999</v>
      </c>
      <c r="L79">
        <v>10.083</v>
      </c>
      <c r="M79">
        <f>IFERROR(VLOOKUP(F79,TICO09!$F:$O,8,FALSE),0)</f>
        <v>19.541399999999999</v>
      </c>
      <c r="N79">
        <f>IFERROR(VLOOKUP(F79,SROU03!$F:$O,9,FALSE),0)</f>
        <v>22.585799999999999</v>
      </c>
      <c r="O79">
        <v>22.996400000000001</v>
      </c>
      <c r="P79" t="str">
        <f t="shared" si="5"/>
        <v>BM3D</v>
      </c>
      <c r="Q79">
        <f t="shared" si="6"/>
        <v>22.996400000000001</v>
      </c>
      <c r="R79">
        <f>VLOOKUP(P79,'Color codes'!$A:$B,2,FALSE)</f>
        <v>1</v>
      </c>
      <c r="S79">
        <f>TRUNC(VLOOKUP(P79,'Color codes'!$A:$E,3,FALSE)*(0.25 + 0.75*Q79/40))</f>
        <v>173</v>
      </c>
      <c r="T79">
        <f>TRUNC(VLOOKUP(P79,'Color codes'!$A:$E,4,FALSE)*(0.25 + 0.75*Q79/40))</f>
        <v>72</v>
      </c>
      <c r="U79">
        <f>TRUNC(VLOOKUP(P79,'Color codes'!$A:$E,5,FALSE)*(0.25 + 0.75*Q79/40))</f>
        <v>70</v>
      </c>
      <c r="V79" t="b">
        <f t="shared" si="7"/>
        <v>0</v>
      </c>
    </row>
    <row r="80" spans="1:22" x14ac:dyDescent="0.25">
      <c r="A80" t="s">
        <v>14</v>
      </c>
      <c r="B80" t="s">
        <v>17</v>
      </c>
      <c r="C80">
        <v>7</v>
      </c>
      <c r="D80">
        <v>100</v>
      </c>
      <c r="E80">
        <v>12800</v>
      </c>
      <c r="F80" t="str">
        <f t="shared" si="4"/>
        <v>lena256_line_7_100_12800</v>
      </c>
      <c r="G80">
        <f>IFERROR(VLOOKUP(F80,SROU03!$F:$H,2,FALSE),0)</f>
        <v>15.662791</v>
      </c>
      <c r="H80">
        <f>IFERROR(VLOOKUP(F80,SROU03!$F:$H,3,FALSE),0)</f>
        <v>8.7403340000000007</v>
      </c>
      <c r="I80">
        <v>1.6005450000000001E-3</v>
      </c>
      <c r="J80">
        <v>9.6050000000000004E-6</v>
      </c>
      <c r="K80">
        <v>13.5319</v>
      </c>
      <c r="L80">
        <v>10.083</v>
      </c>
      <c r="M80">
        <f>IFERROR(VLOOKUP(F80,TICO09!$F:$O,8,FALSE),0)</f>
        <v>18.392499999999998</v>
      </c>
      <c r="N80">
        <f>IFERROR(VLOOKUP(F80,SROU03!$F:$O,9,FALSE),0)</f>
        <v>20.579499999999999</v>
      </c>
      <c r="O80">
        <v>20.741199999999999</v>
      </c>
      <c r="P80" t="str">
        <f t="shared" si="5"/>
        <v>BM3D</v>
      </c>
      <c r="Q80">
        <f t="shared" si="6"/>
        <v>20.741199999999999</v>
      </c>
      <c r="R80">
        <f>VLOOKUP(P80,'Color codes'!$A:$B,2,FALSE)</f>
        <v>1</v>
      </c>
      <c r="S80">
        <f>TRUNC(VLOOKUP(P80,'Color codes'!$A:$E,3,FALSE)*(0.25 + 0.75*Q80/40))</f>
        <v>162</v>
      </c>
      <c r="T80">
        <f>TRUNC(VLOOKUP(P80,'Color codes'!$A:$E,4,FALSE)*(0.25 + 0.75*Q80/40))</f>
        <v>68</v>
      </c>
      <c r="U80">
        <f>TRUNC(VLOOKUP(P80,'Color codes'!$A:$E,5,FALSE)*(0.25 + 0.75*Q80/40))</f>
        <v>66</v>
      </c>
      <c r="V80" t="b">
        <f t="shared" si="7"/>
        <v>0</v>
      </c>
    </row>
    <row r="81" spans="1:22" x14ac:dyDescent="0.25">
      <c r="A81" t="s">
        <v>14</v>
      </c>
      <c r="B81" t="s">
        <v>17</v>
      </c>
      <c r="C81">
        <v>7</v>
      </c>
      <c r="D81">
        <v>100</v>
      </c>
      <c r="E81">
        <v>25600</v>
      </c>
      <c r="F81" t="str">
        <f t="shared" si="4"/>
        <v>lena256_line_7_100_25600</v>
      </c>
      <c r="G81">
        <f>IFERROR(VLOOKUP(F81,SROU03!$F:$H,2,FALSE),0)</f>
        <v>13.674459000000001</v>
      </c>
      <c r="H81">
        <f>IFERROR(VLOOKUP(F81,SROU03!$F:$H,3,FALSE),0)</f>
        <v>8.8146740000000001</v>
      </c>
      <c r="I81">
        <v>3.5390780000000002E-3</v>
      </c>
      <c r="J81">
        <v>9.6050000000000004E-6</v>
      </c>
      <c r="K81">
        <v>10.326599999999999</v>
      </c>
      <c r="L81">
        <v>10.083</v>
      </c>
      <c r="M81">
        <f>IFERROR(VLOOKUP(F81,TICO09!$F:$O,8,FALSE),0)</f>
        <v>16.6706</v>
      </c>
      <c r="N81">
        <f>IFERROR(VLOOKUP(F81,SROU03!$F:$O,9,FALSE),0)</f>
        <v>19.109100000000002</v>
      </c>
      <c r="O81">
        <v>18.524899999999999</v>
      </c>
      <c r="P81" t="str">
        <f t="shared" si="5"/>
        <v>SROU03</v>
      </c>
      <c r="Q81">
        <f t="shared" si="6"/>
        <v>19.109100000000002</v>
      </c>
      <c r="R81">
        <f>VLOOKUP(P81,'Color codes'!$A:$B,2,FALSE)</f>
        <v>3</v>
      </c>
      <c r="S81">
        <f>TRUNC(VLOOKUP(P81,'Color codes'!$A:$E,3,FALSE)*(0.25 + 0.75*Q81/40))</f>
        <v>65</v>
      </c>
      <c r="T81">
        <f>TRUNC(VLOOKUP(P81,'Color codes'!$A:$E,4,FALSE)*(0.25 + 0.75*Q81/40))</f>
        <v>107</v>
      </c>
      <c r="U81">
        <f>TRUNC(VLOOKUP(P81,'Color codes'!$A:$E,5,FALSE)*(0.25 + 0.75*Q81/40))</f>
        <v>155</v>
      </c>
      <c r="V81" t="b">
        <f t="shared" si="7"/>
        <v>0</v>
      </c>
    </row>
    <row r="82" spans="1:22" x14ac:dyDescent="0.25">
      <c r="A82" t="s">
        <v>14</v>
      </c>
      <c r="B82" t="s">
        <v>17</v>
      </c>
      <c r="C82">
        <v>15</v>
      </c>
      <c r="D82">
        <v>100</v>
      </c>
      <c r="E82">
        <v>200</v>
      </c>
      <c r="F82" t="str">
        <f t="shared" si="4"/>
        <v>lena256_line_15_100_200</v>
      </c>
      <c r="G82">
        <f>IFERROR(VLOOKUP(F82,SROU03!$F:$H,2,FALSE),0)</f>
        <v>46.558684</v>
      </c>
      <c r="H82">
        <f>IFERROR(VLOOKUP(F82,SROU03!$F:$H,3,FALSE),0)</f>
        <v>22.156835000000001</v>
      </c>
      <c r="I82">
        <v>2.1166999999999999E-5</v>
      </c>
      <c r="J82">
        <v>9.5699999999999999E-6</v>
      </c>
      <c r="K82">
        <v>32.133400000000002</v>
      </c>
      <c r="L82">
        <v>6.5643000000000002</v>
      </c>
      <c r="M82">
        <f>IFERROR(VLOOKUP(F82,TICO09!$F:$O,8,FALSE),0)</f>
        <v>22.056799999999999</v>
      </c>
      <c r="N82">
        <f>IFERROR(VLOOKUP(F82,SROU03!$F:$O,9,FALSE),0)</f>
        <v>32.8279</v>
      </c>
      <c r="O82">
        <v>34.8354</v>
      </c>
      <c r="P82" t="str">
        <f t="shared" si="5"/>
        <v>BM3D</v>
      </c>
      <c r="Q82">
        <f t="shared" si="6"/>
        <v>34.8354</v>
      </c>
      <c r="R82">
        <f>VLOOKUP(P82,'Color codes'!$A:$B,2,FALSE)</f>
        <v>1</v>
      </c>
      <c r="S82">
        <f>TRUNC(VLOOKUP(P82,'Color codes'!$A:$E,3,FALSE)*(0.25 + 0.75*Q82/40))</f>
        <v>230</v>
      </c>
      <c r="T82">
        <f>TRUNC(VLOOKUP(P82,'Color codes'!$A:$E,4,FALSE)*(0.25 + 0.75*Q82/40))</f>
        <v>96</v>
      </c>
      <c r="U82">
        <f>TRUNC(VLOOKUP(P82,'Color codes'!$A:$E,5,FALSE)*(0.25 + 0.75*Q82/40))</f>
        <v>93</v>
      </c>
      <c r="V82" t="b">
        <f t="shared" si="7"/>
        <v>1</v>
      </c>
    </row>
    <row r="83" spans="1:22" x14ac:dyDescent="0.25">
      <c r="A83" t="s">
        <v>14</v>
      </c>
      <c r="B83" t="s">
        <v>17</v>
      </c>
      <c r="C83">
        <v>15</v>
      </c>
      <c r="D83">
        <v>100</v>
      </c>
      <c r="E83">
        <v>400</v>
      </c>
      <c r="F83" t="str">
        <f t="shared" si="4"/>
        <v>lena256_line_15_100_400</v>
      </c>
      <c r="G83">
        <f>IFERROR(VLOOKUP(F83,SROU03!$F:$H,2,FALSE),0)</f>
        <v>34.241807999999999</v>
      </c>
      <c r="H83">
        <f>IFERROR(VLOOKUP(F83,SROU03!$F:$H,3,FALSE),0)</f>
        <v>20.278579000000001</v>
      </c>
      <c r="I83">
        <v>4.3637000000000003E-5</v>
      </c>
      <c r="J83">
        <v>9.5699999999999999E-6</v>
      </c>
      <c r="K83">
        <v>28.993500000000001</v>
      </c>
      <c r="L83">
        <v>6.5643000000000002</v>
      </c>
      <c r="M83">
        <f>IFERROR(VLOOKUP(F83,TICO09!$F:$O,8,FALSE),0)</f>
        <v>21.893999999999998</v>
      </c>
      <c r="N83">
        <f>IFERROR(VLOOKUP(F83,SROU03!$F:$O,9,FALSE),0)</f>
        <v>30.164899999999999</v>
      </c>
      <c r="O83">
        <v>32.268900000000002</v>
      </c>
      <c r="P83" t="str">
        <f t="shared" si="5"/>
        <v>BM3D</v>
      </c>
      <c r="Q83">
        <f t="shared" si="6"/>
        <v>32.268900000000002</v>
      </c>
      <c r="R83">
        <f>VLOOKUP(P83,'Color codes'!$A:$B,2,FALSE)</f>
        <v>1</v>
      </c>
      <c r="S83">
        <f>TRUNC(VLOOKUP(P83,'Color codes'!$A:$E,3,FALSE)*(0.25 + 0.75*Q83/40))</f>
        <v>218</v>
      </c>
      <c r="T83">
        <f>TRUNC(VLOOKUP(P83,'Color codes'!$A:$E,4,FALSE)*(0.25 + 0.75*Q83/40))</f>
        <v>91</v>
      </c>
      <c r="U83">
        <f>TRUNC(VLOOKUP(P83,'Color codes'!$A:$E,5,FALSE)*(0.25 + 0.75*Q83/40))</f>
        <v>88</v>
      </c>
      <c r="V83" t="b">
        <f t="shared" si="7"/>
        <v>1</v>
      </c>
    </row>
    <row r="84" spans="1:22" x14ac:dyDescent="0.25">
      <c r="A84" t="s">
        <v>14</v>
      </c>
      <c r="B84" t="s">
        <v>17</v>
      </c>
      <c r="C84">
        <v>15</v>
      </c>
      <c r="D84">
        <v>100</v>
      </c>
      <c r="E84">
        <v>800</v>
      </c>
      <c r="F84" t="str">
        <f t="shared" si="4"/>
        <v>lena256_line_15_100_800</v>
      </c>
      <c r="G84">
        <f>IFERROR(VLOOKUP(F84,SROU03!$F:$H,2,FALSE),0)</f>
        <v>25.924379999999999</v>
      </c>
      <c r="H84">
        <f>IFERROR(VLOOKUP(F84,SROU03!$F:$H,3,FALSE),0)</f>
        <v>19.449202</v>
      </c>
      <c r="I84">
        <v>8.9198999999999998E-5</v>
      </c>
      <c r="J84">
        <v>9.5699999999999999E-6</v>
      </c>
      <c r="K84">
        <v>25.8948</v>
      </c>
      <c r="L84">
        <v>6.5643000000000002</v>
      </c>
      <c r="M84">
        <f>IFERROR(VLOOKUP(F84,TICO09!$F:$O,8,FALSE),0)</f>
        <v>21.5733</v>
      </c>
      <c r="N84">
        <f>IFERROR(VLOOKUP(F84,SROU03!$F:$O,9,FALSE),0)</f>
        <v>27.7729</v>
      </c>
      <c r="O84">
        <v>29.859500000000001</v>
      </c>
      <c r="P84" t="str">
        <f t="shared" si="5"/>
        <v>BM3D</v>
      </c>
      <c r="Q84">
        <f t="shared" si="6"/>
        <v>29.859500000000001</v>
      </c>
      <c r="R84">
        <f>VLOOKUP(P84,'Color codes'!$A:$B,2,FALSE)</f>
        <v>1</v>
      </c>
      <c r="S84">
        <f>TRUNC(VLOOKUP(P84,'Color codes'!$A:$E,3,FALSE)*(0.25 + 0.75*Q84/40))</f>
        <v>206</v>
      </c>
      <c r="T84">
        <f>TRUNC(VLOOKUP(P84,'Color codes'!$A:$E,4,FALSE)*(0.25 + 0.75*Q84/40))</f>
        <v>86</v>
      </c>
      <c r="U84">
        <f>TRUNC(VLOOKUP(P84,'Color codes'!$A:$E,5,FALSE)*(0.25 + 0.75*Q84/40))</f>
        <v>84</v>
      </c>
      <c r="V84" t="b">
        <f t="shared" si="7"/>
        <v>1</v>
      </c>
    </row>
    <row r="85" spans="1:22" x14ac:dyDescent="0.25">
      <c r="A85" t="s">
        <v>14</v>
      </c>
      <c r="B85" t="s">
        <v>17</v>
      </c>
      <c r="C85">
        <v>15</v>
      </c>
      <c r="D85">
        <v>100</v>
      </c>
      <c r="E85">
        <v>1600</v>
      </c>
      <c r="F85" t="str">
        <f t="shared" si="4"/>
        <v>lena256_line_15_100_1600</v>
      </c>
      <c r="G85">
        <f>IFERROR(VLOOKUP(F85,SROU03!$F:$H,2,FALSE),0)</f>
        <v>20.135451</v>
      </c>
      <c r="H85">
        <f>IFERROR(VLOOKUP(F85,SROU03!$F:$H,3,FALSE),0)</f>
        <v>19.054417999999998</v>
      </c>
      <c r="I85">
        <v>1.8155600000000001E-4</v>
      </c>
      <c r="J85">
        <v>9.5699999999999999E-6</v>
      </c>
      <c r="K85">
        <v>22.823399999999999</v>
      </c>
      <c r="L85">
        <v>6.5643000000000002</v>
      </c>
      <c r="M85">
        <f>IFERROR(VLOOKUP(F85,TICO09!$F:$O,8,FALSE),0)</f>
        <v>21.073499999999999</v>
      </c>
      <c r="N85">
        <f>IFERROR(VLOOKUP(F85,SROU03!$F:$O,9,FALSE),0)</f>
        <v>25.393999999999998</v>
      </c>
      <c r="O85">
        <v>27.454499999999999</v>
      </c>
      <c r="P85" t="str">
        <f t="shared" si="5"/>
        <v>BM3D</v>
      </c>
      <c r="Q85">
        <f t="shared" si="6"/>
        <v>27.454499999999999</v>
      </c>
      <c r="R85">
        <f>VLOOKUP(P85,'Color codes'!$A:$B,2,FALSE)</f>
        <v>1</v>
      </c>
      <c r="S85">
        <f>TRUNC(VLOOKUP(P85,'Color codes'!$A:$E,3,FALSE)*(0.25 + 0.75*Q85/40))</f>
        <v>195</v>
      </c>
      <c r="T85">
        <f>TRUNC(VLOOKUP(P85,'Color codes'!$A:$E,4,FALSE)*(0.25 + 0.75*Q85/40))</f>
        <v>81</v>
      </c>
      <c r="U85">
        <f>TRUNC(VLOOKUP(P85,'Color codes'!$A:$E,5,FALSE)*(0.25 + 0.75*Q85/40))</f>
        <v>79</v>
      </c>
      <c r="V85" t="b">
        <f t="shared" si="7"/>
        <v>1</v>
      </c>
    </row>
    <row r="86" spans="1:22" x14ac:dyDescent="0.25">
      <c r="A86" t="s">
        <v>14</v>
      </c>
      <c r="B86" t="s">
        <v>17</v>
      </c>
      <c r="C86">
        <v>15</v>
      </c>
      <c r="D86">
        <v>100</v>
      </c>
      <c r="E86">
        <v>3200</v>
      </c>
      <c r="F86" t="str">
        <f t="shared" si="4"/>
        <v>lena256_line_15_100_3200</v>
      </c>
      <c r="G86">
        <f>IFERROR(VLOOKUP(F86,SROU03!$F:$H,2,FALSE),0)</f>
        <v>16.043880999999999</v>
      </c>
      <c r="H86">
        <f>IFERROR(VLOOKUP(F86,SROU03!$F:$H,3,FALSE),0)</f>
        <v>18.985814999999999</v>
      </c>
      <c r="I86">
        <v>3.7288700000000002E-4</v>
      </c>
      <c r="J86">
        <v>9.5699999999999999E-6</v>
      </c>
      <c r="K86">
        <v>19.722799999999999</v>
      </c>
      <c r="L86">
        <v>6.5643000000000002</v>
      </c>
      <c r="M86">
        <f>IFERROR(VLOOKUP(F86,TICO09!$F:$O,8,FALSE),0)</f>
        <v>20.324400000000001</v>
      </c>
      <c r="N86">
        <f>IFERROR(VLOOKUP(F86,SROU03!$F:$O,9,FALSE),0)</f>
        <v>23.3095</v>
      </c>
      <c r="O86">
        <v>25.247599999999998</v>
      </c>
      <c r="P86" t="str">
        <f t="shared" si="5"/>
        <v>BM3D</v>
      </c>
      <c r="Q86">
        <f t="shared" si="6"/>
        <v>25.247599999999998</v>
      </c>
      <c r="R86">
        <f>VLOOKUP(P86,'Color codes'!$A:$B,2,FALSE)</f>
        <v>1</v>
      </c>
      <c r="S86">
        <f>TRUNC(VLOOKUP(P86,'Color codes'!$A:$E,3,FALSE)*(0.25 + 0.75*Q86/40))</f>
        <v>184</v>
      </c>
      <c r="T86">
        <f>TRUNC(VLOOKUP(P86,'Color codes'!$A:$E,4,FALSE)*(0.25 + 0.75*Q86/40))</f>
        <v>77</v>
      </c>
      <c r="U86">
        <f>TRUNC(VLOOKUP(P86,'Color codes'!$A:$E,5,FALSE)*(0.25 + 0.75*Q86/40))</f>
        <v>75</v>
      </c>
      <c r="V86" t="b">
        <f t="shared" si="7"/>
        <v>1</v>
      </c>
    </row>
    <row r="87" spans="1:22" x14ac:dyDescent="0.25">
      <c r="A87" t="s">
        <v>14</v>
      </c>
      <c r="B87" t="s">
        <v>17</v>
      </c>
      <c r="C87">
        <v>15</v>
      </c>
      <c r="D87">
        <v>100</v>
      </c>
      <c r="E87">
        <v>6400</v>
      </c>
      <c r="F87" t="str">
        <f t="shared" si="4"/>
        <v>lena256_line_15_100_6400</v>
      </c>
      <c r="G87">
        <f>IFERROR(VLOOKUP(F87,SROU03!$F:$H,2,FALSE),0)</f>
        <v>13.198256000000001</v>
      </c>
      <c r="H87">
        <f>IFERROR(VLOOKUP(F87,SROU03!$F:$H,3,FALSE),0)</f>
        <v>18.952030000000001</v>
      </c>
      <c r="I87">
        <v>7.6376700000000005E-4</v>
      </c>
      <c r="J87">
        <v>9.5699999999999999E-6</v>
      </c>
      <c r="K87">
        <v>16.650300000000001</v>
      </c>
      <c r="L87">
        <v>6.5643000000000002</v>
      </c>
      <c r="M87">
        <f>IFERROR(VLOOKUP(F87,TICO09!$F:$O,8,FALSE),0)</f>
        <v>19.388100000000001</v>
      </c>
      <c r="N87">
        <f>IFERROR(VLOOKUP(F87,SROU03!$F:$O,9,FALSE),0)</f>
        <v>21.238900000000001</v>
      </c>
      <c r="O87">
        <v>23.039400000000001</v>
      </c>
      <c r="P87" t="str">
        <f t="shared" si="5"/>
        <v>BM3D</v>
      </c>
      <c r="Q87">
        <f t="shared" si="6"/>
        <v>23.039400000000001</v>
      </c>
      <c r="R87">
        <f>VLOOKUP(P87,'Color codes'!$A:$B,2,FALSE)</f>
        <v>1</v>
      </c>
      <c r="S87">
        <f>TRUNC(VLOOKUP(P87,'Color codes'!$A:$E,3,FALSE)*(0.25 + 0.75*Q87/40))</f>
        <v>173</v>
      </c>
      <c r="T87">
        <f>TRUNC(VLOOKUP(P87,'Color codes'!$A:$E,4,FALSE)*(0.25 + 0.75*Q87/40))</f>
        <v>72</v>
      </c>
      <c r="U87">
        <f>TRUNC(VLOOKUP(P87,'Color codes'!$A:$E,5,FALSE)*(0.25 + 0.75*Q87/40))</f>
        <v>70</v>
      </c>
      <c r="V87" t="b">
        <f t="shared" si="7"/>
        <v>1</v>
      </c>
    </row>
    <row r="88" spans="1:22" x14ac:dyDescent="0.25">
      <c r="A88" t="s">
        <v>14</v>
      </c>
      <c r="B88" t="s">
        <v>17</v>
      </c>
      <c r="C88">
        <v>15</v>
      </c>
      <c r="D88">
        <v>100</v>
      </c>
      <c r="E88">
        <v>12800</v>
      </c>
      <c r="F88" t="str">
        <f t="shared" si="4"/>
        <v>lena256_line_15_100_12800</v>
      </c>
      <c r="G88">
        <f>IFERROR(VLOOKUP(F88,SROU03!$F:$H,2,FALSE),0)</f>
        <v>11.156074</v>
      </c>
      <c r="H88">
        <f>IFERROR(VLOOKUP(F88,SROU03!$F:$H,3,FALSE),0)</f>
        <v>19.004933999999999</v>
      </c>
      <c r="I88">
        <v>1.6236930000000001E-3</v>
      </c>
      <c r="J88">
        <v>9.5699999999999999E-6</v>
      </c>
      <c r="K88">
        <v>13.478899999999999</v>
      </c>
      <c r="L88">
        <v>6.5643000000000002</v>
      </c>
      <c r="M88">
        <f>IFERROR(VLOOKUP(F88,TICO09!$F:$O,8,FALSE),0)</f>
        <v>18.028500000000001</v>
      </c>
      <c r="N88">
        <f>IFERROR(VLOOKUP(F88,SROU03!$F:$O,9,FALSE),0)</f>
        <v>19.2624</v>
      </c>
      <c r="O88">
        <v>20.727799999999998</v>
      </c>
      <c r="P88" t="str">
        <f t="shared" si="5"/>
        <v>BM3D</v>
      </c>
      <c r="Q88">
        <f t="shared" si="6"/>
        <v>20.727799999999998</v>
      </c>
      <c r="R88">
        <f>VLOOKUP(P88,'Color codes'!$A:$B,2,FALSE)</f>
        <v>1</v>
      </c>
      <c r="S88">
        <f>TRUNC(VLOOKUP(P88,'Color codes'!$A:$E,3,FALSE)*(0.25 + 0.75*Q88/40))</f>
        <v>162</v>
      </c>
      <c r="T88">
        <f>TRUNC(VLOOKUP(P88,'Color codes'!$A:$E,4,FALSE)*(0.25 + 0.75*Q88/40))</f>
        <v>68</v>
      </c>
      <c r="U88">
        <f>TRUNC(VLOOKUP(P88,'Color codes'!$A:$E,5,FALSE)*(0.25 + 0.75*Q88/40))</f>
        <v>66</v>
      </c>
      <c r="V88" t="b">
        <f t="shared" si="7"/>
        <v>1</v>
      </c>
    </row>
    <row r="89" spans="1:22" x14ac:dyDescent="0.25">
      <c r="A89" t="s">
        <v>14</v>
      </c>
      <c r="B89" t="s">
        <v>17</v>
      </c>
      <c r="C89">
        <v>15</v>
      </c>
      <c r="D89">
        <v>100</v>
      </c>
      <c r="E89">
        <v>25600</v>
      </c>
      <c r="F89" t="str">
        <f t="shared" si="4"/>
        <v>lena256_line_15_100_25600</v>
      </c>
      <c r="G89">
        <f>IFERROR(VLOOKUP(F89,SROU03!$F:$H,2,FALSE),0)</f>
        <v>9.2939109999999996</v>
      </c>
      <c r="H89">
        <f>IFERROR(VLOOKUP(F89,SROU03!$F:$H,3,FALSE),0)</f>
        <v>19.057528999999999</v>
      </c>
      <c r="I89">
        <v>3.5507220000000001E-3</v>
      </c>
      <c r="J89">
        <v>9.5699999999999999E-6</v>
      </c>
      <c r="K89">
        <v>10.305</v>
      </c>
      <c r="L89">
        <v>6.5643000000000002</v>
      </c>
      <c r="M89">
        <f>IFERROR(VLOOKUP(F89,TICO09!$F:$O,8,FALSE),0)</f>
        <v>16.343599999999999</v>
      </c>
      <c r="N89">
        <f>IFERROR(VLOOKUP(F89,SROU03!$F:$O,9,FALSE),0)</f>
        <v>17.668099999999999</v>
      </c>
      <c r="O89">
        <v>18.5227</v>
      </c>
      <c r="P89" t="str">
        <f t="shared" si="5"/>
        <v>BM3D</v>
      </c>
      <c r="Q89">
        <f t="shared" si="6"/>
        <v>18.5227</v>
      </c>
      <c r="R89">
        <f>VLOOKUP(P89,'Color codes'!$A:$B,2,FALSE)</f>
        <v>1</v>
      </c>
      <c r="S89">
        <f>TRUNC(VLOOKUP(P89,'Color codes'!$A:$E,3,FALSE)*(0.25 + 0.75*Q89/40))</f>
        <v>152</v>
      </c>
      <c r="T89">
        <f>TRUNC(VLOOKUP(P89,'Color codes'!$A:$E,4,FALSE)*(0.25 + 0.75*Q89/40))</f>
        <v>63</v>
      </c>
      <c r="U89">
        <f>TRUNC(VLOOKUP(P89,'Color codes'!$A:$E,5,FALSE)*(0.25 + 0.75*Q89/40))</f>
        <v>62</v>
      </c>
      <c r="V89" t="b">
        <f t="shared" si="7"/>
        <v>0</v>
      </c>
    </row>
    <row r="90" spans="1:22" x14ac:dyDescent="0.25">
      <c r="A90" t="s">
        <v>14</v>
      </c>
      <c r="B90" t="s">
        <v>17</v>
      </c>
      <c r="C90">
        <v>31</v>
      </c>
      <c r="D90">
        <v>100</v>
      </c>
      <c r="E90">
        <v>200</v>
      </c>
      <c r="F90" t="str">
        <f t="shared" si="4"/>
        <v>lena256_line_31_100_200</v>
      </c>
      <c r="G90">
        <f>IFERROR(VLOOKUP(F90,SROU03!$F:$H,2,FALSE),0)</f>
        <v>45.621952999999998</v>
      </c>
      <c r="H90">
        <f>IFERROR(VLOOKUP(F90,SROU03!$F:$H,3,FALSE),0)</f>
        <v>46.782283</v>
      </c>
      <c r="I90">
        <v>2.0792999999999999E-5</v>
      </c>
      <c r="J90">
        <v>9.5179999999999993E-6</v>
      </c>
      <c r="K90">
        <v>32.2087</v>
      </c>
      <c r="L90">
        <v>3.6455000000000002</v>
      </c>
      <c r="M90">
        <f>IFERROR(VLOOKUP(F90,TICO09!$F:$O,8,FALSE),0)</f>
        <v>21.8477</v>
      </c>
      <c r="N90">
        <f>IFERROR(VLOOKUP(F90,SROU03!$F:$O,9,FALSE),0)</f>
        <v>32.747300000000003</v>
      </c>
      <c r="O90">
        <v>34.834699999999998</v>
      </c>
      <c r="P90" t="str">
        <f t="shared" si="5"/>
        <v>BM3D</v>
      </c>
      <c r="Q90">
        <f t="shared" si="6"/>
        <v>34.834699999999998</v>
      </c>
      <c r="R90">
        <f>VLOOKUP(P90,'Color codes'!$A:$B,2,FALSE)</f>
        <v>1</v>
      </c>
      <c r="S90">
        <f>TRUNC(VLOOKUP(P90,'Color codes'!$A:$E,3,FALSE)*(0.25 + 0.75*Q90/40))</f>
        <v>230</v>
      </c>
      <c r="T90">
        <f>TRUNC(VLOOKUP(P90,'Color codes'!$A:$E,4,FALSE)*(0.25 + 0.75*Q90/40))</f>
        <v>96</v>
      </c>
      <c r="U90">
        <f>TRUNC(VLOOKUP(P90,'Color codes'!$A:$E,5,FALSE)*(0.25 + 0.75*Q90/40))</f>
        <v>93</v>
      </c>
      <c r="V90" t="b">
        <f t="shared" si="7"/>
        <v>1</v>
      </c>
    </row>
    <row r="91" spans="1:22" x14ac:dyDescent="0.25">
      <c r="A91" t="s">
        <v>14</v>
      </c>
      <c r="B91" t="s">
        <v>17</v>
      </c>
      <c r="C91">
        <v>31</v>
      </c>
      <c r="D91">
        <v>100</v>
      </c>
      <c r="E91">
        <v>400</v>
      </c>
      <c r="F91" t="str">
        <f t="shared" si="4"/>
        <v>lena256_line_31_100_400</v>
      </c>
      <c r="G91">
        <f>IFERROR(VLOOKUP(F91,SROU03!$F:$H,2,FALSE),0)</f>
        <v>32.427397999999997</v>
      </c>
      <c r="H91">
        <f>IFERROR(VLOOKUP(F91,SROU03!$F:$H,3,FALSE),0)</f>
        <v>42.670845999999997</v>
      </c>
      <c r="I91">
        <v>4.3562000000000001E-5</v>
      </c>
      <c r="J91">
        <v>9.5179999999999993E-6</v>
      </c>
      <c r="K91">
        <v>29.000599999999999</v>
      </c>
      <c r="L91">
        <v>3.6455000000000002</v>
      </c>
      <c r="M91">
        <f>IFERROR(VLOOKUP(F91,TICO09!$F:$O,8,FALSE),0)</f>
        <v>21.6813</v>
      </c>
      <c r="N91">
        <f>IFERROR(VLOOKUP(F91,SROU03!$F:$O,9,FALSE),0)</f>
        <v>29.973400000000002</v>
      </c>
      <c r="O91">
        <v>32.262099999999997</v>
      </c>
      <c r="P91" t="str">
        <f t="shared" si="5"/>
        <v>BM3D</v>
      </c>
      <c r="Q91">
        <f t="shared" si="6"/>
        <v>32.262099999999997</v>
      </c>
      <c r="R91">
        <f>VLOOKUP(P91,'Color codes'!$A:$B,2,FALSE)</f>
        <v>1</v>
      </c>
      <c r="S91">
        <f>TRUNC(VLOOKUP(P91,'Color codes'!$A:$E,3,FALSE)*(0.25 + 0.75*Q91/40))</f>
        <v>218</v>
      </c>
      <c r="T91">
        <f>TRUNC(VLOOKUP(P91,'Color codes'!$A:$E,4,FALSE)*(0.25 + 0.75*Q91/40))</f>
        <v>91</v>
      </c>
      <c r="U91">
        <f>TRUNC(VLOOKUP(P91,'Color codes'!$A:$E,5,FALSE)*(0.25 + 0.75*Q91/40))</f>
        <v>88</v>
      </c>
      <c r="V91" t="b">
        <f t="shared" si="7"/>
        <v>1</v>
      </c>
    </row>
    <row r="92" spans="1:22" x14ac:dyDescent="0.25">
      <c r="A92" t="s">
        <v>14</v>
      </c>
      <c r="B92" t="s">
        <v>17</v>
      </c>
      <c r="C92">
        <v>31</v>
      </c>
      <c r="D92">
        <v>100</v>
      </c>
      <c r="E92">
        <v>800</v>
      </c>
      <c r="F92" t="str">
        <f t="shared" si="4"/>
        <v>lena256_line_31_100_800</v>
      </c>
      <c r="G92">
        <f>IFERROR(VLOOKUP(F92,SROU03!$F:$H,2,FALSE),0)</f>
        <v>23.689976999999999</v>
      </c>
      <c r="H92">
        <f>IFERROR(VLOOKUP(F92,SROU03!$F:$H,3,FALSE),0)</f>
        <v>40.556171999999997</v>
      </c>
      <c r="I92">
        <v>8.8953E-5</v>
      </c>
      <c r="J92">
        <v>9.5179999999999993E-6</v>
      </c>
      <c r="K92">
        <v>25.906700000000001</v>
      </c>
      <c r="L92">
        <v>3.6455000000000002</v>
      </c>
      <c r="M92">
        <f>IFERROR(VLOOKUP(F92,TICO09!$F:$O,8,FALSE),0)</f>
        <v>21.390499999999999</v>
      </c>
      <c r="N92">
        <f>IFERROR(VLOOKUP(F92,SROU03!$F:$O,9,FALSE),0)</f>
        <v>27.3794</v>
      </c>
      <c r="O92">
        <v>29.867599999999999</v>
      </c>
      <c r="P92" t="str">
        <f t="shared" si="5"/>
        <v>BM3D</v>
      </c>
      <c r="Q92">
        <f t="shared" si="6"/>
        <v>29.867599999999999</v>
      </c>
      <c r="R92">
        <f>VLOOKUP(P92,'Color codes'!$A:$B,2,FALSE)</f>
        <v>1</v>
      </c>
      <c r="S92">
        <f>TRUNC(VLOOKUP(P92,'Color codes'!$A:$E,3,FALSE)*(0.25 + 0.75*Q92/40))</f>
        <v>206</v>
      </c>
      <c r="T92">
        <f>TRUNC(VLOOKUP(P92,'Color codes'!$A:$E,4,FALSE)*(0.25 + 0.75*Q92/40))</f>
        <v>86</v>
      </c>
      <c r="U92">
        <f>TRUNC(VLOOKUP(P92,'Color codes'!$A:$E,5,FALSE)*(0.25 + 0.75*Q92/40))</f>
        <v>84</v>
      </c>
      <c r="V92" t="b">
        <f t="shared" si="7"/>
        <v>1</v>
      </c>
    </row>
    <row r="93" spans="1:22" x14ac:dyDescent="0.25">
      <c r="A93" t="s">
        <v>14</v>
      </c>
      <c r="B93" t="s">
        <v>17</v>
      </c>
      <c r="C93">
        <v>31</v>
      </c>
      <c r="D93">
        <v>100</v>
      </c>
      <c r="E93">
        <v>1600</v>
      </c>
      <c r="F93" t="str">
        <f t="shared" si="4"/>
        <v>lena256_line_31_100_1600</v>
      </c>
      <c r="G93">
        <f>IFERROR(VLOOKUP(F93,SROU03!$F:$H,2,FALSE),0)</f>
        <v>17.736142999999998</v>
      </c>
      <c r="H93">
        <f>IFERROR(VLOOKUP(F93,SROU03!$F:$H,3,FALSE),0)</f>
        <v>39.712038</v>
      </c>
      <c r="I93">
        <v>1.8132399999999999E-4</v>
      </c>
      <c r="J93">
        <v>9.5179999999999993E-6</v>
      </c>
      <c r="K93">
        <v>22.825500000000002</v>
      </c>
      <c r="L93">
        <v>3.6455000000000002</v>
      </c>
      <c r="M93">
        <f>IFERROR(VLOOKUP(F93,TICO09!$F:$O,8,FALSE),0)</f>
        <v>20.857299999999999</v>
      </c>
      <c r="N93">
        <f>IFERROR(VLOOKUP(F93,SROU03!$F:$O,9,FALSE),0)</f>
        <v>25.002099999999999</v>
      </c>
      <c r="O93">
        <v>27.472200000000001</v>
      </c>
      <c r="P93" t="str">
        <f t="shared" si="5"/>
        <v>BM3D</v>
      </c>
      <c r="Q93">
        <f t="shared" si="6"/>
        <v>27.472200000000001</v>
      </c>
      <c r="R93">
        <f>VLOOKUP(P93,'Color codes'!$A:$B,2,FALSE)</f>
        <v>1</v>
      </c>
      <c r="S93">
        <f>TRUNC(VLOOKUP(P93,'Color codes'!$A:$E,3,FALSE)*(0.25 + 0.75*Q93/40))</f>
        <v>195</v>
      </c>
      <c r="T93">
        <f>TRUNC(VLOOKUP(P93,'Color codes'!$A:$E,4,FALSE)*(0.25 + 0.75*Q93/40))</f>
        <v>81</v>
      </c>
      <c r="U93">
        <f>TRUNC(VLOOKUP(P93,'Color codes'!$A:$E,5,FALSE)*(0.25 + 0.75*Q93/40))</f>
        <v>79</v>
      </c>
      <c r="V93" t="b">
        <f t="shared" si="7"/>
        <v>1</v>
      </c>
    </row>
    <row r="94" spans="1:22" x14ac:dyDescent="0.25">
      <c r="A94" t="s">
        <v>14</v>
      </c>
      <c r="B94" t="s">
        <v>17</v>
      </c>
      <c r="C94">
        <v>31</v>
      </c>
      <c r="D94">
        <v>100</v>
      </c>
      <c r="E94">
        <v>3200</v>
      </c>
      <c r="F94" t="str">
        <f t="shared" si="4"/>
        <v>lena256_line_31_100_3200</v>
      </c>
      <c r="G94">
        <f>IFERROR(VLOOKUP(F94,SROU03!$F:$H,2,FALSE),0)</f>
        <v>13.545899</v>
      </c>
      <c r="H94">
        <f>IFERROR(VLOOKUP(F94,SROU03!$F:$H,3,FALSE),0)</f>
        <v>39.273645999999999</v>
      </c>
      <c r="I94">
        <v>3.7032299999999998E-4</v>
      </c>
      <c r="J94">
        <v>9.5179999999999993E-6</v>
      </c>
      <c r="K94">
        <v>19.746099999999998</v>
      </c>
      <c r="L94">
        <v>3.6455000000000002</v>
      </c>
      <c r="M94">
        <f>IFERROR(VLOOKUP(F94,TICO09!$F:$O,8,FALSE),0)</f>
        <v>20.155899999999999</v>
      </c>
      <c r="N94">
        <f>IFERROR(VLOOKUP(F94,SROU03!$F:$O,9,FALSE),0)</f>
        <v>22.741900000000001</v>
      </c>
      <c r="O94">
        <v>25.215699999999998</v>
      </c>
      <c r="P94" t="str">
        <f t="shared" si="5"/>
        <v>BM3D</v>
      </c>
      <c r="Q94">
        <f t="shared" si="6"/>
        <v>25.215699999999998</v>
      </c>
      <c r="R94">
        <f>VLOOKUP(P94,'Color codes'!$A:$B,2,FALSE)</f>
        <v>1</v>
      </c>
      <c r="S94">
        <f>TRUNC(VLOOKUP(P94,'Color codes'!$A:$E,3,FALSE)*(0.25 + 0.75*Q94/40))</f>
        <v>184</v>
      </c>
      <c r="T94">
        <f>TRUNC(VLOOKUP(P94,'Color codes'!$A:$E,4,FALSE)*(0.25 + 0.75*Q94/40))</f>
        <v>77</v>
      </c>
      <c r="U94">
        <f>TRUNC(VLOOKUP(P94,'Color codes'!$A:$E,5,FALSE)*(0.25 + 0.75*Q94/40))</f>
        <v>75</v>
      </c>
      <c r="V94" t="b">
        <f t="shared" si="7"/>
        <v>1</v>
      </c>
    </row>
    <row r="95" spans="1:22" x14ac:dyDescent="0.25">
      <c r="A95" t="s">
        <v>14</v>
      </c>
      <c r="B95" t="s">
        <v>17</v>
      </c>
      <c r="C95">
        <v>31</v>
      </c>
      <c r="D95">
        <v>100</v>
      </c>
      <c r="E95">
        <v>6400</v>
      </c>
      <c r="F95" t="str">
        <f t="shared" si="4"/>
        <v>lena256_line_31_100_6400</v>
      </c>
      <c r="G95">
        <f>IFERROR(VLOOKUP(F95,SROU03!$F:$H,2,FALSE),0)</f>
        <v>10.576983</v>
      </c>
      <c r="H95">
        <f>IFERROR(VLOOKUP(F95,SROU03!$F:$H,3,FALSE),0)</f>
        <v>39.183135</v>
      </c>
      <c r="I95">
        <v>7.6733300000000003E-4</v>
      </c>
      <c r="J95">
        <v>9.5179999999999993E-6</v>
      </c>
      <c r="K95">
        <v>16.6311</v>
      </c>
      <c r="L95">
        <v>3.6455000000000002</v>
      </c>
      <c r="M95">
        <f>IFERROR(VLOOKUP(F95,TICO09!$F:$O,8,FALSE),0)</f>
        <v>19.255299999999998</v>
      </c>
      <c r="N95">
        <f>IFERROR(VLOOKUP(F95,SROU03!$F:$O,9,FALSE),0)</f>
        <v>20.621600000000001</v>
      </c>
      <c r="O95">
        <v>22.997499999999999</v>
      </c>
      <c r="P95" t="str">
        <f t="shared" si="5"/>
        <v>BM3D</v>
      </c>
      <c r="Q95">
        <f t="shared" si="6"/>
        <v>22.997499999999999</v>
      </c>
      <c r="R95">
        <f>VLOOKUP(P95,'Color codes'!$A:$B,2,FALSE)</f>
        <v>1</v>
      </c>
      <c r="S95">
        <f>TRUNC(VLOOKUP(P95,'Color codes'!$A:$E,3,FALSE)*(0.25 + 0.75*Q95/40))</f>
        <v>173</v>
      </c>
      <c r="T95">
        <f>TRUNC(VLOOKUP(P95,'Color codes'!$A:$E,4,FALSE)*(0.25 + 0.75*Q95/40))</f>
        <v>72</v>
      </c>
      <c r="U95">
        <f>TRUNC(VLOOKUP(P95,'Color codes'!$A:$E,5,FALSE)*(0.25 + 0.75*Q95/40))</f>
        <v>70</v>
      </c>
      <c r="V95" t="b">
        <f t="shared" si="7"/>
        <v>1</v>
      </c>
    </row>
    <row r="96" spans="1:22" x14ac:dyDescent="0.25">
      <c r="A96" t="s">
        <v>14</v>
      </c>
      <c r="B96" t="s">
        <v>17</v>
      </c>
      <c r="C96">
        <v>31</v>
      </c>
      <c r="D96">
        <v>100</v>
      </c>
      <c r="E96">
        <v>12800</v>
      </c>
      <c r="F96" t="str">
        <f t="shared" si="4"/>
        <v>lena256_line_31_100_12800</v>
      </c>
      <c r="G96">
        <f>IFERROR(VLOOKUP(F96,SROU03!$F:$H,2,FALSE),0)</f>
        <v>8.5511870000000005</v>
      </c>
      <c r="H96">
        <f>IFERROR(VLOOKUP(F96,SROU03!$F:$H,3,FALSE),0)</f>
        <v>39.080952000000003</v>
      </c>
      <c r="I96">
        <v>1.6060040000000001E-3</v>
      </c>
      <c r="J96">
        <v>9.5179999999999993E-6</v>
      </c>
      <c r="K96">
        <v>13.523999999999999</v>
      </c>
      <c r="L96">
        <v>3.6455000000000002</v>
      </c>
      <c r="M96">
        <f>IFERROR(VLOOKUP(F96,TICO09!$F:$O,8,FALSE),0)</f>
        <v>17.8569</v>
      </c>
      <c r="N96">
        <f>IFERROR(VLOOKUP(F96,SROU03!$F:$O,9,FALSE),0)</f>
        <v>18.687100000000001</v>
      </c>
      <c r="O96">
        <v>20.751200000000001</v>
      </c>
      <c r="P96" t="str">
        <f t="shared" si="5"/>
        <v>BM3D</v>
      </c>
      <c r="Q96">
        <f t="shared" si="6"/>
        <v>20.751200000000001</v>
      </c>
      <c r="R96">
        <f>VLOOKUP(P96,'Color codes'!$A:$B,2,FALSE)</f>
        <v>1</v>
      </c>
      <c r="S96">
        <f>TRUNC(VLOOKUP(P96,'Color codes'!$A:$E,3,FALSE)*(0.25 + 0.75*Q96/40))</f>
        <v>162</v>
      </c>
      <c r="T96">
        <f>TRUNC(VLOOKUP(P96,'Color codes'!$A:$E,4,FALSE)*(0.25 + 0.75*Q96/40))</f>
        <v>68</v>
      </c>
      <c r="U96">
        <f>TRUNC(VLOOKUP(P96,'Color codes'!$A:$E,5,FALSE)*(0.25 + 0.75*Q96/40))</f>
        <v>66</v>
      </c>
      <c r="V96" t="b">
        <f t="shared" si="7"/>
        <v>1</v>
      </c>
    </row>
    <row r="97" spans="1:22" x14ac:dyDescent="0.25">
      <c r="A97" t="s">
        <v>14</v>
      </c>
      <c r="B97" t="s">
        <v>17</v>
      </c>
      <c r="C97">
        <v>31</v>
      </c>
      <c r="D97">
        <v>100</v>
      </c>
      <c r="E97">
        <v>25600</v>
      </c>
      <c r="F97" t="str">
        <f t="shared" si="4"/>
        <v>lena256_line_31_100_25600</v>
      </c>
      <c r="G97">
        <f>IFERROR(VLOOKUP(F97,SROU03!$F:$H,2,FALSE),0)</f>
        <v>6.9954499999999999</v>
      </c>
      <c r="H97">
        <f>IFERROR(VLOOKUP(F97,SROU03!$F:$H,3,FALSE),0)</f>
        <v>39.169432</v>
      </c>
      <c r="I97">
        <v>3.5438090000000002E-3</v>
      </c>
      <c r="J97">
        <v>9.5179999999999993E-6</v>
      </c>
      <c r="K97">
        <v>10.3025</v>
      </c>
      <c r="L97">
        <v>3.6455000000000002</v>
      </c>
      <c r="M97">
        <f>IFERROR(VLOOKUP(F97,TICO09!$F:$O,8,FALSE),0)</f>
        <v>16.295200000000001</v>
      </c>
      <c r="N97">
        <f>IFERROR(VLOOKUP(F97,SROU03!$F:$O,9,FALSE),0)</f>
        <v>16.4557</v>
      </c>
      <c r="O97">
        <v>18.5017</v>
      </c>
      <c r="P97" t="str">
        <f t="shared" si="5"/>
        <v>BM3D</v>
      </c>
      <c r="Q97">
        <f t="shared" si="6"/>
        <v>18.5017</v>
      </c>
      <c r="R97">
        <f>VLOOKUP(P97,'Color codes'!$A:$B,2,FALSE)</f>
        <v>1</v>
      </c>
      <c r="S97">
        <f>TRUNC(VLOOKUP(P97,'Color codes'!$A:$E,3,FALSE)*(0.25 + 0.75*Q97/40))</f>
        <v>152</v>
      </c>
      <c r="T97">
        <f>TRUNC(VLOOKUP(P97,'Color codes'!$A:$E,4,FALSE)*(0.25 + 0.75*Q97/40))</f>
        <v>63</v>
      </c>
      <c r="U97">
        <f>TRUNC(VLOOKUP(P97,'Color codes'!$A:$E,5,FALSE)*(0.25 + 0.75*Q97/40))</f>
        <v>62</v>
      </c>
      <c r="V97" t="b">
        <f t="shared" si="7"/>
        <v>1</v>
      </c>
    </row>
    <row r="98" spans="1:22" x14ac:dyDescent="0.25">
      <c r="A98" t="s">
        <v>14</v>
      </c>
      <c r="B98" t="s">
        <v>18</v>
      </c>
      <c r="C98">
        <v>3</v>
      </c>
      <c r="D98">
        <v>100</v>
      </c>
      <c r="E98">
        <v>200</v>
      </c>
      <c r="F98" t="str">
        <f t="shared" si="4"/>
        <v>lena256_blurkernel10_3_100_200</v>
      </c>
      <c r="G98">
        <f>IFERROR(VLOOKUP(F98,SROU03!$F:$H,2,FALSE),0)</f>
        <v>51.122661000000001</v>
      </c>
      <c r="H98">
        <f>IFERROR(VLOOKUP(F98,SROU03!$F:$H,3,FALSE),0)</f>
        <v>4.0255859999999997</v>
      </c>
      <c r="I98">
        <v>2.1036E-5</v>
      </c>
      <c r="J98">
        <v>9.5389999999999996E-6</v>
      </c>
      <c r="K98">
        <v>32.159799999999997</v>
      </c>
      <c r="L98">
        <v>17.640499999999999</v>
      </c>
      <c r="M98">
        <f>IFERROR(VLOOKUP(F98,TICO09!$F:$O,8,FALSE),0)</f>
        <v>20.759799999999998</v>
      </c>
      <c r="N98">
        <f>IFERROR(VLOOKUP(F98,SROU03!$F:$O,9,FALSE),0)</f>
        <v>33.739800000000002</v>
      </c>
      <c r="O98">
        <v>34.822200000000002</v>
      </c>
      <c r="P98" t="str">
        <f t="shared" si="5"/>
        <v>BM3D</v>
      </c>
      <c r="Q98">
        <f t="shared" si="6"/>
        <v>34.822200000000002</v>
      </c>
      <c r="R98">
        <f>VLOOKUP(P98,'Color codes'!$A:$B,2,FALSE)</f>
        <v>1</v>
      </c>
      <c r="S98">
        <f>TRUNC(VLOOKUP(P98,'Color codes'!$A:$E,3,FALSE)*(0.25 + 0.75*Q98/40))</f>
        <v>230</v>
      </c>
      <c r="T98">
        <f>TRUNC(VLOOKUP(P98,'Color codes'!$A:$E,4,FALSE)*(0.25 + 0.75*Q98/40))</f>
        <v>96</v>
      </c>
      <c r="U98">
        <f>TRUNC(VLOOKUP(P98,'Color codes'!$A:$E,5,FALSE)*(0.25 + 0.75*Q98/40))</f>
        <v>93</v>
      </c>
      <c r="V98" t="b">
        <f t="shared" si="7"/>
        <v>1</v>
      </c>
    </row>
    <row r="99" spans="1:22" x14ac:dyDescent="0.25">
      <c r="A99" t="s">
        <v>14</v>
      </c>
      <c r="B99" t="s">
        <v>18</v>
      </c>
      <c r="C99">
        <v>3</v>
      </c>
      <c r="D99">
        <v>100</v>
      </c>
      <c r="E99">
        <v>400</v>
      </c>
      <c r="F99" t="str">
        <f t="shared" si="4"/>
        <v>lena256_blurkernel10_3_100_400</v>
      </c>
      <c r="G99">
        <f>IFERROR(VLOOKUP(F99,SROU03!$F:$H,2,FALSE),0)</f>
        <v>40.382382999999997</v>
      </c>
      <c r="H99">
        <f>IFERROR(VLOOKUP(F99,SROU03!$F:$H,3,FALSE),0)</f>
        <v>3.6884229999999998</v>
      </c>
      <c r="I99">
        <v>4.4329000000000002E-5</v>
      </c>
      <c r="J99">
        <v>9.5389999999999996E-6</v>
      </c>
      <c r="K99">
        <v>28.924800000000001</v>
      </c>
      <c r="L99">
        <v>17.640499999999999</v>
      </c>
      <c r="M99">
        <f>IFERROR(VLOOKUP(F99,TICO09!$F:$O,8,FALSE),0)</f>
        <v>20.686</v>
      </c>
      <c r="N99">
        <f>IFERROR(VLOOKUP(F99,SROU03!$F:$O,9,FALSE),0)</f>
        <v>31.5624</v>
      </c>
      <c r="O99">
        <v>32.2042</v>
      </c>
      <c r="P99" t="str">
        <f t="shared" si="5"/>
        <v>BM3D</v>
      </c>
      <c r="Q99">
        <f t="shared" si="6"/>
        <v>32.2042</v>
      </c>
      <c r="R99">
        <f>VLOOKUP(P99,'Color codes'!$A:$B,2,FALSE)</f>
        <v>1</v>
      </c>
      <c r="S99">
        <f>TRUNC(VLOOKUP(P99,'Color codes'!$A:$E,3,FALSE)*(0.25 + 0.75*Q99/40))</f>
        <v>217</v>
      </c>
      <c r="T99">
        <f>TRUNC(VLOOKUP(P99,'Color codes'!$A:$E,4,FALSE)*(0.25 + 0.75*Q99/40))</f>
        <v>91</v>
      </c>
      <c r="U99">
        <f>TRUNC(VLOOKUP(P99,'Color codes'!$A:$E,5,FALSE)*(0.25 + 0.75*Q99/40))</f>
        <v>88</v>
      </c>
      <c r="V99" t="b">
        <f t="shared" si="7"/>
        <v>0</v>
      </c>
    </row>
    <row r="100" spans="1:22" x14ac:dyDescent="0.25">
      <c r="A100" t="s">
        <v>14</v>
      </c>
      <c r="B100" t="s">
        <v>18</v>
      </c>
      <c r="C100">
        <v>3</v>
      </c>
      <c r="D100">
        <v>100</v>
      </c>
      <c r="E100">
        <v>800</v>
      </c>
      <c r="F100" t="str">
        <f t="shared" si="4"/>
        <v>lena256_blurkernel10_3_100_800</v>
      </c>
      <c r="G100">
        <f>IFERROR(VLOOKUP(F100,SROU03!$F:$H,2,FALSE),0)</f>
        <v>33.941422000000003</v>
      </c>
      <c r="H100">
        <f>IFERROR(VLOOKUP(F100,SROU03!$F:$H,3,FALSE),0)</f>
        <v>3.5235919999999998</v>
      </c>
      <c r="I100">
        <v>9.0593000000000005E-5</v>
      </c>
      <c r="J100">
        <v>9.5389999999999996E-6</v>
      </c>
      <c r="K100">
        <v>25.826799999999999</v>
      </c>
      <c r="L100">
        <v>17.640499999999999</v>
      </c>
      <c r="M100">
        <f>IFERROR(VLOOKUP(F100,TICO09!$F:$O,8,FALSE),0)</f>
        <v>20.629000000000001</v>
      </c>
      <c r="N100">
        <f>IFERROR(VLOOKUP(F100,SROU03!$F:$O,9,FALSE),0)</f>
        <v>29.737100000000002</v>
      </c>
      <c r="O100">
        <v>29.764700000000001</v>
      </c>
      <c r="P100" t="str">
        <f t="shared" si="5"/>
        <v>BM3D</v>
      </c>
      <c r="Q100">
        <f t="shared" si="6"/>
        <v>29.764700000000001</v>
      </c>
      <c r="R100">
        <f>VLOOKUP(P100,'Color codes'!$A:$B,2,FALSE)</f>
        <v>1</v>
      </c>
      <c r="S100">
        <f>TRUNC(VLOOKUP(P100,'Color codes'!$A:$E,3,FALSE)*(0.25 + 0.75*Q100/40))</f>
        <v>206</v>
      </c>
      <c r="T100">
        <f>TRUNC(VLOOKUP(P100,'Color codes'!$A:$E,4,FALSE)*(0.25 + 0.75*Q100/40))</f>
        <v>86</v>
      </c>
      <c r="U100">
        <f>TRUNC(VLOOKUP(P100,'Color codes'!$A:$E,5,FALSE)*(0.25 + 0.75*Q100/40))</f>
        <v>84</v>
      </c>
      <c r="V100" t="b">
        <f t="shared" si="7"/>
        <v>0</v>
      </c>
    </row>
    <row r="101" spans="1:22" x14ac:dyDescent="0.25">
      <c r="A101" t="s">
        <v>14</v>
      </c>
      <c r="B101" t="s">
        <v>18</v>
      </c>
      <c r="C101">
        <v>3</v>
      </c>
      <c r="D101">
        <v>100</v>
      </c>
      <c r="E101">
        <v>1600</v>
      </c>
      <c r="F101" t="str">
        <f t="shared" si="4"/>
        <v>lena256_blurkernel10_3_100_1600</v>
      </c>
      <c r="G101">
        <f>IFERROR(VLOOKUP(F101,SROU03!$F:$H,2,FALSE),0)</f>
        <v>29.974851000000001</v>
      </c>
      <c r="H101">
        <f>IFERROR(VLOOKUP(F101,SROU03!$F:$H,3,FALSE),0)</f>
        <v>3.4539200000000001</v>
      </c>
      <c r="I101">
        <v>1.8012900000000001E-4</v>
      </c>
      <c r="J101">
        <v>9.5389999999999996E-6</v>
      </c>
      <c r="K101">
        <v>22.852699999999999</v>
      </c>
      <c r="L101">
        <v>17.640499999999999</v>
      </c>
      <c r="M101">
        <f>IFERROR(VLOOKUP(F101,TICO09!$F:$O,8,FALSE),0)</f>
        <v>20.378499999999999</v>
      </c>
      <c r="N101">
        <f>IFERROR(VLOOKUP(F101,SROU03!$F:$O,9,FALSE),0)</f>
        <v>28.116900000000001</v>
      </c>
      <c r="O101">
        <v>27.512799999999999</v>
      </c>
      <c r="P101" t="str">
        <f t="shared" si="5"/>
        <v>SROU03</v>
      </c>
      <c r="Q101">
        <f t="shared" si="6"/>
        <v>28.116900000000001</v>
      </c>
      <c r="R101">
        <f>VLOOKUP(P101,'Color codes'!$A:$B,2,FALSE)</f>
        <v>3</v>
      </c>
      <c r="S101">
        <f>TRUNC(VLOOKUP(P101,'Color codes'!$A:$E,3,FALSE)*(0.25 + 0.75*Q101/40))</f>
        <v>83</v>
      </c>
      <c r="T101">
        <f>TRUNC(VLOOKUP(P101,'Color codes'!$A:$E,4,FALSE)*(0.25 + 0.75*Q101/40))</f>
        <v>136</v>
      </c>
      <c r="U101">
        <f>TRUNC(VLOOKUP(P101,'Color codes'!$A:$E,5,FALSE)*(0.25 + 0.75*Q101/40))</f>
        <v>198</v>
      </c>
      <c r="V101" t="b">
        <f>(ABS(N101-O101)  &gt; 1)</f>
        <v>0</v>
      </c>
    </row>
    <row r="102" spans="1:22" x14ac:dyDescent="0.25">
      <c r="A102" t="s">
        <v>14</v>
      </c>
      <c r="B102" t="s">
        <v>18</v>
      </c>
      <c r="C102">
        <v>3</v>
      </c>
      <c r="D102">
        <v>100</v>
      </c>
      <c r="E102">
        <v>3200</v>
      </c>
      <c r="F102" t="str">
        <f t="shared" si="4"/>
        <v>lena256_blurkernel10_3_100_3200</v>
      </c>
      <c r="G102">
        <f>IFERROR(VLOOKUP(F102,SROU03!$F:$H,2,FALSE),0)</f>
        <v>27.499207999999999</v>
      </c>
      <c r="H102">
        <f>IFERROR(VLOOKUP(F102,SROU03!$F:$H,3,FALSE),0)</f>
        <v>3.433462</v>
      </c>
      <c r="I102">
        <v>3.6904599999999999E-4</v>
      </c>
      <c r="J102">
        <v>9.5389999999999996E-6</v>
      </c>
      <c r="K102">
        <v>19.761500000000002</v>
      </c>
      <c r="L102">
        <v>17.640499999999999</v>
      </c>
      <c r="M102">
        <f>IFERROR(VLOOKUP(F102,TICO09!$F:$O,8,FALSE),0)</f>
        <v>20.163699999999999</v>
      </c>
      <c r="N102">
        <f>IFERROR(VLOOKUP(F102,SROU03!$F:$O,9,FALSE),0)</f>
        <v>26.6709</v>
      </c>
      <c r="O102">
        <v>25.3005</v>
      </c>
      <c r="P102" t="str">
        <f t="shared" si="5"/>
        <v>SROU03</v>
      </c>
      <c r="Q102">
        <f t="shared" si="6"/>
        <v>26.6709</v>
      </c>
      <c r="R102">
        <f>VLOOKUP(P102,'Color codes'!$A:$B,2,FALSE)</f>
        <v>3</v>
      </c>
      <c r="S102">
        <f>TRUNC(VLOOKUP(P102,'Color codes'!$A:$E,3,FALSE)*(0.25 + 0.75*Q102/40))</f>
        <v>80</v>
      </c>
      <c r="T102">
        <f>TRUNC(VLOOKUP(P102,'Color codes'!$A:$E,4,FALSE)*(0.25 + 0.75*Q102/40))</f>
        <v>132</v>
      </c>
      <c r="U102">
        <f>TRUNC(VLOOKUP(P102,'Color codes'!$A:$E,5,FALSE)*(0.25 + 0.75*Q102/40))</f>
        <v>191</v>
      </c>
      <c r="V102" t="b">
        <f t="shared" ref="V102:V165" si="8">(ABS(N102-O102)  &gt; 1)</f>
        <v>1</v>
      </c>
    </row>
    <row r="103" spans="1:22" x14ac:dyDescent="0.25">
      <c r="A103" t="s">
        <v>14</v>
      </c>
      <c r="B103" t="s">
        <v>18</v>
      </c>
      <c r="C103">
        <v>3</v>
      </c>
      <c r="D103">
        <v>100</v>
      </c>
      <c r="E103">
        <v>6400</v>
      </c>
      <c r="F103" t="str">
        <f t="shared" si="4"/>
        <v>lena256_blurkernel10_3_100_6400</v>
      </c>
      <c r="G103">
        <f>IFERROR(VLOOKUP(F103,SROU03!$F:$H,2,FALSE),0)</f>
        <v>25.567865999999999</v>
      </c>
      <c r="H103">
        <f>IFERROR(VLOOKUP(F103,SROU03!$F:$H,3,FALSE),0)</f>
        <v>3.4459900000000001</v>
      </c>
      <c r="I103">
        <v>7.6356899999999997E-4</v>
      </c>
      <c r="J103">
        <v>9.5389999999999996E-6</v>
      </c>
      <c r="K103">
        <v>16.652100000000001</v>
      </c>
      <c r="L103">
        <v>17.640499999999999</v>
      </c>
      <c r="M103">
        <f>IFERROR(VLOOKUP(F103,TICO09!$F:$O,8,FALSE),0)</f>
        <v>19.703299999999999</v>
      </c>
      <c r="N103">
        <f>IFERROR(VLOOKUP(F103,SROU03!$F:$O,9,FALSE),0)</f>
        <v>25.6111</v>
      </c>
      <c r="O103">
        <v>22.993099999999998</v>
      </c>
      <c r="P103" t="str">
        <f t="shared" si="5"/>
        <v>SROU03</v>
      </c>
      <c r="Q103">
        <f t="shared" si="6"/>
        <v>25.6111</v>
      </c>
      <c r="R103">
        <f>VLOOKUP(P103,'Color codes'!$A:$B,2,FALSE)</f>
        <v>3</v>
      </c>
      <c r="S103">
        <f>TRUNC(VLOOKUP(P103,'Color codes'!$A:$E,3,FALSE)*(0.25 + 0.75*Q103/40))</f>
        <v>78</v>
      </c>
      <c r="T103">
        <f>TRUNC(VLOOKUP(P103,'Color codes'!$A:$E,4,FALSE)*(0.25 + 0.75*Q103/40))</f>
        <v>128</v>
      </c>
      <c r="U103">
        <f>TRUNC(VLOOKUP(P103,'Color codes'!$A:$E,5,FALSE)*(0.25 + 0.75*Q103/40))</f>
        <v>186</v>
      </c>
      <c r="V103" t="b">
        <f t="shared" si="8"/>
        <v>1</v>
      </c>
    </row>
    <row r="104" spans="1:22" x14ac:dyDescent="0.25">
      <c r="A104" t="s">
        <v>14</v>
      </c>
      <c r="B104" t="s">
        <v>18</v>
      </c>
      <c r="C104">
        <v>3</v>
      </c>
      <c r="D104">
        <v>100</v>
      </c>
      <c r="E104">
        <v>12800</v>
      </c>
      <c r="F104" t="str">
        <f t="shared" si="4"/>
        <v>lena256_blurkernel10_3_100_12800</v>
      </c>
      <c r="G104">
        <f>IFERROR(VLOOKUP(F104,SROU03!$F:$H,2,FALSE),0)</f>
        <v>23.854966000000001</v>
      </c>
      <c r="H104">
        <f>IFERROR(VLOOKUP(F104,SROU03!$F:$H,3,FALSE),0)</f>
        <v>3.476229</v>
      </c>
      <c r="I104">
        <v>1.6173610000000001E-3</v>
      </c>
      <c r="J104">
        <v>9.5389999999999996E-6</v>
      </c>
      <c r="K104">
        <v>13.501899999999999</v>
      </c>
      <c r="L104">
        <v>17.640499999999999</v>
      </c>
      <c r="M104">
        <f>IFERROR(VLOOKUP(F104,TICO09!$F:$O,8,FALSE),0)</f>
        <v>19.105899999999998</v>
      </c>
      <c r="N104">
        <f>IFERROR(VLOOKUP(F104,SROU03!$F:$O,9,FALSE),0)</f>
        <v>24.563500000000001</v>
      </c>
      <c r="O104">
        <v>20.748999999999999</v>
      </c>
      <c r="P104" t="str">
        <f t="shared" si="5"/>
        <v>SROU03</v>
      </c>
      <c r="Q104">
        <f t="shared" si="6"/>
        <v>24.563500000000001</v>
      </c>
      <c r="R104">
        <f>VLOOKUP(P104,'Color codes'!$A:$B,2,FALSE)</f>
        <v>3</v>
      </c>
      <c r="S104">
        <f>TRUNC(VLOOKUP(P104,'Color codes'!$A:$E,3,FALSE)*(0.25 + 0.75*Q104/40))</f>
        <v>76</v>
      </c>
      <c r="T104">
        <f>TRUNC(VLOOKUP(P104,'Color codes'!$A:$E,4,FALSE)*(0.25 + 0.75*Q104/40))</f>
        <v>125</v>
      </c>
      <c r="U104">
        <f>TRUNC(VLOOKUP(P104,'Color codes'!$A:$E,5,FALSE)*(0.25 + 0.75*Q104/40))</f>
        <v>181</v>
      </c>
      <c r="V104" t="b">
        <f t="shared" si="8"/>
        <v>1</v>
      </c>
    </row>
    <row r="105" spans="1:22" x14ac:dyDescent="0.25">
      <c r="A105" t="s">
        <v>14</v>
      </c>
      <c r="B105" t="s">
        <v>18</v>
      </c>
      <c r="C105">
        <v>3</v>
      </c>
      <c r="D105">
        <v>100</v>
      </c>
      <c r="E105">
        <v>25600</v>
      </c>
      <c r="F105" t="str">
        <f t="shared" si="4"/>
        <v>lena256_blurkernel10_3_100_25600</v>
      </c>
      <c r="G105">
        <f>IFERROR(VLOOKUP(F105,SROU03!$F:$H,2,FALSE),0)</f>
        <v>22.517782</v>
      </c>
      <c r="H105">
        <f>IFERROR(VLOOKUP(F105,SROU03!$F:$H,3,FALSE),0)</f>
        <v>3.5060570000000002</v>
      </c>
      <c r="I105">
        <v>3.56464E-3</v>
      </c>
      <c r="J105">
        <v>9.5389999999999996E-6</v>
      </c>
      <c r="K105">
        <v>10.2913</v>
      </c>
      <c r="L105">
        <v>17.640499999999999</v>
      </c>
      <c r="M105">
        <f>IFERROR(VLOOKUP(F105,TICO09!$F:$O,8,FALSE),0)</f>
        <v>18.316600000000001</v>
      </c>
      <c r="N105">
        <f>IFERROR(VLOOKUP(F105,SROU03!$F:$O,9,FALSE),0)</f>
        <v>23.976800000000001</v>
      </c>
      <c r="O105">
        <v>18.415299999999998</v>
      </c>
      <c r="P105" t="str">
        <f t="shared" si="5"/>
        <v>SROU03</v>
      </c>
      <c r="Q105">
        <f t="shared" si="6"/>
        <v>23.976800000000001</v>
      </c>
      <c r="R105">
        <f>VLOOKUP(P105,'Color codes'!$A:$B,2,FALSE)</f>
        <v>3</v>
      </c>
      <c r="S105">
        <f>TRUNC(VLOOKUP(P105,'Color codes'!$A:$E,3,FALSE)*(0.25 + 0.75*Q105/40))</f>
        <v>74</v>
      </c>
      <c r="T105">
        <f>TRUNC(VLOOKUP(P105,'Color codes'!$A:$E,4,FALSE)*(0.25 + 0.75*Q105/40))</f>
        <v>123</v>
      </c>
      <c r="U105">
        <f>TRUNC(VLOOKUP(P105,'Color codes'!$A:$E,5,FALSE)*(0.25 + 0.75*Q105/40))</f>
        <v>178</v>
      </c>
      <c r="V105" t="b">
        <f t="shared" si="8"/>
        <v>1</v>
      </c>
    </row>
    <row r="106" spans="1:22" x14ac:dyDescent="0.25">
      <c r="A106" t="s">
        <v>14</v>
      </c>
      <c r="B106" t="s">
        <v>18</v>
      </c>
      <c r="C106">
        <v>7</v>
      </c>
      <c r="D106">
        <v>100</v>
      </c>
      <c r="E106">
        <v>200</v>
      </c>
      <c r="F106" t="str">
        <f t="shared" si="4"/>
        <v>lena256_blurkernel10_7_100_200</v>
      </c>
      <c r="G106">
        <f>IFERROR(VLOOKUP(F106,SROU03!$F:$H,2,FALSE),0)</f>
        <v>45.697293000000002</v>
      </c>
      <c r="H106">
        <f>IFERROR(VLOOKUP(F106,SROU03!$F:$H,3,FALSE),0)</f>
        <v>10.544544</v>
      </c>
      <c r="I106">
        <v>2.0730999999999999E-5</v>
      </c>
      <c r="J106">
        <v>9.5130000000000002E-6</v>
      </c>
      <c r="K106">
        <v>32.222700000000003</v>
      </c>
      <c r="L106">
        <v>12.0052</v>
      </c>
      <c r="M106">
        <f>IFERROR(VLOOKUP(F106,TICO09!$F:$O,8,FALSE),0)</f>
        <v>21.215900000000001</v>
      </c>
      <c r="N106">
        <f>IFERROR(VLOOKUP(F106,SROU03!$F:$O,9,FALSE),0)</f>
        <v>32.985799999999998</v>
      </c>
      <c r="O106">
        <v>34.878500000000003</v>
      </c>
      <c r="P106" t="str">
        <f t="shared" si="5"/>
        <v>BM3D</v>
      </c>
      <c r="Q106">
        <f t="shared" si="6"/>
        <v>34.878500000000003</v>
      </c>
      <c r="R106">
        <f>VLOOKUP(P106,'Color codes'!$A:$B,2,FALSE)</f>
        <v>1</v>
      </c>
      <c r="S106">
        <f>TRUNC(VLOOKUP(P106,'Color codes'!$A:$E,3,FALSE)*(0.25 + 0.75*Q106/40))</f>
        <v>230</v>
      </c>
      <c r="T106">
        <f>TRUNC(VLOOKUP(P106,'Color codes'!$A:$E,4,FALSE)*(0.25 + 0.75*Q106/40))</f>
        <v>96</v>
      </c>
      <c r="U106">
        <f>TRUNC(VLOOKUP(P106,'Color codes'!$A:$E,5,FALSE)*(0.25 + 0.75*Q106/40))</f>
        <v>94</v>
      </c>
      <c r="V106" t="b">
        <f t="shared" si="8"/>
        <v>1</v>
      </c>
    </row>
    <row r="107" spans="1:22" x14ac:dyDescent="0.25">
      <c r="A107" t="s">
        <v>14</v>
      </c>
      <c r="B107" t="s">
        <v>18</v>
      </c>
      <c r="C107">
        <v>7</v>
      </c>
      <c r="D107">
        <v>100</v>
      </c>
      <c r="E107">
        <v>400</v>
      </c>
      <c r="F107" t="str">
        <f t="shared" ref="F107:F161" si="9">A107&amp;"_"&amp;B107&amp;"_"&amp;C107&amp;"_"&amp;D107&amp;"_"&amp;E107</f>
        <v>lena256_blurkernel10_7_100_400</v>
      </c>
      <c r="G107">
        <f>IFERROR(VLOOKUP(F107,SROU03!$F:$H,2,FALSE),0)</f>
        <v>33.247166</v>
      </c>
      <c r="H107">
        <f>IFERROR(VLOOKUP(F107,SROU03!$F:$H,3,FALSE),0)</f>
        <v>9.6427359999999993</v>
      </c>
      <c r="I107">
        <v>4.3714000000000002E-5</v>
      </c>
      <c r="J107">
        <v>9.5130000000000002E-6</v>
      </c>
      <c r="K107">
        <v>28.985900000000001</v>
      </c>
      <c r="L107">
        <v>12.0052</v>
      </c>
      <c r="M107">
        <f>IFERROR(VLOOKUP(F107,TICO09!$F:$O,8,FALSE),0)</f>
        <v>21.0809</v>
      </c>
      <c r="N107">
        <f>IFERROR(VLOOKUP(F107,SROU03!$F:$O,9,FALSE),0)</f>
        <v>30.3325</v>
      </c>
      <c r="O107">
        <v>32.289499999999997</v>
      </c>
      <c r="P107" t="str">
        <f t="shared" ref="P107:P161" si="10">IF((O107&gt;(MAX(M107,N107))),"BM3D",IF(N107&gt;(MAX(M107,O107)),"SROU03","TICO09"))</f>
        <v>BM3D</v>
      </c>
      <c r="Q107">
        <f t="shared" si="6"/>
        <v>32.289499999999997</v>
      </c>
      <c r="R107">
        <f>VLOOKUP(P107,'Color codes'!$A:$B,2,FALSE)</f>
        <v>1</v>
      </c>
      <c r="S107">
        <f>TRUNC(VLOOKUP(P107,'Color codes'!$A:$E,3,FALSE)*(0.25 + 0.75*Q107/40))</f>
        <v>218</v>
      </c>
      <c r="T107">
        <f>TRUNC(VLOOKUP(P107,'Color codes'!$A:$E,4,FALSE)*(0.25 + 0.75*Q107/40))</f>
        <v>91</v>
      </c>
      <c r="U107">
        <f>TRUNC(VLOOKUP(P107,'Color codes'!$A:$E,5,FALSE)*(0.25 + 0.75*Q107/40))</f>
        <v>88</v>
      </c>
      <c r="V107" t="b">
        <f t="shared" si="8"/>
        <v>1</v>
      </c>
    </row>
    <row r="108" spans="1:22" x14ac:dyDescent="0.25">
      <c r="A108" t="s">
        <v>14</v>
      </c>
      <c r="B108" t="s">
        <v>18</v>
      </c>
      <c r="C108">
        <v>7</v>
      </c>
      <c r="D108">
        <v>100</v>
      </c>
      <c r="E108">
        <v>800</v>
      </c>
      <c r="F108" t="str">
        <f t="shared" si="9"/>
        <v>lena256_blurkernel10_7_100_800</v>
      </c>
      <c r="G108">
        <f>IFERROR(VLOOKUP(F108,SROU03!$F:$H,2,FALSE),0)</f>
        <v>25.307358000000001</v>
      </c>
      <c r="H108">
        <f>IFERROR(VLOOKUP(F108,SROU03!$F:$H,3,FALSE),0)</f>
        <v>9.1944230000000005</v>
      </c>
      <c r="I108">
        <v>8.9791999999999997E-5</v>
      </c>
      <c r="J108">
        <v>9.5130000000000002E-6</v>
      </c>
      <c r="K108">
        <v>25.8645</v>
      </c>
      <c r="L108">
        <v>12.0052</v>
      </c>
      <c r="M108">
        <f>IFERROR(VLOOKUP(F108,TICO09!$F:$O,8,FALSE),0)</f>
        <v>20.869299999999999</v>
      </c>
      <c r="N108">
        <f>IFERROR(VLOOKUP(F108,SROU03!$F:$O,9,FALSE),0)</f>
        <v>28.070699999999999</v>
      </c>
      <c r="O108">
        <v>29.844799999999999</v>
      </c>
      <c r="P108" t="str">
        <f t="shared" si="10"/>
        <v>BM3D</v>
      </c>
      <c r="Q108">
        <f t="shared" si="6"/>
        <v>29.844799999999999</v>
      </c>
      <c r="R108">
        <f>VLOOKUP(P108,'Color codes'!$A:$B,2,FALSE)</f>
        <v>1</v>
      </c>
      <c r="S108">
        <f>TRUNC(VLOOKUP(P108,'Color codes'!$A:$E,3,FALSE)*(0.25 + 0.75*Q108/40))</f>
        <v>206</v>
      </c>
      <c r="T108">
        <f>TRUNC(VLOOKUP(P108,'Color codes'!$A:$E,4,FALSE)*(0.25 + 0.75*Q108/40))</f>
        <v>86</v>
      </c>
      <c r="U108">
        <f>TRUNC(VLOOKUP(P108,'Color codes'!$A:$E,5,FALSE)*(0.25 + 0.75*Q108/40))</f>
        <v>84</v>
      </c>
      <c r="V108" t="b">
        <f t="shared" si="8"/>
        <v>1</v>
      </c>
    </row>
    <row r="109" spans="1:22" x14ac:dyDescent="0.25">
      <c r="A109" t="s">
        <v>14</v>
      </c>
      <c r="B109" t="s">
        <v>18</v>
      </c>
      <c r="C109">
        <v>7</v>
      </c>
      <c r="D109">
        <v>100</v>
      </c>
      <c r="E109">
        <v>1600</v>
      </c>
      <c r="F109" t="str">
        <f t="shared" si="9"/>
        <v>lena256_blurkernel10_7_100_1600</v>
      </c>
      <c r="G109">
        <f>IFERROR(VLOOKUP(F109,SROU03!$F:$H,2,FALSE),0)</f>
        <v>20.315384000000002</v>
      </c>
      <c r="H109">
        <f>IFERROR(VLOOKUP(F109,SROU03!$F:$H,3,FALSE),0)</f>
        <v>8.9786490000000008</v>
      </c>
      <c r="I109">
        <v>1.8247599999999999E-4</v>
      </c>
      <c r="J109">
        <v>9.5130000000000002E-6</v>
      </c>
      <c r="K109">
        <v>22.794699999999999</v>
      </c>
      <c r="L109">
        <v>12.0052</v>
      </c>
      <c r="M109">
        <f>IFERROR(VLOOKUP(F109,TICO09!$F:$O,8,FALSE),0)</f>
        <v>20.5351</v>
      </c>
      <c r="N109">
        <f>IFERROR(VLOOKUP(F109,SROU03!$F:$O,9,FALSE),0)</f>
        <v>26.033300000000001</v>
      </c>
      <c r="O109">
        <v>27.477499999999999</v>
      </c>
      <c r="P109" t="str">
        <f t="shared" si="10"/>
        <v>BM3D</v>
      </c>
      <c r="Q109">
        <f t="shared" si="6"/>
        <v>27.477499999999999</v>
      </c>
      <c r="R109">
        <f>VLOOKUP(P109,'Color codes'!$A:$B,2,FALSE)</f>
        <v>1</v>
      </c>
      <c r="S109">
        <f>TRUNC(VLOOKUP(P109,'Color codes'!$A:$E,3,FALSE)*(0.25 + 0.75*Q109/40))</f>
        <v>195</v>
      </c>
      <c r="T109">
        <f>TRUNC(VLOOKUP(P109,'Color codes'!$A:$E,4,FALSE)*(0.25 + 0.75*Q109/40))</f>
        <v>81</v>
      </c>
      <c r="U109">
        <f>TRUNC(VLOOKUP(P109,'Color codes'!$A:$E,5,FALSE)*(0.25 + 0.75*Q109/40))</f>
        <v>79</v>
      </c>
      <c r="V109" t="b">
        <f t="shared" si="8"/>
        <v>1</v>
      </c>
    </row>
    <row r="110" spans="1:22" x14ac:dyDescent="0.25">
      <c r="A110" t="s">
        <v>14</v>
      </c>
      <c r="B110" t="s">
        <v>18</v>
      </c>
      <c r="C110">
        <v>7</v>
      </c>
      <c r="D110">
        <v>100</v>
      </c>
      <c r="E110">
        <v>3200</v>
      </c>
      <c r="F110" t="str">
        <f t="shared" si="9"/>
        <v>lena256_blurkernel10_7_100_3200</v>
      </c>
      <c r="G110">
        <f>IFERROR(VLOOKUP(F110,SROU03!$F:$H,2,FALSE),0)</f>
        <v>17.114322999999999</v>
      </c>
      <c r="H110">
        <f>IFERROR(VLOOKUP(F110,SROU03!$F:$H,3,FALSE),0)</f>
        <v>8.8760239999999992</v>
      </c>
      <c r="I110">
        <v>3.7230299999999999E-4</v>
      </c>
      <c r="J110">
        <v>9.5130000000000002E-6</v>
      </c>
      <c r="K110">
        <v>19.727599999999999</v>
      </c>
      <c r="L110">
        <v>12.0052</v>
      </c>
      <c r="M110">
        <f>IFERROR(VLOOKUP(F110,TICO09!$F:$O,8,FALSE),0)</f>
        <v>20.045999999999999</v>
      </c>
      <c r="N110">
        <f>IFERROR(VLOOKUP(F110,SROU03!$F:$O,9,FALSE),0)</f>
        <v>24.465199999999999</v>
      </c>
      <c r="O110">
        <v>25.222000000000001</v>
      </c>
      <c r="P110" t="str">
        <f t="shared" si="10"/>
        <v>BM3D</v>
      </c>
      <c r="Q110">
        <f t="shared" si="6"/>
        <v>25.222000000000001</v>
      </c>
      <c r="R110">
        <f>VLOOKUP(P110,'Color codes'!$A:$B,2,FALSE)</f>
        <v>1</v>
      </c>
      <c r="S110">
        <f>TRUNC(VLOOKUP(P110,'Color codes'!$A:$E,3,FALSE)*(0.25 + 0.75*Q110/40))</f>
        <v>184</v>
      </c>
      <c r="T110">
        <f>TRUNC(VLOOKUP(P110,'Color codes'!$A:$E,4,FALSE)*(0.25 + 0.75*Q110/40))</f>
        <v>77</v>
      </c>
      <c r="U110">
        <f>TRUNC(VLOOKUP(P110,'Color codes'!$A:$E,5,FALSE)*(0.25 + 0.75*Q110/40))</f>
        <v>75</v>
      </c>
      <c r="V110" t="b">
        <f t="shared" si="8"/>
        <v>0</v>
      </c>
    </row>
    <row r="111" spans="1:22" x14ac:dyDescent="0.25">
      <c r="A111" t="s">
        <v>14</v>
      </c>
      <c r="B111" t="s">
        <v>18</v>
      </c>
      <c r="C111">
        <v>7</v>
      </c>
      <c r="D111">
        <v>100</v>
      </c>
      <c r="E111">
        <v>6400</v>
      </c>
      <c r="F111" t="str">
        <f t="shared" si="9"/>
        <v>lena256_blurkernel10_7_100_6400</v>
      </c>
      <c r="G111">
        <f>IFERROR(VLOOKUP(F111,SROU03!$F:$H,2,FALSE),0)</f>
        <v>15.123765000000001</v>
      </c>
      <c r="H111">
        <f>IFERROR(VLOOKUP(F111,SROU03!$F:$H,3,FALSE),0)</f>
        <v>8.8328380000000006</v>
      </c>
      <c r="I111">
        <v>7.6248799999999997E-4</v>
      </c>
      <c r="J111">
        <v>9.5130000000000002E-6</v>
      </c>
      <c r="K111">
        <v>16.655000000000001</v>
      </c>
      <c r="L111">
        <v>12.0052</v>
      </c>
      <c r="M111">
        <f>IFERROR(VLOOKUP(F111,TICO09!$F:$O,8,FALSE),0)</f>
        <v>19.2346</v>
      </c>
      <c r="N111">
        <f>IFERROR(VLOOKUP(F111,SROU03!$F:$O,9,FALSE),0)</f>
        <v>22.854199999999999</v>
      </c>
      <c r="O111">
        <v>22.975300000000001</v>
      </c>
      <c r="P111" t="str">
        <f t="shared" si="10"/>
        <v>BM3D</v>
      </c>
      <c r="Q111">
        <f t="shared" si="6"/>
        <v>22.975300000000001</v>
      </c>
      <c r="R111">
        <f>VLOOKUP(P111,'Color codes'!$A:$B,2,FALSE)</f>
        <v>1</v>
      </c>
      <c r="S111">
        <f>TRUNC(VLOOKUP(P111,'Color codes'!$A:$E,3,FALSE)*(0.25 + 0.75*Q111/40))</f>
        <v>173</v>
      </c>
      <c r="T111">
        <f>TRUNC(VLOOKUP(P111,'Color codes'!$A:$E,4,FALSE)*(0.25 + 0.75*Q111/40))</f>
        <v>72</v>
      </c>
      <c r="U111">
        <f>TRUNC(VLOOKUP(P111,'Color codes'!$A:$E,5,FALSE)*(0.25 + 0.75*Q111/40))</f>
        <v>70</v>
      </c>
      <c r="V111" t="b">
        <f t="shared" si="8"/>
        <v>0</v>
      </c>
    </row>
    <row r="112" spans="1:22" x14ac:dyDescent="0.25">
      <c r="A112" t="s">
        <v>14</v>
      </c>
      <c r="B112" t="s">
        <v>18</v>
      </c>
      <c r="C112">
        <v>7</v>
      </c>
      <c r="D112">
        <v>100</v>
      </c>
      <c r="E112">
        <v>12800</v>
      </c>
      <c r="F112" t="str">
        <f t="shared" si="9"/>
        <v>lena256_blurkernel10_7_100_12800</v>
      </c>
      <c r="G112">
        <f>IFERROR(VLOOKUP(F112,SROU03!$F:$H,2,FALSE),0)</f>
        <v>13.704948</v>
      </c>
      <c r="H112">
        <f>IFERROR(VLOOKUP(F112,SROU03!$F:$H,3,FALSE),0)</f>
        <v>8.8297500000000007</v>
      </c>
      <c r="I112">
        <v>1.607069E-3</v>
      </c>
      <c r="J112">
        <v>9.5130000000000002E-6</v>
      </c>
      <c r="K112">
        <v>13.5238</v>
      </c>
      <c r="L112">
        <v>12.0052</v>
      </c>
      <c r="M112">
        <f>IFERROR(VLOOKUP(F112,TICO09!$F:$O,8,FALSE),0)</f>
        <v>18.199200000000001</v>
      </c>
      <c r="N112">
        <f>IFERROR(VLOOKUP(F112,SROU03!$F:$O,9,FALSE),0)</f>
        <v>21.801500000000001</v>
      </c>
      <c r="O112">
        <v>20.778500000000001</v>
      </c>
      <c r="P112" t="str">
        <f t="shared" si="10"/>
        <v>SROU03</v>
      </c>
      <c r="Q112">
        <f t="shared" si="6"/>
        <v>21.801500000000001</v>
      </c>
      <c r="R112">
        <f>VLOOKUP(P112,'Color codes'!$A:$B,2,FALSE)</f>
        <v>3</v>
      </c>
      <c r="S112">
        <f>TRUNC(VLOOKUP(P112,'Color codes'!$A:$E,3,FALSE)*(0.25 + 0.75*Q112/40))</f>
        <v>70</v>
      </c>
      <c r="T112">
        <f>TRUNC(VLOOKUP(P112,'Color codes'!$A:$E,4,FALSE)*(0.25 + 0.75*Q112/40))</f>
        <v>115</v>
      </c>
      <c r="U112">
        <f>TRUNC(VLOOKUP(P112,'Color codes'!$A:$E,5,FALSE)*(0.25 + 0.75*Q112/40))</f>
        <v>167</v>
      </c>
      <c r="V112" t="b">
        <f t="shared" si="8"/>
        <v>1</v>
      </c>
    </row>
    <row r="113" spans="1:22" x14ac:dyDescent="0.25">
      <c r="A113" t="s">
        <v>14</v>
      </c>
      <c r="B113" t="s">
        <v>18</v>
      </c>
      <c r="C113">
        <v>7</v>
      </c>
      <c r="D113">
        <v>100</v>
      </c>
      <c r="E113">
        <v>25600</v>
      </c>
      <c r="F113" t="str">
        <f t="shared" si="9"/>
        <v>lena256_blurkernel10_7_100_25600</v>
      </c>
      <c r="G113">
        <f>IFERROR(VLOOKUP(F113,SROU03!$F:$H,2,FALSE),0)</f>
        <v>12.674661</v>
      </c>
      <c r="H113">
        <f>IFERROR(VLOOKUP(F113,SROU03!$F:$H,3,FALSE),0)</f>
        <v>8.843083</v>
      </c>
      <c r="I113">
        <v>3.546998E-3</v>
      </c>
      <c r="J113">
        <v>9.5130000000000002E-6</v>
      </c>
      <c r="K113">
        <v>10.3157</v>
      </c>
      <c r="L113">
        <v>12.0052</v>
      </c>
      <c r="M113">
        <f>IFERROR(VLOOKUP(F113,TICO09!$F:$O,8,FALSE),0)</f>
        <v>16.824100000000001</v>
      </c>
      <c r="N113">
        <f>IFERROR(VLOOKUP(F113,SROU03!$F:$O,9,FALSE),0)</f>
        <v>20.579000000000001</v>
      </c>
      <c r="O113">
        <v>18.4407</v>
      </c>
      <c r="P113" t="str">
        <f t="shared" si="10"/>
        <v>SROU03</v>
      </c>
      <c r="Q113">
        <f t="shared" si="6"/>
        <v>20.579000000000001</v>
      </c>
      <c r="R113">
        <f>VLOOKUP(P113,'Color codes'!$A:$B,2,FALSE)</f>
        <v>3</v>
      </c>
      <c r="S113">
        <f>TRUNC(VLOOKUP(P113,'Color codes'!$A:$E,3,FALSE)*(0.25 + 0.75*Q113/40))</f>
        <v>68</v>
      </c>
      <c r="T113">
        <f>TRUNC(VLOOKUP(P113,'Color codes'!$A:$E,4,FALSE)*(0.25 + 0.75*Q113/40))</f>
        <v>111</v>
      </c>
      <c r="U113">
        <f>TRUNC(VLOOKUP(P113,'Color codes'!$A:$E,5,FALSE)*(0.25 + 0.75*Q113/40))</f>
        <v>162</v>
      </c>
      <c r="V113" t="b">
        <f t="shared" si="8"/>
        <v>1</v>
      </c>
    </row>
    <row r="114" spans="1:22" x14ac:dyDescent="0.25">
      <c r="A114" t="s">
        <v>14</v>
      </c>
      <c r="B114" t="s">
        <v>18</v>
      </c>
      <c r="C114">
        <v>15</v>
      </c>
      <c r="D114">
        <v>100</v>
      </c>
      <c r="E114">
        <v>200</v>
      </c>
      <c r="F114" t="str">
        <f t="shared" si="9"/>
        <v>lena256_blurkernel10_15_100_200</v>
      </c>
      <c r="G114">
        <f>IFERROR(VLOOKUP(F114,SROU03!$F:$H,2,FALSE),0)</f>
        <v>44.734110000000001</v>
      </c>
      <c r="H114">
        <f>IFERROR(VLOOKUP(F114,SROU03!$F:$H,3,FALSE),0)</f>
        <v>23.298757999999999</v>
      </c>
      <c r="I114">
        <v>2.0682999999999998E-5</v>
      </c>
      <c r="J114">
        <v>9.5289999999999997E-6</v>
      </c>
      <c r="K114">
        <v>32.231900000000003</v>
      </c>
      <c r="L114">
        <v>8.4278999999999993</v>
      </c>
      <c r="M114">
        <f>IFERROR(VLOOKUP(F114,TICO09!$F:$O,8,FALSE),0)</f>
        <v>21.6615</v>
      </c>
      <c r="N114">
        <f>IFERROR(VLOOKUP(F114,SROU03!$F:$O,9,FALSE),0)</f>
        <v>32.114400000000003</v>
      </c>
      <c r="O114">
        <v>34.883699999999997</v>
      </c>
      <c r="P114" t="str">
        <f t="shared" si="10"/>
        <v>BM3D</v>
      </c>
      <c r="Q114">
        <f t="shared" si="6"/>
        <v>34.883699999999997</v>
      </c>
      <c r="R114">
        <f>VLOOKUP(P114,'Color codes'!$A:$B,2,FALSE)</f>
        <v>1</v>
      </c>
      <c r="S114">
        <f>TRUNC(VLOOKUP(P114,'Color codes'!$A:$E,3,FALSE)*(0.25 + 0.75*Q114/40))</f>
        <v>230</v>
      </c>
      <c r="T114">
        <f>TRUNC(VLOOKUP(P114,'Color codes'!$A:$E,4,FALSE)*(0.25 + 0.75*Q114/40))</f>
        <v>96</v>
      </c>
      <c r="U114">
        <f>TRUNC(VLOOKUP(P114,'Color codes'!$A:$E,5,FALSE)*(0.25 + 0.75*Q114/40))</f>
        <v>94</v>
      </c>
      <c r="V114" t="b">
        <f t="shared" si="8"/>
        <v>1</v>
      </c>
    </row>
    <row r="115" spans="1:22" x14ac:dyDescent="0.25">
      <c r="A115" t="s">
        <v>14</v>
      </c>
      <c r="B115" t="s">
        <v>18</v>
      </c>
      <c r="C115">
        <v>15</v>
      </c>
      <c r="D115">
        <v>100</v>
      </c>
      <c r="E115">
        <v>400</v>
      </c>
      <c r="F115" t="str">
        <f t="shared" si="9"/>
        <v>lena256_blurkernel10_15_100_400</v>
      </c>
      <c r="G115">
        <f>IFERROR(VLOOKUP(F115,SROU03!$F:$H,2,FALSE),0)</f>
        <v>31.691465000000001</v>
      </c>
      <c r="H115">
        <f>IFERROR(VLOOKUP(F115,SROU03!$F:$H,3,FALSE),0)</f>
        <v>21.223309</v>
      </c>
      <c r="I115">
        <v>4.3467999999999998E-5</v>
      </c>
      <c r="J115">
        <v>9.5289999999999997E-6</v>
      </c>
      <c r="K115">
        <v>29.010899999999999</v>
      </c>
      <c r="L115">
        <v>8.4278999999999993</v>
      </c>
      <c r="M115">
        <f>IFERROR(VLOOKUP(F115,TICO09!$F:$O,8,FALSE),0)</f>
        <v>21.4725</v>
      </c>
      <c r="N115">
        <f>IFERROR(VLOOKUP(F115,SROU03!$F:$O,9,FALSE),0)</f>
        <v>30.002099999999999</v>
      </c>
      <c r="O115">
        <v>32.287799999999997</v>
      </c>
      <c r="P115" t="str">
        <f t="shared" si="10"/>
        <v>BM3D</v>
      </c>
      <c r="Q115">
        <f t="shared" si="6"/>
        <v>32.287799999999997</v>
      </c>
      <c r="R115">
        <f>VLOOKUP(P115,'Color codes'!$A:$B,2,FALSE)</f>
        <v>1</v>
      </c>
      <c r="S115">
        <f>TRUNC(VLOOKUP(P115,'Color codes'!$A:$E,3,FALSE)*(0.25 + 0.75*Q115/40))</f>
        <v>218</v>
      </c>
      <c r="T115">
        <f>TRUNC(VLOOKUP(P115,'Color codes'!$A:$E,4,FALSE)*(0.25 + 0.75*Q115/40))</f>
        <v>91</v>
      </c>
      <c r="U115">
        <f>TRUNC(VLOOKUP(P115,'Color codes'!$A:$E,5,FALSE)*(0.25 + 0.75*Q115/40))</f>
        <v>88</v>
      </c>
      <c r="V115" t="b">
        <f t="shared" si="8"/>
        <v>1</v>
      </c>
    </row>
    <row r="116" spans="1:22" x14ac:dyDescent="0.25">
      <c r="A116" t="s">
        <v>14</v>
      </c>
      <c r="B116" t="s">
        <v>18</v>
      </c>
      <c r="C116">
        <v>15</v>
      </c>
      <c r="D116">
        <v>100</v>
      </c>
      <c r="E116">
        <v>800</v>
      </c>
      <c r="F116" t="str">
        <f t="shared" si="9"/>
        <v>lena256_blurkernel10_15_100_800</v>
      </c>
      <c r="G116">
        <f>IFERROR(VLOOKUP(F116,SROU03!$F:$H,2,FALSE),0)</f>
        <v>22.973517999999999</v>
      </c>
      <c r="H116">
        <f>IFERROR(VLOOKUP(F116,SROU03!$F:$H,3,FALSE),0)</f>
        <v>20.251929000000001</v>
      </c>
      <c r="I116">
        <v>8.8826999999999995E-5</v>
      </c>
      <c r="J116">
        <v>9.5289999999999997E-6</v>
      </c>
      <c r="K116">
        <v>25.911200000000001</v>
      </c>
      <c r="L116">
        <v>8.4278999999999993</v>
      </c>
      <c r="M116">
        <f>IFERROR(VLOOKUP(F116,TICO09!$F:$O,8,FALSE),0)</f>
        <v>21.199100000000001</v>
      </c>
      <c r="N116">
        <f>IFERROR(VLOOKUP(F116,SROU03!$F:$O,9,FALSE),0)</f>
        <v>27.5549</v>
      </c>
      <c r="O116">
        <v>29.881499999999999</v>
      </c>
      <c r="P116" t="str">
        <f t="shared" si="10"/>
        <v>BM3D</v>
      </c>
      <c r="Q116">
        <f t="shared" si="6"/>
        <v>29.881499999999999</v>
      </c>
      <c r="R116">
        <f>VLOOKUP(P116,'Color codes'!$A:$B,2,FALSE)</f>
        <v>1</v>
      </c>
      <c r="S116">
        <f>TRUNC(VLOOKUP(P116,'Color codes'!$A:$E,3,FALSE)*(0.25 + 0.75*Q116/40))</f>
        <v>206</v>
      </c>
      <c r="T116">
        <f>TRUNC(VLOOKUP(P116,'Color codes'!$A:$E,4,FALSE)*(0.25 + 0.75*Q116/40))</f>
        <v>86</v>
      </c>
      <c r="U116">
        <f>TRUNC(VLOOKUP(P116,'Color codes'!$A:$E,5,FALSE)*(0.25 + 0.75*Q116/40))</f>
        <v>84</v>
      </c>
      <c r="V116" t="b">
        <f t="shared" si="8"/>
        <v>1</v>
      </c>
    </row>
    <row r="117" spans="1:22" x14ac:dyDescent="0.25">
      <c r="A117" t="s">
        <v>14</v>
      </c>
      <c r="B117" t="s">
        <v>18</v>
      </c>
      <c r="C117">
        <v>15</v>
      </c>
      <c r="D117">
        <v>100</v>
      </c>
      <c r="E117">
        <v>1600</v>
      </c>
      <c r="F117" t="str">
        <f t="shared" si="9"/>
        <v>lena256_blurkernel10_15_100_1600</v>
      </c>
      <c r="G117">
        <f>IFERROR(VLOOKUP(F117,SROU03!$F:$H,2,FALSE),0)</f>
        <v>17.157829</v>
      </c>
      <c r="H117">
        <f>IFERROR(VLOOKUP(F117,SROU03!$F:$H,3,FALSE),0)</f>
        <v>19.690982999999999</v>
      </c>
      <c r="I117">
        <v>1.82654E-4</v>
      </c>
      <c r="J117">
        <v>9.5289999999999997E-6</v>
      </c>
      <c r="K117">
        <v>22.790600000000001</v>
      </c>
      <c r="L117">
        <v>8.4278999999999993</v>
      </c>
      <c r="M117">
        <f>IFERROR(VLOOKUP(F117,TICO09!$F:$O,8,FALSE),0)</f>
        <v>20.777699999999999</v>
      </c>
      <c r="N117">
        <f>IFERROR(VLOOKUP(F117,SROU03!$F:$O,9,FALSE),0)</f>
        <v>25.2668</v>
      </c>
      <c r="O117">
        <v>27.4496</v>
      </c>
      <c r="P117" t="str">
        <f t="shared" si="10"/>
        <v>BM3D</v>
      </c>
      <c r="Q117">
        <f t="shared" si="6"/>
        <v>27.4496</v>
      </c>
      <c r="R117">
        <f>VLOOKUP(P117,'Color codes'!$A:$B,2,FALSE)</f>
        <v>1</v>
      </c>
      <c r="S117">
        <f>TRUNC(VLOOKUP(P117,'Color codes'!$A:$E,3,FALSE)*(0.25 + 0.75*Q117/40))</f>
        <v>194</v>
      </c>
      <c r="T117">
        <f>TRUNC(VLOOKUP(P117,'Color codes'!$A:$E,4,FALSE)*(0.25 + 0.75*Q117/40))</f>
        <v>81</v>
      </c>
      <c r="U117">
        <f>TRUNC(VLOOKUP(P117,'Color codes'!$A:$E,5,FALSE)*(0.25 + 0.75*Q117/40))</f>
        <v>79</v>
      </c>
      <c r="V117" t="b">
        <f t="shared" si="8"/>
        <v>1</v>
      </c>
    </row>
    <row r="118" spans="1:22" x14ac:dyDescent="0.25">
      <c r="A118" t="s">
        <v>14</v>
      </c>
      <c r="B118" t="s">
        <v>18</v>
      </c>
      <c r="C118">
        <v>15</v>
      </c>
      <c r="D118">
        <v>100</v>
      </c>
      <c r="E118">
        <v>3200</v>
      </c>
      <c r="F118" t="str">
        <f t="shared" si="9"/>
        <v>lena256_blurkernel10_15_100_3200</v>
      </c>
      <c r="G118">
        <f>IFERROR(VLOOKUP(F118,SROU03!$F:$H,2,FALSE),0)</f>
        <v>13.406724000000001</v>
      </c>
      <c r="H118">
        <f>IFERROR(VLOOKUP(F118,SROU03!$F:$H,3,FALSE),0)</f>
        <v>19.496853000000002</v>
      </c>
      <c r="I118">
        <v>3.6700600000000002E-4</v>
      </c>
      <c r="J118">
        <v>9.5289999999999997E-6</v>
      </c>
      <c r="K118">
        <v>19.7895</v>
      </c>
      <c r="L118">
        <v>8.4278999999999993</v>
      </c>
      <c r="M118">
        <f>IFERROR(VLOOKUP(F118,TICO09!$F:$O,8,FALSE),0)</f>
        <v>20.1371</v>
      </c>
      <c r="N118">
        <f>IFERROR(VLOOKUP(F118,SROU03!$F:$O,9,FALSE),0)</f>
        <v>23.445900000000002</v>
      </c>
      <c r="O118">
        <v>25.222100000000001</v>
      </c>
      <c r="P118" t="str">
        <f t="shared" si="10"/>
        <v>BM3D</v>
      </c>
      <c r="Q118">
        <f t="shared" si="6"/>
        <v>25.222100000000001</v>
      </c>
      <c r="R118">
        <f>VLOOKUP(P118,'Color codes'!$A:$B,2,FALSE)</f>
        <v>1</v>
      </c>
      <c r="S118">
        <f>TRUNC(VLOOKUP(P118,'Color codes'!$A:$E,3,FALSE)*(0.25 + 0.75*Q118/40))</f>
        <v>184</v>
      </c>
      <c r="T118">
        <f>TRUNC(VLOOKUP(P118,'Color codes'!$A:$E,4,FALSE)*(0.25 + 0.75*Q118/40))</f>
        <v>77</v>
      </c>
      <c r="U118">
        <f>TRUNC(VLOOKUP(P118,'Color codes'!$A:$E,5,FALSE)*(0.25 + 0.75*Q118/40))</f>
        <v>75</v>
      </c>
      <c r="V118" t="b">
        <f t="shared" si="8"/>
        <v>1</v>
      </c>
    </row>
    <row r="119" spans="1:22" x14ac:dyDescent="0.25">
      <c r="A119" t="s">
        <v>14</v>
      </c>
      <c r="B119" t="s">
        <v>18</v>
      </c>
      <c r="C119">
        <v>15</v>
      </c>
      <c r="D119">
        <v>100</v>
      </c>
      <c r="E119">
        <v>6400</v>
      </c>
      <c r="F119" t="str">
        <f t="shared" si="9"/>
        <v>lena256_blurkernel10_15_100_6400</v>
      </c>
      <c r="G119">
        <f>IFERROR(VLOOKUP(F119,SROU03!$F:$H,2,FALSE),0)</f>
        <v>10.922185000000001</v>
      </c>
      <c r="H119">
        <f>IFERROR(VLOOKUP(F119,SROU03!$F:$H,3,FALSE),0)</f>
        <v>19.350273999999999</v>
      </c>
      <c r="I119">
        <v>7.6268500000000003E-4</v>
      </c>
      <c r="J119">
        <v>9.5289999999999997E-6</v>
      </c>
      <c r="K119">
        <v>16.657</v>
      </c>
      <c r="L119">
        <v>8.4278999999999993</v>
      </c>
      <c r="M119">
        <f>IFERROR(VLOOKUP(F119,TICO09!$F:$O,8,FALSE),0)</f>
        <v>19.216100000000001</v>
      </c>
      <c r="N119">
        <f>IFERROR(VLOOKUP(F119,SROU03!$F:$O,9,FALSE),0)</f>
        <v>21.9068</v>
      </c>
      <c r="O119">
        <v>23.088100000000001</v>
      </c>
      <c r="P119" t="str">
        <f t="shared" si="10"/>
        <v>BM3D</v>
      </c>
      <c r="Q119">
        <f t="shared" si="6"/>
        <v>23.088100000000001</v>
      </c>
      <c r="R119">
        <f>VLOOKUP(P119,'Color codes'!$A:$B,2,FALSE)</f>
        <v>1</v>
      </c>
      <c r="S119">
        <f>TRUNC(VLOOKUP(P119,'Color codes'!$A:$E,3,FALSE)*(0.25 + 0.75*Q119/40))</f>
        <v>174</v>
      </c>
      <c r="T119">
        <f>TRUNC(VLOOKUP(P119,'Color codes'!$A:$E,4,FALSE)*(0.25 + 0.75*Q119/40))</f>
        <v>73</v>
      </c>
      <c r="U119">
        <f>TRUNC(VLOOKUP(P119,'Color codes'!$A:$E,5,FALSE)*(0.25 + 0.75*Q119/40))</f>
        <v>71</v>
      </c>
      <c r="V119" t="b">
        <f t="shared" si="8"/>
        <v>1</v>
      </c>
    </row>
    <row r="120" spans="1:22" x14ac:dyDescent="0.25">
      <c r="A120" t="s">
        <v>14</v>
      </c>
      <c r="B120" t="s">
        <v>18</v>
      </c>
      <c r="C120">
        <v>15</v>
      </c>
      <c r="D120">
        <v>100</v>
      </c>
      <c r="E120">
        <v>12800</v>
      </c>
      <c r="F120" t="str">
        <f t="shared" si="9"/>
        <v>lena256_blurkernel10_15_100_12800</v>
      </c>
      <c r="G120">
        <f>IFERROR(VLOOKUP(F120,SROU03!$F:$H,2,FALSE),0)</f>
        <v>9.2352209999999992</v>
      </c>
      <c r="H120">
        <f>IFERROR(VLOOKUP(F120,SROU03!$F:$H,3,FALSE),0)</f>
        <v>19.353289</v>
      </c>
      <c r="I120">
        <v>1.621475E-3</v>
      </c>
      <c r="J120">
        <v>9.5289999999999997E-6</v>
      </c>
      <c r="K120">
        <v>13.4923</v>
      </c>
      <c r="L120">
        <v>8.4278999999999993</v>
      </c>
      <c r="M120">
        <f>IFERROR(VLOOKUP(F120,TICO09!$F:$O,8,FALSE),0)</f>
        <v>18.0915</v>
      </c>
      <c r="N120">
        <f>IFERROR(VLOOKUP(F120,SROU03!$F:$O,9,FALSE),0)</f>
        <v>20.5213</v>
      </c>
      <c r="O120">
        <v>20.708100000000002</v>
      </c>
      <c r="P120" t="str">
        <f t="shared" si="10"/>
        <v>BM3D</v>
      </c>
      <c r="Q120">
        <f t="shared" si="6"/>
        <v>20.708100000000002</v>
      </c>
      <c r="R120">
        <f>VLOOKUP(P120,'Color codes'!$A:$B,2,FALSE)</f>
        <v>1</v>
      </c>
      <c r="S120">
        <f>TRUNC(VLOOKUP(P120,'Color codes'!$A:$E,3,FALSE)*(0.25 + 0.75*Q120/40))</f>
        <v>162</v>
      </c>
      <c r="T120">
        <f>TRUNC(VLOOKUP(P120,'Color codes'!$A:$E,4,FALSE)*(0.25 + 0.75*Q120/40))</f>
        <v>68</v>
      </c>
      <c r="U120">
        <f>TRUNC(VLOOKUP(P120,'Color codes'!$A:$E,5,FALSE)*(0.25 + 0.75*Q120/40))</f>
        <v>66</v>
      </c>
      <c r="V120" t="b">
        <f t="shared" si="8"/>
        <v>0</v>
      </c>
    </row>
    <row r="121" spans="1:22" x14ac:dyDescent="0.25">
      <c r="A121" t="s">
        <v>14</v>
      </c>
      <c r="B121" t="s">
        <v>18</v>
      </c>
      <c r="C121">
        <v>15</v>
      </c>
      <c r="D121">
        <v>100</v>
      </c>
      <c r="E121">
        <v>25600</v>
      </c>
      <c r="F121" t="str">
        <f t="shared" si="9"/>
        <v>lena256_blurkernel10_15_100_25600</v>
      </c>
      <c r="G121">
        <f>IFERROR(VLOOKUP(F121,SROU03!$F:$H,2,FALSE),0)</f>
        <v>8.1069619999999993</v>
      </c>
      <c r="H121">
        <f>IFERROR(VLOOKUP(F121,SROU03!$F:$H,3,FALSE),0)</f>
        <v>19.307655</v>
      </c>
      <c r="I121">
        <v>3.5661730000000002E-3</v>
      </c>
      <c r="J121">
        <v>9.5289999999999997E-6</v>
      </c>
      <c r="K121">
        <v>10.292899999999999</v>
      </c>
      <c r="L121">
        <v>8.4278999999999993</v>
      </c>
      <c r="M121">
        <f>IFERROR(VLOOKUP(F121,TICO09!$F:$O,8,FALSE),0)</f>
        <v>16.414200000000001</v>
      </c>
      <c r="N121">
        <f>IFERROR(VLOOKUP(F121,SROU03!$F:$O,9,FALSE),0)</f>
        <v>19.436599999999999</v>
      </c>
      <c r="O121">
        <v>18.391300000000001</v>
      </c>
      <c r="P121" t="str">
        <f t="shared" si="10"/>
        <v>SROU03</v>
      </c>
      <c r="Q121">
        <f t="shared" si="6"/>
        <v>19.436599999999999</v>
      </c>
      <c r="R121">
        <f>VLOOKUP(P121,'Color codes'!$A:$B,2,FALSE)</f>
        <v>3</v>
      </c>
      <c r="S121">
        <f>TRUNC(VLOOKUP(P121,'Color codes'!$A:$E,3,FALSE)*(0.25 + 0.75*Q121/40))</f>
        <v>65</v>
      </c>
      <c r="T121">
        <f>TRUNC(VLOOKUP(P121,'Color codes'!$A:$E,4,FALSE)*(0.25 + 0.75*Q121/40))</f>
        <v>108</v>
      </c>
      <c r="U121">
        <f>TRUNC(VLOOKUP(P121,'Color codes'!$A:$E,5,FALSE)*(0.25 + 0.75*Q121/40))</f>
        <v>156</v>
      </c>
      <c r="V121" t="b">
        <f t="shared" si="8"/>
        <v>1</v>
      </c>
    </row>
    <row r="122" spans="1:22" x14ac:dyDescent="0.25">
      <c r="A122" t="s">
        <v>14</v>
      </c>
      <c r="B122" t="s">
        <v>18</v>
      </c>
      <c r="C122">
        <v>31</v>
      </c>
      <c r="D122">
        <v>100</v>
      </c>
      <c r="E122">
        <v>200</v>
      </c>
      <c r="F122" t="str">
        <f t="shared" si="9"/>
        <v>lena256_blurkernel10_31_100_200</v>
      </c>
      <c r="G122">
        <f>IFERROR(VLOOKUP(F122,SROU03!$F:$H,2,FALSE),0)</f>
        <v>44.239513000000002</v>
      </c>
      <c r="H122">
        <f>IFERROR(VLOOKUP(F122,SROU03!$F:$H,3,FALSE),0)</f>
        <v>48.170738999999998</v>
      </c>
      <c r="I122">
        <v>2.0891999999999999E-5</v>
      </c>
      <c r="J122">
        <v>9.5519999999999993E-6</v>
      </c>
      <c r="K122">
        <v>32.1892</v>
      </c>
      <c r="L122">
        <v>5.6376999999999997</v>
      </c>
      <c r="M122">
        <f>IFERROR(VLOOKUP(F122,TICO09!$F:$O,8,FALSE),0)</f>
        <v>21.556799999999999</v>
      </c>
      <c r="N122">
        <f>IFERROR(VLOOKUP(F122,SROU03!$F:$O,9,FALSE),0)</f>
        <v>31.509499999999999</v>
      </c>
      <c r="O122">
        <v>34.800199999999997</v>
      </c>
      <c r="P122" t="str">
        <f t="shared" si="10"/>
        <v>BM3D</v>
      </c>
      <c r="Q122">
        <f t="shared" si="6"/>
        <v>34.800199999999997</v>
      </c>
      <c r="R122">
        <f>VLOOKUP(P122,'Color codes'!$A:$B,2,FALSE)</f>
        <v>1</v>
      </c>
      <c r="S122">
        <f>TRUNC(VLOOKUP(P122,'Color codes'!$A:$E,3,FALSE)*(0.25 + 0.75*Q122/40))</f>
        <v>230</v>
      </c>
      <c r="T122">
        <f>TRUNC(VLOOKUP(P122,'Color codes'!$A:$E,4,FALSE)*(0.25 + 0.75*Q122/40))</f>
        <v>96</v>
      </c>
      <c r="U122">
        <f>TRUNC(VLOOKUP(P122,'Color codes'!$A:$E,5,FALSE)*(0.25 + 0.75*Q122/40))</f>
        <v>93</v>
      </c>
      <c r="V122" t="b">
        <f t="shared" si="8"/>
        <v>1</v>
      </c>
    </row>
    <row r="123" spans="1:22" x14ac:dyDescent="0.25">
      <c r="A123" t="s">
        <v>14</v>
      </c>
      <c r="B123" t="s">
        <v>18</v>
      </c>
      <c r="C123">
        <v>31</v>
      </c>
      <c r="D123">
        <v>100</v>
      </c>
      <c r="E123">
        <v>400</v>
      </c>
      <c r="F123" t="str">
        <f t="shared" si="9"/>
        <v>lena256_blurkernel10_31_100_400</v>
      </c>
      <c r="G123">
        <f>IFERROR(VLOOKUP(F123,SROU03!$F:$H,2,FALSE),0)</f>
        <v>31.024228000000001</v>
      </c>
      <c r="H123">
        <f>IFERROR(VLOOKUP(F123,SROU03!$F:$H,3,FALSE),0)</f>
        <v>44.027994</v>
      </c>
      <c r="I123">
        <v>4.4097000000000001E-5</v>
      </c>
      <c r="J123">
        <v>9.5519999999999993E-6</v>
      </c>
      <c r="K123">
        <v>28.949100000000001</v>
      </c>
      <c r="L123">
        <v>5.6376999999999997</v>
      </c>
      <c r="M123">
        <f>IFERROR(VLOOKUP(F123,TICO09!$F:$O,8,FALSE),0)</f>
        <v>21.359300000000001</v>
      </c>
      <c r="N123">
        <f>IFERROR(VLOOKUP(F123,SROU03!$F:$O,9,FALSE),0)</f>
        <v>28.576499999999999</v>
      </c>
      <c r="O123">
        <v>32.215600000000002</v>
      </c>
      <c r="P123" t="str">
        <f t="shared" si="10"/>
        <v>BM3D</v>
      </c>
      <c r="Q123">
        <f t="shared" si="6"/>
        <v>32.215600000000002</v>
      </c>
      <c r="R123">
        <f>VLOOKUP(P123,'Color codes'!$A:$B,2,FALSE)</f>
        <v>1</v>
      </c>
      <c r="S123">
        <f>TRUNC(VLOOKUP(P123,'Color codes'!$A:$E,3,FALSE)*(0.25 + 0.75*Q123/40))</f>
        <v>217</v>
      </c>
      <c r="T123">
        <f>TRUNC(VLOOKUP(P123,'Color codes'!$A:$E,4,FALSE)*(0.25 + 0.75*Q123/40))</f>
        <v>91</v>
      </c>
      <c r="U123">
        <f>TRUNC(VLOOKUP(P123,'Color codes'!$A:$E,5,FALSE)*(0.25 + 0.75*Q123/40))</f>
        <v>88</v>
      </c>
      <c r="V123" t="b">
        <f t="shared" si="8"/>
        <v>1</v>
      </c>
    </row>
    <row r="124" spans="1:22" x14ac:dyDescent="0.25">
      <c r="A124" t="s">
        <v>14</v>
      </c>
      <c r="B124" t="s">
        <v>18</v>
      </c>
      <c r="C124">
        <v>31</v>
      </c>
      <c r="D124">
        <v>100</v>
      </c>
      <c r="E124">
        <v>800</v>
      </c>
      <c r="F124" t="str">
        <f t="shared" si="9"/>
        <v>lena256_blurkernel10_31_100_800</v>
      </c>
      <c r="G124">
        <f>IFERROR(VLOOKUP(F124,SROU03!$F:$H,2,FALSE),0)</f>
        <v>22.177126999999999</v>
      </c>
      <c r="H124">
        <f>IFERROR(VLOOKUP(F124,SROU03!$F:$H,3,FALSE),0)</f>
        <v>41.800457999999999</v>
      </c>
      <c r="I124">
        <v>8.9752000000000004E-5</v>
      </c>
      <c r="J124">
        <v>9.5519999999999993E-6</v>
      </c>
      <c r="K124">
        <v>25.868400000000001</v>
      </c>
      <c r="L124">
        <v>5.6376999999999997</v>
      </c>
      <c r="M124">
        <f>IFERROR(VLOOKUP(F124,TICO09!$F:$O,8,FALSE),0)</f>
        <v>21.123799999999999</v>
      </c>
      <c r="N124">
        <f>IFERROR(VLOOKUP(F124,SROU03!$F:$O,9,FALSE),0)</f>
        <v>25.927499999999998</v>
      </c>
      <c r="O124">
        <v>29.807300000000001</v>
      </c>
      <c r="P124" t="str">
        <f t="shared" si="10"/>
        <v>BM3D</v>
      </c>
      <c r="Q124">
        <f t="shared" si="6"/>
        <v>29.807300000000001</v>
      </c>
      <c r="R124">
        <f>VLOOKUP(P124,'Color codes'!$A:$B,2,FALSE)</f>
        <v>1</v>
      </c>
      <c r="S124">
        <f>TRUNC(VLOOKUP(P124,'Color codes'!$A:$E,3,FALSE)*(0.25 + 0.75*Q124/40))</f>
        <v>206</v>
      </c>
      <c r="T124">
        <f>TRUNC(VLOOKUP(P124,'Color codes'!$A:$E,4,FALSE)*(0.25 + 0.75*Q124/40))</f>
        <v>86</v>
      </c>
      <c r="U124">
        <f>TRUNC(VLOOKUP(P124,'Color codes'!$A:$E,5,FALSE)*(0.25 + 0.75*Q124/40))</f>
        <v>84</v>
      </c>
      <c r="V124" t="b">
        <f t="shared" si="8"/>
        <v>1</v>
      </c>
    </row>
    <row r="125" spans="1:22" x14ac:dyDescent="0.25">
      <c r="A125" t="s">
        <v>14</v>
      </c>
      <c r="B125" t="s">
        <v>18</v>
      </c>
      <c r="C125">
        <v>31</v>
      </c>
      <c r="D125">
        <v>100</v>
      </c>
      <c r="E125">
        <v>1600</v>
      </c>
      <c r="F125" t="str">
        <f t="shared" si="9"/>
        <v>lena256_blurkernel10_31_100_1600</v>
      </c>
      <c r="G125">
        <f>IFERROR(VLOOKUP(F125,SROU03!$F:$H,2,FALSE),0)</f>
        <v>15.869624999999999</v>
      </c>
      <c r="H125">
        <f>IFERROR(VLOOKUP(F125,SROU03!$F:$H,3,FALSE),0)</f>
        <v>40.902518999999998</v>
      </c>
      <c r="I125">
        <v>1.8089000000000001E-4</v>
      </c>
      <c r="J125">
        <v>9.5519999999999993E-6</v>
      </c>
      <c r="K125">
        <v>22.834</v>
      </c>
      <c r="L125">
        <v>5.6376999999999997</v>
      </c>
      <c r="M125">
        <f>IFERROR(VLOOKUP(F125,TICO09!$F:$O,8,FALSE),0)</f>
        <v>20.673500000000001</v>
      </c>
      <c r="N125">
        <f>IFERROR(VLOOKUP(F125,SROU03!$F:$O,9,FALSE),0)</f>
        <v>23.4376</v>
      </c>
      <c r="O125">
        <v>27.5351</v>
      </c>
      <c r="P125" t="str">
        <f t="shared" si="10"/>
        <v>BM3D</v>
      </c>
      <c r="Q125">
        <f t="shared" si="6"/>
        <v>27.5351</v>
      </c>
      <c r="R125">
        <f>VLOOKUP(P125,'Color codes'!$A:$B,2,FALSE)</f>
        <v>1</v>
      </c>
      <c r="S125">
        <f>TRUNC(VLOOKUP(P125,'Color codes'!$A:$E,3,FALSE)*(0.25 + 0.75*Q125/40))</f>
        <v>195</v>
      </c>
      <c r="T125">
        <f>TRUNC(VLOOKUP(P125,'Color codes'!$A:$E,4,FALSE)*(0.25 + 0.75*Q125/40))</f>
        <v>81</v>
      </c>
      <c r="U125">
        <f>TRUNC(VLOOKUP(P125,'Color codes'!$A:$E,5,FALSE)*(0.25 + 0.75*Q125/40))</f>
        <v>79</v>
      </c>
      <c r="V125" t="b">
        <f t="shared" si="8"/>
        <v>1</v>
      </c>
    </row>
    <row r="126" spans="1:22" x14ac:dyDescent="0.25">
      <c r="A126" t="s">
        <v>14</v>
      </c>
      <c r="B126" t="s">
        <v>18</v>
      </c>
      <c r="C126">
        <v>31</v>
      </c>
      <c r="D126">
        <v>100</v>
      </c>
      <c r="E126">
        <v>3200</v>
      </c>
      <c r="F126" t="str">
        <f t="shared" si="9"/>
        <v>lena256_blurkernel10_31_100_3200</v>
      </c>
      <c r="G126">
        <f>IFERROR(VLOOKUP(F126,SROU03!$F:$H,2,FALSE),0)</f>
        <v>12.028259</v>
      </c>
      <c r="H126">
        <f>IFERROR(VLOOKUP(F126,SROU03!$F:$H,3,FALSE),0)</f>
        <v>40.184274000000002</v>
      </c>
      <c r="I126">
        <v>3.7097900000000001E-4</v>
      </c>
      <c r="J126">
        <v>9.5519999999999993E-6</v>
      </c>
      <c r="K126">
        <v>19.737400000000001</v>
      </c>
      <c r="L126">
        <v>5.6376999999999997</v>
      </c>
      <c r="M126">
        <f>IFERROR(VLOOKUP(F126,TICO09!$F:$O,8,FALSE),0)</f>
        <v>20.029699999999998</v>
      </c>
      <c r="N126">
        <f>IFERROR(VLOOKUP(F126,SROU03!$F:$O,9,FALSE),0)</f>
        <v>21.529900000000001</v>
      </c>
      <c r="O126">
        <v>25.197399999999998</v>
      </c>
      <c r="P126" t="str">
        <f t="shared" si="10"/>
        <v>BM3D</v>
      </c>
      <c r="Q126">
        <f t="shared" si="6"/>
        <v>25.197399999999998</v>
      </c>
      <c r="R126">
        <f>VLOOKUP(P126,'Color codes'!$A:$B,2,FALSE)</f>
        <v>1</v>
      </c>
      <c r="S126">
        <f>TRUNC(VLOOKUP(P126,'Color codes'!$A:$E,3,FALSE)*(0.25 + 0.75*Q126/40))</f>
        <v>184</v>
      </c>
      <c r="T126">
        <f>TRUNC(VLOOKUP(P126,'Color codes'!$A:$E,4,FALSE)*(0.25 + 0.75*Q126/40))</f>
        <v>77</v>
      </c>
      <c r="U126">
        <f>TRUNC(VLOOKUP(P126,'Color codes'!$A:$E,5,FALSE)*(0.25 + 0.75*Q126/40))</f>
        <v>75</v>
      </c>
      <c r="V126" t="b">
        <f t="shared" si="8"/>
        <v>1</v>
      </c>
    </row>
    <row r="127" spans="1:22" x14ac:dyDescent="0.25">
      <c r="A127" t="s">
        <v>14</v>
      </c>
      <c r="B127" t="s">
        <v>18</v>
      </c>
      <c r="C127">
        <v>31</v>
      </c>
      <c r="D127">
        <v>100</v>
      </c>
      <c r="E127">
        <v>6400</v>
      </c>
      <c r="F127" t="str">
        <f t="shared" si="9"/>
        <v>lena256_blurkernel10_31_100_6400</v>
      </c>
      <c r="G127">
        <f>IFERROR(VLOOKUP(F127,SROU03!$F:$H,2,FALSE),0)</f>
        <v>9.3005040000000001</v>
      </c>
      <c r="H127">
        <f>IFERROR(VLOOKUP(F127,SROU03!$F:$H,3,FALSE),0)</f>
        <v>40.039712000000002</v>
      </c>
      <c r="I127">
        <v>7.6560199999999999E-4</v>
      </c>
      <c r="J127">
        <v>9.5519999999999993E-6</v>
      </c>
      <c r="K127">
        <v>16.645800000000001</v>
      </c>
      <c r="L127">
        <v>5.6376999999999997</v>
      </c>
      <c r="M127">
        <f>IFERROR(VLOOKUP(F127,TICO09!$F:$O,8,FALSE),0)</f>
        <v>19.058900000000001</v>
      </c>
      <c r="N127">
        <f>IFERROR(VLOOKUP(F127,SROU03!$F:$O,9,FALSE),0)</f>
        <v>19.792200000000001</v>
      </c>
      <c r="O127">
        <v>23.012599999999999</v>
      </c>
      <c r="P127" t="str">
        <f t="shared" si="10"/>
        <v>BM3D</v>
      </c>
      <c r="Q127">
        <f t="shared" si="6"/>
        <v>23.012599999999999</v>
      </c>
      <c r="R127">
        <f>VLOOKUP(P127,'Color codes'!$A:$B,2,FALSE)</f>
        <v>1</v>
      </c>
      <c r="S127">
        <f>TRUNC(VLOOKUP(P127,'Color codes'!$A:$E,3,FALSE)*(0.25 + 0.75*Q127/40))</f>
        <v>173</v>
      </c>
      <c r="T127">
        <f>TRUNC(VLOOKUP(P127,'Color codes'!$A:$E,4,FALSE)*(0.25 + 0.75*Q127/40))</f>
        <v>72</v>
      </c>
      <c r="U127">
        <f>TRUNC(VLOOKUP(P127,'Color codes'!$A:$E,5,FALSE)*(0.25 + 0.75*Q127/40))</f>
        <v>70</v>
      </c>
      <c r="V127" t="b">
        <f t="shared" si="8"/>
        <v>1</v>
      </c>
    </row>
    <row r="128" spans="1:22" x14ac:dyDescent="0.25">
      <c r="A128" t="s">
        <v>14</v>
      </c>
      <c r="B128" t="s">
        <v>18</v>
      </c>
      <c r="C128">
        <v>31</v>
      </c>
      <c r="D128">
        <v>100</v>
      </c>
      <c r="E128">
        <v>12800</v>
      </c>
      <c r="F128" t="str">
        <f t="shared" si="9"/>
        <v>lena256_blurkernel10_31_100_12800</v>
      </c>
      <c r="G128">
        <f>IFERROR(VLOOKUP(F128,SROU03!$F:$H,2,FALSE),0)</f>
        <v>7.3925840000000003</v>
      </c>
      <c r="H128">
        <f>IFERROR(VLOOKUP(F128,SROU03!$F:$H,3,FALSE),0)</f>
        <v>39.819572000000001</v>
      </c>
      <c r="I128">
        <v>1.6186410000000001E-3</v>
      </c>
      <c r="J128">
        <v>9.5519999999999993E-6</v>
      </c>
      <c r="K128">
        <v>13.4869</v>
      </c>
      <c r="L128">
        <v>5.6376999999999997</v>
      </c>
      <c r="M128">
        <f>IFERROR(VLOOKUP(F128,TICO09!$F:$O,8,FALSE),0)</f>
        <v>17.845700000000001</v>
      </c>
      <c r="N128">
        <f>IFERROR(VLOOKUP(F128,SROU03!$F:$O,9,FALSE),0)</f>
        <v>18.2578</v>
      </c>
      <c r="O128">
        <v>20.751300000000001</v>
      </c>
      <c r="P128" t="str">
        <f t="shared" si="10"/>
        <v>BM3D</v>
      </c>
      <c r="Q128">
        <f t="shared" si="6"/>
        <v>20.751300000000001</v>
      </c>
      <c r="R128">
        <f>VLOOKUP(P128,'Color codes'!$A:$B,2,FALSE)</f>
        <v>1</v>
      </c>
      <c r="S128">
        <f>TRUNC(VLOOKUP(P128,'Color codes'!$A:$E,3,FALSE)*(0.25 + 0.75*Q128/40))</f>
        <v>162</v>
      </c>
      <c r="T128">
        <f>TRUNC(VLOOKUP(P128,'Color codes'!$A:$E,4,FALSE)*(0.25 + 0.75*Q128/40))</f>
        <v>68</v>
      </c>
      <c r="U128">
        <f>TRUNC(VLOOKUP(P128,'Color codes'!$A:$E,5,FALSE)*(0.25 + 0.75*Q128/40))</f>
        <v>66</v>
      </c>
      <c r="V128" t="b">
        <f t="shared" si="8"/>
        <v>1</v>
      </c>
    </row>
    <row r="129" spans="1:22" x14ac:dyDescent="0.25">
      <c r="A129" t="s">
        <v>14</v>
      </c>
      <c r="B129" t="s">
        <v>18</v>
      </c>
      <c r="C129">
        <v>31</v>
      </c>
      <c r="D129">
        <v>100</v>
      </c>
      <c r="E129">
        <v>25600</v>
      </c>
      <c r="F129" t="str">
        <f t="shared" si="9"/>
        <v>lena256_blurkernel10_31_100_25600</v>
      </c>
      <c r="G129">
        <f>IFERROR(VLOOKUP(F129,SROU03!$F:$H,2,FALSE),0)</f>
        <v>6.1245279999999998</v>
      </c>
      <c r="H129">
        <f>IFERROR(VLOOKUP(F129,SROU03!$F:$H,3,FALSE),0)</f>
        <v>39.900612000000002</v>
      </c>
      <c r="I129">
        <v>3.5501859999999999E-3</v>
      </c>
      <c r="J129">
        <v>9.5519999999999993E-6</v>
      </c>
      <c r="K129">
        <v>10.296900000000001</v>
      </c>
      <c r="L129">
        <v>5.6376999999999997</v>
      </c>
      <c r="M129">
        <f>IFERROR(VLOOKUP(F129,TICO09!$F:$O,8,FALSE),0)</f>
        <v>16.184899999999999</v>
      </c>
      <c r="N129">
        <f>IFERROR(VLOOKUP(F129,SROU03!$F:$O,9,FALSE),0)</f>
        <v>17.142600000000002</v>
      </c>
      <c r="O129">
        <v>18.4725</v>
      </c>
      <c r="P129" t="str">
        <f t="shared" si="10"/>
        <v>BM3D</v>
      </c>
      <c r="Q129">
        <f t="shared" si="6"/>
        <v>18.4725</v>
      </c>
      <c r="R129">
        <f>VLOOKUP(P129,'Color codes'!$A:$B,2,FALSE)</f>
        <v>1</v>
      </c>
      <c r="S129">
        <f>TRUNC(VLOOKUP(P129,'Color codes'!$A:$E,3,FALSE)*(0.25 + 0.75*Q129/40))</f>
        <v>152</v>
      </c>
      <c r="T129">
        <f>TRUNC(VLOOKUP(P129,'Color codes'!$A:$E,4,FALSE)*(0.25 + 0.75*Q129/40))</f>
        <v>63</v>
      </c>
      <c r="U129">
        <f>TRUNC(VLOOKUP(P129,'Color codes'!$A:$E,5,FALSE)*(0.25 + 0.75*Q129/40))</f>
        <v>62</v>
      </c>
      <c r="V129" t="b">
        <f t="shared" si="8"/>
        <v>1</v>
      </c>
    </row>
    <row r="130" spans="1:22" x14ac:dyDescent="0.25">
      <c r="A130" t="s">
        <v>19</v>
      </c>
      <c r="B130" t="s">
        <v>15</v>
      </c>
      <c r="C130">
        <v>3</v>
      </c>
      <c r="D130">
        <v>100</v>
      </c>
      <c r="E130">
        <v>200</v>
      </c>
      <c r="F130" t="str">
        <f t="shared" si="9"/>
        <v>tree256_blurkernel7_3_100_200</v>
      </c>
      <c r="G130">
        <f>IFERROR(VLOOKUP(F130,SROU03!$F:$H,2,FALSE),0)</f>
        <v>54.790940999999997</v>
      </c>
      <c r="H130">
        <f>IFERROR(VLOOKUP(F130,SROU03!$F:$H,3,FALSE),0)</f>
        <v>3.9670730000000001</v>
      </c>
      <c r="I130">
        <v>1.9947999999999999E-5</v>
      </c>
      <c r="J130">
        <v>9.1710000000000008E-6</v>
      </c>
      <c r="K130">
        <v>32.583599999999997</v>
      </c>
      <c r="L130">
        <v>12.2722</v>
      </c>
      <c r="M130">
        <f>IFERROR(VLOOKUP(F130,TICO09!$F:$O,8,FALSE),0)</f>
        <v>12.6503</v>
      </c>
      <c r="N130">
        <f>IFERROR(VLOOKUP(F130,SROU03!$F:$O,9,FALSE),0)</f>
        <v>32.156999999999996</v>
      </c>
      <c r="O130">
        <v>32.603200000000001</v>
      </c>
      <c r="P130" t="str">
        <f t="shared" si="10"/>
        <v>BM3D</v>
      </c>
      <c r="Q130">
        <f t="shared" si="6"/>
        <v>32.603200000000001</v>
      </c>
      <c r="R130">
        <f>VLOOKUP(P130,'Color codes'!$A:$B,2,FALSE)</f>
        <v>1</v>
      </c>
      <c r="S130">
        <f>TRUNC(VLOOKUP(P130,'Color codes'!$A:$E,3,FALSE)*(0.25 + 0.75*Q130/40))</f>
        <v>219</v>
      </c>
      <c r="T130">
        <f>TRUNC(VLOOKUP(P130,'Color codes'!$A:$E,4,FALSE)*(0.25 + 0.75*Q130/40))</f>
        <v>92</v>
      </c>
      <c r="U130">
        <f>TRUNC(VLOOKUP(P130,'Color codes'!$A:$E,5,FALSE)*(0.25 + 0.75*Q130/40))</f>
        <v>89</v>
      </c>
      <c r="V130" t="b">
        <f t="shared" si="8"/>
        <v>0</v>
      </c>
    </row>
    <row r="131" spans="1:22" x14ac:dyDescent="0.25">
      <c r="A131" t="s">
        <v>19</v>
      </c>
      <c r="B131" t="s">
        <v>15</v>
      </c>
      <c r="C131">
        <v>3</v>
      </c>
      <c r="D131">
        <v>100</v>
      </c>
      <c r="E131">
        <v>400</v>
      </c>
      <c r="F131" t="str">
        <f t="shared" si="9"/>
        <v>tree256_blurkernel7_3_100_400</v>
      </c>
      <c r="G131">
        <f>IFERROR(VLOOKUP(F131,SROU03!$F:$H,2,FALSE),0)</f>
        <v>43.490560000000002</v>
      </c>
      <c r="H131">
        <f>IFERROR(VLOOKUP(F131,SROU03!$F:$H,3,FALSE),0)</f>
        <v>3.6311969999999998</v>
      </c>
      <c r="I131">
        <v>4.1263000000000001E-5</v>
      </c>
      <c r="J131">
        <v>9.1710000000000008E-6</v>
      </c>
      <c r="K131">
        <v>29.428599999999999</v>
      </c>
      <c r="L131">
        <v>12.2722</v>
      </c>
      <c r="M131">
        <f>IFERROR(VLOOKUP(F131,TICO09!$F:$O,8,FALSE),0)</f>
        <v>12.649800000000001</v>
      </c>
      <c r="N131">
        <f>IFERROR(VLOOKUP(F131,SROU03!$F:$O,9,FALSE),0)</f>
        <v>29.343800000000002</v>
      </c>
      <c r="O131">
        <v>29.463899999999999</v>
      </c>
      <c r="P131" t="str">
        <f t="shared" si="10"/>
        <v>BM3D</v>
      </c>
      <c r="Q131">
        <f t="shared" ref="Q131:Q194" si="11">MAX(M131:O131)</f>
        <v>29.463899999999999</v>
      </c>
      <c r="R131">
        <f>VLOOKUP(P131,'Color codes'!$A:$B,2,FALSE)</f>
        <v>1</v>
      </c>
      <c r="S131">
        <f>TRUNC(VLOOKUP(P131,'Color codes'!$A:$E,3,FALSE)*(0.25 + 0.75*Q131/40))</f>
        <v>204</v>
      </c>
      <c r="T131">
        <f>TRUNC(VLOOKUP(P131,'Color codes'!$A:$E,4,FALSE)*(0.25 + 0.75*Q131/40))</f>
        <v>85</v>
      </c>
      <c r="U131">
        <f>TRUNC(VLOOKUP(P131,'Color codes'!$A:$E,5,FALSE)*(0.25 + 0.75*Q131/40))</f>
        <v>83</v>
      </c>
      <c r="V131" t="b">
        <f t="shared" si="8"/>
        <v>0</v>
      </c>
    </row>
    <row r="132" spans="1:22" x14ac:dyDescent="0.25">
      <c r="A132" t="s">
        <v>19</v>
      </c>
      <c r="B132" t="s">
        <v>15</v>
      </c>
      <c r="C132">
        <v>3</v>
      </c>
      <c r="D132">
        <v>100</v>
      </c>
      <c r="E132">
        <v>800</v>
      </c>
      <c r="F132" t="str">
        <f t="shared" si="9"/>
        <v>tree256_blurkernel7_3_100_800</v>
      </c>
      <c r="G132">
        <f>IFERROR(VLOOKUP(F132,SROU03!$F:$H,2,FALSE),0)</f>
        <v>36.739921000000002</v>
      </c>
      <c r="H132">
        <f>IFERROR(VLOOKUP(F132,SROU03!$F:$H,3,FALSE),0)</f>
        <v>3.4585650000000001</v>
      </c>
      <c r="I132">
        <v>8.4278999999999997E-5</v>
      </c>
      <c r="J132">
        <v>9.1710000000000008E-6</v>
      </c>
      <c r="K132">
        <v>26.330400000000001</v>
      </c>
      <c r="L132">
        <v>12.2722</v>
      </c>
      <c r="M132">
        <f>IFERROR(VLOOKUP(F132,TICO09!$F:$O,8,FALSE),0)</f>
        <v>12.633599999999999</v>
      </c>
      <c r="N132">
        <f>IFERROR(VLOOKUP(F132,SROU03!$F:$O,9,FALSE),0)</f>
        <v>26.505400000000002</v>
      </c>
      <c r="O132">
        <v>26.417400000000001</v>
      </c>
      <c r="P132" t="str">
        <f t="shared" si="10"/>
        <v>SROU03</v>
      </c>
      <c r="Q132">
        <f t="shared" si="11"/>
        <v>26.505400000000002</v>
      </c>
      <c r="R132">
        <f>VLOOKUP(P132,'Color codes'!$A:$B,2,FALSE)</f>
        <v>3</v>
      </c>
      <c r="S132">
        <f>TRUNC(VLOOKUP(P132,'Color codes'!$A:$E,3,FALSE)*(0.25 + 0.75*Q132/40))</f>
        <v>79</v>
      </c>
      <c r="T132">
        <f>TRUNC(VLOOKUP(P132,'Color codes'!$A:$E,4,FALSE)*(0.25 + 0.75*Q132/40))</f>
        <v>131</v>
      </c>
      <c r="U132">
        <f>TRUNC(VLOOKUP(P132,'Color codes'!$A:$E,5,FALSE)*(0.25 + 0.75*Q132/40))</f>
        <v>190</v>
      </c>
      <c r="V132" t="b">
        <f t="shared" si="8"/>
        <v>0</v>
      </c>
    </row>
    <row r="133" spans="1:22" x14ac:dyDescent="0.25">
      <c r="A133" t="s">
        <v>19</v>
      </c>
      <c r="B133" t="s">
        <v>15</v>
      </c>
      <c r="C133">
        <v>3</v>
      </c>
      <c r="D133">
        <v>100</v>
      </c>
      <c r="E133">
        <v>1600</v>
      </c>
      <c r="F133" t="str">
        <f t="shared" si="9"/>
        <v>tree256_blurkernel7_3_100_1600</v>
      </c>
      <c r="G133">
        <f>IFERROR(VLOOKUP(F133,SROU03!$F:$H,2,FALSE),0)</f>
        <v>32.901822000000003</v>
      </c>
      <c r="H133">
        <f>IFERROR(VLOOKUP(F133,SROU03!$F:$H,3,FALSE),0)</f>
        <v>3.3755440000000001</v>
      </c>
      <c r="I133">
        <v>1.6992299999999999E-4</v>
      </c>
      <c r="J133">
        <v>9.1710000000000008E-6</v>
      </c>
      <c r="K133">
        <v>23.291499999999999</v>
      </c>
      <c r="L133">
        <v>12.2722</v>
      </c>
      <c r="M133">
        <f>IFERROR(VLOOKUP(F133,TICO09!$F:$O,8,FALSE),0)</f>
        <v>12.641500000000001</v>
      </c>
      <c r="N133">
        <f>IFERROR(VLOOKUP(F133,SROU03!$F:$O,9,FALSE),0)</f>
        <v>23.489799999999999</v>
      </c>
      <c r="O133">
        <v>23.468299999999999</v>
      </c>
      <c r="P133" t="str">
        <f t="shared" si="10"/>
        <v>SROU03</v>
      </c>
      <c r="Q133">
        <f t="shared" si="11"/>
        <v>23.489799999999999</v>
      </c>
      <c r="R133">
        <f>VLOOKUP(P133,'Color codes'!$A:$B,2,FALSE)</f>
        <v>3</v>
      </c>
      <c r="S133">
        <f>TRUNC(VLOOKUP(P133,'Color codes'!$A:$E,3,FALSE)*(0.25 + 0.75*Q133/40))</f>
        <v>73</v>
      </c>
      <c r="T133">
        <f>TRUNC(VLOOKUP(P133,'Color codes'!$A:$E,4,FALSE)*(0.25 + 0.75*Q133/40))</f>
        <v>121</v>
      </c>
      <c r="U133">
        <f>TRUNC(VLOOKUP(P133,'Color codes'!$A:$E,5,FALSE)*(0.25 + 0.75*Q133/40))</f>
        <v>176</v>
      </c>
      <c r="V133" t="b">
        <f t="shared" si="8"/>
        <v>0</v>
      </c>
    </row>
    <row r="134" spans="1:22" x14ac:dyDescent="0.25">
      <c r="A134" t="s">
        <v>19</v>
      </c>
      <c r="B134" t="s">
        <v>15</v>
      </c>
      <c r="C134">
        <v>3</v>
      </c>
      <c r="D134">
        <v>100</v>
      </c>
      <c r="E134">
        <v>3200</v>
      </c>
      <c r="F134" t="str">
        <f t="shared" si="9"/>
        <v>tree256_blurkernel7_3_100_3200</v>
      </c>
      <c r="G134">
        <f>IFERROR(VLOOKUP(F134,SROU03!$F:$H,2,FALSE),0)</f>
        <v>30.611785999999999</v>
      </c>
      <c r="H134">
        <f>IFERROR(VLOOKUP(F134,SROU03!$F:$H,3,FALSE),0)</f>
        <v>3.3406940000000001</v>
      </c>
      <c r="I134">
        <v>3.4841899999999999E-4</v>
      </c>
      <c r="J134">
        <v>9.1710000000000008E-6</v>
      </c>
      <c r="K134">
        <v>20.189299999999999</v>
      </c>
      <c r="L134">
        <v>12.2722</v>
      </c>
      <c r="M134">
        <f>IFERROR(VLOOKUP(F134,TICO09!$F:$O,8,FALSE),0)</f>
        <v>12.6356</v>
      </c>
      <c r="N134">
        <f>IFERROR(VLOOKUP(F134,SROU03!$F:$O,9,FALSE),0)</f>
        <v>20.493300000000001</v>
      </c>
      <c r="O134">
        <v>20.544599999999999</v>
      </c>
      <c r="P134" t="str">
        <f t="shared" si="10"/>
        <v>BM3D</v>
      </c>
      <c r="Q134">
        <f t="shared" si="11"/>
        <v>20.544599999999999</v>
      </c>
      <c r="R134">
        <f>VLOOKUP(P134,'Color codes'!$A:$B,2,FALSE)</f>
        <v>1</v>
      </c>
      <c r="S134">
        <f>TRUNC(VLOOKUP(P134,'Color codes'!$A:$E,3,FALSE)*(0.25 + 0.75*Q134/40))</f>
        <v>161</v>
      </c>
      <c r="T134">
        <f>TRUNC(VLOOKUP(P134,'Color codes'!$A:$E,4,FALSE)*(0.25 + 0.75*Q134/40))</f>
        <v>67</v>
      </c>
      <c r="U134">
        <f>TRUNC(VLOOKUP(P134,'Color codes'!$A:$E,5,FALSE)*(0.25 + 0.75*Q134/40))</f>
        <v>66</v>
      </c>
      <c r="V134" t="b">
        <f t="shared" si="8"/>
        <v>0</v>
      </c>
    </row>
    <row r="135" spans="1:22" x14ac:dyDescent="0.25">
      <c r="A135" t="s">
        <v>19</v>
      </c>
      <c r="B135" t="s">
        <v>15</v>
      </c>
      <c r="C135">
        <v>3</v>
      </c>
      <c r="D135">
        <v>100</v>
      </c>
      <c r="E135">
        <v>6400</v>
      </c>
      <c r="F135" t="str">
        <f t="shared" si="9"/>
        <v>tree256_blurkernel7_3_100_6400</v>
      </c>
      <c r="G135">
        <f>IFERROR(VLOOKUP(F135,SROU03!$F:$H,2,FALSE),0)</f>
        <v>29.028027000000002</v>
      </c>
      <c r="H135">
        <f>IFERROR(VLOOKUP(F135,SROU03!$F:$H,3,FALSE),0)</f>
        <v>3.3369879999999998</v>
      </c>
      <c r="I135">
        <v>7.1406200000000001E-4</v>
      </c>
      <c r="J135">
        <v>9.1710000000000008E-6</v>
      </c>
      <c r="K135">
        <v>17.108899999999998</v>
      </c>
      <c r="L135">
        <v>12.2722</v>
      </c>
      <c r="M135">
        <f>IFERROR(VLOOKUP(F135,TICO09!$F:$O,8,FALSE),0)</f>
        <v>12.612500000000001</v>
      </c>
      <c r="N135">
        <f>IFERROR(VLOOKUP(F135,SROU03!$F:$O,9,FALSE),0)</f>
        <v>18.318300000000001</v>
      </c>
      <c r="O135">
        <v>17.776800000000001</v>
      </c>
      <c r="P135" t="str">
        <f t="shared" si="10"/>
        <v>SROU03</v>
      </c>
      <c r="Q135">
        <f t="shared" si="11"/>
        <v>18.318300000000001</v>
      </c>
      <c r="R135">
        <f>VLOOKUP(P135,'Color codes'!$A:$B,2,FALSE)</f>
        <v>3</v>
      </c>
      <c r="S135">
        <f>TRUNC(VLOOKUP(P135,'Color codes'!$A:$E,3,FALSE)*(0.25 + 0.75*Q135/40))</f>
        <v>63</v>
      </c>
      <c r="T135">
        <f>TRUNC(VLOOKUP(P135,'Color codes'!$A:$E,4,FALSE)*(0.25 + 0.75*Q135/40))</f>
        <v>104</v>
      </c>
      <c r="U135">
        <f>TRUNC(VLOOKUP(P135,'Color codes'!$A:$E,5,FALSE)*(0.25 + 0.75*Q135/40))</f>
        <v>151</v>
      </c>
      <c r="V135" t="b">
        <f t="shared" si="8"/>
        <v>0</v>
      </c>
    </row>
    <row r="136" spans="1:22" x14ac:dyDescent="0.25">
      <c r="A136" t="s">
        <v>19</v>
      </c>
      <c r="B136" t="s">
        <v>15</v>
      </c>
      <c r="C136">
        <v>3</v>
      </c>
      <c r="D136">
        <v>100</v>
      </c>
      <c r="E136">
        <v>12800</v>
      </c>
      <c r="F136" t="str">
        <f t="shared" si="9"/>
        <v>tree256_blurkernel7_3_100_12800</v>
      </c>
      <c r="G136">
        <f>IFERROR(VLOOKUP(F136,SROU03!$F:$H,2,FALSE),0)</f>
        <v>27.491786000000001</v>
      </c>
      <c r="H136">
        <f>IFERROR(VLOOKUP(F136,SROU03!$F:$H,3,FALSE),0)</f>
        <v>3.3577729999999999</v>
      </c>
      <c r="I136">
        <v>1.5066210000000001E-3</v>
      </c>
      <c r="J136">
        <v>9.1710000000000008E-6</v>
      </c>
      <c r="K136">
        <v>13.963200000000001</v>
      </c>
      <c r="L136">
        <v>12.2722</v>
      </c>
      <c r="M136">
        <f>IFERROR(VLOOKUP(F136,TICO09!$F:$O,8,FALSE),0)</f>
        <v>12.6006</v>
      </c>
      <c r="N136">
        <f>IFERROR(VLOOKUP(F136,SROU03!$F:$O,9,FALSE),0)</f>
        <v>18.230699999999999</v>
      </c>
      <c r="O136">
        <v>15.139699999999999</v>
      </c>
      <c r="P136" t="str">
        <f t="shared" si="10"/>
        <v>SROU03</v>
      </c>
      <c r="Q136">
        <f t="shared" si="11"/>
        <v>18.230699999999999</v>
      </c>
      <c r="R136">
        <f>VLOOKUP(P136,'Color codes'!$A:$B,2,FALSE)</f>
        <v>3</v>
      </c>
      <c r="S136">
        <f>TRUNC(VLOOKUP(P136,'Color codes'!$A:$E,3,FALSE)*(0.25 + 0.75*Q136/40))</f>
        <v>63</v>
      </c>
      <c r="T136">
        <f>TRUNC(VLOOKUP(P136,'Color codes'!$A:$E,4,FALSE)*(0.25 + 0.75*Q136/40))</f>
        <v>104</v>
      </c>
      <c r="U136">
        <f>TRUNC(VLOOKUP(P136,'Color codes'!$A:$E,5,FALSE)*(0.25 + 0.75*Q136/40))</f>
        <v>150</v>
      </c>
      <c r="V136" t="b">
        <f t="shared" si="8"/>
        <v>1</v>
      </c>
    </row>
    <row r="137" spans="1:22" x14ac:dyDescent="0.25">
      <c r="A137" t="s">
        <v>19</v>
      </c>
      <c r="B137" t="s">
        <v>15</v>
      </c>
      <c r="C137">
        <v>3</v>
      </c>
      <c r="D137">
        <v>100</v>
      </c>
      <c r="E137">
        <v>25600</v>
      </c>
      <c r="F137" t="str">
        <f t="shared" si="9"/>
        <v>tree256_blurkernel7_3_100_25600</v>
      </c>
      <c r="G137">
        <f>IFERROR(VLOOKUP(F137,SROU03!$F:$H,2,FALSE),0)</f>
        <v>25.908075</v>
      </c>
      <c r="H137">
        <f>IFERROR(VLOOKUP(F137,SROU03!$F:$H,3,FALSE),0)</f>
        <v>3.3938790000000001</v>
      </c>
      <c r="I137">
        <v>3.3630859999999999E-3</v>
      </c>
      <c r="J137">
        <v>9.1710000000000008E-6</v>
      </c>
      <c r="K137">
        <v>10.6533</v>
      </c>
      <c r="L137">
        <v>12.2722</v>
      </c>
      <c r="M137">
        <f>IFERROR(VLOOKUP(F137,TICO09!$F:$O,8,FALSE),0)</f>
        <v>12.593299999999999</v>
      </c>
      <c r="N137">
        <f>IFERROR(VLOOKUP(F137,SROU03!$F:$O,9,FALSE),0)</f>
        <v>17.1555</v>
      </c>
      <c r="O137">
        <v>12.5762</v>
      </c>
      <c r="P137" t="str">
        <f t="shared" si="10"/>
        <v>SROU03</v>
      </c>
      <c r="Q137">
        <f t="shared" si="11"/>
        <v>17.1555</v>
      </c>
      <c r="R137">
        <f>VLOOKUP(P137,'Color codes'!$A:$B,2,FALSE)</f>
        <v>3</v>
      </c>
      <c r="S137">
        <f>TRUNC(VLOOKUP(P137,'Color codes'!$A:$E,3,FALSE)*(0.25 + 0.75*Q137/40))</f>
        <v>61</v>
      </c>
      <c r="T137">
        <f>TRUNC(VLOOKUP(P137,'Color codes'!$A:$E,4,FALSE)*(0.25 + 0.75*Q137/40))</f>
        <v>100</v>
      </c>
      <c r="U137">
        <f>TRUNC(VLOOKUP(P137,'Color codes'!$A:$E,5,FALSE)*(0.25 + 0.75*Q137/40))</f>
        <v>145</v>
      </c>
      <c r="V137" t="b">
        <f t="shared" si="8"/>
        <v>1</v>
      </c>
    </row>
    <row r="138" spans="1:22" x14ac:dyDescent="0.25">
      <c r="A138" t="s">
        <v>19</v>
      </c>
      <c r="B138" t="s">
        <v>15</v>
      </c>
      <c r="C138">
        <v>7</v>
      </c>
      <c r="D138">
        <v>100</v>
      </c>
      <c r="E138">
        <v>200</v>
      </c>
      <c r="F138" t="str">
        <f t="shared" si="9"/>
        <v>tree256_blurkernel7_7_100_200</v>
      </c>
      <c r="G138">
        <f>IFERROR(VLOOKUP(F138,SROU03!$F:$H,2,FALSE),0)</f>
        <v>49.406202999999998</v>
      </c>
      <c r="H138">
        <f>IFERROR(VLOOKUP(F138,SROU03!$F:$H,3,FALSE),0)</f>
        <v>10.327904999999999</v>
      </c>
      <c r="I138">
        <v>1.9942999999999999E-5</v>
      </c>
      <c r="J138">
        <v>9.0890000000000006E-6</v>
      </c>
      <c r="K138">
        <v>32.584899999999998</v>
      </c>
      <c r="L138">
        <v>6.8818999999999999</v>
      </c>
      <c r="M138">
        <f>IFERROR(VLOOKUP(F138,TICO09!$F:$O,8,FALSE),0)</f>
        <v>12.1646</v>
      </c>
      <c r="N138">
        <f>IFERROR(VLOOKUP(F138,SROU03!$F:$O,9,FALSE),0)</f>
        <v>31.498699999999999</v>
      </c>
      <c r="O138">
        <v>32.6</v>
      </c>
      <c r="P138" t="str">
        <f t="shared" si="10"/>
        <v>BM3D</v>
      </c>
      <c r="Q138">
        <f t="shared" si="11"/>
        <v>32.6</v>
      </c>
      <c r="R138">
        <f>VLOOKUP(P138,'Color codes'!$A:$B,2,FALSE)</f>
        <v>1</v>
      </c>
      <c r="S138">
        <f>TRUNC(VLOOKUP(P138,'Color codes'!$A:$E,3,FALSE)*(0.25 + 0.75*Q138/40))</f>
        <v>219</v>
      </c>
      <c r="T138">
        <f>TRUNC(VLOOKUP(P138,'Color codes'!$A:$E,4,FALSE)*(0.25 + 0.75*Q138/40))</f>
        <v>92</v>
      </c>
      <c r="U138">
        <f>TRUNC(VLOOKUP(P138,'Color codes'!$A:$E,5,FALSE)*(0.25 + 0.75*Q138/40))</f>
        <v>89</v>
      </c>
      <c r="V138" t="b">
        <f t="shared" si="8"/>
        <v>1</v>
      </c>
    </row>
    <row r="139" spans="1:22" x14ac:dyDescent="0.25">
      <c r="A139" t="s">
        <v>19</v>
      </c>
      <c r="B139" t="s">
        <v>15</v>
      </c>
      <c r="C139">
        <v>7</v>
      </c>
      <c r="D139">
        <v>100</v>
      </c>
      <c r="E139">
        <v>400</v>
      </c>
      <c r="F139" t="str">
        <f t="shared" si="9"/>
        <v>tree256_blurkernel7_7_100_400</v>
      </c>
      <c r="G139">
        <f>IFERROR(VLOOKUP(F139,SROU03!$F:$H,2,FALSE),0)</f>
        <v>35.862299999999998</v>
      </c>
      <c r="H139">
        <f>IFERROR(VLOOKUP(F139,SROU03!$F:$H,3,FALSE),0)</f>
        <v>9.4055619999999998</v>
      </c>
      <c r="I139">
        <v>4.1440999999999998E-5</v>
      </c>
      <c r="J139">
        <v>9.0890000000000006E-6</v>
      </c>
      <c r="K139">
        <v>29.409099999999999</v>
      </c>
      <c r="L139">
        <v>6.8818999999999999</v>
      </c>
      <c r="M139">
        <f>IFERROR(VLOOKUP(F139,TICO09!$F:$O,8,FALSE),0)</f>
        <v>12.154</v>
      </c>
      <c r="N139">
        <f>IFERROR(VLOOKUP(F139,SROU03!$F:$O,9,FALSE),0)</f>
        <v>28.481400000000001</v>
      </c>
      <c r="O139">
        <v>29.4392</v>
      </c>
      <c r="P139" t="str">
        <f t="shared" si="10"/>
        <v>BM3D</v>
      </c>
      <c r="Q139">
        <f t="shared" si="11"/>
        <v>29.4392</v>
      </c>
      <c r="R139">
        <f>VLOOKUP(P139,'Color codes'!$A:$B,2,FALSE)</f>
        <v>1</v>
      </c>
      <c r="S139">
        <f>TRUNC(VLOOKUP(P139,'Color codes'!$A:$E,3,FALSE)*(0.25 + 0.75*Q139/40))</f>
        <v>204</v>
      </c>
      <c r="T139">
        <f>TRUNC(VLOOKUP(P139,'Color codes'!$A:$E,4,FALSE)*(0.25 + 0.75*Q139/40))</f>
        <v>85</v>
      </c>
      <c r="U139">
        <f>TRUNC(VLOOKUP(P139,'Color codes'!$A:$E,5,FALSE)*(0.25 + 0.75*Q139/40))</f>
        <v>83</v>
      </c>
      <c r="V139" t="b">
        <f t="shared" si="8"/>
        <v>0</v>
      </c>
    </row>
    <row r="140" spans="1:22" x14ac:dyDescent="0.25">
      <c r="A140" t="s">
        <v>19</v>
      </c>
      <c r="B140" t="s">
        <v>15</v>
      </c>
      <c r="C140">
        <v>7</v>
      </c>
      <c r="D140">
        <v>100</v>
      </c>
      <c r="E140">
        <v>800</v>
      </c>
      <c r="F140" t="str">
        <f t="shared" si="9"/>
        <v>tree256_blurkernel7_7_100_800</v>
      </c>
      <c r="G140">
        <f>IFERROR(VLOOKUP(F140,SROU03!$F:$H,2,FALSE),0)</f>
        <v>27.342047999999998</v>
      </c>
      <c r="H140">
        <f>IFERROR(VLOOKUP(F140,SROU03!$F:$H,3,FALSE),0)</f>
        <v>8.9453029999999991</v>
      </c>
      <c r="I140">
        <v>8.4717999999999998E-5</v>
      </c>
      <c r="J140">
        <v>9.0890000000000006E-6</v>
      </c>
      <c r="K140">
        <v>26.310300000000002</v>
      </c>
      <c r="L140">
        <v>6.8818999999999999</v>
      </c>
      <c r="M140">
        <f>IFERROR(VLOOKUP(F140,TICO09!$F:$O,8,FALSE),0)</f>
        <v>12.0977</v>
      </c>
      <c r="N140">
        <f>IFERROR(VLOOKUP(F140,SROU03!$F:$O,9,FALSE),0)</f>
        <v>25.628399999999999</v>
      </c>
      <c r="O140">
        <v>26.398700000000002</v>
      </c>
      <c r="P140" t="str">
        <f t="shared" si="10"/>
        <v>BM3D</v>
      </c>
      <c r="Q140">
        <f t="shared" si="11"/>
        <v>26.398700000000002</v>
      </c>
      <c r="R140">
        <f>VLOOKUP(P140,'Color codes'!$A:$B,2,FALSE)</f>
        <v>1</v>
      </c>
      <c r="S140">
        <f>TRUNC(VLOOKUP(P140,'Color codes'!$A:$E,3,FALSE)*(0.25 + 0.75*Q140/40))</f>
        <v>189</v>
      </c>
      <c r="T140">
        <f>TRUNC(VLOOKUP(P140,'Color codes'!$A:$E,4,FALSE)*(0.25 + 0.75*Q140/40))</f>
        <v>79</v>
      </c>
      <c r="U140">
        <f>TRUNC(VLOOKUP(P140,'Color codes'!$A:$E,5,FALSE)*(0.25 + 0.75*Q140/40))</f>
        <v>77</v>
      </c>
      <c r="V140" t="b">
        <f t="shared" si="8"/>
        <v>0</v>
      </c>
    </row>
    <row r="141" spans="1:22" x14ac:dyDescent="0.25">
      <c r="A141" t="s">
        <v>19</v>
      </c>
      <c r="B141" t="s">
        <v>15</v>
      </c>
      <c r="C141">
        <v>7</v>
      </c>
      <c r="D141">
        <v>100</v>
      </c>
      <c r="E141">
        <v>1600</v>
      </c>
      <c r="F141" t="str">
        <f t="shared" si="9"/>
        <v>tree256_blurkernel7_7_100_1600</v>
      </c>
      <c r="G141">
        <f>IFERROR(VLOOKUP(F141,SROU03!$F:$H,2,FALSE),0)</f>
        <v>21.849395000000001</v>
      </c>
      <c r="H141">
        <f>IFERROR(VLOOKUP(F141,SROU03!$F:$H,3,FALSE),0)</f>
        <v>8.7077360000000006</v>
      </c>
      <c r="I141">
        <v>1.70917E-4</v>
      </c>
      <c r="J141">
        <v>9.0890000000000006E-6</v>
      </c>
      <c r="K141">
        <v>23.265899999999998</v>
      </c>
      <c r="L141">
        <v>6.8818999999999999</v>
      </c>
      <c r="M141">
        <f>IFERROR(VLOOKUP(F141,TICO09!$F:$O,8,FALSE),0)</f>
        <v>12.029400000000001</v>
      </c>
      <c r="N141">
        <f>IFERROR(VLOOKUP(F141,SROU03!$F:$O,9,FALSE),0)</f>
        <v>22.652899999999999</v>
      </c>
      <c r="O141">
        <v>23.436499999999999</v>
      </c>
      <c r="P141" t="str">
        <f t="shared" si="10"/>
        <v>BM3D</v>
      </c>
      <c r="Q141">
        <f t="shared" si="11"/>
        <v>23.436499999999999</v>
      </c>
      <c r="R141">
        <f>VLOOKUP(P141,'Color codes'!$A:$B,2,FALSE)</f>
        <v>1</v>
      </c>
      <c r="S141">
        <f>TRUNC(VLOOKUP(P141,'Color codes'!$A:$E,3,FALSE)*(0.25 + 0.75*Q141/40))</f>
        <v>175</v>
      </c>
      <c r="T141">
        <f>TRUNC(VLOOKUP(P141,'Color codes'!$A:$E,4,FALSE)*(0.25 + 0.75*Q141/40))</f>
        <v>73</v>
      </c>
      <c r="U141">
        <f>TRUNC(VLOOKUP(P141,'Color codes'!$A:$E,5,FALSE)*(0.25 + 0.75*Q141/40))</f>
        <v>71</v>
      </c>
      <c r="V141" t="b">
        <f t="shared" si="8"/>
        <v>0</v>
      </c>
    </row>
    <row r="142" spans="1:22" x14ac:dyDescent="0.25">
      <c r="A142" t="s">
        <v>19</v>
      </c>
      <c r="B142" t="s">
        <v>15</v>
      </c>
      <c r="C142">
        <v>7</v>
      </c>
      <c r="D142">
        <v>100</v>
      </c>
      <c r="E142">
        <v>3200</v>
      </c>
      <c r="F142" t="str">
        <f t="shared" si="9"/>
        <v>tree256_blurkernel7_7_100_3200</v>
      </c>
      <c r="G142">
        <f>IFERROR(VLOOKUP(F142,SROU03!$F:$H,2,FALSE),0)</f>
        <v>18.509038</v>
      </c>
      <c r="H142">
        <f>IFERROR(VLOOKUP(F142,SROU03!$F:$H,3,FALSE),0)</f>
        <v>8.5949989999999996</v>
      </c>
      <c r="I142">
        <v>3.47993E-4</v>
      </c>
      <c r="J142">
        <v>9.0890000000000006E-6</v>
      </c>
      <c r="K142">
        <v>20.1965</v>
      </c>
      <c r="L142">
        <v>6.8818999999999999</v>
      </c>
      <c r="M142">
        <f>IFERROR(VLOOKUP(F142,TICO09!$F:$O,8,FALSE),0)</f>
        <v>11.8164</v>
      </c>
      <c r="N142">
        <f>IFERROR(VLOOKUP(F142,SROU03!$F:$O,9,FALSE),0)</f>
        <v>19.8779</v>
      </c>
      <c r="O142">
        <v>20.5701</v>
      </c>
      <c r="P142" t="str">
        <f t="shared" si="10"/>
        <v>BM3D</v>
      </c>
      <c r="Q142">
        <f t="shared" si="11"/>
        <v>20.5701</v>
      </c>
      <c r="R142">
        <f>VLOOKUP(P142,'Color codes'!$A:$B,2,FALSE)</f>
        <v>1</v>
      </c>
      <c r="S142">
        <f>TRUNC(VLOOKUP(P142,'Color codes'!$A:$E,3,FALSE)*(0.25 + 0.75*Q142/40))</f>
        <v>162</v>
      </c>
      <c r="T142">
        <f>TRUNC(VLOOKUP(P142,'Color codes'!$A:$E,4,FALSE)*(0.25 + 0.75*Q142/40))</f>
        <v>68</v>
      </c>
      <c r="U142">
        <f>TRUNC(VLOOKUP(P142,'Color codes'!$A:$E,5,FALSE)*(0.25 + 0.75*Q142/40))</f>
        <v>66</v>
      </c>
      <c r="V142" t="b">
        <f t="shared" si="8"/>
        <v>0</v>
      </c>
    </row>
    <row r="143" spans="1:22" x14ac:dyDescent="0.25">
      <c r="A143" t="s">
        <v>19</v>
      </c>
      <c r="B143" t="s">
        <v>15</v>
      </c>
      <c r="C143">
        <v>7</v>
      </c>
      <c r="D143">
        <v>100</v>
      </c>
      <c r="E143">
        <v>6400</v>
      </c>
      <c r="F143" t="str">
        <f t="shared" si="9"/>
        <v>tree256_blurkernel7_7_100_6400</v>
      </c>
      <c r="G143">
        <f>IFERROR(VLOOKUP(F143,SROU03!$F:$H,2,FALSE),0)</f>
        <v>16.532527000000002</v>
      </c>
      <c r="H143">
        <f>IFERROR(VLOOKUP(F143,SROU03!$F:$H,3,FALSE),0)</f>
        <v>8.5453849999999996</v>
      </c>
      <c r="I143">
        <v>7.13304E-4</v>
      </c>
      <c r="J143">
        <v>9.0890000000000006E-6</v>
      </c>
      <c r="K143">
        <v>17.1157</v>
      </c>
      <c r="L143">
        <v>6.8818999999999999</v>
      </c>
      <c r="M143">
        <f>IFERROR(VLOOKUP(F143,TICO09!$F:$O,8,FALSE),0)</f>
        <v>11.5509</v>
      </c>
      <c r="N143">
        <f>IFERROR(VLOOKUP(F143,SROU03!$F:$O,9,FALSE),0)</f>
        <v>17.152000000000001</v>
      </c>
      <c r="O143">
        <v>17.777799999999999</v>
      </c>
      <c r="P143" t="str">
        <f t="shared" si="10"/>
        <v>BM3D</v>
      </c>
      <c r="Q143">
        <f t="shared" si="11"/>
        <v>17.777799999999999</v>
      </c>
      <c r="R143">
        <f>VLOOKUP(P143,'Color codes'!$A:$B,2,FALSE)</f>
        <v>1</v>
      </c>
      <c r="S143">
        <f>TRUNC(VLOOKUP(P143,'Color codes'!$A:$E,3,FALSE)*(0.25 + 0.75*Q143/40))</f>
        <v>148</v>
      </c>
      <c r="T143">
        <f>TRUNC(VLOOKUP(P143,'Color codes'!$A:$E,4,FALSE)*(0.25 + 0.75*Q143/40))</f>
        <v>62</v>
      </c>
      <c r="U143">
        <f>TRUNC(VLOOKUP(P143,'Color codes'!$A:$E,5,FALSE)*(0.25 + 0.75*Q143/40))</f>
        <v>60</v>
      </c>
      <c r="V143" t="b">
        <f t="shared" si="8"/>
        <v>0</v>
      </c>
    </row>
    <row r="144" spans="1:22" x14ac:dyDescent="0.25">
      <c r="A144" t="s">
        <v>19</v>
      </c>
      <c r="B144" t="s">
        <v>15</v>
      </c>
      <c r="C144">
        <v>7</v>
      </c>
      <c r="D144">
        <v>100</v>
      </c>
      <c r="E144">
        <v>12800</v>
      </c>
      <c r="F144" t="str">
        <f t="shared" si="9"/>
        <v>tree256_blurkernel7_7_100_12800</v>
      </c>
      <c r="G144">
        <f>IFERROR(VLOOKUP(F144,SROU03!$F:$H,2,FALSE),0)</f>
        <v>15.246983</v>
      </c>
      <c r="H144">
        <f>IFERROR(VLOOKUP(F144,SROU03!$F:$H,3,FALSE),0)</f>
        <v>8.5299990000000001</v>
      </c>
      <c r="I144">
        <v>1.5060150000000001E-3</v>
      </c>
      <c r="J144">
        <v>9.0890000000000006E-6</v>
      </c>
      <c r="K144">
        <v>13.959199999999999</v>
      </c>
      <c r="L144">
        <v>6.8818999999999999</v>
      </c>
      <c r="M144">
        <f>IFERROR(VLOOKUP(F144,TICO09!$F:$O,8,FALSE),0)</f>
        <v>11.0764</v>
      </c>
      <c r="N144">
        <f>IFERROR(VLOOKUP(F144,SROU03!$F:$O,9,FALSE),0)</f>
        <v>14.625</v>
      </c>
      <c r="O144">
        <v>15.127800000000001</v>
      </c>
      <c r="P144" t="str">
        <f t="shared" si="10"/>
        <v>BM3D</v>
      </c>
      <c r="Q144">
        <f t="shared" si="11"/>
        <v>15.127800000000001</v>
      </c>
      <c r="R144">
        <f>VLOOKUP(P144,'Color codes'!$A:$B,2,FALSE)</f>
        <v>1</v>
      </c>
      <c r="S144">
        <f>TRUNC(VLOOKUP(P144,'Color codes'!$A:$E,3,FALSE)*(0.25 + 0.75*Q144/40))</f>
        <v>136</v>
      </c>
      <c r="T144">
        <f>TRUNC(VLOOKUP(P144,'Color codes'!$A:$E,4,FALSE)*(0.25 + 0.75*Q144/40))</f>
        <v>57</v>
      </c>
      <c r="U144">
        <f>TRUNC(VLOOKUP(P144,'Color codes'!$A:$E,5,FALSE)*(0.25 + 0.75*Q144/40))</f>
        <v>55</v>
      </c>
      <c r="V144" t="b">
        <f t="shared" si="8"/>
        <v>0</v>
      </c>
    </row>
    <row r="145" spans="1:22" x14ac:dyDescent="0.25">
      <c r="A145" t="s">
        <v>19</v>
      </c>
      <c r="B145" t="s">
        <v>15</v>
      </c>
      <c r="C145">
        <v>7</v>
      </c>
      <c r="D145">
        <v>100</v>
      </c>
      <c r="E145">
        <v>25600</v>
      </c>
      <c r="F145" t="str">
        <f t="shared" si="9"/>
        <v>tree256_blurkernel7_7_100_25600</v>
      </c>
      <c r="G145">
        <f>IFERROR(VLOOKUP(F145,SROU03!$F:$H,2,FALSE),0)</f>
        <v>14.319034</v>
      </c>
      <c r="H145">
        <f>IFERROR(VLOOKUP(F145,SROU03!$F:$H,3,FALSE),0)</f>
        <v>8.5343140000000002</v>
      </c>
      <c r="I145">
        <v>3.323108E-3</v>
      </c>
      <c r="J145">
        <v>9.0890000000000006E-6</v>
      </c>
      <c r="K145">
        <v>10.6983</v>
      </c>
      <c r="L145">
        <v>6.8818999999999999</v>
      </c>
      <c r="M145">
        <f>IFERROR(VLOOKUP(F145,TICO09!$F:$O,8,FALSE),0)</f>
        <v>10.2966</v>
      </c>
      <c r="N145">
        <f>IFERROR(VLOOKUP(F145,SROU03!$F:$O,9,FALSE),0)</f>
        <v>12.8811</v>
      </c>
      <c r="O145">
        <v>12.599299999999999</v>
      </c>
      <c r="P145" t="str">
        <f t="shared" si="10"/>
        <v>SROU03</v>
      </c>
      <c r="Q145">
        <f t="shared" si="11"/>
        <v>12.8811</v>
      </c>
      <c r="R145">
        <f>VLOOKUP(P145,'Color codes'!$A:$B,2,FALSE)</f>
        <v>3</v>
      </c>
      <c r="S145">
        <f>TRUNC(VLOOKUP(P145,'Color codes'!$A:$E,3,FALSE)*(0.25 + 0.75*Q145/40))</f>
        <v>52</v>
      </c>
      <c r="T145">
        <f>TRUNC(VLOOKUP(P145,'Color codes'!$A:$E,4,FALSE)*(0.25 + 0.75*Q145/40))</f>
        <v>86</v>
      </c>
      <c r="U145">
        <f>TRUNC(VLOOKUP(P145,'Color codes'!$A:$E,5,FALSE)*(0.25 + 0.75*Q145/40))</f>
        <v>125</v>
      </c>
      <c r="V145" t="b">
        <f t="shared" si="8"/>
        <v>0</v>
      </c>
    </row>
    <row r="146" spans="1:22" x14ac:dyDescent="0.25">
      <c r="A146" t="s">
        <v>19</v>
      </c>
      <c r="B146" t="s">
        <v>15</v>
      </c>
      <c r="C146">
        <v>15</v>
      </c>
      <c r="D146">
        <v>100</v>
      </c>
      <c r="E146">
        <v>200</v>
      </c>
      <c r="F146" t="str">
        <f t="shared" si="9"/>
        <v>tree256_blurkernel7_15_100_200</v>
      </c>
      <c r="G146">
        <f>IFERROR(VLOOKUP(F146,SROU03!$F:$H,2,FALSE),0)</f>
        <v>48.107805999999997</v>
      </c>
      <c r="H146">
        <f>IFERROR(VLOOKUP(F146,SROU03!$F:$H,3,FALSE),0)</f>
        <v>22.660655999999999</v>
      </c>
      <c r="I146">
        <v>1.9777999999999999E-5</v>
      </c>
      <c r="J146">
        <v>9.0189999999999995E-6</v>
      </c>
      <c r="K146">
        <v>32.620199999999997</v>
      </c>
      <c r="L146">
        <v>3.9243000000000001</v>
      </c>
      <c r="M146">
        <f>IFERROR(VLOOKUP(F146,TICO09!$F:$O,8,FALSE),0)</f>
        <v>13.518700000000001</v>
      </c>
      <c r="N146">
        <f>IFERROR(VLOOKUP(F146,SROU03!$F:$O,9,FALSE),0)</f>
        <v>31.291699999999999</v>
      </c>
      <c r="O146">
        <v>32.631700000000002</v>
      </c>
      <c r="P146" t="str">
        <f t="shared" si="10"/>
        <v>BM3D</v>
      </c>
      <c r="Q146">
        <f t="shared" si="11"/>
        <v>32.631700000000002</v>
      </c>
      <c r="R146">
        <f>VLOOKUP(P146,'Color codes'!$A:$B,2,FALSE)</f>
        <v>1</v>
      </c>
      <c r="S146">
        <f>TRUNC(VLOOKUP(P146,'Color codes'!$A:$E,3,FALSE)*(0.25 + 0.75*Q146/40))</f>
        <v>219</v>
      </c>
      <c r="T146">
        <f>TRUNC(VLOOKUP(P146,'Color codes'!$A:$E,4,FALSE)*(0.25 + 0.75*Q146/40))</f>
        <v>92</v>
      </c>
      <c r="U146">
        <f>TRUNC(VLOOKUP(P146,'Color codes'!$A:$E,5,FALSE)*(0.25 + 0.75*Q146/40))</f>
        <v>89</v>
      </c>
      <c r="V146" t="b">
        <f t="shared" si="8"/>
        <v>1</v>
      </c>
    </row>
    <row r="147" spans="1:22" x14ac:dyDescent="0.25">
      <c r="A147" t="s">
        <v>19</v>
      </c>
      <c r="B147" t="s">
        <v>15</v>
      </c>
      <c r="C147">
        <v>15</v>
      </c>
      <c r="D147">
        <v>100</v>
      </c>
      <c r="E147">
        <v>400</v>
      </c>
      <c r="F147" t="str">
        <f t="shared" si="9"/>
        <v>tree256_blurkernel7_15_100_400</v>
      </c>
      <c r="G147">
        <f>IFERROR(VLOOKUP(F147,SROU03!$F:$H,2,FALSE),0)</f>
        <v>34.001404999999998</v>
      </c>
      <c r="H147">
        <f>IFERROR(VLOOKUP(F147,SROU03!$F:$H,3,FALSE),0)</f>
        <v>20.682673999999999</v>
      </c>
      <c r="I147">
        <v>4.1619000000000003E-5</v>
      </c>
      <c r="J147">
        <v>9.0189999999999995E-6</v>
      </c>
      <c r="K147">
        <v>29.392399999999999</v>
      </c>
      <c r="L147">
        <v>3.9243000000000001</v>
      </c>
      <c r="M147">
        <f>IFERROR(VLOOKUP(F147,TICO09!$F:$O,8,FALSE),0)</f>
        <v>13.4734</v>
      </c>
      <c r="N147">
        <f>IFERROR(VLOOKUP(F147,SROU03!$F:$O,9,FALSE),0)</f>
        <v>28.314800000000002</v>
      </c>
      <c r="O147">
        <v>29.427199999999999</v>
      </c>
      <c r="P147" t="str">
        <f t="shared" si="10"/>
        <v>BM3D</v>
      </c>
      <c r="Q147">
        <f t="shared" si="11"/>
        <v>29.427199999999999</v>
      </c>
      <c r="R147">
        <f>VLOOKUP(P147,'Color codes'!$A:$B,2,FALSE)</f>
        <v>1</v>
      </c>
      <c r="S147">
        <f>TRUNC(VLOOKUP(P147,'Color codes'!$A:$E,3,FALSE)*(0.25 + 0.75*Q147/40))</f>
        <v>204</v>
      </c>
      <c r="T147">
        <f>TRUNC(VLOOKUP(P147,'Color codes'!$A:$E,4,FALSE)*(0.25 + 0.75*Q147/40))</f>
        <v>85</v>
      </c>
      <c r="U147">
        <f>TRUNC(VLOOKUP(P147,'Color codes'!$A:$E,5,FALSE)*(0.25 + 0.75*Q147/40))</f>
        <v>83</v>
      </c>
      <c r="V147" t="b">
        <f t="shared" si="8"/>
        <v>1</v>
      </c>
    </row>
    <row r="148" spans="1:22" x14ac:dyDescent="0.25">
      <c r="A148" t="s">
        <v>19</v>
      </c>
      <c r="B148" t="s">
        <v>15</v>
      </c>
      <c r="C148">
        <v>15</v>
      </c>
      <c r="D148">
        <v>100</v>
      </c>
      <c r="E148">
        <v>800</v>
      </c>
      <c r="F148" t="str">
        <f t="shared" si="9"/>
        <v>tree256_blurkernel7_15_100_800</v>
      </c>
      <c r="G148">
        <f>IFERROR(VLOOKUP(F148,SROU03!$F:$H,2,FALSE),0)</f>
        <v>24.277318999999999</v>
      </c>
      <c r="H148">
        <f>IFERROR(VLOOKUP(F148,SROU03!$F:$H,3,FALSE),0)</f>
        <v>19.553874</v>
      </c>
      <c r="I148">
        <v>8.4210999999999997E-5</v>
      </c>
      <c r="J148">
        <v>9.0189999999999995E-6</v>
      </c>
      <c r="K148">
        <v>26.335699999999999</v>
      </c>
      <c r="L148">
        <v>3.9243000000000001</v>
      </c>
      <c r="M148">
        <f>IFERROR(VLOOKUP(F148,TICO09!$F:$O,8,FALSE),0)</f>
        <v>13.4048</v>
      </c>
      <c r="N148">
        <f>IFERROR(VLOOKUP(F148,SROU03!$F:$O,9,FALSE),0)</f>
        <v>25.3369</v>
      </c>
      <c r="O148">
        <v>26.427099999999999</v>
      </c>
      <c r="P148" t="str">
        <f t="shared" si="10"/>
        <v>BM3D</v>
      </c>
      <c r="Q148">
        <f t="shared" si="11"/>
        <v>26.427099999999999</v>
      </c>
      <c r="R148">
        <f>VLOOKUP(P148,'Color codes'!$A:$B,2,FALSE)</f>
        <v>1</v>
      </c>
      <c r="S148">
        <f>TRUNC(VLOOKUP(P148,'Color codes'!$A:$E,3,FALSE)*(0.25 + 0.75*Q148/40))</f>
        <v>190</v>
      </c>
      <c r="T148">
        <f>TRUNC(VLOOKUP(P148,'Color codes'!$A:$E,4,FALSE)*(0.25 + 0.75*Q148/40))</f>
        <v>79</v>
      </c>
      <c r="U148">
        <f>TRUNC(VLOOKUP(P148,'Color codes'!$A:$E,5,FALSE)*(0.25 + 0.75*Q148/40))</f>
        <v>77</v>
      </c>
      <c r="V148" t="b">
        <f t="shared" si="8"/>
        <v>1</v>
      </c>
    </row>
    <row r="149" spans="1:22" x14ac:dyDescent="0.25">
      <c r="A149" t="s">
        <v>19</v>
      </c>
      <c r="B149" t="s">
        <v>15</v>
      </c>
      <c r="C149">
        <v>15</v>
      </c>
      <c r="D149">
        <v>100</v>
      </c>
      <c r="E149">
        <v>1600</v>
      </c>
      <c r="F149" t="str">
        <f t="shared" si="9"/>
        <v>tree256_blurkernel7_15_100_1600</v>
      </c>
      <c r="G149">
        <f>IFERROR(VLOOKUP(F149,SROU03!$F:$H,2,FALSE),0)</f>
        <v>18.061159</v>
      </c>
      <c r="H149">
        <f>IFERROR(VLOOKUP(F149,SROU03!$F:$H,3,FALSE),0)</f>
        <v>19.096533000000001</v>
      </c>
      <c r="I149">
        <v>1.71965E-4</v>
      </c>
      <c r="J149">
        <v>9.0189999999999995E-6</v>
      </c>
      <c r="K149">
        <v>23.2407</v>
      </c>
      <c r="L149">
        <v>3.9243000000000001</v>
      </c>
      <c r="M149">
        <f>IFERROR(VLOOKUP(F149,TICO09!$F:$O,8,FALSE),0)</f>
        <v>13.2918</v>
      </c>
      <c r="N149">
        <f>IFERROR(VLOOKUP(F149,SROU03!$F:$O,9,FALSE),0)</f>
        <v>22.5745</v>
      </c>
      <c r="O149">
        <v>23.410299999999999</v>
      </c>
      <c r="P149" t="str">
        <f t="shared" si="10"/>
        <v>BM3D</v>
      </c>
      <c r="Q149">
        <f t="shared" si="11"/>
        <v>23.410299999999999</v>
      </c>
      <c r="R149">
        <f>VLOOKUP(P149,'Color codes'!$A:$B,2,FALSE)</f>
        <v>1</v>
      </c>
      <c r="S149">
        <f>TRUNC(VLOOKUP(P149,'Color codes'!$A:$E,3,FALSE)*(0.25 + 0.75*Q149/40))</f>
        <v>175</v>
      </c>
      <c r="T149">
        <f>TRUNC(VLOOKUP(P149,'Color codes'!$A:$E,4,FALSE)*(0.25 + 0.75*Q149/40))</f>
        <v>73</v>
      </c>
      <c r="U149">
        <f>TRUNC(VLOOKUP(P149,'Color codes'!$A:$E,5,FALSE)*(0.25 + 0.75*Q149/40))</f>
        <v>71</v>
      </c>
      <c r="V149" t="b">
        <f t="shared" si="8"/>
        <v>0</v>
      </c>
    </row>
    <row r="150" spans="1:22" x14ac:dyDescent="0.25">
      <c r="A150" t="s">
        <v>19</v>
      </c>
      <c r="B150" t="s">
        <v>15</v>
      </c>
      <c r="C150">
        <v>15</v>
      </c>
      <c r="D150">
        <v>100</v>
      </c>
      <c r="E150">
        <v>3200</v>
      </c>
      <c r="F150" t="str">
        <f t="shared" si="9"/>
        <v>tree256_blurkernel7_15_100_3200</v>
      </c>
      <c r="G150">
        <f>IFERROR(VLOOKUP(F150,SROU03!$F:$H,2,FALSE),0)</f>
        <v>13.969728</v>
      </c>
      <c r="H150">
        <f>IFERROR(VLOOKUP(F150,SROU03!$F:$H,3,FALSE),0)</f>
        <v>18.786611000000001</v>
      </c>
      <c r="I150">
        <v>3.4940500000000001E-4</v>
      </c>
      <c r="J150">
        <v>9.0189999999999995E-6</v>
      </c>
      <c r="K150">
        <v>20.176600000000001</v>
      </c>
      <c r="L150">
        <v>3.9243000000000001</v>
      </c>
      <c r="M150">
        <f>IFERROR(VLOOKUP(F150,TICO09!$F:$O,8,FALSE),0)</f>
        <v>13.065899999999999</v>
      </c>
      <c r="N150">
        <f>IFERROR(VLOOKUP(F150,SROU03!$F:$O,9,FALSE),0)</f>
        <v>19.9712</v>
      </c>
      <c r="O150">
        <v>20.551600000000001</v>
      </c>
      <c r="P150" t="str">
        <f t="shared" si="10"/>
        <v>BM3D</v>
      </c>
      <c r="Q150">
        <f t="shared" si="11"/>
        <v>20.551600000000001</v>
      </c>
      <c r="R150">
        <f>VLOOKUP(P150,'Color codes'!$A:$B,2,FALSE)</f>
        <v>1</v>
      </c>
      <c r="S150">
        <f>TRUNC(VLOOKUP(P150,'Color codes'!$A:$E,3,FALSE)*(0.25 + 0.75*Q150/40))</f>
        <v>162</v>
      </c>
      <c r="T150">
        <f>TRUNC(VLOOKUP(P150,'Color codes'!$A:$E,4,FALSE)*(0.25 + 0.75*Q150/40))</f>
        <v>67</v>
      </c>
      <c r="U150">
        <f>TRUNC(VLOOKUP(P150,'Color codes'!$A:$E,5,FALSE)*(0.25 + 0.75*Q150/40))</f>
        <v>66</v>
      </c>
      <c r="V150" t="b">
        <f t="shared" si="8"/>
        <v>0</v>
      </c>
    </row>
    <row r="151" spans="1:22" x14ac:dyDescent="0.25">
      <c r="A151" t="s">
        <v>19</v>
      </c>
      <c r="B151" t="s">
        <v>15</v>
      </c>
      <c r="C151">
        <v>15</v>
      </c>
      <c r="D151">
        <v>100</v>
      </c>
      <c r="E151">
        <v>6400</v>
      </c>
      <c r="F151" t="str">
        <f t="shared" si="9"/>
        <v>tree256_blurkernel7_15_100_6400</v>
      </c>
      <c r="G151">
        <f>IFERROR(VLOOKUP(F151,SROU03!$F:$H,2,FALSE),0)</f>
        <v>11.280551000000001</v>
      </c>
      <c r="H151">
        <f>IFERROR(VLOOKUP(F151,SROU03!$F:$H,3,FALSE),0)</f>
        <v>18.723314999999999</v>
      </c>
      <c r="I151">
        <v>7.2371299999999996E-4</v>
      </c>
      <c r="J151">
        <v>9.0189999999999995E-6</v>
      </c>
      <c r="K151">
        <v>17.049299999999999</v>
      </c>
      <c r="L151">
        <v>3.9243000000000001</v>
      </c>
      <c r="M151">
        <f>IFERROR(VLOOKUP(F151,TICO09!$F:$O,8,FALSE),0)</f>
        <v>12.6309</v>
      </c>
      <c r="N151">
        <f>IFERROR(VLOOKUP(F151,SROU03!$F:$O,9,FALSE),0)</f>
        <v>17.328299999999999</v>
      </c>
      <c r="O151">
        <v>17.7087</v>
      </c>
      <c r="P151" t="str">
        <f t="shared" si="10"/>
        <v>BM3D</v>
      </c>
      <c r="Q151">
        <f t="shared" si="11"/>
        <v>17.7087</v>
      </c>
      <c r="R151">
        <f>VLOOKUP(P151,'Color codes'!$A:$B,2,FALSE)</f>
        <v>1</v>
      </c>
      <c r="S151">
        <f>TRUNC(VLOOKUP(P151,'Color codes'!$A:$E,3,FALSE)*(0.25 + 0.75*Q151/40))</f>
        <v>148</v>
      </c>
      <c r="T151">
        <f>TRUNC(VLOOKUP(P151,'Color codes'!$A:$E,4,FALSE)*(0.25 + 0.75*Q151/40))</f>
        <v>62</v>
      </c>
      <c r="U151">
        <f>TRUNC(VLOOKUP(P151,'Color codes'!$A:$E,5,FALSE)*(0.25 + 0.75*Q151/40))</f>
        <v>60</v>
      </c>
      <c r="V151" t="b">
        <f t="shared" si="8"/>
        <v>0</v>
      </c>
    </row>
    <row r="152" spans="1:22" x14ac:dyDescent="0.25">
      <c r="A152" t="s">
        <v>19</v>
      </c>
      <c r="B152" t="s">
        <v>15</v>
      </c>
      <c r="C152">
        <v>15</v>
      </c>
      <c r="D152">
        <v>100</v>
      </c>
      <c r="E152">
        <v>12800</v>
      </c>
      <c r="F152" t="str">
        <f t="shared" si="9"/>
        <v>tree256_blurkernel7_15_100_12800</v>
      </c>
      <c r="G152">
        <f>IFERROR(VLOOKUP(F152,SROU03!$F:$H,2,FALSE),0)</f>
        <v>9.5204579999999996</v>
      </c>
      <c r="H152">
        <f>IFERROR(VLOOKUP(F152,SROU03!$F:$H,3,FALSE),0)</f>
        <v>18.613385999999998</v>
      </c>
      <c r="I152">
        <v>1.5226440000000001E-3</v>
      </c>
      <c r="J152">
        <v>9.0189999999999995E-6</v>
      </c>
      <c r="K152">
        <v>13.9001</v>
      </c>
      <c r="L152">
        <v>3.9243000000000001</v>
      </c>
      <c r="M152">
        <f>IFERROR(VLOOKUP(F152,TICO09!$F:$O,8,FALSE),0)</f>
        <v>11.841799999999999</v>
      </c>
      <c r="N152">
        <f>IFERROR(VLOOKUP(F152,SROU03!$F:$O,9,FALSE),0)</f>
        <v>14.965</v>
      </c>
      <c r="O152">
        <v>15.083500000000001</v>
      </c>
      <c r="P152" t="str">
        <f t="shared" si="10"/>
        <v>BM3D</v>
      </c>
      <c r="Q152">
        <f t="shared" si="11"/>
        <v>15.083500000000001</v>
      </c>
      <c r="R152">
        <f>VLOOKUP(P152,'Color codes'!$A:$B,2,FALSE)</f>
        <v>1</v>
      </c>
      <c r="S152">
        <f>TRUNC(VLOOKUP(P152,'Color codes'!$A:$E,3,FALSE)*(0.25 + 0.75*Q152/40))</f>
        <v>135</v>
      </c>
      <c r="T152">
        <f>TRUNC(VLOOKUP(P152,'Color codes'!$A:$E,4,FALSE)*(0.25 + 0.75*Q152/40))</f>
        <v>57</v>
      </c>
      <c r="U152">
        <f>TRUNC(VLOOKUP(P152,'Color codes'!$A:$E,5,FALSE)*(0.25 + 0.75*Q152/40))</f>
        <v>55</v>
      </c>
      <c r="V152" t="b">
        <f t="shared" si="8"/>
        <v>0</v>
      </c>
    </row>
    <row r="153" spans="1:22" x14ac:dyDescent="0.25">
      <c r="A153" t="s">
        <v>19</v>
      </c>
      <c r="B153" t="s">
        <v>15</v>
      </c>
      <c r="C153">
        <v>15</v>
      </c>
      <c r="D153">
        <v>100</v>
      </c>
      <c r="E153">
        <v>25600</v>
      </c>
      <c r="F153" t="str">
        <f t="shared" si="9"/>
        <v>tree256_blurkernel7_15_100_25600</v>
      </c>
      <c r="G153">
        <f>IFERROR(VLOOKUP(F153,SROU03!$F:$H,2,FALSE),0)</f>
        <v>8.3662840000000003</v>
      </c>
      <c r="H153">
        <f>IFERROR(VLOOKUP(F153,SROU03!$F:$H,3,FALSE),0)</f>
        <v>18.660152</v>
      </c>
      <c r="I153">
        <v>3.3492420000000001E-3</v>
      </c>
      <c r="J153">
        <v>9.0189999999999995E-6</v>
      </c>
      <c r="K153">
        <v>10.6693</v>
      </c>
      <c r="L153">
        <v>3.9243000000000001</v>
      </c>
      <c r="M153">
        <f>IFERROR(VLOOKUP(F153,TICO09!$F:$O,8,FALSE),0)</f>
        <v>10.8348</v>
      </c>
      <c r="N153">
        <f>IFERROR(VLOOKUP(F153,SROU03!$F:$O,9,FALSE),0)</f>
        <v>12.907500000000001</v>
      </c>
      <c r="O153">
        <v>12.614800000000001</v>
      </c>
      <c r="P153" t="str">
        <f t="shared" si="10"/>
        <v>SROU03</v>
      </c>
      <c r="Q153">
        <f t="shared" si="11"/>
        <v>12.907500000000001</v>
      </c>
      <c r="R153">
        <f>VLOOKUP(P153,'Color codes'!$A:$B,2,FALSE)</f>
        <v>3</v>
      </c>
      <c r="S153">
        <f>TRUNC(VLOOKUP(P153,'Color codes'!$A:$E,3,FALSE)*(0.25 + 0.75*Q153/40))</f>
        <v>52</v>
      </c>
      <c r="T153">
        <f>TRUNC(VLOOKUP(P153,'Color codes'!$A:$E,4,FALSE)*(0.25 + 0.75*Q153/40))</f>
        <v>86</v>
      </c>
      <c r="U153">
        <f>TRUNC(VLOOKUP(P153,'Color codes'!$A:$E,5,FALSE)*(0.25 + 0.75*Q153/40))</f>
        <v>125</v>
      </c>
      <c r="V153" t="b">
        <f t="shared" si="8"/>
        <v>0</v>
      </c>
    </row>
    <row r="154" spans="1:22" x14ac:dyDescent="0.25">
      <c r="A154" t="s">
        <v>19</v>
      </c>
      <c r="B154" t="s">
        <v>15</v>
      </c>
      <c r="C154">
        <v>31</v>
      </c>
      <c r="D154">
        <v>100</v>
      </c>
      <c r="E154">
        <v>200</v>
      </c>
      <c r="F154" t="str">
        <f t="shared" si="9"/>
        <v>tree256_blurkernel7_31_100_200</v>
      </c>
      <c r="G154">
        <f>IFERROR(VLOOKUP(F154,SROU03!$F:$H,2,FALSE),0)</f>
        <v>47.848211999999997</v>
      </c>
      <c r="H154">
        <f>IFERROR(VLOOKUP(F154,SROU03!$F:$H,3,FALSE),0)</f>
        <v>46.925899000000001</v>
      </c>
      <c r="I154">
        <v>1.9826E-5</v>
      </c>
      <c r="J154">
        <v>8.9879999999999993E-6</v>
      </c>
      <c r="K154">
        <v>32.610599999999998</v>
      </c>
      <c r="L154">
        <v>2.4209999999999998</v>
      </c>
      <c r="M154">
        <f>IFERROR(VLOOKUP(F154,TICO09!$F:$O,8,FALSE),0)</f>
        <v>13.8217</v>
      </c>
      <c r="N154">
        <f>IFERROR(VLOOKUP(F154,SROU03!$F:$O,9,FALSE),0)</f>
        <v>31.204499999999999</v>
      </c>
      <c r="O154">
        <v>32.621899999999997</v>
      </c>
      <c r="P154" t="str">
        <f t="shared" si="10"/>
        <v>BM3D</v>
      </c>
      <c r="Q154">
        <f t="shared" si="11"/>
        <v>32.621899999999997</v>
      </c>
      <c r="R154">
        <f>VLOOKUP(P154,'Color codes'!$A:$B,2,FALSE)</f>
        <v>1</v>
      </c>
      <c r="S154">
        <f>TRUNC(VLOOKUP(P154,'Color codes'!$A:$E,3,FALSE)*(0.25 + 0.75*Q154/40))</f>
        <v>219</v>
      </c>
      <c r="T154">
        <f>TRUNC(VLOOKUP(P154,'Color codes'!$A:$E,4,FALSE)*(0.25 + 0.75*Q154/40))</f>
        <v>92</v>
      </c>
      <c r="U154">
        <f>TRUNC(VLOOKUP(P154,'Color codes'!$A:$E,5,FALSE)*(0.25 + 0.75*Q154/40))</f>
        <v>89</v>
      </c>
      <c r="V154" t="b">
        <f t="shared" si="8"/>
        <v>1</v>
      </c>
    </row>
    <row r="155" spans="1:22" x14ac:dyDescent="0.25">
      <c r="A155" t="s">
        <v>19</v>
      </c>
      <c r="B155" t="s">
        <v>15</v>
      </c>
      <c r="C155">
        <v>31</v>
      </c>
      <c r="D155">
        <v>100</v>
      </c>
      <c r="E155">
        <v>400</v>
      </c>
      <c r="F155" t="str">
        <f t="shared" si="9"/>
        <v>tree256_blurkernel7_31_100_400</v>
      </c>
      <c r="G155">
        <f>IFERROR(VLOOKUP(F155,SROU03!$F:$H,2,FALSE),0)</f>
        <v>33.283107999999999</v>
      </c>
      <c r="H155">
        <f>IFERROR(VLOOKUP(F155,SROU03!$F:$H,3,FALSE),0)</f>
        <v>42.835003999999998</v>
      </c>
      <c r="I155">
        <v>4.087E-5</v>
      </c>
      <c r="J155">
        <v>8.9879999999999993E-6</v>
      </c>
      <c r="K155">
        <v>29.470600000000001</v>
      </c>
      <c r="L155">
        <v>2.4209999999999998</v>
      </c>
      <c r="M155">
        <f>IFERROR(VLOOKUP(F155,TICO09!$F:$O,8,FALSE),0)</f>
        <v>13.7784</v>
      </c>
      <c r="N155">
        <f>IFERROR(VLOOKUP(F155,SROU03!$F:$O,9,FALSE),0)</f>
        <v>28.108699999999999</v>
      </c>
      <c r="O155">
        <v>29.501899999999999</v>
      </c>
      <c r="P155" t="str">
        <f t="shared" si="10"/>
        <v>BM3D</v>
      </c>
      <c r="Q155">
        <f t="shared" si="11"/>
        <v>29.501899999999999</v>
      </c>
      <c r="R155">
        <f>VLOOKUP(P155,'Color codes'!$A:$B,2,FALSE)</f>
        <v>1</v>
      </c>
      <c r="S155">
        <f>TRUNC(VLOOKUP(P155,'Color codes'!$A:$E,3,FALSE)*(0.25 + 0.75*Q155/40))</f>
        <v>204</v>
      </c>
      <c r="T155">
        <f>TRUNC(VLOOKUP(P155,'Color codes'!$A:$E,4,FALSE)*(0.25 + 0.75*Q155/40))</f>
        <v>85</v>
      </c>
      <c r="U155">
        <f>TRUNC(VLOOKUP(P155,'Color codes'!$A:$E,5,FALSE)*(0.25 + 0.75*Q155/40))</f>
        <v>83</v>
      </c>
      <c r="V155" t="b">
        <f t="shared" si="8"/>
        <v>1</v>
      </c>
    </row>
    <row r="156" spans="1:22" x14ac:dyDescent="0.25">
      <c r="A156" t="s">
        <v>19</v>
      </c>
      <c r="B156" t="s">
        <v>15</v>
      </c>
      <c r="C156">
        <v>31</v>
      </c>
      <c r="D156">
        <v>100</v>
      </c>
      <c r="E156">
        <v>800</v>
      </c>
      <c r="F156" t="str">
        <f t="shared" si="9"/>
        <v>tree256_blurkernel7_31_100_800</v>
      </c>
      <c r="G156">
        <f>IFERROR(VLOOKUP(F156,SROU03!$F:$H,2,FALSE),0)</f>
        <v>23.657579999999999</v>
      </c>
      <c r="H156">
        <f>IFERROR(VLOOKUP(F156,SROU03!$F:$H,3,FALSE),0)</f>
        <v>40.429636000000002</v>
      </c>
      <c r="I156">
        <v>8.4773999999999998E-5</v>
      </c>
      <c r="J156">
        <v>8.9879999999999993E-6</v>
      </c>
      <c r="K156">
        <v>26.305399999999999</v>
      </c>
      <c r="L156">
        <v>2.4209999999999998</v>
      </c>
      <c r="M156">
        <f>IFERROR(VLOOKUP(F156,TICO09!$F:$O,8,FALSE),0)</f>
        <v>13.698600000000001</v>
      </c>
      <c r="N156">
        <f>IFERROR(VLOOKUP(F156,SROU03!$F:$O,9,FALSE),0)</f>
        <v>25.235099999999999</v>
      </c>
      <c r="O156">
        <v>26.4008</v>
      </c>
      <c r="P156" t="str">
        <f t="shared" si="10"/>
        <v>BM3D</v>
      </c>
      <c r="Q156">
        <f t="shared" si="11"/>
        <v>26.4008</v>
      </c>
      <c r="R156">
        <f>VLOOKUP(P156,'Color codes'!$A:$B,2,FALSE)</f>
        <v>1</v>
      </c>
      <c r="S156">
        <f>TRUNC(VLOOKUP(P156,'Color codes'!$A:$E,3,FALSE)*(0.25 + 0.75*Q156/40))</f>
        <v>189</v>
      </c>
      <c r="T156">
        <f>TRUNC(VLOOKUP(P156,'Color codes'!$A:$E,4,FALSE)*(0.25 + 0.75*Q156/40))</f>
        <v>79</v>
      </c>
      <c r="U156">
        <f>TRUNC(VLOOKUP(P156,'Color codes'!$A:$E,5,FALSE)*(0.25 + 0.75*Q156/40))</f>
        <v>77</v>
      </c>
      <c r="V156" t="b">
        <f t="shared" si="8"/>
        <v>1</v>
      </c>
    </row>
    <row r="157" spans="1:22" x14ac:dyDescent="0.25">
      <c r="A157" t="s">
        <v>19</v>
      </c>
      <c r="B157" t="s">
        <v>15</v>
      </c>
      <c r="C157">
        <v>31</v>
      </c>
      <c r="D157">
        <v>100</v>
      </c>
      <c r="E157">
        <v>1600</v>
      </c>
      <c r="F157" t="str">
        <f t="shared" si="9"/>
        <v>tree256_blurkernel7_31_100_1600</v>
      </c>
      <c r="G157">
        <f>IFERROR(VLOOKUP(F157,SROU03!$F:$H,2,FALSE),0)</f>
        <v>16.939806999999998</v>
      </c>
      <c r="H157">
        <f>IFERROR(VLOOKUP(F157,SROU03!$F:$H,3,FALSE),0)</f>
        <v>39.566312000000003</v>
      </c>
      <c r="I157">
        <v>1.7073899999999999E-4</v>
      </c>
      <c r="J157">
        <v>8.9879999999999993E-6</v>
      </c>
      <c r="K157">
        <v>23.272400000000001</v>
      </c>
      <c r="L157">
        <v>2.4209999999999998</v>
      </c>
      <c r="M157">
        <f>IFERROR(VLOOKUP(F157,TICO09!$F:$O,8,FALSE),0)</f>
        <v>13.5617</v>
      </c>
      <c r="N157">
        <f>IFERROR(VLOOKUP(F157,SROU03!$F:$O,9,FALSE),0)</f>
        <v>22.3002</v>
      </c>
      <c r="O157">
        <v>23.446899999999999</v>
      </c>
      <c r="P157" t="str">
        <f t="shared" si="10"/>
        <v>BM3D</v>
      </c>
      <c r="Q157">
        <f t="shared" si="11"/>
        <v>23.446899999999999</v>
      </c>
      <c r="R157">
        <f>VLOOKUP(P157,'Color codes'!$A:$B,2,FALSE)</f>
        <v>1</v>
      </c>
      <c r="S157">
        <f>TRUNC(VLOOKUP(P157,'Color codes'!$A:$E,3,FALSE)*(0.25 + 0.75*Q157/40))</f>
        <v>175</v>
      </c>
      <c r="T157">
        <f>TRUNC(VLOOKUP(P157,'Color codes'!$A:$E,4,FALSE)*(0.25 + 0.75*Q157/40))</f>
        <v>73</v>
      </c>
      <c r="U157">
        <f>TRUNC(VLOOKUP(P157,'Color codes'!$A:$E,5,FALSE)*(0.25 + 0.75*Q157/40))</f>
        <v>71</v>
      </c>
      <c r="V157" t="b">
        <f t="shared" si="8"/>
        <v>1</v>
      </c>
    </row>
    <row r="158" spans="1:22" x14ac:dyDescent="0.25">
      <c r="A158" t="s">
        <v>19</v>
      </c>
      <c r="B158" t="s">
        <v>15</v>
      </c>
      <c r="C158">
        <v>31</v>
      </c>
      <c r="D158">
        <v>100</v>
      </c>
      <c r="E158">
        <v>3200</v>
      </c>
      <c r="F158" t="str">
        <f t="shared" si="9"/>
        <v>tree256_blurkernel7_31_100_3200</v>
      </c>
      <c r="G158">
        <f>IFERROR(VLOOKUP(F158,SROU03!$F:$H,2,FALSE),0)</f>
        <v>12.403219</v>
      </c>
      <c r="H158">
        <f>IFERROR(VLOOKUP(F158,SROU03!$F:$H,3,FALSE),0)</f>
        <v>38.749129000000003</v>
      </c>
      <c r="I158">
        <v>3.4849600000000001E-4</v>
      </c>
      <c r="J158">
        <v>8.9879999999999993E-6</v>
      </c>
      <c r="K158">
        <v>20.187999999999999</v>
      </c>
      <c r="L158">
        <v>2.4209999999999998</v>
      </c>
      <c r="M158">
        <f>IFERROR(VLOOKUP(F158,TICO09!$F:$O,8,FALSE),0)</f>
        <v>13.363</v>
      </c>
      <c r="N158">
        <f>IFERROR(VLOOKUP(F158,SROU03!$F:$O,9,FALSE),0)</f>
        <v>19.5883</v>
      </c>
      <c r="O158">
        <v>20.558900000000001</v>
      </c>
      <c r="P158" t="str">
        <f t="shared" si="10"/>
        <v>BM3D</v>
      </c>
      <c r="Q158">
        <f t="shared" si="11"/>
        <v>20.558900000000001</v>
      </c>
      <c r="R158">
        <f>VLOOKUP(P158,'Color codes'!$A:$B,2,FALSE)</f>
        <v>1</v>
      </c>
      <c r="S158">
        <f>TRUNC(VLOOKUP(P158,'Color codes'!$A:$E,3,FALSE)*(0.25 + 0.75*Q158/40))</f>
        <v>162</v>
      </c>
      <c r="T158">
        <f>TRUNC(VLOOKUP(P158,'Color codes'!$A:$E,4,FALSE)*(0.25 + 0.75*Q158/40))</f>
        <v>67</v>
      </c>
      <c r="U158">
        <f>TRUNC(VLOOKUP(P158,'Color codes'!$A:$E,5,FALSE)*(0.25 + 0.75*Q158/40))</f>
        <v>66</v>
      </c>
      <c r="V158" t="b">
        <f t="shared" si="8"/>
        <v>0</v>
      </c>
    </row>
    <row r="159" spans="1:22" x14ac:dyDescent="0.25">
      <c r="A159" t="s">
        <v>19</v>
      </c>
      <c r="B159" t="s">
        <v>15</v>
      </c>
      <c r="C159">
        <v>31</v>
      </c>
      <c r="D159">
        <v>100</v>
      </c>
      <c r="E159">
        <v>6400</v>
      </c>
      <c r="F159" t="str">
        <f t="shared" si="9"/>
        <v>tree256_blurkernel7_31_100_6400</v>
      </c>
      <c r="G159">
        <f>IFERROR(VLOOKUP(F159,SROU03!$F:$H,2,FALSE),0)</f>
        <v>9.3260199999999998</v>
      </c>
      <c r="H159">
        <f>IFERROR(VLOOKUP(F159,SROU03!$F:$H,3,FALSE),0)</f>
        <v>38.738720000000001</v>
      </c>
      <c r="I159">
        <v>7.2265000000000003E-4</v>
      </c>
      <c r="J159">
        <v>8.9879999999999993E-6</v>
      </c>
      <c r="K159">
        <v>17.064599999999999</v>
      </c>
      <c r="L159">
        <v>2.4209999999999998</v>
      </c>
      <c r="M159">
        <f>IFERROR(VLOOKUP(F159,TICO09!$F:$O,8,FALSE),0)</f>
        <v>12.9275</v>
      </c>
      <c r="N159">
        <f>IFERROR(VLOOKUP(F159,SROU03!$F:$O,9,FALSE),0)</f>
        <v>16.9923</v>
      </c>
      <c r="O159">
        <v>17.7179</v>
      </c>
      <c r="P159" t="str">
        <f t="shared" si="10"/>
        <v>BM3D</v>
      </c>
      <c r="Q159">
        <f t="shared" si="11"/>
        <v>17.7179</v>
      </c>
      <c r="R159">
        <f>VLOOKUP(P159,'Color codes'!$A:$B,2,FALSE)</f>
        <v>1</v>
      </c>
      <c r="S159">
        <f>TRUNC(VLOOKUP(P159,'Color codes'!$A:$E,3,FALSE)*(0.25 + 0.75*Q159/40))</f>
        <v>148</v>
      </c>
      <c r="T159">
        <f>TRUNC(VLOOKUP(P159,'Color codes'!$A:$E,4,FALSE)*(0.25 + 0.75*Q159/40))</f>
        <v>62</v>
      </c>
      <c r="U159">
        <f>TRUNC(VLOOKUP(P159,'Color codes'!$A:$E,5,FALSE)*(0.25 + 0.75*Q159/40))</f>
        <v>60</v>
      </c>
      <c r="V159" t="b">
        <f t="shared" si="8"/>
        <v>0</v>
      </c>
    </row>
    <row r="160" spans="1:22" x14ac:dyDescent="0.25">
      <c r="A160" t="s">
        <v>19</v>
      </c>
      <c r="B160" t="s">
        <v>15</v>
      </c>
      <c r="C160">
        <v>31</v>
      </c>
      <c r="D160">
        <v>100</v>
      </c>
      <c r="E160">
        <v>12800</v>
      </c>
      <c r="F160" t="str">
        <f t="shared" si="9"/>
        <v>tree256_blurkernel7_31_100_12800</v>
      </c>
      <c r="G160">
        <f>IFERROR(VLOOKUP(F160,SROU03!$F:$H,2,FALSE),0)</f>
        <v>7.3145829999999998</v>
      </c>
      <c r="H160">
        <f>IFERROR(VLOOKUP(F160,SROU03!$F:$H,3,FALSE),0)</f>
        <v>38.338782000000002</v>
      </c>
      <c r="I160">
        <v>1.5186069999999999E-3</v>
      </c>
      <c r="J160">
        <v>8.9879999999999993E-6</v>
      </c>
      <c r="K160">
        <v>13.9095</v>
      </c>
      <c r="L160">
        <v>2.4209999999999998</v>
      </c>
      <c r="M160">
        <f>IFERROR(VLOOKUP(F160,TICO09!$F:$O,8,FALSE),0)</f>
        <v>12.157299999999999</v>
      </c>
      <c r="N160">
        <f>IFERROR(VLOOKUP(F160,SROU03!$F:$O,9,FALSE),0)</f>
        <v>14.7507</v>
      </c>
      <c r="O160">
        <v>15.0914</v>
      </c>
      <c r="P160" t="str">
        <f t="shared" si="10"/>
        <v>BM3D</v>
      </c>
      <c r="Q160">
        <f t="shared" si="11"/>
        <v>15.0914</v>
      </c>
      <c r="R160">
        <f>VLOOKUP(P160,'Color codes'!$A:$B,2,FALSE)</f>
        <v>1</v>
      </c>
      <c r="S160">
        <f>TRUNC(VLOOKUP(P160,'Color codes'!$A:$E,3,FALSE)*(0.25 + 0.75*Q160/40))</f>
        <v>135</v>
      </c>
      <c r="T160">
        <f>TRUNC(VLOOKUP(P160,'Color codes'!$A:$E,4,FALSE)*(0.25 + 0.75*Q160/40))</f>
        <v>57</v>
      </c>
      <c r="U160">
        <f>TRUNC(VLOOKUP(P160,'Color codes'!$A:$E,5,FALSE)*(0.25 + 0.75*Q160/40))</f>
        <v>55</v>
      </c>
      <c r="V160" t="b">
        <f t="shared" si="8"/>
        <v>0</v>
      </c>
    </row>
    <row r="161" spans="1:22" x14ac:dyDescent="0.25">
      <c r="A161" t="s">
        <v>19</v>
      </c>
      <c r="B161" t="s">
        <v>15</v>
      </c>
      <c r="C161">
        <v>31</v>
      </c>
      <c r="D161">
        <v>100</v>
      </c>
      <c r="E161">
        <v>25600</v>
      </c>
      <c r="F161" t="str">
        <f t="shared" si="9"/>
        <v>tree256_blurkernel7_31_100_25600</v>
      </c>
      <c r="G161">
        <f>IFERROR(VLOOKUP(F161,SROU03!$F:$H,2,FALSE),0)</f>
        <v>5.986275</v>
      </c>
      <c r="H161">
        <f>IFERROR(VLOOKUP(F161,SROU03!$F:$H,3,FALSE),0)</f>
        <v>38.555943999999997</v>
      </c>
      <c r="I161">
        <v>3.379141E-3</v>
      </c>
      <c r="J161">
        <v>8.9879999999999993E-6</v>
      </c>
      <c r="K161">
        <v>10.624700000000001</v>
      </c>
      <c r="L161">
        <v>2.4209999999999998</v>
      </c>
      <c r="M161">
        <f>IFERROR(VLOOKUP(F161,TICO09!$F:$O,8,FALSE),0)</f>
        <v>11.023899999999999</v>
      </c>
      <c r="N161">
        <f>IFERROR(VLOOKUP(F161,SROU03!$F:$O,9,FALSE),0)</f>
        <v>12.511200000000001</v>
      </c>
      <c r="O161">
        <v>12.5474</v>
      </c>
      <c r="P161" t="str">
        <f t="shared" si="10"/>
        <v>BM3D</v>
      </c>
      <c r="Q161">
        <f t="shared" si="11"/>
        <v>12.5474</v>
      </c>
      <c r="R161">
        <f>VLOOKUP(P161,'Color codes'!$A:$B,2,FALSE)</f>
        <v>1</v>
      </c>
      <c r="S161">
        <f>TRUNC(VLOOKUP(P161,'Color codes'!$A:$E,3,FALSE)*(0.25 + 0.75*Q161/40))</f>
        <v>123</v>
      </c>
      <c r="T161">
        <f>TRUNC(VLOOKUP(P161,'Color codes'!$A:$E,4,FALSE)*(0.25 + 0.75*Q161/40))</f>
        <v>51</v>
      </c>
      <c r="U161">
        <f>TRUNC(VLOOKUP(P161,'Color codes'!$A:$E,5,FALSE)*(0.25 + 0.75*Q161/40))</f>
        <v>50</v>
      </c>
      <c r="V161" t="b">
        <f t="shared" si="8"/>
        <v>0</v>
      </c>
    </row>
    <row r="162" spans="1:22" x14ac:dyDescent="0.25">
      <c r="A162" t="s">
        <v>19</v>
      </c>
      <c r="B162" t="s">
        <v>16</v>
      </c>
      <c r="C162">
        <v>3</v>
      </c>
      <c r="D162">
        <v>100</v>
      </c>
      <c r="E162">
        <v>200</v>
      </c>
      <c r="F162" t="str">
        <f t="shared" ref="F162:F210" si="12">A162&amp;"_"&amp;B162&amp;"_"&amp;C162&amp;"_"&amp;D162&amp;"_"&amp;E162</f>
        <v>tree256_blurkernel8_3_100_200</v>
      </c>
      <c r="G162">
        <f>IFERROR(VLOOKUP(F162,SROU03!$F:$H,2,FALSE),0)</f>
        <v>56.480395000000001</v>
      </c>
      <c r="H162">
        <f>IFERROR(VLOOKUP(F162,SROU03!$F:$H,3,FALSE),0)</f>
        <v>3.8805209999999999</v>
      </c>
      <c r="I162">
        <v>1.9728000000000002E-5</v>
      </c>
      <c r="J162">
        <v>9.064E-6</v>
      </c>
      <c r="K162">
        <v>32.631799999999998</v>
      </c>
      <c r="L162">
        <v>12.274699999999999</v>
      </c>
      <c r="M162">
        <f>IFERROR(VLOOKUP(F162,TICO09!$F:$O,8,FALSE),0)</f>
        <v>12.719900000000001</v>
      </c>
      <c r="N162">
        <f>IFERROR(VLOOKUP(F162,SROU03!$F:$O,9,FALSE),0)</f>
        <v>32.424300000000002</v>
      </c>
      <c r="O162">
        <v>32.644599999999997</v>
      </c>
      <c r="P162" t="str">
        <f t="shared" ref="P162:P210" si="13">IF((O162&gt;(MAX(M162,N162))),"BM3D",IF(N162&gt;(MAX(M162,O162)),"SROU03","TICO09"))</f>
        <v>BM3D</v>
      </c>
      <c r="Q162">
        <f t="shared" si="11"/>
        <v>32.644599999999997</v>
      </c>
      <c r="R162">
        <f>VLOOKUP(P162,'Color codes'!$A:$B,2,FALSE)</f>
        <v>1</v>
      </c>
      <c r="S162">
        <f>TRUNC(VLOOKUP(P162,'Color codes'!$A:$E,3,FALSE)*(0.25 + 0.75*Q162/40))</f>
        <v>219</v>
      </c>
      <c r="T162">
        <f>TRUNC(VLOOKUP(P162,'Color codes'!$A:$E,4,FALSE)*(0.25 + 0.75*Q162/40))</f>
        <v>92</v>
      </c>
      <c r="U162">
        <f>TRUNC(VLOOKUP(P162,'Color codes'!$A:$E,5,FALSE)*(0.25 + 0.75*Q162/40))</f>
        <v>89</v>
      </c>
      <c r="V162" t="b">
        <f t="shared" si="8"/>
        <v>0</v>
      </c>
    </row>
    <row r="163" spans="1:22" x14ac:dyDescent="0.25">
      <c r="A163" t="s">
        <v>19</v>
      </c>
      <c r="B163" t="s">
        <v>16</v>
      </c>
      <c r="C163">
        <v>3</v>
      </c>
      <c r="D163">
        <v>100</v>
      </c>
      <c r="E163">
        <v>400</v>
      </c>
      <c r="F163" t="str">
        <f t="shared" si="12"/>
        <v>tree256_blurkernel8_3_100_400</v>
      </c>
      <c r="G163">
        <f>IFERROR(VLOOKUP(F163,SROU03!$F:$H,2,FALSE),0)</f>
        <v>45.059863999999997</v>
      </c>
      <c r="H163">
        <f>IFERROR(VLOOKUP(F163,SROU03!$F:$H,3,FALSE),0)</f>
        <v>3.5392890000000001</v>
      </c>
      <c r="I163">
        <v>4.0618999999999999E-5</v>
      </c>
      <c r="J163">
        <v>9.064E-6</v>
      </c>
      <c r="K163">
        <v>29.498200000000001</v>
      </c>
      <c r="L163">
        <v>12.274699999999999</v>
      </c>
      <c r="M163">
        <f>IFERROR(VLOOKUP(F163,TICO09!$F:$O,8,FALSE),0)</f>
        <v>12.7211</v>
      </c>
      <c r="N163">
        <f>IFERROR(VLOOKUP(F163,SROU03!$F:$O,9,FALSE),0)</f>
        <v>29.708500000000001</v>
      </c>
      <c r="O163">
        <v>29.535499999999999</v>
      </c>
      <c r="P163" t="str">
        <f t="shared" si="13"/>
        <v>SROU03</v>
      </c>
      <c r="Q163">
        <f t="shared" si="11"/>
        <v>29.708500000000001</v>
      </c>
      <c r="R163">
        <f>VLOOKUP(P163,'Color codes'!$A:$B,2,FALSE)</f>
        <v>3</v>
      </c>
      <c r="S163">
        <f>TRUNC(VLOOKUP(P163,'Color codes'!$A:$E,3,FALSE)*(0.25 + 0.75*Q163/40))</f>
        <v>86</v>
      </c>
      <c r="T163">
        <f>TRUNC(VLOOKUP(P163,'Color codes'!$A:$E,4,FALSE)*(0.25 + 0.75*Q163/40))</f>
        <v>142</v>
      </c>
      <c r="U163">
        <f>TRUNC(VLOOKUP(P163,'Color codes'!$A:$E,5,FALSE)*(0.25 + 0.75*Q163/40))</f>
        <v>205</v>
      </c>
      <c r="V163" t="b">
        <f t="shared" si="8"/>
        <v>0</v>
      </c>
    </row>
    <row r="164" spans="1:22" x14ac:dyDescent="0.25">
      <c r="A164" t="s">
        <v>19</v>
      </c>
      <c r="B164" t="s">
        <v>16</v>
      </c>
      <c r="C164">
        <v>3</v>
      </c>
      <c r="D164">
        <v>100</v>
      </c>
      <c r="E164">
        <v>800</v>
      </c>
      <c r="F164" t="str">
        <f t="shared" si="12"/>
        <v>tree256_blurkernel8_3_100_800</v>
      </c>
      <c r="G164">
        <f>IFERROR(VLOOKUP(F164,SROU03!$F:$H,2,FALSE),0)</f>
        <v>38.532857</v>
      </c>
      <c r="H164">
        <f>IFERROR(VLOOKUP(F164,SROU03!$F:$H,3,FALSE),0)</f>
        <v>3.3720560000000002</v>
      </c>
      <c r="I164">
        <v>8.5000999999999995E-5</v>
      </c>
      <c r="J164">
        <v>9.064E-6</v>
      </c>
      <c r="K164">
        <v>26.295200000000001</v>
      </c>
      <c r="L164">
        <v>12.274699999999999</v>
      </c>
      <c r="M164">
        <f>IFERROR(VLOOKUP(F164,TICO09!$F:$O,8,FALSE),0)</f>
        <v>12.708</v>
      </c>
      <c r="N164">
        <f>IFERROR(VLOOKUP(F164,SROU03!$F:$O,9,FALSE),0)</f>
        <v>27.041799999999999</v>
      </c>
      <c r="O164">
        <v>26.3858</v>
      </c>
      <c r="P164" t="str">
        <f t="shared" si="13"/>
        <v>SROU03</v>
      </c>
      <c r="Q164">
        <f t="shared" si="11"/>
        <v>27.041799999999999</v>
      </c>
      <c r="R164">
        <f>VLOOKUP(P164,'Color codes'!$A:$B,2,FALSE)</f>
        <v>3</v>
      </c>
      <c r="S164">
        <f>TRUNC(VLOOKUP(P164,'Color codes'!$A:$E,3,FALSE)*(0.25 + 0.75*Q164/40))</f>
        <v>81</v>
      </c>
      <c r="T164">
        <f>TRUNC(VLOOKUP(P164,'Color codes'!$A:$E,4,FALSE)*(0.25 + 0.75*Q164/40))</f>
        <v>133</v>
      </c>
      <c r="U164">
        <f>TRUNC(VLOOKUP(P164,'Color codes'!$A:$E,5,FALSE)*(0.25 + 0.75*Q164/40))</f>
        <v>193</v>
      </c>
      <c r="V164" t="b">
        <f t="shared" si="8"/>
        <v>0</v>
      </c>
    </row>
    <row r="165" spans="1:22" x14ac:dyDescent="0.25">
      <c r="A165" t="s">
        <v>19</v>
      </c>
      <c r="B165" t="s">
        <v>16</v>
      </c>
      <c r="C165">
        <v>3</v>
      </c>
      <c r="D165">
        <v>100</v>
      </c>
      <c r="E165">
        <v>1600</v>
      </c>
      <c r="F165" t="str">
        <f t="shared" si="12"/>
        <v>tree256_blurkernel8_3_100_1600</v>
      </c>
      <c r="G165">
        <f>IFERROR(VLOOKUP(F165,SROU03!$F:$H,2,FALSE),0)</f>
        <v>34.842478999999997</v>
      </c>
      <c r="H165">
        <f>IFERROR(VLOOKUP(F165,SROU03!$F:$H,3,FALSE),0)</f>
        <v>3.295652</v>
      </c>
      <c r="I165">
        <v>1.7183300000000001E-4</v>
      </c>
      <c r="J165">
        <v>9.064E-6</v>
      </c>
      <c r="K165">
        <v>23.246200000000002</v>
      </c>
      <c r="L165">
        <v>12.274699999999999</v>
      </c>
      <c r="M165">
        <f>IFERROR(VLOOKUP(F165,TICO09!$F:$O,8,FALSE),0)</f>
        <v>12.7014</v>
      </c>
      <c r="N165">
        <f>IFERROR(VLOOKUP(F165,SROU03!$F:$O,9,FALSE),0)</f>
        <v>24.4297</v>
      </c>
      <c r="O165">
        <v>23.427499999999998</v>
      </c>
      <c r="P165" t="str">
        <f t="shared" si="13"/>
        <v>SROU03</v>
      </c>
      <c r="Q165">
        <f t="shared" si="11"/>
        <v>24.4297</v>
      </c>
      <c r="R165">
        <f>VLOOKUP(P165,'Color codes'!$A:$B,2,FALSE)</f>
        <v>3</v>
      </c>
      <c r="S165">
        <f>TRUNC(VLOOKUP(P165,'Color codes'!$A:$E,3,FALSE)*(0.25 + 0.75*Q165/40))</f>
        <v>75</v>
      </c>
      <c r="T165">
        <f>TRUNC(VLOOKUP(P165,'Color codes'!$A:$E,4,FALSE)*(0.25 + 0.75*Q165/40))</f>
        <v>124</v>
      </c>
      <c r="U165">
        <f>TRUNC(VLOOKUP(P165,'Color codes'!$A:$E,5,FALSE)*(0.25 + 0.75*Q165/40))</f>
        <v>180</v>
      </c>
      <c r="V165" t="b">
        <f t="shared" si="8"/>
        <v>1</v>
      </c>
    </row>
    <row r="166" spans="1:22" x14ac:dyDescent="0.25">
      <c r="A166" t="s">
        <v>19</v>
      </c>
      <c r="B166" t="s">
        <v>16</v>
      </c>
      <c r="C166">
        <v>3</v>
      </c>
      <c r="D166">
        <v>100</v>
      </c>
      <c r="E166">
        <v>3200</v>
      </c>
      <c r="F166" t="str">
        <f t="shared" si="12"/>
        <v>tree256_blurkernel8_3_100_3200</v>
      </c>
      <c r="G166">
        <f>IFERROR(VLOOKUP(F166,SROU03!$F:$H,2,FALSE),0)</f>
        <v>32.522495999999997</v>
      </c>
      <c r="H166">
        <f>IFERROR(VLOOKUP(F166,SROU03!$F:$H,3,FALSE),0)</f>
        <v>3.267665</v>
      </c>
      <c r="I166">
        <v>3.5049700000000002E-4</v>
      </c>
      <c r="J166">
        <v>9.064E-6</v>
      </c>
      <c r="K166">
        <v>20.166599999999999</v>
      </c>
      <c r="L166">
        <v>12.274699999999999</v>
      </c>
      <c r="M166">
        <f>IFERROR(VLOOKUP(F166,TICO09!$F:$O,8,FALSE),0)</f>
        <v>12.684100000000001</v>
      </c>
      <c r="N166">
        <f>IFERROR(VLOOKUP(F166,SROU03!$F:$O,9,FALSE),0)</f>
        <v>21.578700000000001</v>
      </c>
      <c r="O166">
        <v>20.5213</v>
      </c>
      <c r="P166" t="str">
        <f t="shared" si="13"/>
        <v>SROU03</v>
      </c>
      <c r="Q166">
        <f t="shared" si="11"/>
        <v>21.578700000000001</v>
      </c>
      <c r="R166">
        <f>VLOOKUP(P166,'Color codes'!$A:$B,2,FALSE)</f>
        <v>3</v>
      </c>
      <c r="S166">
        <f>TRUNC(VLOOKUP(P166,'Color codes'!$A:$E,3,FALSE)*(0.25 + 0.75*Q166/40))</f>
        <v>70</v>
      </c>
      <c r="T166">
        <f>TRUNC(VLOOKUP(P166,'Color codes'!$A:$E,4,FALSE)*(0.25 + 0.75*Q166/40))</f>
        <v>115</v>
      </c>
      <c r="U166">
        <f>TRUNC(VLOOKUP(P166,'Color codes'!$A:$E,5,FALSE)*(0.25 + 0.75*Q166/40))</f>
        <v>166</v>
      </c>
      <c r="V166" t="b">
        <f t="shared" ref="V166:V229" si="14">(ABS(N166-O166)  &gt; 1)</f>
        <v>1</v>
      </c>
    </row>
    <row r="167" spans="1:22" x14ac:dyDescent="0.25">
      <c r="A167" t="s">
        <v>19</v>
      </c>
      <c r="B167" t="s">
        <v>16</v>
      </c>
      <c r="C167">
        <v>3</v>
      </c>
      <c r="D167">
        <v>100</v>
      </c>
      <c r="E167">
        <v>6400</v>
      </c>
      <c r="F167" t="str">
        <f t="shared" si="12"/>
        <v>tree256_blurkernel8_3_100_6400</v>
      </c>
      <c r="G167">
        <f>IFERROR(VLOOKUP(F167,SROU03!$F:$H,2,FALSE),0)</f>
        <v>30.79006</v>
      </c>
      <c r="H167">
        <f>IFERROR(VLOOKUP(F167,SROU03!$F:$H,3,FALSE),0)</f>
        <v>3.2716289999999999</v>
      </c>
      <c r="I167">
        <v>7.1650800000000003E-4</v>
      </c>
      <c r="J167">
        <v>9.064E-6</v>
      </c>
      <c r="K167">
        <v>17.0946</v>
      </c>
      <c r="L167">
        <v>12.274699999999999</v>
      </c>
      <c r="M167">
        <f>IFERROR(VLOOKUP(F167,TICO09!$F:$O,8,FALSE),0)</f>
        <v>12.681699999999999</v>
      </c>
      <c r="N167">
        <f>IFERROR(VLOOKUP(F167,SROU03!$F:$O,9,FALSE),0)</f>
        <v>19.619599999999998</v>
      </c>
      <c r="O167">
        <v>17.756699999999999</v>
      </c>
      <c r="P167" t="str">
        <f t="shared" si="13"/>
        <v>SROU03</v>
      </c>
      <c r="Q167">
        <f t="shared" si="11"/>
        <v>19.619599999999998</v>
      </c>
      <c r="R167">
        <f>VLOOKUP(P167,'Color codes'!$A:$B,2,FALSE)</f>
        <v>3</v>
      </c>
      <c r="S167">
        <f>TRUNC(VLOOKUP(P167,'Color codes'!$A:$E,3,FALSE)*(0.25 + 0.75*Q167/40))</f>
        <v>66</v>
      </c>
      <c r="T167">
        <f>TRUNC(VLOOKUP(P167,'Color codes'!$A:$E,4,FALSE)*(0.25 + 0.75*Q167/40))</f>
        <v>108</v>
      </c>
      <c r="U167">
        <f>TRUNC(VLOOKUP(P167,'Color codes'!$A:$E,5,FALSE)*(0.25 + 0.75*Q167/40))</f>
        <v>157</v>
      </c>
      <c r="V167" t="b">
        <f t="shared" si="14"/>
        <v>1</v>
      </c>
    </row>
    <row r="168" spans="1:22" x14ac:dyDescent="0.25">
      <c r="A168" t="s">
        <v>19</v>
      </c>
      <c r="B168" t="s">
        <v>16</v>
      </c>
      <c r="C168">
        <v>3</v>
      </c>
      <c r="D168">
        <v>100</v>
      </c>
      <c r="E168">
        <v>12800</v>
      </c>
      <c r="F168" t="str">
        <f t="shared" si="12"/>
        <v>tree256_blurkernel8_3_100_12800</v>
      </c>
      <c r="G168">
        <f>IFERROR(VLOOKUP(F168,SROU03!$F:$H,2,FALSE),0)</f>
        <v>29.010919000000001</v>
      </c>
      <c r="H168">
        <f>IFERROR(VLOOKUP(F168,SROU03!$F:$H,3,FALSE),0)</f>
        <v>3.3043640000000001</v>
      </c>
      <c r="I168">
        <v>1.5152290000000001E-3</v>
      </c>
      <c r="J168">
        <v>9.064E-6</v>
      </c>
      <c r="K168">
        <v>13.918699999999999</v>
      </c>
      <c r="L168">
        <v>12.274699999999999</v>
      </c>
      <c r="M168">
        <f>IFERROR(VLOOKUP(F168,TICO09!$F:$O,8,FALSE),0)</f>
        <v>12.662599999999999</v>
      </c>
      <c r="N168">
        <f>IFERROR(VLOOKUP(F168,SROU03!$F:$O,9,FALSE),0)</f>
        <v>18.572099999999999</v>
      </c>
      <c r="O168">
        <v>15.0817</v>
      </c>
      <c r="P168" t="str">
        <f t="shared" si="13"/>
        <v>SROU03</v>
      </c>
      <c r="Q168">
        <f t="shared" si="11"/>
        <v>18.572099999999999</v>
      </c>
      <c r="R168">
        <f>VLOOKUP(P168,'Color codes'!$A:$B,2,FALSE)</f>
        <v>3</v>
      </c>
      <c r="S168">
        <f>TRUNC(VLOOKUP(P168,'Color codes'!$A:$E,3,FALSE)*(0.25 + 0.75*Q168/40))</f>
        <v>64</v>
      </c>
      <c r="T168">
        <f>TRUNC(VLOOKUP(P168,'Color codes'!$A:$E,4,FALSE)*(0.25 + 0.75*Q168/40))</f>
        <v>105</v>
      </c>
      <c r="U168">
        <f>TRUNC(VLOOKUP(P168,'Color codes'!$A:$E,5,FALSE)*(0.25 + 0.75*Q168/40))</f>
        <v>152</v>
      </c>
      <c r="V168" t="b">
        <f t="shared" si="14"/>
        <v>1</v>
      </c>
    </row>
    <row r="169" spans="1:22" x14ac:dyDescent="0.25">
      <c r="A169" t="s">
        <v>19</v>
      </c>
      <c r="B169" t="s">
        <v>16</v>
      </c>
      <c r="C169">
        <v>3</v>
      </c>
      <c r="D169">
        <v>100</v>
      </c>
      <c r="E169">
        <v>25600</v>
      </c>
      <c r="F169" t="str">
        <f t="shared" si="12"/>
        <v>tree256_blurkernel8_3_100_25600</v>
      </c>
      <c r="G169">
        <f>IFERROR(VLOOKUP(F169,SROU03!$F:$H,2,FALSE),0)</f>
        <v>26.977546</v>
      </c>
      <c r="H169">
        <f>IFERROR(VLOOKUP(F169,SROU03!$F:$H,3,FALSE),0)</f>
        <v>3.3570419999999999</v>
      </c>
      <c r="I169">
        <v>3.3743179999999998E-3</v>
      </c>
      <c r="J169">
        <v>9.064E-6</v>
      </c>
      <c r="K169">
        <v>10.6271</v>
      </c>
      <c r="L169">
        <v>12.274699999999999</v>
      </c>
      <c r="M169">
        <f>IFERROR(VLOOKUP(F169,TICO09!$F:$O,8,FALSE),0)</f>
        <v>12.6267</v>
      </c>
      <c r="N169">
        <f>IFERROR(VLOOKUP(F169,SROU03!$F:$O,9,FALSE),0)</f>
        <v>19.619900000000001</v>
      </c>
      <c r="O169">
        <v>12.535299999999999</v>
      </c>
      <c r="P169" t="str">
        <f t="shared" si="13"/>
        <v>SROU03</v>
      </c>
      <c r="Q169">
        <f t="shared" si="11"/>
        <v>19.619900000000001</v>
      </c>
      <c r="R169">
        <f>VLOOKUP(P169,'Color codes'!$A:$B,2,FALSE)</f>
        <v>3</v>
      </c>
      <c r="S169">
        <f>TRUNC(VLOOKUP(P169,'Color codes'!$A:$E,3,FALSE)*(0.25 + 0.75*Q169/40))</f>
        <v>66</v>
      </c>
      <c r="T169">
        <f>TRUNC(VLOOKUP(P169,'Color codes'!$A:$E,4,FALSE)*(0.25 + 0.75*Q169/40))</f>
        <v>108</v>
      </c>
      <c r="U169">
        <f>TRUNC(VLOOKUP(P169,'Color codes'!$A:$E,5,FALSE)*(0.25 + 0.75*Q169/40))</f>
        <v>157</v>
      </c>
      <c r="V169" t="b">
        <f t="shared" si="14"/>
        <v>1</v>
      </c>
    </row>
    <row r="170" spans="1:22" x14ac:dyDescent="0.25">
      <c r="A170" t="s">
        <v>19</v>
      </c>
      <c r="B170" t="s">
        <v>16</v>
      </c>
      <c r="C170">
        <v>7</v>
      </c>
      <c r="D170">
        <v>100</v>
      </c>
      <c r="E170">
        <v>200</v>
      </c>
      <c r="F170" t="str">
        <f t="shared" si="12"/>
        <v>tree256_blurkernel8_7_100_200</v>
      </c>
      <c r="G170">
        <f>IFERROR(VLOOKUP(F170,SROU03!$F:$H,2,FALSE),0)</f>
        <v>49.925440000000002</v>
      </c>
      <c r="H170">
        <f>IFERROR(VLOOKUP(F170,SROU03!$F:$H,3,FALSE),0)</f>
        <v>10.175469</v>
      </c>
      <c r="I170">
        <v>1.9593E-5</v>
      </c>
      <c r="J170">
        <v>9.1370000000000008E-6</v>
      </c>
      <c r="K170">
        <v>32.662300000000002</v>
      </c>
      <c r="L170">
        <v>6.9606000000000003</v>
      </c>
      <c r="M170">
        <f>IFERROR(VLOOKUP(F170,TICO09!$F:$O,8,FALSE),0)</f>
        <v>12.1112</v>
      </c>
      <c r="N170">
        <f>IFERROR(VLOOKUP(F170,SROU03!$F:$O,9,FALSE),0)</f>
        <v>31.6066</v>
      </c>
      <c r="O170">
        <v>32.671199999999999</v>
      </c>
      <c r="P170" t="str">
        <f t="shared" si="13"/>
        <v>BM3D</v>
      </c>
      <c r="Q170">
        <f t="shared" si="11"/>
        <v>32.671199999999999</v>
      </c>
      <c r="R170">
        <f>VLOOKUP(P170,'Color codes'!$A:$B,2,FALSE)</f>
        <v>1</v>
      </c>
      <c r="S170">
        <f>TRUNC(VLOOKUP(P170,'Color codes'!$A:$E,3,FALSE)*(0.25 + 0.75*Q170/40))</f>
        <v>219</v>
      </c>
      <c r="T170">
        <f>TRUNC(VLOOKUP(P170,'Color codes'!$A:$E,4,FALSE)*(0.25 + 0.75*Q170/40))</f>
        <v>92</v>
      </c>
      <c r="U170">
        <f>TRUNC(VLOOKUP(P170,'Color codes'!$A:$E,5,FALSE)*(0.25 + 0.75*Q170/40))</f>
        <v>89</v>
      </c>
      <c r="V170" t="b">
        <f t="shared" si="14"/>
        <v>1</v>
      </c>
    </row>
    <row r="171" spans="1:22" x14ac:dyDescent="0.25">
      <c r="A171" t="s">
        <v>19</v>
      </c>
      <c r="B171" t="s">
        <v>16</v>
      </c>
      <c r="C171">
        <v>7</v>
      </c>
      <c r="D171">
        <v>100</v>
      </c>
      <c r="E171">
        <v>400</v>
      </c>
      <c r="F171" t="str">
        <f t="shared" si="12"/>
        <v>tree256_blurkernel8_7_100_400</v>
      </c>
      <c r="G171">
        <f>IFERROR(VLOOKUP(F171,SROU03!$F:$H,2,FALSE),0)</f>
        <v>36.783814999999997</v>
      </c>
      <c r="H171">
        <f>IFERROR(VLOOKUP(F171,SROU03!$F:$H,3,FALSE),0)</f>
        <v>9.2807259999999996</v>
      </c>
      <c r="I171">
        <v>4.0732999999999998E-5</v>
      </c>
      <c r="J171">
        <v>9.1370000000000008E-6</v>
      </c>
      <c r="K171">
        <v>29.482900000000001</v>
      </c>
      <c r="L171">
        <v>6.9606000000000003</v>
      </c>
      <c r="M171">
        <f>IFERROR(VLOOKUP(F171,TICO09!$F:$O,8,FALSE),0)</f>
        <v>12.0768</v>
      </c>
      <c r="N171">
        <f>IFERROR(VLOOKUP(F171,SROU03!$F:$O,9,FALSE),0)</f>
        <v>28.6981</v>
      </c>
      <c r="O171">
        <v>29.512799999999999</v>
      </c>
      <c r="P171" t="str">
        <f t="shared" si="13"/>
        <v>BM3D</v>
      </c>
      <c r="Q171">
        <f t="shared" si="11"/>
        <v>29.512799999999999</v>
      </c>
      <c r="R171">
        <f>VLOOKUP(P171,'Color codes'!$A:$B,2,FALSE)</f>
        <v>1</v>
      </c>
      <c r="S171">
        <f>TRUNC(VLOOKUP(P171,'Color codes'!$A:$E,3,FALSE)*(0.25 + 0.75*Q171/40))</f>
        <v>204</v>
      </c>
      <c r="T171">
        <f>TRUNC(VLOOKUP(P171,'Color codes'!$A:$E,4,FALSE)*(0.25 + 0.75*Q171/40))</f>
        <v>85</v>
      </c>
      <c r="U171">
        <f>TRUNC(VLOOKUP(P171,'Color codes'!$A:$E,5,FALSE)*(0.25 + 0.75*Q171/40))</f>
        <v>83</v>
      </c>
      <c r="V171" t="b">
        <f t="shared" si="14"/>
        <v>0</v>
      </c>
    </row>
    <row r="172" spans="1:22" x14ac:dyDescent="0.25">
      <c r="A172" t="s">
        <v>19</v>
      </c>
      <c r="B172" t="s">
        <v>16</v>
      </c>
      <c r="C172">
        <v>7</v>
      </c>
      <c r="D172">
        <v>100</v>
      </c>
      <c r="E172">
        <v>800</v>
      </c>
      <c r="F172" t="str">
        <f t="shared" si="12"/>
        <v>tree256_blurkernel8_7_100_800</v>
      </c>
      <c r="G172">
        <f>IFERROR(VLOOKUP(F172,SROU03!$F:$H,2,FALSE),0)</f>
        <v>28.461554</v>
      </c>
      <c r="H172">
        <f>IFERROR(VLOOKUP(F172,SROU03!$F:$H,3,FALSE),0)</f>
        <v>8.8269300000000008</v>
      </c>
      <c r="I172">
        <v>8.4085999999999994E-5</v>
      </c>
      <c r="J172">
        <v>9.1370000000000008E-6</v>
      </c>
      <c r="K172">
        <v>26.341699999999999</v>
      </c>
      <c r="L172">
        <v>6.9606000000000003</v>
      </c>
      <c r="M172">
        <f>IFERROR(VLOOKUP(F172,TICO09!$F:$O,8,FALSE),0)</f>
        <v>12.043100000000001</v>
      </c>
      <c r="N172">
        <f>IFERROR(VLOOKUP(F172,SROU03!$F:$O,9,FALSE),0)</f>
        <v>25.9011</v>
      </c>
      <c r="O172">
        <v>26.422799999999999</v>
      </c>
      <c r="P172" t="str">
        <f t="shared" si="13"/>
        <v>BM3D</v>
      </c>
      <c r="Q172">
        <f t="shared" si="11"/>
        <v>26.422799999999999</v>
      </c>
      <c r="R172">
        <f>VLOOKUP(P172,'Color codes'!$A:$B,2,FALSE)</f>
        <v>1</v>
      </c>
      <c r="S172">
        <f>TRUNC(VLOOKUP(P172,'Color codes'!$A:$E,3,FALSE)*(0.25 + 0.75*Q172/40))</f>
        <v>190</v>
      </c>
      <c r="T172">
        <f>TRUNC(VLOOKUP(P172,'Color codes'!$A:$E,4,FALSE)*(0.25 + 0.75*Q172/40))</f>
        <v>79</v>
      </c>
      <c r="U172">
        <f>TRUNC(VLOOKUP(P172,'Color codes'!$A:$E,5,FALSE)*(0.25 + 0.75*Q172/40))</f>
        <v>77</v>
      </c>
      <c r="V172" t="b">
        <f t="shared" si="14"/>
        <v>0</v>
      </c>
    </row>
    <row r="173" spans="1:22" x14ac:dyDescent="0.25">
      <c r="A173" t="s">
        <v>19</v>
      </c>
      <c r="B173" t="s">
        <v>16</v>
      </c>
      <c r="C173">
        <v>7</v>
      </c>
      <c r="D173">
        <v>100</v>
      </c>
      <c r="E173">
        <v>1600</v>
      </c>
      <c r="F173" t="str">
        <f t="shared" si="12"/>
        <v>tree256_blurkernel8_7_100_1600</v>
      </c>
      <c r="G173">
        <f>IFERROR(VLOOKUP(F173,SROU03!$F:$H,2,FALSE),0)</f>
        <v>23.262619000000001</v>
      </c>
      <c r="H173">
        <f>IFERROR(VLOOKUP(F173,SROU03!$F:$H,3,FALSE),0)</f>
        <v>8.6012529999999998</v>
      </c>
      <c r="I173">
        <v>1.7297999999999999E-4</v>
      </c>
      <c r="J173">
        <v>9.1370000000000008E-6</v>
      </c>
      <c r="K173">
        <v>23.2165</v>
      </c>
      <c r="L173">
        <v>6.9606000000000003</v>
      </c>
      <c r="M173">
        <f>IFERROR(VLOOKUP(F173,TICO09!$F:$O,8,FALSE),0)</f>
        <v>11.961600000000001</v>
      </c>
      <c r="N173">
        <f>IFERROR(VLOOKUP(F173,SROU03!$F:$O,9,FALSE),0)</f>
        <v>23.1113</v>
      </c>
      <c r="O173">
        <v>23.400700000000001</v>
      </c>
      <c r="P173" t="str">
        <f t="shared" si="13"/>
        <v>BM3D</v>
      </c>
      <c r="Q173">
        <f t="shared" si="11"/>
        <v>23.400700000000001</v>
      </c>
      <c r="R173">
        <f>VLOOKUP(P173,'Color codes'!$A:$B,2,FALSE)</f>
        <v>1</v>
      </c>
      <c r="S173">
        <f>TRUNC(VLOOKUP(P173,'Color codes'!$A:$E,3,FALSE)*(0.25 + 0.75*Q173/40))</f>
        <v>175</v>
      </c>
      <c r="T173">
        <f>TRUNC(VLOOKUP(P173,'Color codes'!$A:$E,4,FALSE)*(0.25 + 0.75*Q173/40))</f>
        <v>73</v>
      </c>
      <c r="U173">
        <f>TRUNC(VLOOKUP(P173,'Color codes'!$A:$E,5,FALSE)*(0.25 + 0.75*Q173/40))</f>
        <v>71</v>
      </c>
      <c r="V173" t="b">
        <f t="shared" si="14"/>
        <v>0</v>
      </c>
    </row>
    <row r="174" spans="1:22" x14ac:dyDescent="0.25">
      <c r="A174" t="s">
        <v>19</v>
      </c>
      <c r="B174" t="s">
        <v>16</v>
      </c>
      <c r="C174">
        <v>7</v>
      </c>
      <c r="D174">
        <v>100</v>
      </c>
      <c r="E174">
        <v>3200</v>
      </c>
      <c r="F174" t="str">
        <f t="shared" si="12"/>
        <v>tree256_blurkernel8_7_100_3200</v>
      </c>
      <c r="G174">
        <f>IFERROR(VLOOKUP(F174,SROU03!$F:$H,2,FALSE),0)</f>
        <v>20.137791</v>
      </c>
      <c r="H174">
        <f>IFERROR(VLOOKUP(F174,SROU03!$F:$H,3,FALSE),0)</f>
        <v>8.5004760000000008</v>
      </c>
      <c r="I174">
        <v>3.4766499999999999E-4</v>
      </c>
      <c r="J174">
        <v>9.1370000000000008E-6</v>
      </c>
      <c r="K174">
        <v>20.198599999999999</v>
      </c>
      <c r="L174">
        <v>6.9606000000000003</v>
      </c>
      <c r="M174">
        <f>IFERROR(VLOOKUP(F174,TICO09!$F:$O,8,FALSE),0)</f>
        <v>11.831899999999999</v>
      </c>
      <c r="N174">
        <f>IFERROR(VLOOKUP(F174,SROU03!$F:$O,9,FALSE),0)</f>
        <v>19.6387</v>
      </c>
      <c r="O174">
        <v>20.5748</v>
      </c>
      <c r="P174" t="str">
        <f t="shared" si="13"/>
        <v>BM3D</v>
      </c>
      <c r="Q174">
        <f t="shared" si="11"/>
        <v>20.5748</v>
      </c>
      <c r="R174">
        <f>VLOOKUP(P174,'Color codes'!$A:$B,2,FALSE)</f>
        <v>1</v>
      </c>
      <c r="S174">
        <f>TRUNC(VLOOKUP(P174,'Color codes'!$A:$E,3,FALSE)*(0.25 + 0.75*Q174/40))</f>
        <v>162</v>
      </c>
      <c r="T174">
        <f>TRUNC(VLOOKUP(P174,'Color codes'!$A:$E,4,FALSE)*(0.25 + 0.75*Q174/40))</f>
        <v>68</v>
      </c>
      <c r="U174">
        <f>TRUNC(VLOOKUP(P174,'Color codes'!$A:$E,5,FALSE)*(0.25 + 0.75*Q174/40))</f>
        <v>66</v>
      </c>
      <c r="V174" t="b">
        <f t="shared" si="14"/>
        <v>0</v>
      </c>
    </row>
    <row r="175" spans="1:22" x14ac:dyDescent="0.25">
      <c r="A175" t="s">
        <v>19</v>
      </c>
      <c r="B175" t="s">
        <v>16</v>
      </c>
      <c r="C175">
        <v>7</v>
      </c>
      <c r="D175">
        <v>100</v>
      </c>
      <c r="E175">
        <v>6400</v>
      </c>
      <c r="F175" t="str">
        <f t="shared" si="12"/>
        <v>tree256_blurkernel8_7_100_6400</v>
      </c>
      <c r="G175">
        <f>IFERROR(VLOOKUP(F175,SROU03!$F:$H,2,FALSE),0)</f>
        <v>18.140689999999999</v>
      </c>
      <c r="H175">
        <f>IFERROR(VLOOKUP(F175,SROU03!$F:$H,3,FALSE),0)</f>
        <v>8.4614519999999995</v>
      </c>
      <c r="I175">
        <v>7.1678400000000004E-4</v>
      </c>
      <c r="J175">
        <v>9.1370000000000008E-6</v>
      </c>
      <c r="K175">
        <v>17.092099999999999</v>
      </c>
      <c r="L175">
        <v>6.9606000000000003</v>
      </c>
      <c r="M175">
        <f>IFERROR(VLOOKUP(F175,TICO09!$F:$O,8,FALSE),0)</f>
        <v>11.494</v>
      </c>
      <c r="N175">
        <f>IFERROR(VLOOKUP(F175,SROU03!$F:$O,9,FALSE),0)</f>
        <v>17.5962</v>
      </c>
      <c r="O175">
        <v>17.7592</v>
      </c>
      <c r="P175" t="str">
        <f t="shared" si="13"/>
        <v>BM3D</v>
      </c>
      <c r="Q175">
        <f t="shared" si="11"/>
        <v>17.7592</v>
      </c>
      <c r="R175">
        <f>VLOOKUP(P175,'Color codes'!$A:$B,2,FALSE)</f>
        <v>1</v>
      </c>
      <c r="S175">
        <f>TRUNC(VLOOKUP(P175,'Color codes'!$A:$E,3,FALSE)*(0.25 + 0.75*Q175/40))</f>
        <v>148</v>
      </c>
      <c r="T175">
        <f>TRUNC(VLOOKUP(P175,'Color codes'!$A:$E,4,FALSE)*(0.25 + 0.75*Q175/40))</f>
        <v>62</v>
      </c>
      <c r="U175">
        <f>TRUNC(VLOOKUP(P175,'Color codes'!$A:$E,5,FALSE)*(0.25 + 0.75*Q175/40))</f>
        <v>60</v>
      </c>
      <c r="V175" t="b">
        <f t="shared" si="14"/>
        <v>0</v>
      </c>
    </row>
    <row r="176" spans="1:22" x14ac:dyDescent="0.25">
      <c r="A176" t="s">
        <v>19</v>
      </c>
      <c r="B176" t="s">
        <v>16</v>
      </c>
      <c r="C176">
        <v>7</v>
      </c>
      <c r="D176">
        <v>100</v>
      </c>
      <c r="E176">
        <v>12800</v>
      </c>
      <c r="F176" t="str">
        <f t="shared" si="12"/>
        <v>tree256_blurkernel8_7_100_12800</v>
      </c>
      <c r="G176">
        <f>IFERROR(VLOOKUP(F176,SROU03!$F:$H,2,FALSE),0)</f>
        <v>16.636040999999999</v>
      </c>
      <c r="H176">
        <f>IFERROR(VLOOKUP(F176,SROU03!$F:$H,3,FALSE),0)</f>
        <v>8.4649389999999993</v>
      </c>
      <c r="I176">
        <v>1.5047769999999999E-3</v>
      </c>
      <c r="J176">
        <v>9.1370000000000008E-6</v>
      </c>
      <c r="K176">
        <v>13.958500000000001</v>
      </c>
      <c r="L176">
        <v>6.9606000000000003</v>
      </c>
      <c r="M176">
        <f>IFERROR(VLOOKUP(F176,TICO09!$F:$O,8,FALSE),0)</f>
        <v>11.077</v>
      </c>
      <c r="N176">
        <f>IFERROR(VLOOKUP(F176,SROU03!$F:$O,9,FALSE),0)</f>
        <v>15.84</v>
      </c>
      <c r="O176">
        <v>15.120699999999999</v>
      </c>
      <c r="P176" t="str">
        <f t="shared" si="13"/>
        <v>SROU03</v>
      </c>
      <c r="Q176">
        <f t="shared" si="11"/>
        <v>15.84</v>
      </c>
      <c r="R176">
        <f>VLOOKUP(P176,'Color codes'!$A:$B,2,FALSE)</f>
        <v>3</v>
      </c>
      <c r="S176">
        <f>TRUNC(VLOOKUP(P176,'Color codes'!$A:$E,3,FALSE)*(0.25 + 0.75*Q176/40))</f>
        <v>58</v>
      </c>
      <c r="T176">
        <f>TRUNC(VLOOKUP(P176,'Color codes'!$A:$E,4,FALSE)*(0.25 + 0.75*Q176/40))</f>
        <v>96</v>
      </c>
      <c r="U176">
        <f>TRUNC(VLOOKUP(P176,'Color codes'!$A:$E,5,FALSE)*(0.25 + 0.75*Q176/40))</f>
        <v>139</v>
      </c>
      <c r="V176" t="b">
        <f t="shared" si="14"/>
        <v>0</v>
      </c>
    </row>
    <row r="177" spans="1:22" x14ac:dyDescent="0.25">
      <c r="A177" t="s">
        <v>19</v>
      </c>
      <c r="B177" t="s">
        <v>16</v>
      </c>
      <c r="C177">
        <v>7</v>
      </c>
      <c r="D177">
        <v>100</v>
      </c>
      <c r="E177">
        <v>25600</v>
      </c>
      <c r="F177" t="str">
        <f t="shared" si="12"/>
        <v>tree256_blurkernel8_7_100_25600</v>
      </c>
      <c r="G177">
        <f>IFERROR(VLOOKUP(F177,SROU03!$F:$H,2,FALSE),0)</f>
        <v>15.330696</v>
      </c>
      <c r="H177">
        <f>IFERROR(VLOOKUP(F177,SROU03!$F:$H,3,FALSE),0)</f>
        <v>8.4933560000000003</v>
      </c>
      <c r="I177">
        <v>3.3786240000000002E-3</v>
      </c>
      <c r="J177">
        <v>9.1370000000000008E-6</v>
      </c>
      <c r="K177">
        <v>10.635999999999999</v>
      </c>
      <c r="L177">
        <v>6.9606000000000003</v>
      </c>
      <c r="M177">
        <f>IFERROR(VLOOKUP(F177,TICO09!$F:$O,8,FALSE),0)</f>
        <v>10.3338</v>
      </c>
      <c r="N177">
        <f>IFERROR(VLOOKUP(F177,SROU03!$F:$O,9,FALSE),0)</f>
        <v>15.0214</v>
      </c>
      <c r="O177">
        <v>12.5434</v>
      </c>
      <c r="P177" t="str">
        <f t="shared" si="13"/>
        <v>SROU03</v>
      </c>
      <c r="Q177">
        <f t="shared" si="11"/>
        <v>15.0214</v>
      </c>
      <c r="R177">
        <f>VLOOKUP(P177,'Color codes'!$A:$B,2,FALSE)</f>
        <v>3</v>
      </c>
      <c r="S177">
        <f>TRUNC(VLOOKUP(P177,'Color codes'!$A:$E,3,FALSE)*(0.25 + 0.75*Q177/40))</f>
        <v>56</v>
      </c>
      <c r="T177">
        <f>TRUNC(VLOOKUP(P177,'Color codes'!$A:$E,4,FALSE)*(0.25 + 0.75*Q177/40))</f>
        <v>93</v>
      </c>
      <c r="U177">
        <f>TRUNC(VLOOKUP(P177,'Color codes'!$A:$E,5,FALSE)*(0.25 + 0.75*Q177/40))</f>
        <v>135</v>
      </c>
      <c r="V177" t="b">
        <f t="shared" si="14"/>
        <v>1</v>
      </c>
    </row>
    <row r="178" spans="1:22" x14ac:dyDescent="0.25">
      <c r="A178" t="s">
        <v>19</v>
      </c>
      <c r="B178" t="s">
        <v>16</v>
      </c>
      <c r="C178">
        <v>15</v>
      </c>
      <c r="D178">
        <v>100</v>
      </c>
      <c r="E178">
        <v>200</v>
      </c>
      <c r="F178" t="str">
        <f t="shared" si="12"/>
        <v>tree256_blurkernel8_15_100_200</v>
      </c>
      <c r="G178">
        <f>IFERROR(VLOOKUP(F178,SROU03!$F:$H,2,FALSE),0)</f>
        <v>48.376975000000002</v>
      </c>
      <c r="H178">
        <f>IFERROR(VLOOKUP(F178,SROU03!$F:$H,3,FALSE),0)</f>
        <v>22.507258</v>
      </c>
      <c r="I178">
        <v>1.9740000000000001E-5</v>
      </c>
      <c r="J178">
        <v>9.0580000000000004E-6</v>
      </c>
      <c r="K178">
        <v>32.629399999999997</v>
      </c>
      <c r="L178">
        <v>4.1394000000000002</v>
      </c>
      <c r="M178">
        <f>IFERROR(VLOOKUP(F178,TICO09!$F:$O,8,FALSE),0)</f>
        <v>13.3863</v>
      </c>
      <c r="N178">
        <f>IFERROR(VLOOKUP(F178,SROU03!$F:$O,9,FALSE),0)</f>
        <v>31.203399999999998</v>
      </c>
      <c r="O178">
        <v>32.641500000000001</v>
      </c>
      <c r="P178" t="str">
        <f t="shared" si="13"/>
        <v>BM3D</v>
      </c>
      <c r="Q178">
        <f t="shared" si="11"/>
        <v>32.641500000000001</v>
      </c>
      <c r="R178">
        <f>VLOOKUP(P178,'Color codes'!$A:$B,2,FALSE)</f>
        <v>1</v>
      </c>
      <c r="S178">
        <f>TRUNC(VLOOKUP(P178,'Color codes'!$A:$E,3,FALSE)*(0.25 + 0.75*Q178/40))</f>
        <v>219</v>
      </c>
      <c r="T178">
        <f>TRUNC(VLOOKUP(P178,'Color codes'!$A:$E,4,FALSE)*(0.25 + 0.75*Q178/40))</f>
        <v>92</v>
      </c>
      <c r="U178">
        <f>TRUNC(VLOOKUP(P178,'Color codes'!$A:$E,5,FALSE)*(0.25 + 0.75*Q178/40))</f>
        <v>89</v>
      </c>
      <c r="V178" t="b">
        <f t="shared" si="14"/>
        <v>1</v>
      </c>
    </row>
    <row r="179" spans="1:22" x14ac:dyDescent="0.25">
      <c r="A179" t="s">
        <v>19</v>
      </c>
      <c r="B179" t="s">
        <v>16</v>
      </c>
      <c r="C179">
        <v>15</v>
      </c>
      <c r="D179">
        <v>100</v>
      </c>
      <c r="E179">
        <v>400</v>
      </c>
      <c r="F179" t="str">
        <f t="shared" si="12"/>
        <v>tree256_blurkernel8_15_100_400</v>
      </c>
      <c r="G179">
        <f>IFERROR(VLOOKUP(F179,SROU03!$F:$H,2,FALSE),0)</f>
        <v>34.309148</v>
      </c>
      <c r="H179">
        <f>IFERROR(VLOOKUP(F179,SROU03!$F:$H,3,FALSE),0)</f>
        <v>20.465446</v>
      </c>
      <c r="I179">
        <v>4.1452999999999998E-5</v>
      </c>
      <c r="J179">
        <v>9.0580000000000004E-6</v>
      </c>
      <c r="K179">
        <v>29.407900000000001</v>
      </c>
      <c r="L179">
        <v>4.1394000000000002</v>
      </c>
      <c r="M179">
        <f>IFERROR(VLOOKUP(F179,TICO09!$F:$O,8,FALSE),0)</f>
        <v>13.359299999999999</v>
      </c>
      <c r="N179">
        <f>IFERROR(VLOOKUP(F179,SROU03!$F:$O,9,FALSE),0)</f>
        <v>28.2029</v>
      </c>
      <c r="O179">
        <v>29.445599999999999</v>
      </c>
      <c r="P179" t="str">
        <f t="shared" si="13"/>
        <v>BM3D</v>
      </c>
      <c r="Q179">
        <f t="shared" si="11"/>
        <v>29.445599999999999</v>
      </c>
      <c r="R179">
        <f>VLOOKUP(P179,'Color codes'!$A:$B,2,FALSE)</f>
        <v>1</v>
      </c>
      <c r="S179">
        <f>TRUNC(VLOOKUP(P179,'Color codes'!$A:$E,3,FALSE)*(0.25 + 0.75*Q179/40))</f>
        <v>204</v>
      </c>
      <c r="T179">
        <f>TRUNC(VLOOKUP(P179,'Color codes'!$A:$E,4,FALSE)*(0.25 + 0.75*Q179/40))</f>
        <v>85</v>
      </c>
      <c r="U179">
        <f>TRUNC(VLOOKUP(P179,'Color codes'!$A:$E,5,FALSE)*(0.25 + 0.75*Q179/40))</f>
        <v>83</v>
      </c>
      <c r="V179" t="b">
        <f t="shared" si="14"/>
        <v>1</v>
      </c>
    </row>
    <row r="180" spans="1:22" x14ac:dyDescent="0.25">
      <c r="A180" t="s">
        <v>19</v>
      </c>
      <c r="B180" t="s">
        <v>16</v>
      </c>
      <c r="C180">
        <v>15</v>
      </c>
      <c r="D180">
        <v>100</v>
      </c>
      <c r="E180">
        <v>800</v>
      </c>
      <c r="F180" t="str">
        <f t="shared" si="12"/>
        <v>tree256_blurkernel8_15_100_800</v>
      </c>
      <c r="G180">
        <f>IFERROR(VLOOKUP(F180,SROU03!$F:$H,2,FALSE),0)</f>
        <v>25.093617999999999</v>
      </c>
      <c r="H180">
        <f>IFERROR(VLOOKUP(F180,SROU03!$F:$H,3,FALSE),0)</f>
        <v>19.454169</v>
      </c>
      <c r="I180">
        <v>8.4944000000000005E-5</v>
      </c>
      <c r="J180">
        <v>9.0580000000000004E-6</v>
      </c>
      <c r="K180">
        <v>26.294799999999999</v>
      </c>
      <c r="L180">
        <v>4.1394000000000002</v>
      </c>
      <c r="M180">
        <f>IFERROR(VLOOKUP(F180,TICO09!$F:$O,8,FALSE),0)</f>
        <v>13.308999999999999</v>
      </c>
      <c r="N180">
        <f>IFERROR(VLOOKUP(F180,SROU03!$F:$O,9,FALSE),0)</f>
        <v>25.337599999999998</v>
      </c>
      <c r="O180">
        <v>26.382899999999999</v>
      </c>
      <c r="P180" t="str">
        <f t="shared" si="13"/>
        <v>BM3D</v>
      </c>
      <c r="Q180">
        <f t="shared" si="11"/>
        <v>26.382899999999999</v>
      </c>
      <c r="R180">
        <f>VLOOKUP(P180,'Color codes'!$A:$B,2,FALSE)</f>
        <v>1</v>
      </c>
      <c r="S180">
        <f>TRUNC(VLOOKUP(P180,'Color codes'!$A:$E,3,FALSE)*(0.25 + 0.75*Q180/40))</f>
        <v>189</v>
      </c>
      <c r="T180">
        <f>TRUNC(VLOOKUP(P180,'Color codes'!$A:$E,4,FALSE)*(0.25 + 0.75*Q180/40))</f>
        <v>79</v>
      </c>
      <c r="U180">
        <f>TRUNC(VLOOKUP(P180,'Color codes'!$A:$E,5,FALSE)*(0.25 + 0.75*Q180/40))</f>
        <v>77</v>
      </c>
      <c r="V180" t="b">
        <f t="shared" si="14"/>
        <v>1</v>
      </c>
    </row>
    <row r="181" spans="1:22" x14ac:dyDescent="0.25">
      <c r="A181" t="s">
        <v>19</v>
      </c>
      <c r="B181" t="s">
        <v>16</v>
      </c>
      <c r="C181">
        <v>15</v>
      </c>
      <c r="D181">
        <v>100</v>
      </c>
      <c r="E181">
        <v>1600</v>
      </c>
      <c r="F181" t="str">
        <f t="shared" si="12"/>
        <v>tree256_blurkernel8_15_100_1600</v>
      </c>
      <c r="G181">
        <f>IFERROR(VLOOKUP(F181,SROU03!$F:$H,2,FALSE),0)</f>
        <v>19.113391</v>
      </c>
      <c r="H181">
        <f>IFERROR(VLOOKUP(F181,SROU03!$F:$H,3,FALSE),0)</f>
        <v>18.930990999999999</v>
      </c>
      <c r="I181">
        <v>1.7171299999999999E-4</v>
      </c>
      <c r="J181">
        <v>9.0580000000000004E-6</v>
      </c>
      <c r="K181">
        <v>23.247199999999999</v>
      </c>
      <c r="L181">
        <v>4.1394000000000002</v>
      </c>
      <c r="M181">
        <f>IFERROR(VLOOKUP(F181,TICO09!$F:$O,8,FALSE),0)</f>
        <v>13.1707</v>
      </c>
      <c r="N181">
        <f>IFERROR(VLOOKUP(F181,SROU03!$F:$O,9,FALSE),0)</f>
        <v>22.777000000000001</v>
      </c>
      <c r="O181">
        <v>23.423500000000001</v>
      </c>
      <c r="P181" t="str">
        <f t="shared" si="13"/>
        <v>BM3D</v>
      </c>
      <c r="Q181">
        <f t="shared" si="11"/>
        <v>23.423500000000001</v>
      </c>
      <c r="R181">
        <f>VLOOKUP(P181,'Color codes'!$A:$B,2,FALSE)</f>
        <v>1</v>
      </c>
      <c r="S181">
        <f>TRUNC(VLOOKUP(P181,'Color codes'!$A:$E,3,FALSE)*(0.25 + 0.75*Q181/40))</f>
        <v>175</v>
      </c>
      <c r="T181">
        <f>TRUNC(VLOOKUP(P181,'Color codes'!$A:$E,4,FALSE)*(0.25 + 0.75*Q181/40))</f>
        <v>73</v>
      </c>
      <c r="U181">
        <f>TRUNC(VLOOKUP(P181,'Color codes'!$A:$E,5,FALSE)*(0.25 + 0.75*Q181/40))</f>
        <v>71</v>
      </c>
      <c r="V181" t="b">
        <f t="shared" si="14"/>
        <v>0</v>
      </c>
    </row>
    <row r="182" spans="1:22" x14ac:dyDescent="0.25">
      <c r="A182" t="s">
        <v>19</v>
      </c>
      <c r="B182" t="s">
        <v>16</v>
      </c>
      <c r="C182">
        <v>15</v>
      </c>
      <c r="D182">
        <v>100</v>
      </c>
      <c r="E182">
        <v>3200</v>
      </c>
      <c r="F182" t="str">
        <f t="shared" si="12"/>
        <v>tree256_blurkernel8_15_100_3200</v>
      </c>
      <c r="G182">
        <f>IFERROR(VLOOKUP(F182,SROU03!$F:$H,2,FALSE),0)</f>
        <v>15.241861999999999</v>
      </c>
      <c r="H182">
        <f>IFERROR(VLOOKUP(F182,SROU03!$F:$H,3,FALSE),0)</f>
        <v>18.691649999999999</v>
      </c>
      <c r="I182">
        <v>3.46771E-4</v>
      </c>
      <c r="J182">
        <v>9.0580000000000004E-6</v>
      </c>
      <c r="K182">
        <v>20.217400000000001</v>
      </c>
      <c r="L182">
        <v>4.1394000000000002</v>
      </c>
      <c r="M182">
        <f>IFERROR(VLOOKUP(F182,TICO09!$F:$O,8,FALSE),0)</f>
        <v>12.9673</v>
      </c>
      <c r="N182">
        <f>IFERROR(VLOOKUP(F182,SROU03!$F:$O,9,FALSE),0)</f>
        <v>20.0946</v>
      </c>
      <c r="O182">
        <v>20.5624</v>
      </c>
      <c r="P182" t="str">
        <f t="shared" si="13"/>
        <v>BM3D</v>
      </c>
      <c r="Q182">
        <f t="shared" si="11"/>
        <v>20.5624</v>
      </c>
      <c r="R182">
        <f>VLOOKUP(P182,'Color codes'!$A:$B,2,FALSE)</f>
        <v>1</v>
      </c>
      <c r="S182">
        <f>TRUNC(VLOOKUP(P182,'Color codes'!$A:$E,3,FALSE)*(0.25 + 0.75*Q182/40))</f>
        <v>162</v>
      </c>
      <c r="T182">
        <f>TRUNC(VLOOKUP(P182,'Color codes'!$A:$E,4,FALSE)*(0.25 + 0.75*Q182/40))</f>
        <v>68</v>
      </c>
      <c r="U182">
        <f>TRUNC(VLOOKUP(P182,'Color codes'!$A:$E,5,FALSE)*(0.25 + 0.75*Q182/40))</f>
        <v>66</v>
      </c>
      <c r="V182" t="b">
        <f t="shared" si="14"/>
        <v>0</v>
      </c>
    </row>
    <row r="183" spans="1:22" x14ac:dyDescent="0.25">
      <c r="A183" t="s">
        <v>19</v>
      </c>
      <c r="B183" t="s">
        <v>16</v>
      </c>
      <c r="C183">
        <v>15</v>
      </c>
      <c r="D183">
        <v>100</v>
      </c>
      <c r="E183">
        <v>6400</v>
      </c>
      <c r="F183" t="str">
        <f t="shared" si="12"/>
        <v>tree256_blurkernel8_15_100_6400</v>
      </c>
      <c r="G183">
        <f>IFERROR(VLOOKUP(F183,SROU03!$F:$H,2,FALSE),0)</f>
        <v>12.786773</v>
      </c>
      <c r="H183">
        <f>IFERROR(VLOOKUP(F183,SROU03!$F:$H,3,FALSE),0)</f>
        <v>18.562154</v>
      </c>
      <c r="I183">
        <v>7.1947199999999997E-4</v>
      </c>
      <c r="J183">
        <v>9.0580000000000004E-6</v>
      </c>
      <c r="K183">
        <v>17.073899999999998</v>
      </c>
      <c r="L183">
        <v>4.1394000000000002</v>
      </c>
      <c r="M183">
        <f>IFERROR(VLOOKUP(F183,TICO09!$F:$O,8,FALSE),0)</f>
        <v>12.5337</v>
      </c>
      <c r="N183">
        <f>IFERROR(VLOOKUP(F183,SROU03!$F:$O,9,FALSE),0)</f>
        <v>17.598099999999999</v>
      </c>
      <c r="O183">
        <v>17.732600000000001</v>
      </c>
      <c r="P183" t="str">
        <f t="shared" si="13"/>
        <v>BM3D</v>
      </c>
      <c r="Q183">
        <f t="shared" si="11"/>
        <v>17.732600000000001</v>
      </c>
      <c r="R183">
        <f>VLOOKUP(P183,'Color codes'!$A:$B,2,FALSE)</f>
        <v>1</v>
      </c>
      <c r="S183">
        <f>TRUNC(VLOOKUP(P183,'Color codes'!$A:$E,3,FALSE)*(0.25 + 0.75*Q183/40))</f>
        <v>148</v>
      </c>
      <c r="T183">
        <f>TRUNC(VLOOKUP(P183,'Color codes'!$A:$E,4,FALSE)*(0.25 + 0.75*Q183/40))</f>
        <v>62</v>
      </c>
      <c r="U183">
        <f>TRUNC(VLOOKUP(P183,'Color codes'!$A:$E,5,FALSE)*(0.25 + 0.75*Q183/40))</f>
        <v>60</v>
      </c>
      <c r="V183" t="b">
        <f t="shared" si="14"/>
        <v>0</v>
      </c>
    </row>
    <row r="184" spans="1:22" x14ac:dyDescent="0.25">
      <c r="A184" t="s">
        <v>19</v>
      </c>
      <c r="B184" t="s">
        <v>16</v>
      </c>
      <c r="C184">
        <v>15</v>
      </c>
      <c r="D184">
        <v>100</v>
      </c>
      <c r="E184">
        <v>12800</v>
      </c>
      <c r="F184" t="str">
        <f t="shared" si="12"/>
        <v>tree256_blurkernel8_15_100_12800</v>
      </c>
      <c r="G184">
        <f>IFERROR(VLOOKUP(F184,SROU03!$F:$H,2,FALSE),0)</f>
        <v>11.147334000000001</v>
      </c>
      <c r="H184">
        <f>IFERROR(VLOOKUP(F184,SROU03!$F:$H,3,FALSE),0)</f>
        <v>18.535007</v>
      </c>
      <c r="I184">
        <v>1.5232570000000001E-3</v>
      </c>
      <c r="J184">
        <v>9.0580000000000004E-6</v>
      </c>
      <c r="K184">
        <v>13.914300000000001</v>
      </c>
      <c r="L184">
        <v>4.1394000000000002</v>
      </c>
      <c r="M184">
        <f>IFERROR(VLOOKUP(F184,TICO09!$F:$O,8,FALSE),0)</f>
        <v>11.7966</v>
      </c>
      <c r="N184">
        <f>IFERROR(VLOOKUP(F184,SROU03!$F:$O,9,FALSE),0)</f>
        <v>15.5031</v>
      </c>
      <c r="O184">
        <v>15.0694</v>
      </c>
      <c r="P184" t="str">
        <f t="shared" si="13"/>
        <v>SROU03</v>
      </c>
      <c r="Q184">
        <f t="shared" si="11"/>
        <v>15.5031</v>
      </c>
      <c r="R184">
        <f>VLOOKUP(P184,'Color codes'!$A:$B,2,FALSE)</f>
        <v>3</v>
      </c>
      <c r="S184">
        <f>TRUNC(VLOOKUP(P184,'Color codes'!$A:$E,3,FALSE)*(0.25 + 0.75*Q184/40))</f>
        <v>57</v>
      </c>
      <c r="T184">
        <f>TRUNC(VLOOKUP(P184,'Color codes'!$A:$E,4,FALSE)*(0.25 + 0.75*Q184/40))</f>
        <v>95</v>
      </c>
      <c r="U184">
        <f>TRUNC(VLOOKUP(P184,'Color codes'!$A:$E,5,FALSE)*(0.25 + 0.75*Q184/40))</f>
        <v>137</v>
      </c>
      <c r="V184" t="b">
        <f t="shared" si="14"/>
        <v>0</v>
      </c>
    </row>
    <row r="185" spans="1:22" x14ac:dyDescent="0.25">
      <c r="A185" t="s">
        <v>19</v>
      </c>
      <c r="B185" t="s">
        <v>16</v>
      </c>
      <c r="C185">
        <v>15</v>
      </c>
      <c r="D185">
        <v>100</v>
      </c>
      <c r="E185">
        <v>25600</v>
      </c>
      <c r="F185" t="str">
        <f t="shared" si="12"/>
        <v>tree256_blurkernel8_15_100_25600</v>
      </c>
      <c r="G185">
        <f>IFERROR(VLOOKUP(F185,SROU03!$F:$H,2,FALSE),0)</f>
        <v>9.9642149999999994</v>
      </c>
      <c r="H185">
        <f>IFERROR(VLOOKUP(F185,SROU03!$F:$H,3,FALSE),0)</f>
        <v>18.520492999999998</v>
      </c>
      <c r="I185">
        <v>3.377513E-3</v>
      </c>
      <c r="J185">
        <v>9.0580000000000004E-6</v>
      </c>
      <c r="K185">
        <v>10.6182</v>
      </c>
      <c r="L185">
        <v>4.1394000000000002</v>
      </c>
      <c r="M185">
        <f>IFERROR(VLOOKUP(F185,TICO09!$F:$O,8,FALSE),0)</f>
        <v>10.7524</v>
      </c>
      <c r="N185">
        <f>IFERROR(VLOOKUP(F185,SROU03!$F:$O,9,FALSE),0)</f>
        <v>13.873100000000001</v>
      </c>
      <c r="O185">
        <v>12.512499999999999</v>
      </c>
      <c r="P185" t="str">
        <f t="shared" si="13"/>
        <v>SROU03</v>
      </c>
      <c r="Q185">
        <f t="shared" si="11"/>
        <v>13.873100000000001</v>
      </c>
      <c r="R185">
        <f>VLOOKUP(P185,'Color codes'!$A:$B,2,FALSE)</f>
        <v>3</v>
      </c>
      <c r="S185">
        <f>TRUNC(VLOOKUP(P185,'Color codes'!$A:$E,3,FALSE)*(0.25 + 0.75*Q185/40))</f>
        <v>54</v>
      </c>
      <c r="T185">
        <f>TRUNC(VLOOKUP(P185,'Color codes'!$A:$E,4,FALSE)*(0.25 + 0.75*Q185/40))</f>
        <v>89</v>
      </c>
      <c r="U185">
        <f>TRUNC(VLOOKUP(P185,'Color codes'!$A:$E,5,FALSE)*(0.25 + 0.75*Q185/40))</f>
        <v>130</v>
      </c>
      <c r="V185" t="b">
        <f t="shared" si="14"/>
        <v>1</v>
      </c>
    </row>
    <row r="186" spans="1:22" x14ac:dyDescent="0.25">
      <c r="A186" t="s">
        <v>19</v>
      </c>
      <c r="B186" t="s">
        <v>16</v>
      </c>
      <c r="C186">
        <v>31</v>
      </c>
      <c r="D186">
        <v>100</v>
      </c>
      <c r="E186">
        <v>200</v>
      </c>
      <c r="F186" t="str">
        <f t="shared" si="12"/>
        <v>tree256_blurkernel8_31_100_200</v>
      </c>
      <c r="G186">
        <f>IFERROR(VLOOKUP(F186,SROU03!$F:$H,2,FALSE),0)</f>
        <v>48.021782000000002</v>
      </c>
      <c r="H186">
        <f>IFERROR(VLOOKUP(F186,SROU03!$F:$H,3,FALSE),0)</f>
        <v>47.091099</v>
      </c>
      <c r="I186">
        <v>1.9805000000000001E-5</v>
      </c>
      <c r="J186">
        <v>9.0550000000000005E-6</v>
      </c>
      <c r="K186">
        <v>32.616700000000002</v>
      </c>
      <c r="L186">
        <v>2.5017</v>
      </c>
      <c r="M186">
        <f>IFERROR(VLOOKUP(F186,TICO09!$F:$O,8,FALSE),0)</f>
        <v>13.798400000000001</v>
      </c>
      <c r="N186">
        <f>IFERROR(VLOOKUP(F186,SROU03!$F:$O,9,FALSE),0)</f>
        <v>31.052600000000002</v>
      </c>
      <c r="O186">
        <v>32.630699999999997</v>
      </c>
      <c r="P186" t="str">
        <f t="shared" si="13"/>
        <v>BM3D</v>
      </c>
      <c r="Q186">
        <f t="shared" si="11"/>
        <v>32.630699999999997</v>
      </c>
      <c r="R186">
        <f>VLOOKUP(P186,'Color codes'!$A:$B,2,FALSE)</f>
        <v>1</v>
      </c>
      <c r="S186">
        <f>TRUNC(VLOOKUP(P186,'Color codes'!$A:$E,3,FALSE)*(0.25 + 0.75*Q186/40))</f>
        <v>219</v>
      </c>
      <c r="T186">
        <f>TRUNC(VLOOKUP(P186,'Color codes'!$A:$E,4,FALSE)*(0.25 + 0.75*Q186/40))</f>
        <v>92</v>
      </c>
      <c r="U186">
        <f>TRUNC(VLOOKUP(P186,'Color codes'!$A:$E,5,FALSE)*(0.25 + 0.75*Q186/40))</f>
        <v>89</v>
      </c>
      <c r="V186" t="b">
        <f t="shared" si="14"/>
        <v>1</v>
      </c>
    </row>
    <row r="187" spans="1:22" x14ac:dyDescent="0.25">
      <c r="A187" t="s">
        <v>19</v>
      </c>
      <c r="B187" t="s">
        <v>16</v>
      </c>
      <c r="C187">
        <v>31</v>
      </c>
      <c r="D187">
        <v>100</v>
      </c>
      <c r="E187">
        <v>400</v>
      </c>
      <c r="F187" t="str">
        <f t="shared" si="12"/>
        <v>tree256_blurkernel8_31_100_400</v>
      </c>
      <c r="G187">
        <f>IFERROR(VLOOKUP(F187,SROU03!$F:$H,2,FALSE),0)</f>
        <v>33.578736999999997</v>
      </c>
      <c r="H187">
        <f>IFERROR(VLOOKUP(F187,SROU03!$F:$H,3,FALSE),0)</f>
        <v>42.725113</v>
      </c>
      <c r="I187">
        <v>4.1091999999999999E-5</v>
      </c>
      <c r="J187">
        <v>9.0550000000000005E-6</v>
      </c>
      <c r="K187">
        <v>29.446400000000001</v>
      </c>
      <c r="L187">
        <v>2.5017</v>
      </c>
      <c r="M187">
        <f>IFERROR(VLOOKUP(F187,TICO09!$F:$O,8,FALSE),0)</f>
        <v>13.7722</v>
      </c>
      <c r="N187">
        <f>IFERROR(VLOOKUP(F187,SROU03!$F:$O,9,FALSE),0)</f>
        <v>27.860499999999998</v>
      </c>
      <c r="O187">
        <v>29.485299999999999</v>
      </c>
      <c r="P187" t="str">
        <f t="shared" si="13"/>
        <v>BM3D</v>
      </c>
      <c r="Q187">
        <f t="shared" si="11"/>
        <v>29.485299999999999</v>
      </c>
      <c r="R187">
        <f>VLOOKUP(P187,'Color codes'!$A:$B,2,FALSE)</f>
        <v>1</v>
      </c>
      <c r="S187">
        <f>TRUNC(VLOOKUP(P187,'Color codes'!$A:$E,3,FALSE)*(0.25 + 0.75*Q187/40))</f>
        <v>204</v>
      </c>
      <c r="T187">
        <f>TRUNC(VLOOKUP(P187,'Color codes'!$A:$E,4,FALSE)*(0.25 + 0.75*Q187/40))</f>
        <v>85</v>
      </c>
      <c r="U187">
        <f>TRUNC(VLOOKUP(P187,'Color codes'!$A:$E,5,FALSE)*(0.25 + 0.75*Q187/40))</f>
        <v>83</v>
      </c>
      <c r="V187" t="b">
        <f t="shared" si="14"/>
        <v>1</v>
      </c>
    </row>
    <row r="188" spans="1:22" x14ac:dyDescent="0.25">
      <c r="A188" t="s">
        <v>19</v>
      </c>
      <c r="B188" t="s">
        <v>16</v>
      </c>
      <c r="C188">
        <v>31</v>
      </c>
      <c r="D188">
        <v>100</v>
      </c>
      <c r="E188">
        <v>800</v>
      </c>
      <c r="F188" t="str">
        <f t="shared" si="12"/>
        <v>tree256_blurkernel8_31_100_800</v>
      </c>
      <c r="G188">
        <f>IFERROR(VLOOKUP(F188,SROU03!$F:$H,2,FALSE),0)</f>
        <v>23.847829000000001</v>
      </c>
      <c r="H188">
        <f>IFERROR(VLOOKUP(F188,SROU03!$F:$H,3,FALSE),0)</f>
        <v>40.624969</v>
      </c>
      <c r="I188">
        <v>8.4239000000000004E-5</v>
      </c>
      <c r="J188">
        <v>9.0550000000000005E-6</v>
      </c>
      <c r="K188">
        <v>26.3352</v>
      </c>
      <c r="L188">
        <v>2.5017</v>
      </c>
      <c r="M188">
        <f>IFERROR(VLOOKUP(F188,TICO09!$F:$O,8,FALSE),0)</f>
        <v>13.6866</v>
      </c>
      <c r="N188">
        <f>IFERROR(VLOOKUP(F188,SROU03!$F:$O,9,FALSE),0)</f>
        <v>24.807500000000001</v>
      </c>
      <c r="O188">
        <v>26.416599999999999</v>
      </c>
      <c r="P188" t="str">
        <f t="shared" si="13"/>
        <v>BM3D</v>
      </c>
      <c r="Q188">
        <f t="shared" si="11"/>
        <v>26.416599999999999</v>
      </c>
      <c r="R188">
        <f>VLOOKUP(P188,'Color codes'!$A:$B,2,FALSE)</f>
        <v>1</v>
      </c>
      <c r="S188">
        <f>TRUNC(VLOOKUP(P188,'Color codes'!$A:$E,3,FALSE)*(0.25 + 0.75*Q188/40))</f>
        <v>190</v>
      </c>
      <c r="T188">
        <f>TRUNC(VLOOKUP(P188,'Color codes'!$A:$E,4,FALSE)*(0.25 + 0.75*Q188/40))</f>
        <v>79</v>
      </c>
      <c r="U188">
        <f>TRUNC(VLOOKUP(P188,'Color codes'!$A:$E,5,FALSE)*(0.25 + 0.75*Q188/40))</f>
        <v>77</v>
      </c>
      <c r="V188" t="b">
        <f t="shared" si="14"/>
        <v>1</v>
      </c>
    </row>
    <row r="189" spans="1:22" x14ac:dyDescent="0.25">
      <c r="A189" t="s">
        <v>19</v>
      </c>
      <c r="B189" t="s">
        <v>16</v>
      </c>
      <c r="C189">
        <v>31</v>
      </c>
      <c r="D189">
        <v>100</v>
      </c>
      <c r="E189">
        <v>1600</v>
      </c>
      <c r="F189" t="str">
        <f t="shared" si="12"/>
        <v>tree256_blurkernel8_31_100_1600</v>
      </c>
      <c r="G189">
        <f>IFERROR(VLOOKUP(F189,SROU03!$F:$H,2,FALSE),0)</f>
        <v>17.297678999999999</v>
      </c>
      <c r="H189">
        <f>IFERROR(VLOOKUP(F189,SROU03!$F:$H,3,FALSE),0)</f>
        <v>39.434364000000002</v>
      </c>
      <c r="I189">
        <v>1.7136399999999999E-4</v>
      </c>
      <c r="J189">
        <v>9.0550000000000005E-6</v>
      </c>
      <c r="K189">
        <v>23.257999999999999</v>
      </c>
      <c r="L189">
        <v>2.5017</v>
      </c>
      <c r="M189">
        <f>IFERROR(VLOOKUP(F189,TICO09!$F:$O,8,FALSE),0)</f>
        <v>13.5814</v>
      </c>
      <c r="N189">
        <f>IFERROR(VLOOKUP(F189,SROU03!$F:$O,9,FALSE),0)</f>
        <v>21.889600000000002</v>
      </c>
      <c r="O189">
        <v>23.431000000000001</v>
      </c>
      <c r="P189" t="str">
        <f t="shared" si="13"/>
        <v>BM3D</v>
      </c>
      <c r="Q189">
        <f t="shared" si="11"/>
        <v>23.431000000000001</v>
      </c>
      <c r="R189">
        <f>VLOOKUP(P189,'Color codes'!$A:$B,2,FALSE)</f>
        <v>1</v>
      </c>
      <c r="S189">
        <f>TRUNC(VLOOKUP(P189,'Color codes'!$A:$E,3,FALSE)*(0.25 + 0.75*Q189/40))</f>
        <v>175</v>
      </c>
      <c r="T189">
        <f>TRUNC(VLOOKUP(P189,'Color codes'!$A:$E,4,FALSE)*(0.25 + 0.75*Q189/40))</f>
        <v>73</v>
      </c>
      <c r="U189">
        <f>TRUNC(VLOOKUP(P189,'Color codes'!$A:$E,5,FALSE)*(0.25 + 0.75*Q189/40))</f>
        <v>71</v>
      </c>
      <c r="V189" t="b">
        <f t="shared" si="14"/>
        <v>1</v>
      </c>
    </row>
    <row r="190" spans="1:22" x14ac:dyDescent="0.25">
      <c r="A190" t="s">
        <v>19</v>
      </c>
      <c r="B190" t="s">
        <v>16</v>
      </c>
      <c r="C190">
        <v>31</v>
      </c>
      <c r="D190">
        <v>100</v>
      </c>
      <c r="E190">
        <v>3200</v>
      </c>
      <c r="F190" t="str">
        <f t="shared" si="12"/>
        <v>tree256_blurkernel8_31_100_3200</v>
      </c>
      <c r="G190">
        <f>IFERROR(VLOOKUP(F190,SROU03!$F:$H,2,FALSE),0)</f>
        <v>12.935357</v>
      </c>
      <c r="H190">
        <f>IFERROR(VLOOKUP(F190,SROU03!$F:$H,3,FALSE),0)</f>
        <v>38.987005000000003</v>
      </c>
      <c r="I190">
        <v>3.4713099999999998E-4</v>
      </c>
      <c r="J190">
        <v>9.0550000000000005E-6</v>
      </c>
      <c r="K190">
        <v>20.207100000000001</v>
      </c>
      <c r="L190">
        <v>2.5017</v>
      </c>
      <c r="M190">
        <f>IFERROR(VLOOKUP(F190,TICO09!$F:$O,8,FALSE),0)</f>
        <v>13.346399999999999</v>
      </c>
      <c r="N190">
        <f>IFERROR(VLOOKUP(F190,SROU03!$F:$O,9,FALSE),0)</f>
        <v>19.244299999999999</v>
      </c>
      <c r="O190">
        <v>20.569600000000001</v>
      </c>
      <c r="P190" t="str">
        <f t="shared" si="13"/>
        <v>BM3D</v>
      </c>
      <c r="Q190">
        <f t="shared" si="11"/>
        <v>20.569600000000001</v>
      </c>
      <c r="R190">
        <f>VLOOKUP(P190,'Color codes'!$A:$B,2,FALSE)</f>
        <v>1</v>
      </c>
      <c r="S190">
        <f>TRUNC(VLOOKUP(P190,'Color codes'!$A:$E,3,FALSE)*(0.25 + 0.75*Q190/40))</f>
        <v>162</v>
      </c>
      <c r="T190">
        <f>TRUNC(VLOOKUP(P190,'Color codes'!$A:$E,4,FALSE)*(0.25 + 0.75*Q190/40))</f>
        <v>68</v>
      </c>
      <c r="U190">
        <f>TRUNC(VLOOKUP(P190,'Color codes'!$A:$E,5,FALSE)*(0.25 + 0.75*Q190/40))</f>
        <v>66</v>
      </c>
      <c r="V190" t="b">
        <f t="shared" si="14"/>
        <v>1</v>
      </c>
    </row>
    <row r="191" spans="1:22" x14ac:dyDescent="0.25">
      <c r="A191" t="s">
        <v>19</v>
      </c>
      <c r="B191" t="s">
        <v>16</v>
      </c>
      <c r="C191">
        <v>31</v>
      </c>
      <c r="D191">
        <v>100</v>
      </c>
      <c r="E191">
        <v>6400</v>
      </c>
      <c r="F191" t="str">
        <f t="shared" si="12"/>
        <v>tree256_blurkernel8_31_100_6400</v>
      </c>
      <c r="G191">
        <f>IFERROR(VLOOKUP(F191,SROU03!$F:$H,2,FALSE),0)</f>
        <v>10.035169</v>
      </c>
      <c r="H191">
        <f>IFERROR(VLOOKUP(F191,SROU03!$F:$H,3,FALSE),0)</f>
        <v>38.620865999999999</v>
      </c>
      <c r="I191">
        <v>7.1846900000000001E-4</v>
      </c>
      <c r="J191">
        <v>9.0550000000000005E-6</v>
      </c>
      <c r="K191">
        <v>17.083200000000001</v>
      </c>
      <c r="L191">
        <v>2.5017</v>
      </c>
      <c r="M191">
        <f>IFERROR(VLOOKUP(F191,TICO09!$F:$O,8,FALSE),0)</f>
        <v>12.8934</v>
      </c>
      <c r="N191">
        <f>IFERROR(VLOOKUP(F191,SROU03!$F:$O,9,FALSE),0)</f>
        <v>16.732500000000002</v>
      </c>
      <c r="O191">
        <v>17.766500000000001</v>
      </c>
      <c r="P191" t="str">
        <f t="shared" si="13"/>
        <v>BM3D</v>
      </c>
      <c r="Q191">
        <f t="shared" si="11"/>
        <v>17.766500000000001</v>
      </c>
      <c r="R191">
        <f>VLOOKUP(P191,'Color codes'!$A:$B,2,FALSE)</f>
        <v>1</v>
      </c>
      <c r="S191">
        <f>TRUNC(VLOOKUP(P191,'Color codes'!$A:$E,3,FALSE)*(0.25 + 0.75*Q191/40))</f>
        <v>148</v>
      </c>
      <c r="T191">
        <f>TRUNC(VLOOKUP(P191,'Color codes'!$A:$E,4,FALSE)*(0.25 + 0.75*Q191/40))</f>
        <v>62</v>
      </c>
      <c r="U191">
        <f>TRUNC(VLOOKUP(P191,'Color codes'!$A:$E,5,FALSE)*(0.25 + 0.75*Q191/40))</f>
        <v>60</v>
      </c>
      <c r="V191" t="b">
        <f t="shared" si="14"/>
        <v>1</v>
      </c>
    </row>
    <row r="192" spans="1:22" x14ac:dyDescent="0.25">
      <c r="A192" t="s">
        <v>19</v>
      </c>
      <c r="B192" t="s">
        <v>16</v>
      </c>
      <c r="C192">
        <v>31</v>
      </c>
      <c r="D192">
        <v>100</v>
      </c>
      <c r="E192">
        <v>12800</v>
      </c>
      <c r="F192" t="str">
        <f t="shared" si="12"/>
        <v>tree256_blurkernel8_31_100_12800</v>
      </c>
      <c r="G192">
        <f>IFERROR(VLOOKUP(F192,SROU03!$F:$H,2,FALSE),0)</f>
        <v>8.1439749999999993</v>
      </c>
      <c r="H192">
        <f>IFERROR(VLOOKUP(F192,SROU03!$F:$H,3,FALSE),0)</f>
        <v>38.590045000000003</v>
      </c>
      <c r="I192">
        <v>1.5027700000000001E-3</v>
      </c>
      <c r="J192">
        <v>9.0550000000000005E-6</v>
      </c>
      <c r="K192">
        <v>13.947699999999999</v>
      </c>
      <c r="L192">
        <v>2.5017</v>
      </c>
      <c r="M192">
        <f>IFERROR(VLOOKUP(F192,TICO09!$F:$O,8,FALSE),0)</f>
        <v>12.1761</v>
      </c>
      <c r="N192">
        <f>IFERROR(VLOOKUP(F192,SROU03!$F:$O,9,FALSE),0)</f>
        <v>14.665800000000001</v>
      </c>
      <c r="O192">
        <v>15.1149</v>
      </c>
      <c r="P192" t="str">
        <f t="shared" si="13"/>
        <v>BM3D</v>
      </c>
      <c r="Q192">
        <f t="shared" si="11"/>
        <v>15.1149</v>
      </c>
      <c r="R192">
        <f>VLOOKUP(P192,'Color codes'!$A:$B,2,FALSE)</f>
        <v>1</v>
      </c>
      <c r="S192">
        <f>TRUNC(VLOOKUP(P192,'Color codes'!$A:$E,3,FALSE)*(0.25 + 0.75*Q192/40))</f>
        <v>136</v>
      </c>
      <c r="T192">
        <f>TRUNC(VLOOKUP(P192,'Color codes'!$A:$E,4,FALSE)*(0.25 + 0.75*Q192/40))</f>
        <v>57</v>
      </c>
      <c r="U192">
        <f>TRUNC(VLOOKUP(P192,'Color codes'!$A:$E,5,FALSE)*(0.25 + 0.75*Q192/40))</f>
        <v>55</v>
      </c>
      <c r="V192" t="b">
        <f t="shared" si="14"/>
        <v>0</v>
      </c>
    </row>
    <row r="193" spans="1:22" x14ac:dyDescent="0.25">
      <c r="A193" t="s">
        <v>19</v>
      </c>
      <c r="B193" t="s">
        <v>16</v>
      </c>
      <c r="C193">
        <v>31</v>
      </c>
      <c r="D193">
        <v>100</v>
      </c>
      <c r="E193">
        <v>25600</v>
      </c>
      <c r="F193" t="str">
        <f t="shared" si="12"/>
        <v>tree256_blurkernel8_31_100_25600</v>
      </c>
      <c r="G193">
        <f>IFERROR(VLOOKUP(F193,SROU03!$F:$H,2,FALSE),0)</f>
        <v>6.928026</v>
      </c>
      <c r="H193">
        <f>IFERROR(VLOOKUP(F193,SROU03!$F:$H,3,FALSE),0)</f>
        <v>38.442326000000001</v>
      </c>
      <c r="I193">
        <v>3.3556419999999998E-3</v>
      </c>
      <c r="J193">
        <v>9.0550000000000005E-6</v>
      </c>
      <c r="K193">
        <v>10.6693</v>
      </c>
      <c r="L193">
        <v>2.5017</v>
      </c>
      <c r="M193">
        <f>IFERROR(VLOOKUP(F193,TICO09!$F:$O,8,FALSE),0)</f>
        <v>11.0106</v>
      </c>
      <c r="N193">
        <f>IFERROR(VLOOKUP(F193,SROU03!$F:$O,9,FALSE),0)</f>
        <v>12.5778</v>
      </c>
      <c r="O193">
        <v>12.611800000000001</v>
      </c>
      <c r="P193" t="str">
        <f t="shared" si="13"/>
        <v>BM3D</v>
      </c>
      <c r="Q193">
        <f t="shared" si="11"/>
        <v>12.611800000000001</v>
      </c>
      <c r="R193">
        <f>VLOOKUP(P193,'Color codes'!$A:$B,2,FALSE)</f>
        <v>1</v>
      </c>
      <c r="S193">
        <f>TRUNC(VLOOKUP(P193,'Color codes'!$A:$E,3,FALSE)*(0.25 + 0.75*Q193/40))</f>
        <v>124</v>
      </c>
      <c r="T193">
        <f>TRUNC(VLOOKUP(P193,'Color codes'!$A:$E,4,FALSE)*(0.25 + 0.75*Q193/40))</f>
        <v>52</v>
      </c>
      <c r="U193">
        <f>TRUNC(VLOOKUP(P193,'Color codes'!$A:$E,5,FALSE)*(0.25 + 0.75*Q193/40))</f>
        <v>50</v>
      </c>
      <c r="V193" t="b">
        <f t="shared" si="14"/>
        <v>0</v>
      </c>
    </row>
    <row r="194" spans="1:22" x14ac:dyDescent="0.25">
      <c r="A194" t="s">
        <v>19</v>
      </c>
      <c r="B194" t="s">
        <v>17</v>
      </c>
      <c r="C194">
        <v>3</v>
      </c>
      <c r="D194">
        <v>100</v>
      </c>
      <c r="E194">
        <v>200</v>
      </c>
      <c r="F194" t="str">
        <f t="shared" si="12"/>
        <v>tree256_line_3_100_200</v>
      </c>
      <c r="G194">
        <f>IFERROR(VLOOKUP(F194,SROU03!$F:$H,2,FALSE),0)</f>
        <v>61.376314999999998</v>
      </c>
      <c r="H194">
        <f>IFERROR(VLOOKUP(F194,SROU03!$F:$H,3,FALSE),0)</f>
        <v>3.5238320000000001</v>
      </c>
      <c r="I194">
        <v>1.9697000000000001E-5</v>
      </c>
      <c r="J194">
        <v>9.064E-6</v>
      </c>
      <c r="K194">
        <v>32.637799999999999</v>
      </c>
      <c r="L194">
        <v>9.3480000000000008</v>
      </c>
      <c r="M194">
        <f>IFERROR(VLOOKUP(F194,TICO09!$F:$O,8,FALSE),0)</f>
        <v>11.923999999999999</v>
      </c>
      <c r="N194">
        <f>IFERROR(VLOOKUP(F194,SROU03!$F:$O,9,FALSE),0)</f>
        <v>32.575699999999998</v>
      </c>
      <c r="O194">
        <v>32.65</v>
      </c>
      <c r="P194" t="str">
        <f t="shared" si="13"/>
        <v>BM3D</v>
      </c>
      <c r="Q194">
        <f t="shared" si="11"/>
        <v>32.65</v>
      </c>
      <c r="R194">
        <f>VLOOKUP(P194,'Color codes'!$A:$B,2,FALSE)</f>
        <v>1</v>
      </c>
      <c r="S194">
        <f>TRUNC(VLOOKUP(P194,'Color codes'!$A:$E,3,FALSE)*(0.25 + 0.75*Q194/40))</f>
        <v>219</v>
      </c>
      <c r="T194">
        <f>TRUNC(VLOOKUP(P194,'Color codes'!$A:$E,4,FALSE)*(0.25 + 0.75*Q194/40))</f>
        <v>92</v>
      </c>
      <c r="U194">
        <f>TRUNC(VLOOKUP(P194,'Color codes'!$A:$E,5,FALSE)*(0.25 + 0.75*Q194/40))</f>
        <v>89</v>
      </c>
      <c r="V194" t="b">
        <f t="shared" si="14"/>
        <v>0</v>
      </c>
    </row>
    <row r="195" spans="1:22" x14ac:dyDescent="0.25">
      <c r="A195" t="s">
        <v>19</v>
      </c>
      <c r="B195" t="s">
        <v>17</v>
      </c>
      <c r="C195">
        <v>3</v>
      </c>
      <c r="D195">
        <v>100</v>
      </c>
      <c r="E195">
        <v>400</v>
      </c>
      <c r="F195" t="str">
        <f t="shared" si="12"/>
        <v>tree256_line_3_100_400</v>
      </c>
      <c r="G195">
        <f>IFERROR(VLOOKUP(F195,SROU03!$F:$H,2,FALSE),0)</f>
        <v>51.175232000000001</v>
      </c>
      <c r="H195">
        <f>IFERROR(VLOOKUP(F195,SROU03!$F:$H,3,FALSE),0)</f>
        <v>3.2251340000000002</v>
      </c>
      <c r="I195">
        <v>4.1211999999999998E-5</v>
      </c>
      <c r="J195">
        <v>9.064E-6</v>
      </c>
      <c r="K195">
        <v>29.4329</v>
      </c>
      <c r="L195">
        <v>9.3480000000000008</v>
      </c>
      <c r="M195">
        <f>IFERROR(VLOOKUP(F195,TICO09!$F:$O,8,FALSE),0)</f>
        <v>11.910399999999999</v>
      </c>
      <c r="N195">
        <f>IFERROR(VLOOKUP(F195,SROU03!$F:$O,9,FALSE),0)</f>
        <v>29.715</v>
      </c>
      <c r="O195">
        <v>29.472100000000001</v>
      </c>
      <c r="P195" t="str">
        <f t="shared" si="13"/>
        <v>SROU03</v>
      </c>
      <c r="Q195">
        <f t="shared" ref="Q195:Q258" si="15">MAX(M195:O195)</f>
        <v>29.715</v>
      </c>
      <c r="R195">
        <f>VLOOKUP(P195,'Color codes'!$A:$B,2,FALSE)</f>
        <v>3</v>
      </c>
      <c r="S195">
        <f>TRUNC(VLOOKUP(P195,'Color codes'!$A:$E,3,FALSE)*(0.25 + 0.75*Q195/40))</f>
        <v>86</v>
      </c>
      <c r="T195">
        <f>TRUNC(VLOOKUP(P195,'Color codes'!$A:$E,4,FALSE)*(0.25 + 0.75*Q195/40))</f>
        <v>142</v>
      </c>
      <c r="U195">
        <f>TRUNC(VLOOKUP(P195,'Color codes'!$A:$E,5,FALSE)*(0.25 + 0.75*Q195/40))</f>
        <v>205</v>
      </c>
      <c r="V195" t="b">
        <f t="shared" si="14"/>
        <v>0</v>
      </c>
    </row>
    <row r="196" spans="1:22" x14ac:dyDescent="0.25">
      <c r="A196" t="s">
        <v>19</v>
      </c>
      <c r="B196" t="s">
        <v>17</v>
      </c>
      <c r="C196">
        <v>3</v>
      </c>
      <c r="D196">
        <v>100</v>
      </c>
      <c r="E196">
        <v>800</v>
      </c>
      <c r="F196" t="str">
        <f t="shared" si="12"/>
        <v>tree256_line_3_100_800</v>
      </c>
      <c r="G196">
        <f>IFERROR(VLOOKUP(F196,SROU03!$F:$H,2,FALSE),0)</f>
        <v>45.210160999999999</v>
      </c>
      <c r="H196">
        <f>IFERROR(VLOOKUP(F196,SROU03!$F:$H,3,FALSE),0)</f>
        <v>3.0838610000000002</v>
      </c>
      <c r="I196">
        <v>8.4850000000000002E-5</v>
      </c>
      <c r="J196">
        <v>9.064E-6</v>
      </c>
      <c r="K196">
        <v>26.299800000000001</v>
      </c>
      <c r="L196">
        <v>9.3480000000000008</v>
      </c>
      <c r="M196">
        <f>IFERROR(VLOOKUP(F196,TICO09!$F:$O,8,FALSE),0)</f>
        <v>11.8955</v>
      </c>
      <c r="N196">
        <f>IFERROR(VLOOKUP(F196,SROU03!$F:$O,9,FALSE),0)</f>
        <v>27.0106</v>
      </c>
      <c r="O196">
        <v>26.383600000000001</v>
      </c>
      <c r="P196" t="str">
        <f t="shared" si="13"/>
        <v>SROU03</v>
      </c>
      <c r="Q196">
        <f t="shared" si="15"/>
        <v>27.0106</v>
      </c>
      <c r="R196">
        <f>VLOOKUP(P196,'Color codes'!$A:$B,2,FALSE)</f>
        <v>3</v>
      </c>
      <c r="S196">
        <f>TRUNC(VLOOKUP(P196,'Color codes'!$A:$E,3,FALSE)*(0.25 + 0.75*Q196/40))</f>
        <v>80</v>
      </c>
      <c r="T196">
        <f>TRUNC(VLOOKUP(P196,'Color codes'!$A:$E,4,FALSE)*(0.25 + 0.75*Q196/40))</f>
        <v>133</v>
      </c>
      <c r="U196">
        <f>TRUNC(VLOOKUP(P196,'Color codes'!$A:$E,5,FALSE)*(0.25 + 0.75*Q196/40))</f>
        <v>192</v>
      </c>
      <c r="V196" t="b">
        <f t="shared" si="14"/>
        <v>0</v>
      </c>
    </row>
    <row r="197" spans="1:22" x14ac:dyDescent="0.25">
      <c r="A197" t="s">
        <v>19</v>
      </c>
      <c r="B197" t="s">
        <v>17</v>
      </c>
      <c r="C197">
        <v>3</v>
      </c>
      <c r="D197">
        <v>100</v>
      </c>
      <c r="E197">
        <v>1600</v>
      </c>
      <c r="F197" t="str">
        <f t="shared" si="12"/>
        <v>tree256_line_3_100_1600</v>
      </c>
      <c r="G197">
        <f>IFERROR(VLOOKUP(F197,SROU03!$F:$H,2,FALSE),0)</f>
        <v>41.533050000000003</v>
      </c>
      <c r="H197">
        <f>IFERROR(VLOOKUP(F197,SROU03!$F:$H,3,FALSE),0)</f>
        <v>3.033566</v>
      </c>
      <c r="I197">
        <v>1.72375E-4</v>
      </c>
      <c r="J197">
        <v>9.064E-6</v>
      </c>
      <c r="K197">
        <v>23.2319</v>
      </c>
      <c r="L197">
        <v>9.3480000000000008</v>
      </c>
      <c r="M197">
        <f>IFERROR(VLOOKUP(F197,TICO09!$F:$O,8,FALSE),0)</f>
        <v>11.8223</v>
      </c>
      <c r="N197">
        <f>IFERROR(VLOOKUP(F197,SROU03!$F:$O,9,FALSE),0)</f>
        <v>24.4023</v>
      </c>
      <c r="O197">
        <v>23.409800000000001</v>
      </c>
      <c r="P197" t="str">
        <f t="shared" si="13"/>
        <v>SROU03</v>
      </c>
      <c r="Q197">
        <f t="shared" si="15"/>
        <v>24.4023</v>
      </c>
      <c r="R197">
        <f>VLOOKUP(P197,'Color codes'!$A:$B,2,FALSE)</f>
        <v>3</v>
      </c>
      <c r="S197">
        <f>TRUNC(VLOOKUP(P197,'Color codes'!$A:$E,3,FALSE)*(0.25 + 0.75*Q197/40))</f>
        <v>75</v>
      </c>
      <c r="T197">
        <f>TRUNC(VLOOKUP(P197,'Color codes'!$A:$E,4,FALSE)*(0.25 + 0.75*Q197/40))</f>
        <v>124</v>
      </c>
      <c r="U197">
        <f>TRUNC(VLOOKUP(P197,'Color codes'!$A:$E,5,FALSE)*(0.25 + 0.75*Q197/40))</f>
        <v>180</v>
      </c>
      <c r="V197" t="b">
        <f t="shared" si="14"/>
        <v>0</v>
      </c>
    </row>
    <row r="198" spans="1:22" x14ac:dyDescent="0.25">
      <c r="A198" t="s">
        <v>19</v>
      </c>
      <c r="B198" t="s">
        <v>17</v>
      </c>
      <c r="C198">
        <v>3</v>
      </c>
      <c r="D198">
        <v>100</v>
      </c>
      <c r="E198">
        <v>3200</v>
      </c>
      <c r="F198" t="str">
        <f t="shared" si="12"/>
        <v>tree256_line_3_100_3200</v>
      </c>
      <c r="G198">
        <f>IFERROR(VLOOKUP(F198,SROU03!$F:$H,2,FALSE),0)</f>
        <v>38.853783</v>
      </c>
      <c r="H198">
        <f>IFERROR(VLOOKUP(F198,SROU03!$F:$H,3,FALSE),0)</f>
        <v>3.0363220000000002</v>
      </c>
      <c r="I198">
        <v>3.4886800000000001E-4</v>
      </c>
      <c r="J198">
        <v>9.064E-6</v>
      </c>
      <c r="K198">
        <v>20.193000000000001</v>
      </c>
      <c r="L198">
        <v>9.3480000000000008</v>
      </c>
      <c r="M198">
        <f>IFERROR(VLOOKUP(F198,TICO09!$F:$O,8,FALSE),0)</f>
        <v>11.7614</v>
      </c>
      <c r="N198">
        <f>IFERROR(VLOOKUP(F198,SROU03!$F:$O,9,FALSE),0)</f>
        <v>22.102900000000002</v>
      </c>
      <c r="O198">
        <v>20.555499999999999</v>
      </c>
      <c r="P198" t="str">
        <f t="shared" si="13"/>
        <v>SROU03</v>
      </c>
      <c r="Q198">
        <f t="shared" si="15"/>
        <v>22.102900000000002</v>
      </c>
      <c r="R198">
        <f>VLOOKUP(P198,'Color codes'!$A:$B,2,FALSE)</f>
        <v>3</v>
      </c>
      <c r="S198">
        <f>TRUNC(VLOOKUP(P198,'Color codes'!$A:$E,3,FALSE)*(0.25 + 0.75*Q198/40))</f>
        <v>71</v>
      </c>
      <c r="T198">
        <f>TRUNC(VLOOKUP(P198,'Color codes'!$A:$E,4,FALSE)*(0.25 + 0.75*Q198/40))</f>
        <v>116</v>
      </c>
      <c r="U198">
        <f>TRUNC(VLOOKUP(P198,'Color codes'!$A:$E,5,FALSE)*(0.25 + 0.75*Q198/40))</f>
        <v>169</v>
      </c>
      <c r="V198" t="b">
        <f t="shared" si="14"/>
        <v>1</v>
      </c>
    </row>
    <row r="199" spans="1:22" x14ac:dyDescent="0.25">
      <c r="A199" t="s">
        <v>19</v>
      </c>
      <c r="B199" t="s">
        <v>17</v>
      </c>
      <c r="C199">
        <v>3</v>
      </c>
      <c r="D199">
        <v>100</v>
      </c>
      <c r="E199">
        <v>6400</v>
      </c>
      <c r="F199" t="str">
        <f t="shared" si="12"/>
        <v>tree256_line_3_100_6400</v>
      </c>
      <c r="G199">
        <f>IFERROR(VLOOKUP(F199,SROU03!$F:$H,2,FALSE),0)</f>
        <v>35.975779000000003</v>
      </c>
      <c r="H199">
        <f>IFERROR(VLOOKUP(F199,SROU03!$F:$H,3,FALSE),0)</f>
        <v>3.092085</v>
      </c>
      <c r="I199">
        <v>7.2265700000000003E-4</v>
      </c>
      <c r="J199">
        <v>9.064E-6</v>
      </c>
      <c r="K199">
        <v>17.058</v>
      </c>
      <c r="L199">
        <v>9.3480000000000008</v>
      </c>
      <c r="M199">
        <f>IFERROR(VLOOKUP(F199,TICO09!$F:$O,8,FALSE),0)</f>
        <v>11.6067</v>
      </c>
      <c r="N199">
        <f>IFERROR(VLOOKUP(F199,SROU03!$F:$O,9,FALSE),0)</f>
        <v>20.381699999999999</v>
      </c>
      <c r="O199">
        <v>17.7319</v>
      </c>
      <c r="P199" t="str">
        <f t="shared" si="13"/>
        <v>SROU03</v>
      </c>
      <c r="Q199">
        <f t="shared" si="15"/>
        <v>20.381699999999999</v>
      </c>
      <c r="R199">
        <f>VLOOKUP(P199,'Color codes'!$A:$B,2,FALSE)</f>
        <v>3</v>
      </c>
      <c r="S199">
        <f>TRUNC(VLOOKUP(P199,'Color codes'!$A:$E,3,FALSE)*(0.25 + 0.75*Q199/40))</f>
        <v>67</v>
      </c>
      <c r="T199">
        <f>TRUNC(VLOOKUP(P199,'Color codes'!$A:$E,4,FALSE)*(0.25 + 0.75*Q199/40))</f>
        <v>111</v>
      </c>
      <c r="U199">
        <f>TRUNC(VLOOKUP(P199,'Color codes'!$A:$E,5,FALSE)*(0.25 + 0.75*Q199/40))</f>
        <v>161</v>
      </c>
      <c r="V199" t="b">
        <f t="shared" si="14"/>
        <v>1</v>
      </c>
    </row>
    <row r="200" spans="1:22" x14ac:dyDescent="0.25">
      <c r="A200" t="s">
        <v>19</v>
      </c>
      <c r="B200" t="s">
        <v>17</v>
      </c>
      <c r="C200">
        <v>3</v>
      </c>
      <c r="D200">
        <v>100</v>
      </c>
      <c r="E200">
        <v>12800</v>
      </c>
      <c r="F200" t="str">
        <f t="shared" si="12"/>
        <v>tree256_line_3_100_12800</v>
      </c>
      <c r="G200">
        <f>IFERROR(VLOOKUP(F200,SROU03!$F:$H,2,FALSE),0)</f>
        <v>32.666049000000001</v>
      </c>
      <c r="H200">
        <f>IFERROR(VLOOKUP(F200,SROU03!$F:$H,3,FALSE),0)</f>
        <v>3.1845530000000002</v>
      </c>
      <c r="I200">
        <v>1.5075469999999999E-3</v>
      </c>
      <c r="J200">
        <v>9.064E-6</v>
      </c>
      <c r="K200">
        <v>13.942399999999999</v>
      </c>
      <c r="L200">
        <v>9.3480000000000008</v>
      </c>
      <c r="M200">
        <f>IFERROR(VLOOKUP(F200,TICO09!$F:$O,8,FALSE),0)</f>
        <v>11.3736</v>
      </c>
      <c r="N200">
        <f>IFERROR(VLOOKUP(F200,SROU03!$F:$O,9,FALSE),0)</f>
        <v>19.117699999999999</v>
      </c>
      <c r="O200">
        <v>15.079000000000001</v>
      </c>
      <c r="P200" t="str">
        <f t="shared" si="13"/>
        <v>SROU03</v>
      </c>
      <c r="Q200">
        <f t="shared" si="15"/>
        <v>19.117699999999999</v>
      </c>
      <c r="R200">
        <f>VLOOKUP(P200,'Color codes'!$A:$B,2,FALSE)</f>
        <v>3</v>
      </c>
      <c r="S200">
        <f>TRUNC(VLOOKUP(P200,'Color codes'!$A:$E,3,FALSE)*(0.25 + 0.75*Q200/40))</f>
        <v>65</v>
      </c>
      <c r="T200">
        <f>TRUNC(VLOOKUP(P200,'Color codes'!$A:$E,4,FALSE)*(0.25 + 0.75*Q200/40))</f>
        <v>107</v>
      </c>
      <c r="U200">
        <f>TRUNC(VLOOKUP(P200,'Color codes'!$A:$E,5,FALSE)*(0.25 + 0.75*Q200/40))</f>
        <v>155</v>
      </c>
      <c r="V200" t="b">
        <f t="shared" si="14"/>
        <v>1</v>
      </c>
    </row>
    <row r="201" spans="1:22" x14ac:dyDescent="0.25">
      <c r="A201" t="s">
        <v>19</v>
      </c>
      <c r="B201" t="s">
        <v>17</v>
      </c>
      <c r="C201">
        <v>3</v>
      </c>
      <c r="D201">
        <v>100</v>
      </c>
      <c r="E201">
        <v>25600</v>
      </c>
      <c r="F201" t="str">
        <f t="shared" si="12"/>
        <v>tree256_line_3_100_25600</v>
      </c>
      <c r="G201">
        <f>IFERROR(VLOOKUP(F201,SROU03!$F:$H,2,FALSE),0)</f>
        <v>29.415396999999999</v>
      </c>
      <c r="H201">
        <f>IFERROR(VLOOKUP(F201,SROU03!$F:$H,3,FALSE),0)</f>
        <v>3.282616</v>
      </c>
      <c r="I201">
        <v>3.367601E-3</v>
      </c>
      <c r="J201">
        <v>9.064E-6</v>
      </c>
      <c r="K201">
        <v>10.6379</v>
      </c>
      <c r="L201">
        <v>9.3480000000000008</v>
      </c>
      <c r="M201">
        <f>IFERROR(VLOOKUP(F201,TICO09!$F:$O,8,FALSE),0)</f>
        <v>10.9718</v>
      </c>
      <c r="N201">
        <f>IFERROR(VLOOKUP(F201,SROU03!$F:$O,9,FALSE),0)</f>
        <v>18.2163</v>
      </c>
      <c r="O201">
        <v>12.555199999999999</v>
      </c>
      <c r="P201" t="str">
        <f t="shared" si="13"/>
        <v>SROU03</v>
      </c>
      <c r="Q201">
        <f t="shared" si="15"/>
        <v>18.2163</v>
      </c>
      <c r="R201">
        <f>VLOOKUP(P201,'Color codes'!$A:$B,2,FALSE)</f>
        <v>3</v>
      </c>
      <c r="S201">
        <f>TRUNC(VLOOKUP(P201,'Color codes'!$A:$E,3,FALSE)*(0.25 + 0.75*Q201/40))</f>
        <v>63</v>
      </c>
      <c r="T201">
        <f>TRUNC(VLOOKUP(P201,'Color codes'!$A:$E,4,FALSE)*(0.25 + 0.75*Q201/40))</f>
        <v>104</v>
      </c>
      <c r="U201">
        <f>TRUNC(VLOOKUP(P201,'Color codes'!$A:$E,5,FALSE)*(0.25 + 0.75*Q201/40))</f>
        <v>150</v>
      </c>
      <c r="V201" t="b">
        <f t="shared" si="14"/>
        <v>1</v>
      </c>
    </row>
    <row r="202" spans="1:22" x14ac:dyDescent="0.25">
      <c r="A202" t="s">
        <v>19</v>
      </c>
      <c r="B202" t="s">
        <v>17</v>
      </c>
      <c r="C202">
        <v>7</v>
      </c>
      <c r="D202">
        <v>100</v>
      </c>
      <c r="E202">
        <v>200</v>
      </c>
      <c r="F202" t="str">
        <f t="shared" si="12"/>
        <v>tree256_line_7_100_200</v>
      </c>
      <c r="G202">
        <f>IFERROR(VLOOKUP(F202,SROU03!$F:$H,2,FALSE),0)</f>
        <v>53.965390999999997</v>
      </c>
      <c r="H202">
        <f>IFERROR(VLOOKUP(F202,SROU03!$F:$H,3,FALSE),0)</f>
        <v>9.5070429999999995</v>
      </c>
      <c r="I202">
        <v>1.9834999999999999E-5</v>
      </c>
      <c r="J202">
        <v>9.1649999999999995E-6</v>
      </c>
      <c r="K202">
        <v>32.608600000000003</v>
      </c>
      <c r="L202">
        <v>5.2525000000000004</v>
      </c>
      <c r="M202">
        <f>IFERROR(VLOOKUP(F202,TICO09!$F:$O,8,FALSE),0)</f>
        <v>13.2148</v>
      </c>
      <c r="N202">
        <f>IFERROR(VLOOKUP(F202,SROU03!$F:$O,9,FALSE),0)</f>
        <v>31.773700000000002</v>
      </c>
      <c r="O202">
        <v>32.620100000000001</v>
      </c>
      <c r="P202" t="str">
        <f t="shared" si="13"/>
        <v>BM3D</v>
      </c>
      <c r="Q202">
        <f t="shared" si="15"/>
        <v>32.620100000000001</v>
      </c>
      <c r="R202">
        <f>VLOOKUP(P202,'Color codes'!$A:$B,2,FALSE)</f>
        <v>1</v>
      </c>
      <c r="S202">
        <f>TRUNC(VLOOKUP(P202,'Color codes'!$A:$E,3,FALSE)*(0.25 + 0.75*Q202/40))</f>
        <v>219</v>
      </c>
      <c r="T202">
        <f>TRUNC(VLOOKUP(P202,'Color codes'!$A:$E,4,FALSE)*(0.25 + 0.75*Q202/40))</f>
        <v>92</v>
      </c>
      <c r="U202">
        <f>TRUNC(VLOOKUP(P202,'Color codes'!$A:$E,5,FALSE)*(0.25 + 0.75*Q202/40))</f>
        <v>89</v>
      </c>
      <c r="V202" t="b">
        <f t="shared" si="14"/>
        <v>0</v>
      </c>
    </row>
    <row r="203" spans="1:22" x14ac:dyDescent="0.25">
      <c r="A203" t="s">
        <v>19</v>
      </c>
      <c r="B203" t="s">
        <v>17</v>
      </c>
      <c r="C203">
        <v>7</v>
      </c>
      <c r="D203">
        <v>100</v>
      </c>
      <c r="E203">
        <v>400</v>
      </c>
      <c r="F203" t="str">
        <f t="shared" si="12"/>
        <v>tree256_line_7_100_400</v>
      </c>
      <c r="G203">
        <f>IFERROR(VLOOKUP(F203,SROU03!$F:$H,2,FALSE),0)</f>
        <v>41.789081000000003</v>
      </c>
      <c r="H203">
        <f>IFERROR(VLOOKUP(F203,SROU03!$F:$H,3,FALSE),0)</f>
        <v>8.6741960000000002</v>
      </c>
      <c r="I203">
        <v>4.1569000000000001E-5</v>
      </c>
      <c r="J203">
        <v>9.1649999999999995E-6</v>
      </c>
      <c r="K203">
        <v>29.3962</v>
      </c>
      <c r="L203">
        <v>5.2525000000000004</v>
      </c>
      <c r="M203">
        <f>IFERROR(VLOOKUP(F203,TICO09!$F:$O,8,FALSE),0)</f>
        <v>13.1891</v>
      </c>
      <c r="N203">
        <f>IFERROR(VLOOKUP(F203,SROU03!$F:$O,9,FALSE),0)</f>
        <v>28.716799999999999</v>
      </c>
      <c r="O203">
        <v>29.4343</v>
      </c>
      <c r="P203" t="str">
        <f t="shared" si="13"/>
        <v>BM3D</v>
      </c>
      <c r="Q203">
        <f t="shared" si="15"/>
        <v>29.4343</v>
      </c>
      <c r="R203">
        <f>VLOOKUP(P203,'Color codes'!$A:$B,2,FALSE)</f>
        <v>1</v>
      </c>
      <c r="S203">
        <f>TRUNC(VLOOKUP(P203,'Color codes'!$A:$E,3,FALSE)*(0.25 + 0.75*Q203/40))</f>
        <v>204</v>
      </c>
      <c r="T203">
        <f>TRUNC(VLOOKUP(P203,'Color codes'!$A:$E,4,FALSE)*(0.25 + 0.75*Q203/40))</f>
        <v>85</v>
      </c>
      <c r="U203">
        <f>TRUNC(VLOOKUP(P203,'Color codes'!$A:$E,5,FALSE)*(0.25 + 0.75*Q203/40))</f>
        <v>83</v>
      </c>
      <c r="V203" t="b">
        <f t="shared" si="14"/>
        <v>0</v>
      </c>
    </row>
    <row r="204" spans="1:22" x14ac:dyDescent="0.25">
      <c r="A204" t="s">
        <v>19</v>
      </c>
      <c r="B204" t="s">
        <v>17</v>
      </c>
      <c r="C204">
        <v>7</v>
      </c>
      <c r="D204">
        <v>100</v>
      </c>
      <c r="E204">
        <v>800</v>
      </c>
      <c r="F204" t="str">
        <f t="shared" si="12"/>
        <v>tree256_line_7_100_800</v>
      </c>
      <c r="G204">
        <f>IFERROR(VLOOKUP(F204,SROU03!$F:$H,2,FALSE),0)</f>
        <v>34.416595999999998</v>
      </c>
      <c r="H204">
        <f>IFERROR(VLOOKUP(F204,SROU03!$F:$H,3,FALSE),0)</f>
        <v>8.2669390000000007</v>
      </c>
      <c r="I204">
        <v>8.3875000000000006E-5</v>
      </c>
      <c r="J204">
        <v>9.1649999999999995E-6</v>
      </c>
      <c r="K204">
        <v>26.3523</v>
      </c>
      <c r="L204">
        <v>5.2525000000000004</v>
      </c>
      <c r="M204">
        <f>IFERROR(VLOOKUP(F204,TICO09!$F:$O,8,FALSE),0)</f>
        <v>13.1248</v>
      </c>
      <c r="N204">
        <f>IFERROR(VLOOKUP(F204,SROU03!$F:$O,9,FALSE),0)</f>
        <v>25.688700000000001</v>
      </c>
      <c r="O204">
        <v>26.445499999999999</v>
      </c>
      <c r="P204" t="str">
        <f t="shared" si="13"/>
        <v>BM3D</v>
      </c>
      <c r="Q204">
        <f t="shared" si="15"/>
        <v>26.445499999999999</v>
      </c>
      <c r="R204">
        <f>VLOOKUP(P204,'Color codes'!$A:$B,2,FALSE)</f>
        <v>1</v>
      </c>
      <c r="S204">
        <f>TRUNC(VLOOKUP(P204,'Color codes'!$A:$E,3,FALSE)*(0.25 + 0.75*Q204/40))</f>
        <v>190</v>
      </c>
      <c r="T204">
        <f>TRUNC(VLOOKUP(P204,'Color codes'!$A:$E,4,FALSE)*(0.25 + 0.75*Q204/40))</f>
        <v>79</v>
      </c>
      <c r="U204">
        <f>TRUNC(VLOOKUP(P204,'Color codes'!$A:$E,5,FALSE)*(0.25 + 0.75*Q204/40))</f>
        <v>77</v>
      </c>
      <c r="V204" t="b">
        <f t="shared" si="14"/>
        <v>0</v>
      </c>
    </row>
    <row r="205" spans="1:22" x14ac:dyDescent="0.25">
      <c r="A205" t="s">
        <v>19</v>
      </c>
      <c r="B205" t="s">
        <v>17</v>
      </c>
      <c r="C205">
        <v>7</v>
      </c>
      <c r="D205">
        <v>100</v>
      </c>
      <c r="E205">
        <v>1600</v>
      </c>
      <c r="F205" t="str">
        <f t="shared" si="12"/>
        <v>tree256_line_7_100_1600</v>
      </c>
      <c r="G205">
        <f>IFERROR(VLOOKUP(F205,SROU03!$F:$H,2,FALSE),0)</f>
        <v>29.858792999999999</v>
      </c>
      <c r="H205">
        <f>IFERROR(VLOOKUP(F205,SROU03!$F:$H,3,FALSE),0)</f>
        <v>8.0936140000000005</v>
      </c>
      <c r="I205">
        <v>1.7197E-4</v>
      </c>
      <c r="J205">
        <v>9.1649999999999995E-6</v>
      </c>
      <c r="K205">
        <v>23.241499999999998</v>
      </c>
      <c r="L205">
        <v>5.2525000000000004</v>
      </c>
      <c r="M205">
        <f>IFERROR(VLOOKUP(F205,TICO09!$F:$O,8,FALSE),0)</f>
        <v>13.025</v>
      </c>
      <c r="N205">
        <f>IFERROR(VLOOKUP(F205,SROU03!$F:$O,9,FALSE),0)</f>
        <v>22.731100000000001</v>
      </c>
      <c r="O205">
        <v>23.4268</v>
      </c>
      <c r="P205" t="str">
        <f t="shared" si="13"/>
        <v>BM3D</v>
      </c>
      <c r="Q205">
        <f t="shared" si="15"/>
        <v>23.4268</v>
      </c>
      <c r="R205">
        <f>VLOOKUP(P205,'Color codes'!$A:$B,2,FALSE)</f>
        <v>1</v>
      </c>
      <c r="S205">
        <f>TRUNC(VLOOKUP(P205,'Color codes'!$A:$E,3,FALSE)*(0.25 + 0.75*Q205/40))</f>
        <v>175</v>
      </c>
      <c r="T205">
        <f>TRUNC(VLOOKUP(P205,'Color codes'!$A:$E,4,FALSE)*(0.25 + 0.75*Q205/40))</f>
        <v>73</v>
      </c>
      <c r="U205">
        <f>TRUNC(VLOOKUP(P205,'Color codes'!$A:$E,5,FALSE)*(0.25 + 0.75*Q205/40))</f>
        <v>71</v>
      </c>
      <c r="V205" t="b">
        <f t="shared" si="14"/>
        <v>0</v>
      </c>
    </row>
    <row r="206" spans="1:22" x14ac:dyDescent="0.25">
      <c r="A206" t="s">
        <v>19</v>
      </c>
      <c r="B206" t="s">
        <v>17</v>
      </c>
      <c r="C206">
        <v>7</v>
      </c>
      <c r="D206">
        <v>100</v>
      </c>
      <c r="E206">
        <v>3200</v>
      </c>
      <c r="F206" t="str">
        <f t="shared" si="12"/>
        <v>tree256_line_7_100_3200</v>
      </c>
      <c r="G206">
        <f>IFERROR(VLOOKUP(F206,SROU03!$F:$H,2,FALSE),0)</f>
        <v>26.735731999999999</v>
      </c>
      <c r="H206">
        <f>IFERROR(VLOOKUP(F206,SROU03!$F:$H,3,FALSE),0)</f>
        <v>8.0536530000000006</v>
      </c>
      <c r="I206">
        <v>3.46671E-4</v>
      </c>
      <c r="J206">
        <v>9.1649999999999995E-6</v>
      </c>
      <c r="K206">
        <v>20.209900000000001</v>
      </c>
      <c r="L206">
        <v>5.2525000000000004</v>
      </c>
      <c r="M206">
        <f>IFERROR(VLOOKUP(F206,TICO09!$F:$O,8,FALSE),0)</f>
        <v>12.825900000000001</v>
      </c>
      <c r="N206">
        <f>IFERROR(VLOOKUP(F206,SROU03!$F:$O,9,FALSE),0)</f>
        <v>19.977</v>
      </c>
      <c r="O206">
        <v>20.570399999999999</v>
      </c>
      <c r="P206" t="str">
        <f t="shared" si="13"/>
        <v>BM3D</v>
      </c>
      <c r="Q206">
        <f t="shared" si="15"/>
        <v>20.570399999999999</v>
      </c>
      <c r="R206">
        <f>VLOOKUP(P206,'Color codes'!$A:$B,2,FALSE)</f>
        <v>1</v>
      </c>
      <c r="S206">
        <f>TRUNC(VLOOKUP(P206,'Color codes'!$A:$E,3,FALSE)*(0.25 + 0.75*Q206/40))</f>
        <v>162</v>
      </c>
      <c r="T206">
        <f>TRUNC(VLOOKUP(P206,'Color codes'!$A:$E,4,FALSE)*(0.25 + 0.75*Q206/40))</f>
        <v>68</v>
      </c>
      <c r="U206">
        <f>TRUNC(VLOOKUP(P206,'Color codes'!$A:$E,5,FALSE)*(0.25 + 0.75*Q206/40))</f>
        <v>66</v>
      </c>
      <c r="V206" t="b">
        <f t="shared" si="14"/>
        <v>0</v>
      </c>
    </row>
    <row r="207" spans="1:22" x14ac:dyDescent="0.25">
      <c r="A207" t="s">
        <v>19</v>
      </c>
      <c r="B207" t="s">
        <v>17</v>
      </c>
      <c r="C207">
        <v>7</v>
      </c>
      <c r="D207">
        <v>100</v>
      </c>
      <c r="E207">
        <v>6400</v>
      </c>
      <c r="F207" t="str">
        <f t="shared" si="12"/>
        <v>tree256_line_7_100_6400</v>
      </c>
      <c r="G207">
        <f>IFERROR(VLOOKUP(F207,SROU03!$F:$H,2,FALSE),0)</f>
        <v>23.921101</v>
      </c>
      <c r="H207">
        <f>IFERROR(VLOOKUP(F207,SROU03!$F:$H,3,FALSE),0)</f>
        <v>8.111103</v>
      </c>
      <c r="I207">
        <v>7.1856899999999996E-4</v>
      </c>
      <c r="J207">
        <v>9.1649999999999995E-6</v>
      </c>
      <c r="K207">
        <v>17.081399999999999</v>
      </c>
      <c r="L207">
        <v>5.2525000000000004</v>
      </c>
      <c r="M207">
        <f>IFERROR(VLOOKUP(F207,TICO09!$F:$O,8,FALSE),0)</f>
        <v>12.462199999999999</v>
      </c>
      <c r="N207">
        <f>IFERROR(VLOOKUP(F207,SROU03!$F:$O,9,FALSE),0)</f>
        <v>17.395800000000001</v>
      </c>
      <c r="O207">
        <v>17.740400000000001</v>
      </c>
      <c r="P207" t="str">
        <f t="shared" si="13"/>
        <v>BM3D</v>
      </c>
      <c r="Q207">
        <f t="shared" si="15"/>
        <v>17.740400000000001</v>
      </c>
      <c r="R207">
        <f>VLOOKUP(P207,'Color codes'!$A:$B,2,FALSE)</f>
        <v>1</v>
      </c>
      <c r="S207">
        <f>TRUNC(VLOOKUP(P207,'Color codes'!$A:$E,3,FALSE)*(0.25 + 0.75*Q207/40))</f>
        <v>148</v>
      </c>
      <c r="T207">
        <f>TRUNC(VLOOKUP(P207,'Color codes'!$A:$E,4,FALSE)*(0.25 + 0.75*Q207/40))</f>
        <v>62</v>
      </c>
      <c r="U207">
        <f>TRUNC(VLOOKUP(P207,'Color codes'!$A:$E,5,FALSE)*(0.25 + 0.75*Q207/40))</f>
        <v>60</v>
      </c>
      <c r="V207" t="b">
        <f t="shared" si="14"/>
        <v>0</v>
      </c>
    </row>
    <row r="208" spans="1:22" x14ac:dyDescent="0.25">
      <c r="A208" t="s">
        <v>19</v>
      </c>
      <c r="B208" t="s">
        <v>17</v>
      </c>
      <c r="C208">
        <v>7</v>
      </c>
      <c r="D208">
        <v>100</v>
      </c>
      <c r="E208">
        <v>12800</v>
      </c>
      <c r="F208" t="str">
        <f t="shared" si="12"/>
        <v>tree256_line_7_100_12800</v>
      </c>
      <c r="G208">
        <f>IFERROR(VLOOKUP(F208,SROU03!$F:$H,2,FALSE),0)</f>
        <v>21.111332999999998</v>
      </c>
      <c r="H208">
        <f>IFERROR(VLOOKUP(F208,SROU03!$F:$H,3,FALSE),0)</f>
        <v>8.2291109999999996</v>
      </c>
      <c r="I208">
        <v>1.5172429999999999E-3</v>
      </c>
      <c r="J208">
        <v>9.1649999999999995E-6</v>
      </c>
      <c r="K208">
        <v>13.924200000000001</v>
      </c>
      <c r="L208">
        <v>5.2525000000000004</v>
      </c>
      <c r="M208">
        <f>IFERROR(VLOOKUP(F208,TICO09!$F:$O,8,FALSE),0)</f>
        <v>11.866</v>
      </c>
      <c r="N208">
        <f>IFERROR(VLOOKUP(F208,SROU03!$F:$O,9,FALSE),0)</f>
        <v>15.879799999999999</v>
      </c>
      <c r="O208">
        <v>15.038</v>
      </c>
      <c r="P208" t="str">
        <f t="shared" si="13"/>
        <v>SROU03</v>
      </c>
      <c r="Q208">
        <f t="shared" si="15"/>
        <v>15.879799999999999</v>
      </c>
      <c r="R208">
        <f>VLOOKUP(P208,'Color codes'!$A:$B,2,FALSE)</f>
        <v>3</v>
      </c>
      <c r="S208">
        <f>TRUNC(VLOOKUP(P208,'Color codes'!$A:$E,3,FALSE)*(0.25 + 0.75*Q208/40))</f>
        <v>58</v>
      </c>
      <c r="T208">
        <f>TRUNC(VLOOKUP(P208,'Color codes'!$A:$E,4,FALSE)*(0.25 + 0.75*Q208/40))</f>
        <v>96</v>
      </c>
      <c r="U208">
        <f>TRUNC(VLOOKUP(P208,'Color codes'!$A:$E,5,FALSE)*(0.25 + 0.75*Q208/40))</f>
        <v>139</v>
      </c>
      <c r="V208" t="b">
        <f t="shared" si="14"/>
        <v>0</v>
      </c>
    </row>
    <row r="209" spans="1:22" x14ac:dyDescent="0.25">
      <c r="A209" t="s">
        <v>19</v>
      </c>
      <c r="B209" t="s">
        <v>17</v>
      </c>
      <c r="C209">
        <v>7</v>
      </c>
      <c r="D209">
        <v>100</v>
      </c>
      <c r="E209">
        <v>25600</v>
      </c>
      <c r="F209" t="str">
        <f t="shared" si="12"/>
        <v>tree256_line_7_100_25600</v>
      </c>
      <c r="G209">
        <f>IFERROR(VLOOKUP(F209,SROU03!$F:$H,2,FALSE),0)</f>
        <v>18.548117999999999</v>
      </c>
      <c r="H209">
        <f>IFERROR(VLOOKUP(F209,SROU03!$F:$H,3,FALSE),0)</f>
        <v>8.349399</v>
      </c>
      <c r="I209">
        <v>3.379885E-3</v>
      </c>
      <c r="J209">
        <v>9.1649999999999995E-6</v>
      </c>
      <c r="K209">
        <v>10.649100000000001</v>
      </c>
      <c r="L209">
        <v>5.2525000000000004</v>
      </c>
      <c r="M209">
        <f>IFERROR(VLOOKUP(F209,TICO09!$F:$O,8,FALSE),0)</f>
        <v>10.912800000000001</v>
      </c>
      <c r="N209">
        <f>IFERROR(VLOOKUP(F209,SROU03!$F:$O,9,FALSE),0)</f>
        <v>14.5021</v>
      </c>
      <c r="O209">
        <v>12.583</v>
      </c>
      <c r="P209" t="str">
        <f t="shared" si="13"/>
        <v>SROU03</v>
      </c>
      <c r="Q209">
        <f t="shared" si="15"/>
        <v>14.5021</v>
      </c>
      <c r="R209">
        <f>VLOOKUP(P209,'Color codes'!$A:$B,2,FALSE)</f>
        <v>3</v>
      </c>
      <c r="S209">
        <f>TRUNC(VLOOKUP(P209,'Color codes'!$A:$E,3,FALSE)*(0.25 + 0.75*Q209/40))</f>
        <v>55</v>
      </c>
      <c r="T209">
        <f>TRUNC(VLOOKUP(P209,'Color codes'!$A:$E,4,FALSE)*(0.25 + 0.75*Q209/40))</f>
        <v>91</v>
      </c>
      <c r="U209">
        <f>TRUNC(VLOOKUP(P209,'Color codes'!$A:$E,5,FALSE)*(0.25 + 0.75*Q209/40))</f>
        <v>133</v>
      </c>
      <c r="V209" t="b">
        <f t="shared" si="14"/>
        <v>1</v>
      </c>
    </row>
    <row r="210" spans="1:22" x14ac:dyDescent="0.25">
      <c r="A210" t="s">
        <v>19</v>
      </c>
      <c r="B210" t="s">
        <v>17</v>
      </c>
      <c r="C210">
        <v>15</v>
      </c>
      <c r="D210">
        <v>100</v>
      </c>
      <c r="E210">
        <v>200</v>
      </c>
      <c r="F210" t="str">
        <f t="shared" si="12"/>
        <v>tree256_line_15_100_200</v>
      </c>
      <c r="G210">
        <f>IFERROR(VLOOKUP(F210,SROU03!$F:$H,2,FALSE),0)</f>
        <v>50.619388999999998</v>
      </c>
      <c r="H210">
        <f>IFERROR(VLOOKUP(F210,SROU03!$F:$H,3,FALSE),0)</f>
        <v>21.558247999999999</v>
      </c>
      <c r="I210">
        <v>1.9483E-5</v>
      </c>
      <c r="J210">
        <v>9.0720000000000006E-6</v>
      </c>
      <c r="K210">
        <v>32.6858</v>
      </c>
      <c r="L210">
        <v>3.2848000000000002</v>
      </c>
      <c r="M210">
        <f>IFERROR(VLOOKUP(F210,TICO09!$F:$O,8,FALSE),0)</f>
        <v>13.5124</v>
      </c>
      <c r="N210">
        <f>IFERROR(VLOOKUP(F210,SROU03!$F:$O,9,FALSE),0)</f>
        <v>31.477499999999999</v>
      </c>
      <c r="O210">
        <v>32.6967</v>
      </c>
      <c r="P210" t="str">
        <f t="shared" si="13"/>
        <v>BM3D</v>
      </c>
      <c r="Q210">
        <f t="shared" si="15"/>
        <v>32.6967</v>
      </c>
      <c r="R210">
        <f>VLOOKUP(P210,'Color codes'!$A:$B,2,FALSE)</f>
        <v>1</v>
      </c>
      <c r="S210">
        <f>TRUNC(VLOOKUP(P210,'Color codes'!$A:$E,3,FALSE)*(0.25 + 0.75*Q210/40))</f>
        <v>220</v>
      </c>
      <c r="T210">
        <f>TRUNC(VLOOKUP(P210,'Color codes'!$A:$E,4,FALSE)*(0.25 + 0.75*Q210/40))</f>
        <v>92</v>
      </c>
      <c r="U210">
        <f>TRUNC(VLOOKUP(P210,'Color codes'!$A:$E,5,FALSE)*(0.25 + 0.75*Q210/40))</f>
        <v>89</v>
      </c>
      <c r="V210" t="b">
        <f t="shared" si="14"/>
        <v>1</v>
      </c>
    </row>
    <row r="211" spans="1:22" x14ac:dyDescent="0.25">
      <c r="A211" t="s">
        <v>19</v>
      </c>
      <c r="B211" t="s">
        <v>17</v>
      </c>
      <c r="C211">
        <v>15</v>
      </c>
      <c r="D211">
        <v>100</v>
      </c>
      <c r="E211">
        <v>400</v>
      </c>
      <c r="F211" t="str">
        <f t="shared" ref="F211:F258" si="16">A211&amp;"_"&amp;B211&amp;"_"&amp;C211&amp;"_"&amp;D211&amp;"_"&amp;E211</f>
        <v>tree256_line_15_100_400</v>
      </c>
      <c r="G211">
        <f>IFERROR(VLOOKUP(F211,SROU03!$F:$H,2,FALSE),0)</f>
        <v>37.193308999999999</v>
      </c>
      <c r="H211">
        <f>IFERROR(VLOOKUP(F211,SROU03!$F:$H,3,FALSE),0)</f>
        <v>19.537693000000001</v>
      </c>
      <c r="I211">
        <v>4.1220000000000002E-5</v>
      </c>
      <c r="J211">
        <v>9.0720000000000006E-6</v>
      </c>
      <c r="K211">
        <v>29.432099999999998</v>
      </c>
      <c r="L211">
        <v>3.2848000000000002</v>
      </c>
      <c r="M211">
        <f>IFERROR(VLOOKUP(F211,TICO09!$F:$O,8,FALSE),0)</f>
        <v>13.491899999999999</v>
      </c>
      <c r="N211">
        <f>IFERROR(VLOOKUP(F211,SROU03!$F:$O,9,FALSE),0)</f>
        <v>28.410699999999999</v>
      </c>
      <c r="O211">
        <v>29.472200000000001</v>
      </c>
      <c r="P211" t="str">
        <f t="shared" ref="P211:P258" si="17">IF((O211&gt;(MAX(M211,N211))),"BM3D",IF(N211&gt;(MAX(M211,O211)),"SROU03","TICO09"))</f>
        <v>BM3D</v>
      </c>
      <c r="Q211">
        <f t="shared" si="15"/>
        <v>29.472200000000001</v>
      </c>
      <c r="R211">
        <f>VLOOKUP(P211,'Color codes'!$A:$B,2,FALSE)</f>
        <v>1</v>
      </c>
      <c r="S211">
        <f>TRUNC(VLOOKUP(P211,'Color codes'!$A:$E,3,FALSE)*(0.25 + 0.75*Q211/40))</f>
        <v>204</v>
      </c>
      <c r="T211">
        <f>TRUNC(VLOOKUP(P211,'Color codes'!$A:$E,4,FALSE)*(0.25 + 0.75*Q211/40))</f>
        <v>85</v>
      </c>
      <c r="U211">
        <f>TRUNC(VLOOKUP(P211,'Color codes'!$A:$E,5,FALSE)*(0.25 + 0.75*Q211/40))</f>
        <v>83</v>
      </c>
      <c r="V211" t="b">
        <f t="shared" si="14"/>
        <v>1</v>
      </c>
    </row>
    <row r="212" spans="1:22" x14ac:dyDescent="0.25">
      <c r="A212" t="s">
        <v>19</v>
      </c>
      <c r="B212" t="s">
        <v>17</v>
      </c>
      <c r="C212">
        <v>15</v>
      </c>
      <c r="D212">
        <v>100</v>
      </c>
      <c r="E212">
        <v>800</v>
      </c>
      <c r="F212" t="str">
        <f t="shared" si="16"/>
        <v>tree256_line_15_100_800</v>
      </c>
      <c r="G212">
        <f>IFERROR(VLOOKUP(F212,SROU03!$F:$H,2,FALSE),0)</f>
        <v>28.767199000000002</v>
      </c>
      <c r="H212">
        <f>IFERROR(VLOOKUP(F212,SROU03!$F:$H,3,FALSE),0)</f>
        <v>18.637498999999998</v>
      </c>
      <c r="I212">
        <v>8.4315999999999997E-5</v>
      </c>
      <c r="J212">
        <v>9.0720000000000006E-6</v>
      </c>
      <c r="K212">
        <v>26.327200000000001</v>
      </c>
      <c r="L212">
        <v>3.2848000000000002</v>
      </c>
      <c r="M212">
        <f>IFERROR(VLOOKUP(F212,TICO09!$F:$O,8,FALSE),0)</f>
        <v>13.440200000000001</v>
      </c>
      <c r="N212">
        <f>IFERROR(VLOOKUP(F212,SROU03!$F:$O,9,FALSE),0)</f>
        <v>25.314699999999998</v>
      </c>
      <c r="O212">
        <v>26.406400000000001</v>
      </c>
      <c r="P212" t="str">
        <f t="shared" si="17"/>
        <v>BM3D</v>
      </c>
      <c r="Q212">
        <f t="shared" si="15"/>
        <v>26.406400000000001</v>
      </c>
      <c r="R212">
        <f>VLOOKUP(P212,'Color codes'!$A:$B,2,FALSE)</f>
        <v>1</v>
      </c>
      <c r="S212">
        <f>TRUNC(VLOOKUP(P212,'Color codes'!$A:$E,3,FALSE)*(0.25 + 0.75*Q212/40))</f>
        <v>190</v>
      </c>
      <c r="T212">
        <f>TRUNC(VLOOKUP(P212,'Color codes'!$A:$E,4,FALSE)*(0.25 + 0.75*Q212/40))</f>
        <v>79</v>
      </c>
      <c r="U212">
        <f>TRUNC(VLOOKUP(P212,'Color codes'!$A:$E,5,FALSE)*(0.25 + 0.75*Q212/40))</f>
        <v>77</v>
      </c>
      <c r="V212" t="b">
        <f t="shared" si="14"/>
        <v>1</v>
      </c>
    </row>
    <row r="213" spans="1:22" x14ac:dyDescent="0.25">
      <c r="A213" t="s">
        <v>19</v>
      </c>
      <c r="B213" t="s">
        <v>17</v>
      </c>
      <c r="C213">
        <v>15</v>
      </c>
      <c r="D213">
        <v>100</v>
      </c>
      <c r="E213">
        <v>1600</v>
      </c>
      <c r="F213" t="str">
        <f t="shared" si="16"/>
        <v>tree256_line_15_100_1600</v>
      </c>
      <c r="G213">
        <f>IFERROR(VLOOKUP(F213,SROU03!$F:$H,2,FALSE),0)</f>
        <v>23.360852999999999</v>
      </c>
      <c r="H213">
        <f>IFERROR(VLOOKUP(F213,SROU03!$F:$H,3,FALSE),0)</f>
        <v>18.127603000000001</v>
      </c>
      <c r="I213">
        <v>1.70915E-4</v>
      </c>
      <c r="J213">
        <v>9.0720000000000006E-6</v>
      </c>
      <c r="K213">
        <v>23.264900000000001</v>
      </c>
      <c r="L213">
        <v>3.2848000000000002</v>
      </c>
      <c r="M213">
        <f>IFERROR(VLOOKUP(F213,TICO09!$F:$O,8,FALSE),0)</f>
        <v>13.3156</v>
      </c>
      <c r="N213">
        <f>IFERROR(VLOOKUP(F213,SROU03!$F:$O,9,FALSE),0)</f>
        <v>22.375699999999998</v>
      </c>
      <c r="O213">
        <v>23.4556</v>
      </c>
      <c r="P213" t="str">
        <f t="shared" si="17"/>
        <v>BM3D</v>
      </c>
      <c r="Q213">
        <f t="shared" si="15"/>
        <v>23.4556</v>
      </c>
      <c r="R213">
        <f>VLOOKUP(P213,'Color codes'!$A:$B,2,FALSE)</f>
        <v>1</v>
      </c>
      <c r="S213">
        <f>TRUNC(VLOOKUP(P213,'Color codes'!$A:$E,3,FALSE)*(0.25 + 0.75*Q213/40))</f>
        <v>175</v>
      </c>
      <c r="T213">
        <f>TRUNC(VLOOKUP(P213,'Color codes'!$A:$E,4,FALSE)*(0.25 + 0.75*Q213/40))</f>
        <v>73</v>
      </c>
      <c r="U213">
        <f>TRUNC(VLOOKUP(P213,'Color codes'!$A:$E,5,FALSE)*(0.25 + 0.75*Q213/40))</f>
        <v>71</v>
      </c>
      <c r="V213" t="b">
        <f t="shared" si="14"/>
        <v>1</v>
      </c>
    </row>
    <row r="214" spans="1:22" x14ac:dyDescent="0.25">
      <c r="A214" t="s">
        <v>19</v>
      </c>
      <c r="B214" t="s">
        <v>17</v>
      </c>
      <c r="C214">
        <v>15</v>
      </c>
      <c r="D214">
        <v>100</v>
      </c>
      <c r="E214">
        <v>3200</v>
      </c>
      <c r="F214" t="str">
        <f t="shared" si="16"/>
        <v>tree256_line_15_100_3200</v>
      </c>
      <c r="G214">
        <f>IFERROR(VLOOKUP(F214,SROU03!$F:$H,2,FALSE),0)</f>
        <v>19.964022</v>
      </c>
      <c r="H214">
        <f>IFERROR(VLOOKUP(F214,SROU03!$F:$H,3,FALSE),0)</f>
        <v>18.015598000000001</v>
      </c>
      <c r="I214">
        <v>3.5048799999999998E-4</v>
      </c>
      <c r="J214">
        <v>9.0720000000000006E-6</v>
      </c>
      <c r="K214">
        <v>20.166399999999999</v>
      </c>
      <c r="L214">
        <v>3.2848000000000002</v>
      </c>
      <c r="M214">
        <f>IFERROR(VLOOKUP(F214,TICO09!$F:$O,8,FALSE),0)</f>
        <v>13.106999999999999</v>
      </c>
      <c r="N214">
        <f>IFERROR(VLOOKUP(F214,SROU03!$F:$O,9,FALSE),0)</f>
        <v>19.372499999999999</v>
      </c>
      <c r="O214">
        <v>20.539100000000001</v>
      </c>
      <c r="P214" t="str">
        <f t="shared" si="17"/>
        <v>BM3D</v>
      </c>
      <c r="Q214">
        <f t="shared" si="15"/>
        <v>20.539100000000001</v>
      </c>
      <c r="R214">
        <f>VLOOKUP(P214,'Color codes'!$A:$B,2,FALSE)</f>
        <v>1</v>
      </c>
      <c r="S214">
        <f>TRUNC(VLOOKUP(P214,'Color codes'!$A:$E,3,FALSE)*(0.25 + 0.75*Q214/40))</f>
        <v>161</v>
      </c>
      <c r="T214">
        <f>TRUNC(VLOOKUP(P214,'Color codes'!$A:$E,4,FALSE)*(0.25 + 0.75*Q214/40))</f>
        <v>67</v>
      </c>
      <c r="U214">
        <f>TRUNC(VLOOKUP(P214,'Color codes'!$A:$E,5,FALSE)*(0.25 + 0.75*Q214/40))</f>
        <v>66</v>
      </c>
      <c r="V214" t="b">
        <f t="shared" si="14"/>
        <v>1</v>
      </c>
    </row>
    <row r="215" spans="1:22" x14ac:dyDescent="0.25">
      <c r="A215" t="s">
        <v>19</v>
      </c>
      <c r="B215" t="s">
        <v>17</v>
      </c>
      <c r="C215">
        <v>15</v>
      </c>
      <c r="D215">
        <v>100</v>
      </c>
      <c r="E215">
        <v>6400</v>
      </c>
      <c r="F215" t="str">
        <f t="shared" si="16"/>
        <v>tree256_line_15_100_6400</v>
      </c>
      <c r="G215">
        <f>IFERROR(VLOOKUP(F215,SROU03!$F:$H,2,FALSE),0)</f>
        <v>17.232676999999999</v>
      </c>
      <c r="H215">
        <f>IFERROR(VLOOKUP(F215,SROU03!$F:$H,3,FALSE),0)</f>
        <v>17.934811</v>
      </c>
      <c r="I215">
        <v>7.1612599999999998E-4</v>
      </c>
      <c r="J215">
        <v>9.0720000000000006E-6</v>
      </c>
      <c r="K215">
        <v>17.099399999999999</v>
      </c>
      <c r="L215">
        <v>3.2848000000000002</v>
      </c>
      <c r="M215">
        <f>IFERROR(VLOOKUP(F215,TICO09!$F:$O,8,FALSE),0)</f>
        <v>12.6778</v>
      </c>
      <c r="N215">
        <f>IFERROR(VLOOKUP(F215,SROU03!$F:$O,9,FALSE),0)</f>
        <v>16.563500000000001</v>
      </c>
      <c r="O215">
        <v>17.7455</v>
      </c>
      <c r="P215" t="str">
        <f t="shared" si="17"/>
        <v>BM3D</v>
      </c>
      <c r="Q215">
        <f t="shared" si="15"/>
        <v>17.7455</v>
      </c>
      <c r="R215">
        <f>VLOOKUP(P215,'Color codes'!$A:$B,2,FALSE)</f>
        <v>1</v>
      </c>
      <c r="S215">
        <f>TRUNC(VLOOKUP(P215,'Color codes'!$A:$E,3,FALSE)*(0.25 + 0.75*Q215/40))</f>
        <v>148</v>
      </c>
      <c r="T215">
        <f>TRUNC(VLOOKUP(P215,'Color codes'!$A:$E,4,FALSE)*(0.25 + 0.75*Q215/40))</f>
        <v>62</v>
      </c>
      <c r="U215">
        <f>TRUNC(VLOOKUP(P215,'Color codes'!$A:$E,5,FALSE)*(0.25 + 0.75*Q215/40))</f>
        <v>60</v>
      </c>
      <c r="V215" t="b">
        <f t="shared" si="14"/>
        <v>1</v>
      </c>
    </row>
    <row r="216" spans="1:22" x14ac:dyDescent="0.25">
      <c r="A216" t="s">
        <v>19</v>
      </c>
      <c r="B216" t="s">
        <v>17</v>
      </c>
      <c r="C216">
        <v>15</v>
      </c>
      <c r="D216">
        <v>100</v>
      </c>
      <c r="E216">
        <v>12800</v>
      </c>
      <c r="F216" t="str">
        <f t="shared" si="16"/>
        <v>tree256_line_15_100_12800</v>
      </c>
      <c r="G216">
        <f>IFERROR(VLOOKUP(F216,SROU03!$F:$H,2,FALSE),0)</f>
        <v>14.696816</v>
      </c>
      <c r="H216">
        <f>IFERROR(VLOOKUP(F216,SROU03!$F:$H,3,FALSE),0)</f>
        <v>18.123940999999999</v>
      </c>
      <c r="I216">
        <v>1.521313E-3</v>
      </c>
      <c r="J216">
        <v>9.0720000000000006E-6</v>
      </c>
      <c r="K216">
        <v>13.915800000000001</v>
      </c>
      <c r="L216">
        <v>3.2848000000000002</v>
      </c>
      <c r="M216">
        <f>IFERROR(VLOOKUP(F216,TICO09!$F:$O,8,FALSE),0)</f>
        <v>12.0426</v>
      </c>
      <c r="N216">
        <f>IFERROR(VLOOKUP(F216,SROU03!$F:$O,9,FALSE),0)</f>
        <v>14.2349</v>
      </c>
      <c r="O216">
        <v>15.0471</v>
      </c>
      <c r="P216" t="str">
        <f t="shared" si="17"/>
        <v>BM3D</v>
      </c>
      <c r="Q216">
        <f t="shared" si="15"/>
        <v>15.0471</v>
      </c>
      <c r="R216">
        <f>VLOOKUP(P216,'Color codes'!$A:$B,2,FALSE)</f>
        <v>1</v>
      </c>
      <c r="S216">
        <f>TRUNC(VLOOKUP(P216,'Color codes'!$A:$E,3,FALSE)*(0.25 + 0.75*Q216/40))</f>
        <v>135</v>
      </c>
      <c r="T216">
        <f>TRUNC(VLOOKUP(P216,'Color codes'!$A:$E,4,FALSE)*(0.25 + 0.75*Q216/40))</f>
        <v>56</v>
      </c>
      <c r="U216">
        <f>TRUNC(VLOOKUP(P216,'Color codes'!$A:$E,5,FALSE)*(0.25 + 0.75*Q216/40))</f>
        <v>55</v>
      </c>
      <c r="V216" t="b">
        <f t="shared" si="14"/>
        <v>0</v>
      </c>
    </row>
    <row r="217" spans="1:22" x14ac:dyDescent="0.25">
      <c r="A217" t="s">
        <v>19</v>
      </c>
      <c r="B217" t="s">
        <v>17</v>
      </c>
      <c r="C217">
        <v>15</v>
      </c>
      <c r="D217">
        <v>100</v>
      </c>
      <c r="E217">
        <v>25600</v>
      </c>
      <c r="F217" t="str">
        <f t="shared" si="16"/>
        <v>tree256_line_15_100_25600</v>
      </c>
      <c r="G217">
        <f>IFERROR(VLOOKUP(F217,SROU03!$F:$H,2,FALSE),0)</f>
        <v>12.632139</v>
      </c>
      <c r="H217">
        <f>IFERROR(VLOOKUP(F217,SROU03!$F:$H,3,FALSE),0)</f>
        <v>18.159403000000001</v>
      </c>
      <c r="I217">
        <v>3.3485699999999999E-3</v>
      </c>
      <c r="J217">
        <v>9.0720000000000006E-6</v>
      </c>
      <c r="K217">
        <v>10.668200000000001</v>
      </c>
      <c r="L217">
        <v>3.2848000000000002</v>
      </c>
      <c r="M217">
        <f>IFERROR(VLOOKUP(F217,TICO09!$F:$O,8,FALSE),0)</f>
        <v>10.9711</v>
      </c>
      <c r="N217">
        <f>IFERROR(VLOOKUP(F217,SROU03!$F:$O,9,FALSE),0)</f>
        <v>11.3231</v>
      </c>
      <c r="O217">
        <v>12.609400000000001</v>
      </c>
      <c r="P217" t="str">
        <f t="shared" si="17"/>
        <v>BM3D</v>
      </c>
      <c r="Q217">
        <f t="shared" si="15"/>
        <v>12.609400000000001</v>
      </c>
      <c r="R217">
        <f>VLOOKUP(P217,'Color codes'!$A:$B,2,FALSE)</f>
        <v>1</v>
      </c>
      <c r="S217">
        <f>TRUNC(VLOOKUP(P217,'Color codes'!$A:$E,3,FALSE)*(0.25 + 0.75*Q217/40))</f>
        <v>124</v>
      </c>
      <c r="T217">
        <f>TRUNC(VLOOKUP(P217,'Color codes'!$A:$E,4,FALSE)*(0.25 + 0.75*Q217/40))</f>
        <v>52</v>
      </c>
      <c r="U217">
        <f>TRUNC(VLOOKUP(P217,'Color codes'!$A:$E,5,FALSE)*(0.25 + 0.75*Q217/40))</f>
        <v>50</v>
      </c>
      <c r="V217" t="b">
        <f t="shared" si="14"/>
        <v>1</v>
      </c>
    </row>
    <row r="218" spans="1:22" x14ac:dyDescent="0.25">
      <c r="A218" t="s">
        <v>19</v>
      </c>
      <c r="B218" t="s">
        <v>17</v>
      </c>
      <c r="C218">
        <v>31</v>
      </c>
      <c r="D218">
        <v>100</v>
      </c>
      <c r="E218">
        <v>200</v>
      </c>
      <c r="F218" t="str">
        <f t="shared" si="16"/>
        <v>tree256_line_31_100_200</v>
      </c>
      <c r="G218">
        <f>IFERROR(VLOOKUP(F218,SROU03!$F:$H,2,FALSE),0)</f>
        <v>48.997644999999999</v>
      </c>
      <c r="H218">
        <f>IFERROR(VLOOKUP(F218,SROU03!$F:$H,3,FALSE),0)</f>
        <v>45.862985000000002</v>
      </c>
      <c r="I218">
        <v>1.9865E-5</v>
      </c>
      <c r="J218">
        <v>9.1779999999999992E-6</v>
      </c>
      <c r="K218">
        <v>32.601100000000002</v>
      </c>
      <c r="L218">
        <v>2.3258999999999999</v>
      </c>
      <c r="M218">
        <f>IFERROR(VLOOKUP(F218,TICO09!$F:$O,8,FALSE),0)</f>
        <v>13.6311</v>
      </c>
      <c r="N218">
        <f>IFERROR(VLOOKUP(F218,SROU03!$F:$O,9,FALSE),0)</f>
        <v>31.342300000000002</v>
      </c>
      <c r="O218">
        <v>32.614199999999997</v>
      </c>
      <c r="P218" t="str">
        <f t="shared" si="17"/>
        <v>BM3D</v>
      </c>
      <c r="Q218">
        <f t="shared" si="15"/>
        <v>32.614199999999997</v>
      </c>
      <c r="R218">
        <f>VLOOKUP(P218,'Color codes'!$A:$B,2,FALSE)</f>
        <v>1</v>
      </c>
      <c r="S218">
        <f>TRUNC(VLOOKUP(P218,'Color codes'!$A:$E,3,FALSE)*(0.25 + 0.75*Q218/40))</f>
        <v>219</v>
      </c>
      <c r="T218">
        <f>TRUNC(VLOOKUP(P218,'Color codes'!$A:$E,4,FALSE)*(0.25 + 0.75*Q218/40))</f>
        <v>92</v>
      </c>
      <c r="U218">
        <f>TRUNC(VLOOKUP(P218,'Color codes'!$A:$E,5,FALSE)*(0.25 + 0.75*Q218/40))</f>
        <v>89</v>
      </c>
      <c r="V218" t="b">
        <f t="shared" si="14"/>
        <v>1</v>
      </c>
    </row>
    <row r="219" spans="1:22" x14ac:dyDescent="0.25">
      <c r="A219" t="s">
        <v>19</v>
      </c>
      <c r="B219" t="s">
        <v>17</v>
      </c>
      <c r="C219">
        <v>31</v>
      </c>
      <c r="D219">
        <v>100</v>
      </c>
      <c r="E219">
        <v>400</v>
      </c>
      <c r="F219" t="str">
        <f t="shared" si="16"/>
        <v>tree256_line_31_100_400</v>
      </c>
      <c r="G219">
        <f>IFERROR(VLOOKUP(F219,SROU03!$F:$H,2,FALSE),0)</f>
        <v>35.157271999999999</v>
      </c>
      <c r="H219">
        <f>IFERROR(VLOOKUP(F219,SROU03!$F:$H,3,FALSE),0)</f>
        <v>41.826774999999998</v>
      </c>
      <c r="I219">
        <v>4.1019999999999997E-5</v>
      </c>
      <c r="J219">
        <v>9.1779999999999992E-6</v>
      </c>
      <c r="K219">
        <v>29.4542</v>
      </c>
      <c r="L219">
        <v>2.3258999999999999</v>
      </c>
      <c r="M219">
        <f>IFERROR(VLOOKUP(F219,TICO09!$F:$O,8,FALSE),0)</f>
        <v>13.5999</v>
      </c>
      <c r="N219">
        <f>IFERROR(VLOOKUP(F219,SROU03!$F:$O,9,FALSE),0)</f>
        <v>28.327500000000001</v>
      </c>
      <c r="O219">
        <v>29.485900000000001</v>
      </c>
      <c r="P219" t="str">
        <f t="shared" si="17"/>
        <v>BM3D</v>
      </c>
      <c r="Q219">
        <f t="shared" si="15"/>
        <v>29.485900000000001</v>
      </c>
      <c r="R219">
        <f>VLOOKUP(P219,'Color codes'!$A:$B,2,FALSE)</f>
        <v>1</v>
      </c>
      <c r="S219">
        <f>TRUNC(VLOOKUP(P219,'Color codes'!$A:$E,3,FALSE)*(0.25 + 0.75*Q219/40))</f>
        <v>204</v>
      </c>
      <c r="T219">
        <f>TRUNC(VLOOKUP(P219,'Color codes'!$A:$E,4,FALSE)*(0.25 + 0.75*Q219/40))</f>
        <v>85</v>
      </c>
      <c r="U219">
        <f>TRUNC(VLOOKUP(P219,'Color codes'!$A:$E,5,FALSE)*(0.25 + 0.75*Q219/40))</f>
        <v>83</v>
      </c>
      <c r="V219" t="b">
        <f t="shared" si="14"/>
        <v>1</v>
      </c>
    </row>
    <row r="220" spans="1:22" x14ac:dyDescent="0.25">
      <c r="A220" t="s">
        <v>19</v>
      </c>
      <c r="B220" t="s">
        <v>17</v>
      </c>
      <c r="C220">
        <v>31</v>
      </c>
      <c r="D220">
        <v>100</v>
      </c>
      <c r="E220">
        <v>800</v>
      </c>
      <c r="F220" t="str">
        <f t="shared" si="16"/>
        <v>tree256_line_31_100_800</v>
      </c>
      <c r="G220">
        <f>IFERROR(VLOOKUP(F220,SROU03!$F:$H,2,FALSE),0)</f>
        <v>25.939229000000001</v>
      </c>
      <c r="H220">
        <f>IFERROR(VLOOKUP(F220,SROU03!$F:$H,3,FALSE),0)</f>
        <v>39.702950000000001</v>
      </c>
      <c r="I220">
        <v>8.4389999999999997E-5</v>
      </c>
      <c r="J220">
        <v>9.1779999999999992E-6</v>
      </c>
      <c r="K220">
        <v>26.323899999999998</v>
      </c>
      <c r="L220">
        <v>2.3258999999999999</v>
      </c>
      <c r="M220">
        <f>IFERROR(VLOOKUP(F220,TICO09!$F:$O,8,FALSE),0)</f>
        <v>13.5349</v>
      </c>
      <c r="N220">
        <f>IFERROR(VLOOKUP(F220,SROU03!$F:$O,9,FALSE),0)</f>
        <v>25.361699999999999</v>
      </c>
      <c r="O220">
        <v>26.405899999999999</v>
      </c>
      <c r="P220" t="str">
        <f t="shared" si="17"/>
        <v>BM3D</v>
      </c>
      <c r="Q220">
        <f t="shared" si="15"/>
        <v>26.405899999999999</v>
      </c>
      <c r="R220">
        <f>VLOOKUP(P220,'Color codes'!$A:$B,2,FALSE)</f>
        <v>1</v>
      </c>
      <c r="S220">
        <f>TRUNC(VLOOKUP(P220,'Color codes'!$A:$E,3,FALSE)*(0.25 + 0.75*Q220/40))</f>
        <v>190</v>
      </c>
      <c r="T220">
        <f>TRUNC(VLOOKUP(P220,'Color codes'!$A:$E,4,FALSE)*(0.25 + 0.75*Q220/40))</f>
        <v>79</v>
      </c>
      <c r="U220">
        <f>TRUNC(VLOOKUP(P220,'Color codes'!$A:$E,5,FALSE)*(0.25 + 0.75*Q220/40))</f>
        <v>77</v>
      </c>
      <c r="V220" t="b">
        <f t="shared" si="14"/>
        <v>1</v>
      </c>
    </row>
    <row r="221" spans="1:22" x14ac:dyDescent="0.25">
      <c r="A221" t="s">
        <v>19</v>
      </c>
      <c r="B221" t="s">
        <v>17</v>
      </c>
      <c r="C221">
        <v>31</v>
      </c>
      <c r="D221">
        <v>100</v>
      </c>
      <c r="E221">
        <v>1600</v>
      </c>
      <c r="F221" t="str">
        <f t="shared" si="16"/>
        <v>tree256_line_31_100_1600</v>
      </c>
      <c r="G221">
        <f>IFERROR(VLOOKUP(F221,SROU03!$F:$H,2,FALSE),0)</f>
        <v>20.193995000000001</v>
      </c>
      <c r="H221">
        <f>IFERROR(VLOOKUP(F221,SROU03!$F:$H,3,FALSE),0)</f>
        <v>38.695366</v>
      </c>
      <c r="I221">
        <v>1.7067699999999999E-4</v>
      </c>
      <c r="J221">
        <v>9.1779999999999992E-6</v>
      </c>
      <c r="K221">
        <v>23.273700000000002</v>
      </c>
      <c r="L221">
        <v>2.3258999999999999</v>
      </c>
      <c r="M221">
        <f>IFERROR(VLOOKUP(F221,TICO09!$F:$O,8,FALSE),0)</f>
        <v>13.403499999999999</v>
      </c>
      <c r="N221">
        <f>IFERROR(VLOOKUP(F221,SROU03!$F:$O,9,FALSE),0)</f>
        <v>22.383700000000001</v>
      </c>
      <c r="O221">
        <v>23.448399999999999</v>
      </c>
      <c r="P221" t="str">
        <f t="shared" si="17"/>
        <v>BM3D</v>
      </c>
      <c r="Q221">
        <f t="shared" si="15"/>
        <v>23.448399999999999</v>
      </c>
      <c r="R221">
        <f>VLOOKUP(P221,'Color codes'!$A:$B,2,FALSE)</f>
        <v>1</v>
      </c>
      <c r="S221">
        <f>TRUNC(VLOOKUP(P221,'Color codes'!$A:$E,3,FALSE)*(0.25 + 0.75*Q221/40))</f>
        <v>175</v>
      </c>
      <c r="T221">
        <f>TRUNC(VLOOKUP(P221,'Color codes'!$A:$E,4,FALSE)*(0.25 + 0.75*Q221/40))</f>
        <v>73</v>
      </c>
      <c r="U221">
        <f>TRUNC(VLOOKUP(P221,'Color codes'!$A:$E,5,FALSE)*(0.25 + 0.75*Q221/40))</f>
        <v>71</v>
      </c>
      <c r="V221" t="b">
        <f t="shared" si="14"/>
        <v>1</v>
      </c>
    </row>
    <row r="222" spans="1:22" x14ac:dyDescent="0.25">
      <c r="A222" t="s">
        <v>19</v>
      </c>
      <c r="B222" t="s">
        <v>17</v>
      </c>
      <c r="C222">
        <v>31</v>
      </c>
      <c r="D222">
        <v>100</v>
      </c>
      <c r="E222">
        <v>3200</v>
      </c>
      <c r="F222" t="str">
        <f t="shared" si="16"/>
        <v>tree256_line_31_100_3200</v>
      </c>
      <c r="G222">
        <f>IFERROR(VLOOKUP(F222,SROU03!$F:$H,2,FALSE),0)</f>
        <v>16.095464</v>
      </c>
      <c r="H222">
        <f>IFERROR(VLOOKUP(F222,SROU03!$F:$H,3,FALSE),0)</f>
        <v>38.141427</v>
      </c>
      <c r="I222">
        <v>3.53085E-4</v>
      </c>
      <c r="J222">
        <v>9.1779999999999992E-6</v>
      </c>
      <c r="K222">
        <v>20.133600000000001</v>
      </c>
      <c r="L222">
        <v>2.3258999999999999</v>
      </c>
      <c r="M222">
        <f>IFERROR(VLOOKUP(F222,TICO09!$F:$O,8,FALSE),0)</f>
        <v>13.216200000000001</v>
      </c>
      <c r="N222">
        <f>IFERROR(VLOOKUP(F222,SROU03!$F:$O,9,FALSE),0)</f>
        <v>19.4312</v>
      </c>
      <c r="O222">
        <v>20.504799999999999</v>
      </c>
      <c r="P222" t="str">
        <f t="shared" si="17"/>
        <v>BM3D</v>
      </c>
      <c r="Q222">
        <f t="shared" si="15"/>
        <v>20.504799999999999</v>
      </c>
      <c r="R222">
        <f>VLOOKUP(P222,'Color codes'!$A:$B,2,FALSE)</f>
        <v>1</v>
      </c>
      <c r="S222">
        <f>TRUNC(VLOOKUP(P222,'Color codes'!$A:$E,3,FALSE)*(0.25 + 0.75*Q222/40))</f>
        <v>161</v>
      </c>
      <c r="T222">
        <f>TRUNC(VLOOKUP(P222,'Color codes'!$A:$E,4,FALSE)*(0.25 + 0.75*Q222/40))</f>
        <v>67</v>
      </c>
      <c r="U222">
        <f>TRUNC(VLOOKUP(P222,'Color codes'!$A:$E,5,FALSE)*(0.25 + 0.75*Q222/40))</f>
        <v>65</v>
      </c>
      <c r="V222" t="b">
        <f t="shared" si="14"/>
        <v>1</v>
      </c>
    </row>
    <row r="223" spans="1:22" x14ac:dyDescent="0.25">
      <c r="A223" t="s">
        <v>19</v>
      </c>
      <c r="B223" t="s">
        <v>17</v>
      </c>
      <c r="C223">
        <v>31</v>
      </c>
      <c r="D223">
        <v>100</v>
      </c>
      <c r="E223">
        <v>6400</v>
      </c>
      <c r="F223" t="str">
        <f t="shared" si="16"/>
        <v>tree256_line_31_100_6400</v>
      </c>
      <c r="G223">
        <f>IFERROR(VLOOKUP(F223,SROU03!$F:$H,2,FALSE),0)</f>
        <v>13.287788000000001</v>
      </c>
      <c r="H223">
        <f>IFERROR(VLOOKUP(F223,SROU03!$F:$H,3,FALSE),0)</f>
        <v>38.130339999999997</v>
      </c>
      <c r="I223">
        <v>7.1485799999999996E-4</v>
      </c>
      <c r="J223">
        <v>9.1779999999999992E-6</v>
      </c>
      <c r="K223">
        <v>17.095700000000001</v>
      </c>
      <c r="L223">
        <v>2.3258999999999999</v>
      </c>
      <c r="M223">
        <f>IFERROR(VLOOKUP(F223,TICO09!$F:$O,8,FALSE),0)</f>
        <v>12.8017</v>
      </c>
      <c r="N223">
        <f>IFERROR(VLOOKUP(F223,SROU03!$F:$O,9,FALSE),0)</f>
        <v>16.549099999999999</v>
      </c>
      <c r="O223">
        <v>17.7544</v>
      </c>
      <c r="P223" t="str">
        <f t="shared" si="17"/>
        <v>BM3D</v>
      </c>
      <c r="Q223">
        <f t="shared" si="15"/>
        <v>17.7544</v>
      </c>
      <c r="R223">
        <f>VLOOKUP(P223,'Color codes'!$A:$B,2,FALSE)</f>
        <v>1</v>
      </c>
      <c r="S223">
        <f>TRUNC(VLOOKUP(P223,'Color codes'!$A:$E,3,FALSE)*(0.25 + 0.75*Q223/40))</f>
        <v>148</v>
      </c>
      <c r="T223">
        <f>TRUNC(VLOOKUP(P223,'Color codes'!$A:$E,4,FALSE)*(0.25 + 0.75*Q223/40))</f>
        <v>62</v>
      </c>
      <c r="U223">
        <f>TRUNC(VLOOKUP(P223,'Color codes'!$A:$E,5,FALSE)*(0.25 + 0.75*Q223/40))</f>
        <v>60</v>
      </c>
      <c r="V223" t="b">
        <f t="shared" si="14"/>
        <v>1</v>
      </c>
    </row>
    <row r="224" spans="1:22" x14ac:dyDescent="0.25">
      <c r="A224" t="s">
        <v>19</v>
      </c>
      <c r="B224" t="s">
        <v>17</v>
      </c>
      <c r="C224">
        <v>31</v>
      </c>
      <c r="D224">
        <v>100</v>
      </c>
      <c r="E224">
        <v>12800</v>
      </c>
      <c r="F224" t="str">
        <f t="shared" si="16"/>
        <v>tree256_line_31_100_12800</v>
      </c>
      <c r="G224">
        <f>IFERROR(VLOOKUP(F224,SROU03!$F:$H,2,FALSE),0)</f>
        <v>11.000361</v>
      </c>
      <c r="H224">
        <f>IFERROR(VLOOKUP(F224,SROU03!$F:$H,3,FALSE),0)</f>
        <v>38.034711000000001</v>
      </c>
      <c r="I224">
        <v>1.503985E-3</v>
      </c>
      <c r="J224">
        <v>9.1779999999999992E-6</v>
      </c>
      <c r="K224">
        <v>13.961600000000001</v>
      </c>
      <c r="L224">
        <v>2.3258999999999999</v>
      </c>
      <c r="M224">
        <f>IFERROR(VLOOKUP(F224,TICO09!$F:$O,8,FALSE),0)</f>
        <v>12.106999999999999</v>
      </c>
      <c r="N224">
        <f>IFERROR(VLOOKUP(F224,SROU03!$F:$O,9,FALSE),0)</f>
        <v>13.698</v>
      </c>
      <c r="O224">
        <v>15.1066</v>
      </c>
      <c r="P224" t="str">
        <f t="shared" si="17"/>
        <v>BM3D</v>
      </c>
      <c r="Q224">
        <f t="shared" si="15"/>
        <v>15.1066</v>
      </c>
      <c r="R224">
        <f>VLOOKUP(P224,'Color codes'!$A:$B,2,FALSE)</f>
        <v>1</v>
      </c>
      <c r="S224">
        <f>TRUNC(VLOOKUP(P224,'Color codes'!$A:$E,3,FALSE)*(0.25 + 0.75*Q224/40))</f>
        <v>135</v>
      </c>
      <c r="T224">
        <f>TRUNC(VLOOKUP(P224,'Color codes'!$A:$E,4,FALSE)*(0.25 + 0.75*Q224/40))</f>
        <v>57</v>
      </c>
      <c r="U224">
        <f>TRUNC(VLOOKUP(P224,'Color codes'!$A:$E,5,FALSE)*(0.25 + 0.75*Q224/40))</f>
        <v>55</v>
      </c>
      <c r="V224" t="b">
        <f t="shared" si="14"/>
        <v>1</v>
      </c>
    </row>
    <row r="225" spans="1:22" x14ac:dyDescent="0.25">
      <c r="A225" t="s">
        <v>19</v>
      </c>
      <c r="B225" t="s">
        <v>17</v>
      </c>
      <c r="C225">
        <v>31</v>
      </c>
      <c r="D225">
        <v>100</v>
      </c>
      <c r="E225">
        <v>25600</v>
      </c>
      <c r="F225" t="str">
        <f t="shared" si="16"/>
        <v>tree256_line_31_100_25600</v>
      </c>
      <c r="G225">
        <f>IFERROR(VLOOKUP(F225,SROU03!$F:$H,2,FALSE),0)</f>
        <v>9.2783800000000003</v>
      </c>
      <c r="H225">
        <f>IFERROR(VLOOKUP(F225,SROU03!$F:$H,3,FALSE),0)</f>
        <v>38.241402000000001</v>
      </c>
      <c r="I225">
        <v>3.3532330000000002E-3</v>
      </c>
      <c r="J225">
        <v>9.1779999999999992E-6</v>
      </c>
      <c r="K225">
        <v>10.6553</v>
      </c>
      <c r="L225">
        <v>2.3258999999999999</v>
      </c>
      <c r="M225">
        <f>IFERROR(VLOOKUP(F225,TICO09!$F:$O,8,FALSE),0)</f>
        <v>11.0268</v>
      </c>
      <c r="N225">
        <f>IFERROR(VLOOKUP(F225,SROU03!$F:$O,9,FALSE),0)</f>
        <v>10.8316</v>
      </c>
      <c r="O225">
        <v>12.5563</v>
      </c>
      <c r="P225" t="str">
        <f t="shared" si="17"/>
        <v>BM3D</v>
      </c>
      <c r="Q225">
        <f t="shared" si="15"/>
        <v>12.5563</v>
      </c>
      <c r="R225">
        <f>VLOOKUP(P225,'Color codes'!$A:$B,2,FALSE)</f>
        <v>1</v>
      </c>
      <c r="S225">
        <f>TRUNC(VLOOKUP(P225,'Color codes'!$A:$E,3,FALSE)*(0.25 + 0.75*Q225/40))</f>
        <v>123</v>
      </c>
      <c r="T225">
        <f>TRUNC(VLOOKUP(P225,'Color codes'!$A:$E,4,FALSE)*(0.25 + 0.75*Q225/40))</f>
        <v>51</v>
      </c>
      <c r="U225">
        <f>TRUNC(VLOOKUP(P225,'Color codes'!$A:$E,5,FALSE)*(0.25 + 0.75*Q225/40))</f>
        <v>50</v>
      </c>
      <c r="V225" t="b">
        <f t="shared" si="14"/>
        <v>1</v>
      </c>
    </row>
    <row r="226" spans="1:22" x14ac:dyDescent="0.25">
      <c r="A226" t="s">
        <v>19</v>
      </c>
      <c r="B226" t="s">
        <v>18</v>
      </c>
      <c r="C226">
        <v>3</v>
      </c>
      <c r="D226">
        <v>100</v>
      </c>
      <c r="E226">
        <v>200</v>
      </c>
      <c r="F226" t="str">
        <f t="shared" si="16"/>
        <v>tree256_blurkernel10_3_100_200</v>
      </c>
      <c r="G226">
        <f>IFERROR(VLOOKUP(F226,SROU03!$F:$H,2,FALSE),0)</f>
        <v>55.132289999999998</v>
      </c>
      <c r="H226">
        <f>IFERROR(VLOOKUP(F226,SROU03!$F:$H,3,FALSE),0)</f>
        <v>3.9507850000000002</v>
      </c>
      <c r="I226">
        <v>1.9711000000000002E-5</v>
      </c>
      <c r="J226">
        <v>9.0429999999999996E-6</v>
      </c>
      <c r="K226">
        <v>32.635399999999997</v>
      </c>
      <c r="L226">
        <v>10.5588</v>
      </c>
      <c r="M226">
        <f>IFERROR(VLOOKUP(F226,TICO09!$F:$O,8,FALSE),0)</f>
        <v>11.957000000000001</v>
      </c>
      <c r="N226">
        <f>IFERROR(VLOOKUP(F226,SROU03!$F:$O,9,FALSE),0)</f>
        <v>32.2331</v>
      </c>
      <c r="O226">
        <v>32.647100000000002</v>
      </c>
      <c r="P226" t="str">
        <f t="shared" si="17"/>
        <v>BM3D</v>
      </c>
      <c r="Q226">
        <f t="shared" si="15"/>
        <v>32.647100000000002</v>
      </c>
      <c r="R226">
        <f>VLOOKUP(P226,'Color codes'!$A:$B,2,FALSE)</f>
        <v>1</v>
      </c>
      <c r="S226">
        <f>TRUNC(VLOOKUP(P226,'Color codes'!$A:$E,3,FALSE)*(0.25 + 0.75*Q226/40))</f>
        <v>219</v>
      </c>
      <c r="T226">
        <f>TRUNC(VLOOKUP(P226,'Color codes'!$A:$E,4,FALSE)*(0.25 + 0.75*Q226/40))</f>
        <v>92</v>
      </c>
      <c r="U226">
        <f>TRUNC(VLOOKUP(P226,'Color codes'!$A:$E,5,FALSE)*(0.25 + 0.75*Q226/40))</f>
        <v>89</v>
      </c>
      <c r="V226" t="b">
        <f t="shared" si="14"/>
        <v>0</v>
      </c>
    </row>
    <row r="227" spans="1:22" x14ac:dyDescent="0.25">
      <c r="A227" t="s">
        <v>19</v>
      </c>
      <c r="B227" t="s">
        <v>18</v>
      </c>
      <c r="C227">
        <v>3</v>
      </c>
      <c r="D227">
        <v>100</v>
      </c>
      <c r="E227">
        <v>400</v>
      </c>
      <c r="F227" t="str">
        <f t="shared" si="16"/>
        <v>tree256_blurkernel10_3_100_400</v>
      </c>
      <c r="G227">
        <f>IFERROR(VLOOKUP(F227,SROU03!$F:$H,2,FALSE),0)</f>
        <v>43.673405000000002</v>
      </c>
      <c r="H227">
        <f>IFERROR(VLOOKUP(F227,SROU03!$F:$H,3,FALSE),0)</f>
        <v>3.609302</v>
      </c>
      <c r="I227">
        <v>4.1328000000000001E-5</v>
      </c>
      <c r="J227">
        <v>9.0429999999999996E-6</v>
      </c>
      <c r="K227">
        <v>29.421700000000001</v>
      </c>
      <c r="L227">
        <v>10.5588</v>
      </c>
      <c r="M227">
        <f>IFERROR(VLOOKUP(F227,TICO09!$F:$O,8,FALSE),0)</f>
        <v>11.951599999999999</v>
      </c>
      <c r="N227">
        <f>IFERROR(VLOOKUP(F227,SROU03!$F:$O,9,FALSE),0)</f>
        <v>29.469200000000001</v>
      </c>
      <c r="O227">
        <v>29.456399999999999</v>
      </c>
      <c r="P227" t="str">
        <f t="shared" si="17"/>
        <v>SROU03</v>
      </c>
      <c r="Q227">
        <f t="shared" si="15"/>
        <v>29.469200000000001</v>
      </c>
      <c r="R227">
        <f>VLOOKUP(P227,'Color codes'!$A:$B,2,FALSE)</f>
        <v>3</v>
      </c>
      <c r="S227">
        <f>TRUNC(VLOOKUP(P227,'Color codes'!$A:$E,3,FALSE)*(0.25 + 0.75*Q227/40))</f>
        <v>85</v>
      </c>
      <c r="T227">
        <f>TRUNC(VLOOKUP(P227,'Color codes'!$A:$E,4,FALSE)*(0.25 + 0.75*Q227/40))</f>
        <v>141</v>
      </c>
      <c r="U227">
        <f>TRUNC(VLOOKUP(P227,'Color codes'!$A:$E,5,FALSE)*(0.25 + 0.75*Q227/40))</f>
        <v>204</v>
      </c>
      <c r="V227" t="b">
        <f t="shared" si="14"/>
        <v>0</v>
      </c>
    </row>
    <row r="228" spans="1:22" x14ac:dyDescent="0.25">
      <c r="A228" t="s">
        <v>19</v>
      </c>
      <c r="B228" t="s">
        <v>18</v>
      </c>
      <c r="C228">
        <v>3</v>
      </c>
      <c r="D228">
        <v>100</v>
      </c>
      <c r="E228">
        <v>800</v>
      </c>
      <c r="F228" t="str">
        <f t="shared" si="16"/>
        <v>tree256_blurkernel10_3_100_800</v>
      </c>
      <c r="G228">
        <f>IFERROR(VLOOKUP(F228,SROU03!$F:$H,2,FALSE),0)</f>
        <v>37.039439000000002</v>
      </c>
      <c r="H228">
        <f>IFERROR(VLOOKUP(F228,SROU03!$F:$H,3,FALSE),0)</f>
        <v>3.4402080000000002</v>
      </c>
      <c r="I228">
        <v>8.4458999999999999E-5</v>
      </c>
      <c r="J228">
        <v>9.0429999999999996E-6</v>
      </c>
      <c r="K228">
        <v>26.319800000000001</v>
      </c>
      <c r="L228">
        <v>10.5588</v>
      </c>
      <c r="M228">
        <f>IFERROR(VLOOKUP(F228,TICO09!$F:$O,8,FALSE),0)</f>
        <v>11.949400000000001</v>
      </c>
      <c r="N228">
        <f>IFERROR(VLOOKUP(F228,SROU03!$F:$O,9,FALSE),0)</f>
        <v>26.819199999999999</v>
      </c>
      <c r="O228">
        <v>26.4085</v>
      </c>
      <c r="P228" t="str">
        <f t="shared" si="17"/>
        <v>SROU03</v>
      </c>
      <c r="Q228">
        <f t="shared" si="15"/>
        <v>26.819199999999999</v>
      </c>
      <c r="R228">
        <f>VLOOKUP(P228,'Color codes'!$A:$B,2,FALSE)</f>
        <v>3</v>
      </c>
      <c r="S228">
        <f>TRUNC(VLOOKUP(P228,'Color codes'!$A:$E,3,FALSE)*(0.25 + 0.75*Q228/40))</f>
        <v>80</v>
      </c>
      <c r="T228">
        <f>TRUNC(VLOOKUP(P228,'Color codes'!$A:$E,4,FALSE)*(0.25 + 0.75*Q228/40))</f>
        <v>132</v>
      </c>
      <c r="U228">
        <f>TRUNC(VLOOKUP(P228,'Color codes'!$A:$E,5,FALSE)*(0.25 + 0.75*Q228/40))</f>
        <v>191</v>
      </c>
      <c r="V228" t="b">
        <f t="shared" si="14"/>
        <v>0</v>
      </c>
    </row>
    <row r="229" spans="1:22" x14ac:dyDescent="0.25">
      <c r="A229" t="s">
        <v>19</v>
      </c>
      <c r="B229" t="s">
        <v>18</v>
      </c>
      <c r="C229">
        <v>3</v>
      </c>
      <c r="D229">
        <v>100</v>
      </c>
      <c r="E229">
        <v>1600</v>
      </c>
      <c r="F229" t="str">
        <f t="shared" si="16"/>
        <v>tree256_blurkernel10_3_100_1600</v>
      </c>
      <c r="G229">
        <f>IFERROR(VLOOKUP(F229,SROU03!$F:$H,2,FALSE),0)</f>
        <v>33.173313</v>
      </c>
      <c r="H229">
        <f>IFERROR(VLOOKUP(F229,SROU03!$F:$H,3,FALSE),0)</f>
        <v>3.3578000000000001</v>
      </c>
      <c r="I229">
        <v>1.7219800000000001E-4</v>
      </c>
      <c r="J229">
        <v>9.0429999999999996E-6</v>
      </c>
      <c r="K229">
        <v>23.237100000000002</v>
      </c>
      <c r="L229">
        <v>10.5588</v>
      </c>
      <c r="M229">
        <f>IFERROR(VLOOKUP(F229,TICO09!$F:$O,8,FALSE),0)</f>
        <v>11.905099999999999</v>
      </c>
      <c r="N229">
        <f>IFERROR(VLOOKUP(F229,SROU03!$F:$O,9,FALSE),0)</f>
        <v>24.134899999999998</v>
      </c>
      <c r="O229">
        <v>23.416599999999999</v>
      </c>
      <c r="P229" t="str">
        <f t="shared" si="17"/>
        <v>SROU03</v>
      </c>
      <c r="Q229">
        <f t="shared" si="15"/>
        <v>24.134899999999998</v>
      </c>
      <c r="R229">
        <f>VLOOKUP(P229,'Color codes'!$A:$B,2,FALSE)</f>
        <v>3</v>
      </c>
      <c r="S229">
        <f>TRUNC(VLOOKUP(P229,'Color codes'!$A:$E,3,FALSE)*(0.25 + 0.75*Q229/40))</f>
        <v>75</v>
      </c>
      <c r="T229">
        <f>TRUNC(VLOOKUP(P229,'Color codes'!$A:$E,4,FALSE)*(0.25 + 0.75*Q229/40))</f>
        <v>123</v>
      </c>
      <c r="U229">
        <f>TRUNC(VLOOKUP(P229,'Color codes'!$A:$E,5,FALSE)*(0.25 + 0.75*Q229/40))</f>
        <v>179</v>
      </c>
      <c r="V229" t="b">
        <f t="shared" si="14"/>
        <v>0</v>
      </c>
    </row>
    <row r="230" spans="1:22" x14ac:dyDescent="0.25">
      <c r="A230" t="s">
        <v>19</v>
      </c>
      <c r="B230" t="s">
        <v>18</v>
      </c>
      <c r="C230">
        <v>3</v>
      </c>
      <c r="D230">
        <v>100</v>
      </c>
      <c r="E230">
        <v>3200</v>
      </c>
      <c r="F230" t="str">
        <f t="shared" si="16"/>
        <v>tree256_blurkernel10_3_100_3200</v>
      </c>
      <c r="G230">
        <f>IFERROR(VLOOKUP(F230,SROU03!$F:$H,2,FALSE),0)</f>
        <v>30.844832</v>
      </c>
      <c r="H230">
        <f>IFERROR(VLOOKUP(F230,SROU03!$F:$H,3,FALSE),0)</f>
        <v>3.3240690000000002</v>
      </c>
      <c r="I230">
        <v>3.5052599999999998E-4</v>
      </c>
      <c r="J230">
        <v>9.0429999999999996E-6</v>
      </c>
      <c r="K230">
        <v>20.165299999999998</v>
      </c>
      <c r="L230">
        <v>10.5588</v>
      </c>
      <c r="M230">
        <f>IFERROR(VLOOKUP(F230,TICO09!$F:$O,8,FALSE),0)</f>
        <v>11.8751</v>
      </c>
      <c r="N230">
        <f>IFERROR(VLOOKUP(F230,SROU03!$F:$O,9,FALSE),0)</f>
        <v>21.5395</v>
      </c>
      <c r="O230">
        <v>20.539899999999999</v>
      </c>
      <c r="P230" t="str">
        <f t="shared" si="17"/>
        <v>SROU03</v>
      </c>
      <c r="Q230">
        <f t="shared" si="15"/>
        <v>21.5395</v>
      </c>
      <c r="R230">
        <f>VLOOKUP(P230,'Color codes'!$A:$B,2,FALSE)</f>
        <v>3</v>
      </c>
      <c r="S230">
        <f>TRUNC(VLOOKUP(P230,'Color codes'!$A:$E,3,FALSE)*(0.25 + 0.75*Q230/40))</f>
        <v>69</v>
      </c>
      <c r="T230">
        <f>TRUNC(VLOOKUP(P230,'Color codes'!$A:$E,4,FALSE)*(0.25 + 0.75*Q230/40))</f>
        <v>115</v>
      </c>
      <c r="U230">
        <f>TRUNC(VLOOKUP(P230,'Color codes'!$A:$E,5,FALSE)*(0.25 + 0.75*Q230/40))</f>
        <v>166</v>
      </c>
      <c r="V230" t="b">
        <f t="shared" ref="V230:V293" si="18">(ABS(N230-O230)  &gt; 1)</f>
        <v>0</v>
      </c>
    </row>
    <row r="231" spans="1:22" x14ac:dyDescent="0.25">
      <c r="A231" t="s">
        <v>19</v>
      </c>
      <c r="B231" t="s">
        <v>18</v>
      </c>
      <c r="C231">
        <v>3</v>
      </c>
      <c r="D231">
        <v>100</v>
      </c>
      <c r="E231">
        <v>6400</v>
      </c>
      <c r="F231" t="str">
        <f t="shared" si="16"/>
        <v>tree256_blurkernel10_3_100_6400</v>
      </c>
      <c r="G231">
        <f>IFERROR(VLOOKUP(F231,SROU03!$F:$H,2,FALSE),0)</f>
        <v>29.223562999999999</v>
      </c>
      <c r="H231">
        <f>IFERROR(VLOOKUP(F231,SROU03!$F:$H,3,FALSE),0)</f>
        <v>3.3216950000000001</v>
      </c>
      <c r="I231">
        <v>7.1535999999999995E-4</v>
      </c>
      <c r="J231">
        <v>9.0429999999999996E-6</v>
      </c>
      <c r="K231">
        <v>17.101099999999999</v>
      </c>
      <c r="L231">
        <v>10.5588</v>
      </c>
      <c r="M231">
        <f>IFERROR(VLOOKUP(F231,TICO09!$F:$O,8,FALSE),0)</f>
        <v>11.8056</v>
      </c>
      <c r="N231">
        <f>IFERROR(VLOOKUP(F231,SROU03!$F:$O,9,FALSE),0)</f>
        <v>19.537199999999999</v>
      </c>
      <c r="O231">
        <v>17.7742</v>
      </c>
      <c r="P231" t="str">
        <f t="shared" si="17"/>
        <v>SROU03</v>
      </c>
      <c r="Q231">
        <f t="shared" si="15"/>
        <v>19.537199999999999</v>
      </c>
      <c r="R231">
        <f>VLOOKUP(P231,'Color codes'!$A:$B,2,FALSE)</f>
        <v>3</v>
      </c>
      <c r="S231">
        <f>TRUNC(VLOOKUP(P231,'Color codes'!$A:$E,3,FALSE)*(0.25 + 0.75*Q231/40))</f>
        <v>65</v>
      </c>
      <c r="T231">
        <f>TRUNC(VLOOKUP(P231,'Color codes'!$A:$E,4,FALSE)*(0.25 + 0.75*Q231/40))</f>
        <v>108</v>
      </c>
      <c r="U231">
        <f>TRUNC(VLOOKUP(P231,'Color codes'!$A:$E,5,FALSE)*(0.25 + 0.75*Q231/40))</f>
        <v>157</v>
      </c>
      <c r="V231" t="b">
        <f t="shared" si="18"/>
        <v>1</v>
      </c>
    </row>
    <row r="232" spans="1:22" x14ac:dyDescent="0.25">
      <c r="A232" t="s">
        <v>19</v>
      </c>
      <c r="B232" t="s">
        <v>18</v>
      </c>
      <c r="C232">
        <v>3</v>
      </c>
      <c r="D232">
        <v>100</v>
      </c>
      <c r="E232">
        <v>12800</v>
      </c>
      <c r="F232" t="str">
        <f t="shared" si="16"/>
        <v>tree256_blurkernel10_3_100_12800</v>
      </c>
      <c r="G232">
        <f>IFERROR(VLOOKUP(F232,SROU03!$F:$H,2,FALSE),0)</f>
        <v>27.789169999999999</v>
      </c>
      <c r="H232">
        <f>IFERROR(VLOOKUP(F232,SROU03!$F:$H,3,FALSE),0)</f>
        <v>3.3401079999999999</v>
      </c>
      <c r="I232">
        <v>1.510466E-3</v>
      </c>
      <c r="J232">
        <v>9.0429999999999996E-6</v>
      </c>
      <c r="K232">
        <v>13.9452</v>
      </c>
      <c r="L232">
        <v>10.5588</v>
      </c>
      <c r="M232">
        <f>IFERROR(VLOOKUP(F232,TICO09!$F:$O,8,FALSE),0)</f>
        <v>11.687799999999999</v>
      </c>
      <c r="N232">
        <f>IFERROR(VLOOKUP(F232,SROU03!$F:$O,9,FALSE),0)</f>
        <v>18.081099999999999</v>
      </c>
      <c r="O232">
        <v>15.1166</v>
      </c>
      <c r="P232" t="str">
        <f t="shared" si="17"/>
        <v>SROU03</v>
      </c>
      <c r="Q232">
        <f t="shared" si="15"/>
        <v>18.081099999999999</v>
      </c>
      <c r="R232">
        <f>VLOOKUP(P232,'Color codes'!$A:$B,2,FALSE)</f>
        <v>3</v>
      </c>
      <c r="S232">
        <f>TRUNC(VLOOKUP(P232,'Color codes'!$A:$E,3,FALSE)*(0.25 + 0.75*Q232/40))</f>
        <v>63</v>
      </c>
      <c r="T232">
        <f>TRUNC(VLOOKUP(P232,'Color codes'!$A:$E,4,FALSE)*(0.25 + 0.75*Q232/40))</f>
        <v>103</v>
      </c>
      <c r="U232">
        <f>TRUNC(VLOOKUP(P232,'Color codes'!$A:$E,5,FALSE)*(0.25 + 0.75*Q232/40))</f>
        <v>150</v>
      </c>
      <c r="V232" t="b">
        <f t="shared" si="18"/>
        <v>1</v>
      </c>
    </row>
    <row r="233" spans="1:22" x14ac:dyDescent="0.25">
      <c r="A233" t="s">
        <v>19</v>
      </c>
      <c r="B233" t="s">
        <v>18</v>
      </c>
      <c r="C233">
        <v>3</v>
      </c>
      <c r="D233">
        <v>100</v>
      </c>
      <c r="E233">
        <v>25600</v>
      </c>
      <c r="F233" t="str">
        <f t="shared" si="16"/>
        <v>tree256_blurkernel10_3_100_25600</v>
      </c>
      <c r="G233">
        <f>IFERROR(VLOOKUP(F233,SROU03!$F:$H,2,FALSE),0)</f>
        <v>26.342051000000001</v>
      </c>
      <c r="H233">
        <f>IFERROR(VLOOKUP(F233,SROU03!$F:$H,3,FALSE),0)</f>
        <v>3.3720729999999999</v>
      </c>
      <c r="I233">
        <v>3.3614109999999999E-3</v>
      </c>
      <c r="J233">
        <v>9.0429999999999996E-6</v>
      </c>
      <c r="K233">
        <v>10.6486</v>
      </c>
      <c r="L233">
        <v>10.5588</v>
      </c>
      <c r="M233">
        <f>IFERROR(VLOOKUP(F233,TICO09!$F:$O,8,FALSE),0)</f>
        <v>11.5069</v>
      </c>
      <c r="N233">
        <f>IFERROR(VLOOKUP(F233,SROU03!$F:$O,9,FALSE),0)</f>
        <v>17.390699999999999</v>
      </c>
      <c r="O233">
        <v>12.568</v>
      </c>
      <c r="P233" t="str">
        <f t="shared" si="17"/>
        <v>SROU03</v>
      </c>
      <c r="Q233">
        <f t="shared" si="15"/>
        <v>17.390699999999999</v>
      </c>
      <c r="R233">
        <f>VLOOKUP(P233,'Color codes'!$A:$B,2,FALSE)</f>
        <v>3</v>
      </c>
      <c r="S233">
        <f>TRUNC(VLOOKUP(P233,'Color codes'!$A:$E,3,FALSE)*(0.25 + 0.75*Q233/40))</f>
        <v>61</v>
      </c>
      <c r="T233">
        <f>TRUNC(VLOOKUP(P233,'Color codes'!$A:$E,4,FALSE)*(0.25 + 0.75*Q233/40))</f>
        <v>101</v>
      </c>
      <c r="U233">
        <f>TRUNC(VLOOKUP(P233,'Color codes'!$A:$E,5,FALSE)*(0.25 + 0.75*Q233/40))</f>
        <v>146</v>
      </c>
      <c r="V233" t="b">
        <f t="shared" si="18"/>
        <v>1</v>
      </c>
    </row>
    <row r="234" spans="1:22" x14ac:dyDescent="0.25">
      <c r="A234" t="s">
        <v>19</v>
      </c>
      <c r="B234" t="s">
        <v>18</v>
      </c>
      <c r="C234">
        <v>7</v>
      </c>
      <c r="D234">
        <v>100</v>
      </c>
      <c r="E234">
        <v>200</v>
      </c>
      <c r="F234" t="str">
        <f t="shared" si="16"/>
        <v>tree256_blurkernel10_7_100_200</v>
      </c>
      <c r="G234">
        <f>IFERROR(VLOOKUP(F234,SROU03!$F:$H,2,FALSE),0)</f>
        <v>49.657682999999999</v>
      </c>
      <c r="H234">
        <f>IFERROR(VLOOKUP(F234,SROU03!$F:$H,3,FALSE),0)</f>
        <v>10.302275</v>
      </c>
      <c r="I234">
        <v>1.9772999999999999E-5</v>
      </c>
      <c r="J234">
        <v>9.0869999999999996E-6</v>
      </c>
      <c r="K234">
        <v>32.620800000000003</v>
      </c>
      <c r="L234">
        <v>5.9939999999999998</v>
      </c>
      <c r="M234">
        <f>IFERROR(VLOOKUP(F234,TICO09!$F:$O,8,FALSE),0)</f>
        <v>12.8833</v>
      </c>
      <c r="N234">
        <f>IFERROR(VLOOKUP(F234,SROU03!$F:$O,9,FALSE),0)</f>
        <v>31.633199999999999</v>
      </c>
      <c r="O234">
        <v>32.6295</v>
      </c>
      <c r="P234" t="str">
        <f t="shared" si="17"/>
        <v>BM3D</v>
      </c>
      <c r="Q234">
        <f t="shared" si="15"/>
        <v>32.6295</v>
      </c>
      <c r="R234">
        <f>VLOOKUP(P234,'Color codes'!$A:$B,2,FALSE)</f>
        <v>1</v>
      </c>
      <c r="S234">
        <f>TRUNC(VLOOKUP(P234,'Color codes'!$A:$E,3,FALSE)*(0.25 + 0.75*Q234/40))</f>
        <v>219</v>
      </c>
      <c r="T234">
        <f>TRUNC(VLOOKUP(P234,'Color codes'!$A:$E,4,FALSE)*(0.25 + 0.75*Q234/40))</f>
        <v>92</v>
      </c>
      <c r="U234">
        <f>TRUNC(VLOOKUP(P234,'Color codes'!$A:$E,5,FALSE)*(0.25 + 0.75*Q234/40))</f>
        <v>89</v>
      </c>
      <c r="V234" t="b">
        <f t="shared" si="18"/>
        <v>0</v>
      </c>
    </row>
    <row r="235" spans="1:22" x14ac:dyDescent="0.25">
      <c r="A235" t="s">
        <v>19</v>
      </c>
      <c r="B235" t="s">
        <v>18</v>
      </c>
      <c r="C235">
        <v>7</v>
      </c>
      <c r="D235">
        <v>100</v>
      </c>
      <c r="E235">
        <v>400</v>
      </c>
      <c r="F235" t="str">
        <f t="shared" si="16"/>
        <v>tree256_blurkernel10_7_100_400</v>
      </c>
      <c r="G235">
        <f>IFERROR(VLOOKUP(F235,SROU03!$F:$H,2,FALSE),0)</f>
        <v>36.371836999999999</v>
      </c>
      <c r="H235">
        <f>IFERROR(VLOOKUP(F235,SROU03!$F:$H,3,FALSE),0)</f>
        <v>9.3978929999999998</v>
      </c>
      <c r="I235">
        <v>4.1020999999999999E-5</v>
      </c>
      <c r="J235">
        <v>9.0869999999999996E-6</v>
      </c>
      <c r="K235">
        <v>29.454699999999999</v>
      </c>
      <c r="L235">
        <v>5.9939999999999998</v>
      </c>
      <c r="M235">
        <f>IFERROR(VLOOKUP(F235,TICO09!$F:$O,8,FALSE),0)</f>
        <v>12.849500000000001</v>
      </c>
      <c r="N235">
        <f>IFERROR(VLOOKUP(F235,SROU03!$F:$O,9,FALSE),0)</f>
        <v>28.709099999999999</v>
      </c>
      <c r="O235">
        <v>29.481999999999999</v>
      </c>
      <c r="P235" t="str">
        <f t="shared" si="17"/>
        <v>BM3D</v>
      </c>
      <c r="Q235">
        <f t="shared" si="15"/>
        <v>29.481999999999999</v>
      </c>
      <c r="R235">
        <f>VLOOKUP(P235,'Color codes'!$A:$B,2,FALSE)</f>
        <v>1</v>
      </c>
      <c r="S235">
        <f>TRUNC(VLOOKUP(P235,'Color codes'!$A:$E,3,FALSE)*(0.25 + 0.75*Q235/40))</f>
        <v>204</v>
      </c>
      <c r="T235">
        <f>TRUNC(VLOOKUP(P235,'Color codes'!$A:$E,4,FALSE)*(0.25 + 0.75*Q235/40))</f>
        <v>85</v>
      </c>
      <c r="U235">
        <f>TRUNC(VLOOKUP(P235,'Color codes'!$A:$E,5,FALSE)*(0.25 + 0.75*Q235/40))</f>
        <v>83</v>
      </c>
      <c r="V235" t="b">
        <f t="shared" si="18"/>
        <v>0</v>
      </c>
    </row>
    <row r="236" spans="1:22" x14ac:dyDescent="0.25">
      <c r="A236" t="s">
        <v>19</v>
      </c>
      <c r="B236" t="s">
        <v>18</v>
      </c>
      <c r="C236">
        <v>7</v>
      </c>
      <c r="D236">
        <v>100</v>
      </c>
      <c r="E236">
        <v>800</v>
      </c>
      <c r="F236" t="str">
        <f t="shared" si="16"/>
        <v>tree256_blurkernel10_7_100_800</v>
      </c>
      <c r="G236">
        <f>IFERROR(VLOOKUP(F236,SROU03!$F:$H,2,FALSE),0)</f>
        <v>27.588056000000002</v>
      </c>
      <c r="H236">
        <f>IFERROR(VLOOKUP(F236,SROU03!$F:$H,3,FALSE),0)</f>
        <v>8.9219980000000003</v>
      </c>
      <c r="I236">
        <v>8.4115000000000004E-5</v>
      </c>
      <c r="J236">
        <v>9.0869999999999996E-6</v>
      </c>
      <c r="K236">
        <v>26.3367</v>
      </c>
      <c r="L236">
        <v>5.9939999999999998</v>
      </c>
      <c r="M236">
        <f>IFERROR(VLOOKUP(F236,TICO09!$F:$O,8,FALSE),0)</f>
        <v>12.81</v>
      </c>
      <c r="N236">
        <f>IFERROR(VLOOKUP(F236,SROU03!$F:$O,9,FALSE),0)</f>
        <v>25.756399999999999</v>
      </c>
      <c r="O236">
        <v>26.4312</v>
      </c>
      <c r="P236" t="str">
        <f t="shared" si="17"/>
        <v>BM3D</v>
      </c>
      <c r="Q236">
        <f t="shared" si="15"/>
        <v>26.4312</v>
      </c>
      <c r="R236">
        <f>VLOOKUP(P236,'Color codes'!$A:$B,2,FALSE)</f>
        <v>1</v>
      </c>
      <c r="S236">
        <f>TRUNC(VLOOKUP(P236,'Color codes'!$A:$E,3,FALSE)*(0.25 + 0.75*Q236/40))</f>
        <v>190</v>
      </c>
      <c r="T236">
        <f>TRUNC(VLOOKUP(P236,'Color codes'!$A:$E,4,FALSE)*(0.25 + 0.75*Q236/40))</f>
        <v>79</v>
      </c>
      <c r="U236">
        <f>TRUNC(VLOOKUP(P236,'Color codes'!$A:$E,5,FALSE)*(0.25 + 0.75*Q236/40))</f>
        <v>77</v>
      </c>
      <c r="V236" t="b">
        <f t="shared" si="18"/>
        <v>0</v>
      </c>
    </row>
    <row r="237" spans="1:22" x14ac:dyDescent="0.25">
      <c r="A237" t="s">
        <v>19</v>
      </c>
      <c r="B237" t="s">
        <v>18</v>
      </c>
      <c r="C237">
        <v>7</v>
      </c>
      <c r="D237">
        <v>100</v>
      </c>
      <c r="E237">
        <v>1600</v>
      </c>
      <c r="F237" t="str">
        <f t="shared" si="16"/>
        <v>tree256_blurkernel10_7_100_1600</v>
      </c>
      <c r="G237">
        <f>IFERROR(VLOOKUP(F237,SROU03!$F:$H,2,FALSE),0)</f>
        <v>22.283957999999998</v>
      </c>
      <c r="H237">
        <f>IFERROR(VLOOKUP(F237,SROU03!$F:$H,3,FALSE),0)</f>
        <v>8.6937320000000007</v>
      </c>
      <c r="I237">
        <v>1.72027E-4</v>
      </c>
      <c r="J237">
        <v>9.0869999999999996E-6</v>
      </c>
      <c r="K237">
        <v>23.239000000000001</v>
      </c>
      <c r="L237">
        <v>5.9939999999999998</v>
      </c>
      <c r="M237">
        <f>IFERROR(VLOOKUP(F237,TICO09!$F:$O,8,FALSE),0)</f>
        <v>12.7089</v>
      </c>
      <c r="N237">
        <f>IFERROR(VLOOKUP(F237,SROU03!$F:$O,9,FALSE),0)</f>
        <v>23.061800000000002</v>
      </c>
      <c r="O237">
        <v>23.4131</v>
      </c>
      <c r="P237" t="str">
        <f t="shared" si="17"/>
        <v>BM3D</v>
      </c>
      <c r="Q237">
        <f t="shared" si="15"/>
        <v>23.4131</v>
      </c>
      <c r="R237">
        <f>VLOOKUP(P237,'Color codes'!$A:$B,2,FALSE)</f>
        <v>1</v>
      </c>
      <c r="S237">
        <f>TRUNC(VLOOKUP(P237,'Color codes'!$A:$E,3,FALSE)*(0.25 + 0.75*Q237/40))</f>
        <v>175</v>
      </c>
      <c r="T237">
        <f>TRUNC(VLOOKUP(P237,'Color codes'!$A:$E,4,FALSE)*(0.25 + 0.75*Q237/40))</f>
        <v>73</v>
      </c>
      <c r="U237">
        <f>TRUNC(VLOOKUP(P237,'Color codes'!$A:$E,5,FALSE)*(0.25 + 0.75*Q237/40))</f>
        <v>71</v>
      </c>
      <c r="V237" t="b">
        <f t="shared" si="18"/>
        <v>0</v>
      </c>
    </row>
    <row r="238" spans="1:22" x14ac:dyDescent="0.25">
      <c r="A238" t="s">
        <v>19</v>
      </c>
      <c r="B238" t="s">
        <v>18</v>
      </c>
      <c r="C238">
        <v>7</v>
      </c>
      <c r="D238">
        <v>100</v>
      </c>
      <c r="E238">
        <v>3200</v>
      </c>
      <c r="F238" t="str">
        <f t="shared" si="16"/>
        <v>tree256_blurkernel10_7_100_3200</v>
      </c>
      <c r="G238">
        <f>IFERROR(VLOOKUP(F238,SROU03!$F:$H,2,FALSE),0)</f>
        <v>19.047267000000002</v>
      </c>
      <c r="H238">
        <f>IFERROR(VLOOKUP(F238,SROU03!$F:$H,3,FALSE),0)</f>
        <v>8.5828030000000002</v>
      </c>
      <c r="I238">
        <v>3.4708100000000001E-4</v>
      </c>
      <c r="J238">
        <v>9.0869999999999996E-6</v>
      </c>
      <c r="K238">
        <v>20.204799999999999</v>
      </c>
      <c r="L238">
        <v>5.9939999999999998</v>
      </c>
      <c r="M238">
        <f>IFERROR(VLOOKUP(F238,TICO09!$F:$O,8,FALSE),0)</f>
        <v>12.523099999999999</v>
      </c>
      <c r="N238">
        <f>IFERROR(VLOOKUP(F238,SROU03!$F:$O,9,FALSE),0)</f>
        <v>20.389399999999998</v>
      </c>
      <c r="O238">
        <v>20.569099999999999</v>
      </c>
      <c r="P238" t="str">
        <f t="shared" si="17"/>
        <v>BM3D</v>
      </c>
      <c r="Q238">
        <f t="shared" si="15"/>
        <v>20.569099999999999</v>
      </c>
      <c r="R238">
        <f>VLOOKUP(P238,'Color codes'!$A:$B,2,FALSE)</f>
        <v>1</v>
      </c>
      <c r="S238">
        <f>TRUNC(VLOOKUP(P238,'Color codes'!$A:$E,3,FALSE)*(0.25 + 0.75*Q238/40))</f>
        <v>162</v>
      </c>
      <c r="T238">
        <f>TRUNC(VLOOKUP(P238,'Color codes'!$A:$E,4,FALSE)*(0.25 + 0.75*Q238/40))</f>
        <v>68</v>
      </c>
      <c r="U238">
        <f>TRUNC(VLOOKUP(P238,'Color codes'!$A:$E,5,FALSE)*(0.25 + 0.75*Q238/40))</f>
        <v>66</v>
      </c>
      <c r="V238" t="b">
        <f t="shared" si="18"/>
        <v>0</v>
      </c>
    </row>
    <row r="239" spans="1:22" x14ac:dyDescent="0.25">
      <c r="A239" t="s">
        <v>19</v>
      </c>
      <c r="B239" t="s">
        <v>18</v>
      </c>
      <c r="C239">
        <v>7</v>
      </c>
      <c r="D239">
        <v>100</v>
      </c>
      <c r="E239">
        <v>6400</v>
      </c>
      <c r="F239" t="str">
        <f t="shared" si="16"/>
        <v>tree256_blurkernel10_7_100_6400</v>
      </c>
      <c r="G239">
        <f>IFERROR(VLOOKUP(F239,SROU03!$F:$H,2,FALSE),0)</f>
        <v>17.062894</v>
      </c>
      <c r="H239">
        <f>IFERROR(VLOOKUP(F239,SROU03!$F:$H,3,FALSE),0)</f>
        <v>8.5359850000000002</v>
      </c>
      <c r="I239">
        <v>7.1827999999999996E-4</v>
      </c>
      <c r="J239">
        <v>9.0869999999999996E-6</v>
      </c>
      <c r="K239">
        <v>17.087</v>
      </c>
      <c r="L239">
        <v>5.9939999999999998</v>
      </c>
      <c r="M239">
        <f>IFERROR(VLOOKUP(F239,TICO09!$F:$O,8,FALSE),0)</f>
        <v>12.168699999999999</v>
      </c>
      <c r="N239">
        <f>IFERROR(VLOOKUP(F239,SROU03!$F:$O,9,FALSE),0)</f>
        <v>17.901700000000002</v>
      </c>
      <c r="O239">
        <v>17.7315</v>
      </c>
      <c r="P239" t="str">
        <f t="shared" si="17"/>
        <v>SROU03</v>
      </c>
      <c r="Q239">
        <f t="shared" si="15"/>
        <v>17.901700000000002</v>
      </c>
      <c r="R239">
        <f>VLOOKUP(P239,'Color codes'!$A:$B,2,FALSE)</f>
        <v>3</v>
      </c>
      <c r="S239">
        <f>TRUNC(VLOOKUP(P239,'Color codes'!$A:$E,3,FALSE)*(0.25 + 0.75*Q239/40))</f>
        <v>62</v>
      </c>
      <c r="T239">
        <f>TRUNC(VLOOKUP(P239,'Color codes'!$A:$E,4,FALSE)*(0.25 + 0.75*Q239/40))</f>
        <v>103</v>
      </c>
      <c r="U239">
        <f>TRUNC(VLOOKUP(P239,'Color codes'!$A:$E,5,FALSE)*(0.25 + 0.75*Q239/40))</f>
        <v>149</v>
      </c>
      <c r="V239" t="b">
        <f t="shared" si="18"/>
        <v>0</v>
      </c>
    </row>
    <row r="240" spans="1:22" x14ac:dyDescent="0.25">
      <c r="A240" t="s">
        <v>19</v>
      </c>
      <c r="B240" t="s">
        <v>18</v>
      </c>
      <c r="C240">
        <v>7</v>
      </c>
      <c r="D240">
        <v>100</v>
      </c>
      <c r="E240">
        <v>12800</v>
      </c>
      <c r="F240" t="str">
        <f t="shared" si="16"/>
        <v>tree256_blurkernel10_7_100_12800</v>
      </c>
      <c r="G240">
        <f>IFERROR(VLOOKUP(F240,SROU03!$F:$H,2,FALSE),0)</f>
        <v>15.752579000000001</v>
      </c>
      <c r="H240">
        <f>IFERROR(VLOOKUP(F240,SROU03!$F:$H,3,FALSE),0)</f>
        <v>8.5242070000000005</v>
      </c>
      <c r="I240">
        <v>1.502153E-3</v>
      </c>
      <c r="J240">
        <v>9.0869999999999996E-6</v>
      </c>
      <c r="K240">
        <v>13.958399999999999</v>
      </c>
      <c r="L240">
        <v>5.9939999999999998</v>
      </c>
      <c r="M240">
        <f>IFERROR(VLOOKUP(F240,TICO09!$F:$O,8,FALSE),0)</f>
        <v>11.6379</v>
      </c>
      <c r="N240">
        <f>IFERROR(VLOOKUP(F240,SROU03!$F:$O,9,FALSE),0)</f>
        <v>15.8308</v>
      </c>
      <c r="O240">
        <v>15.121700000000001</v>
      </c>
      <c r="P240" t="str">
        <f t="shared" si="17"/>
        <v>SROU03</v>
      </c>
      <c r="Q240">
        <f t="shared" si="15"/>
        <v>15.8308</v>
      </c>
      <c r="R240">
        <f>VLOOKUP(P240,'Color codes'!$A:$B,2,FALSE)</f>
        <v>3</v>
      </c>
      <c r="S240">
        <f>TRUNC(VLOOKUP(P240,'Color codes'!$A:$E,3,FALSE)*(0.25 + 0.75*Q240/40))</f>
        <v>58</v>
      </c>
      <c r="T240">
        <f>TRUNC(VLOOKUP(P240,'Color codes'!$A:$E,4,FALSE)*(0.25 + 0.75*Q240/40))</f>
        <v>96</v>
      </c>
      <c r="U240">
        <f>TRUNC(VLOOKUP(P240,'Color codes'!$A:$E,5,FALSE)*(0.25 + 0.75*Q240/40))</f>
        <v>139</v>
      </c>
      <c r="V240" t="b">
        <f t="shared" si="18"/>
        <v>0</v>
      </c>
    </row>
    <row r="241" spans="1:22" x14ac:dyDescent="0.25">
      <c r="A241" t="s">
        <v>19</v>
      </c>
      <c r="B241" t="s">
        <v>18</v>
      </c>
      <c r="C241">
        <v>7</v>
      </c>
      <c r="D241">
        <v>100</v>
      </c>
      <c r="E241">
        <v>25600</v>
      </c>
      <c r="F241" t="str">
        <f t="shared" si="16"/>
        <v>tree256_blurkernel10_7_100_25600</v>
      </c>
      <c r="G241">
        <f>IFERROR(VLOOKUP(F241,SROU03!$F:$H,2,FALSE),0)</f>
        <v>14.729353</v>
      </c>
      <c r="H241">
        <f>IFERROR(VLOOKUP(F241,SROU03!$F:$H,3,FALSE),0)</f>
        <v>8.5349760000000003</v>
      </c>
      <c r="I241">
        <v>3.3506679999999998E-3</v>
      </c>
      <c r="J241">
        <v>9.0869999999999996E-6</v>
      </c>
      <c r="K241">
        <v>10.6645</v>
      </c>
      <c r="L241">
        <v>5.9939999999999998</v>
      </c>
      <c r="M241">
        <f>IFERROR(VLOOKUP(F241,TICO09!$F:$O,8,FALSE),0)</f>
        <v>10.821300000000001</v>
      </c>
      <c r="N241">
        <f>IFERROR(VLOOKUP(F241,SROU03!$F:$O,9,FALSE),0)</f>
        <v>14.646599999999999</v>
      </c>
      <c r="O241">
        <v>12.6218</v>
      </c>
      <c r="P241" t="str">
        <f t="shared" si="17"/>
        <v>SROU03</v>
      </c>
      <c r="Q241">
        <f t="shared" si="15"/>
        <v>14.646599999999999</v>
      </c>
      <c r="R241">
        <f>VLOOKUP(P241,'Color codes'!$A:$B,2,FALSE)</f>
        <v>3</v>
      </c>
      <c r="S241">
        <f>TRUNC(VLOOKUP(P241,'Color codes'!$A:$E,3,FALSE)*(0.25 + 0.75*Q241/40))</f>
        <v>56</v>
      </c>
      <c r="T241">
        <f>TRUNC(VLOOKUP(P241,'Color codes'!$A:$E,4,FALSE)*(0.25 + 0.75*Q241/40))</f>
        <v>92</v>
      </c>
      <c r="U241">
        <f>TRUNC(VLOOKUP(P241,'Color codes'!$A:$E,5,FALSE)*(0.25 + 0.75*Q241/40))</f>
        <v>133</v>
      </c>
      <c r="V241" t="b">
        <f t="shared" si="18"/>
        <v>1</v>
      </c>
    </row>
    <row r="242" spans="1:22" x14ac:dyDescent="0.25">
      <c r="A242" t="s">
        <v>19</v>
      </c>
      <c r="B242" t="s">
        <v>18</v>
      </c>
      <c r="C242">
        <v>15</v>
      </c>
      <c r="D242">
        <v>100</v>
      </c>
      <c r="E242">
        <v>200</v>
      </c>
      <c r="F242" t="str">
        <f t="shared" si="16"/>
        <v>tree256_blurkernel10_15_100_200</v>
      </c>
      <c r="G242">
        <f>IFERROR(VLOOKUP(F242,SROU03!$F:$H,2,FALSE),0)</f>
        <v>48.393241000000003</v>
      </c>
      <c r="H242">
        <f>IFERROR(VLOOKUP(F242,SROU03!$F:$H,3,FALSE),0)</f>
        <v>22.532212000000001</v>
      </c>
      <c r="I242">
        <v>1.9752999999999999E-5</v>
      </c>
      <c r="J242">
        <v>9.0489999999999993E-6</v>
      </c>
      <c r="K242">
        <v>32.626800000000003</v>
      </c>
      <c r="L242">
        <v>3.7448000000000001</v>
      </c>
      <c r="M242">
        <f>IFERROR(VLOOKUP(F242,TICO09!$F:$O,8,FALSE),0)</f>
        <v>13.4399</v>
      </c>
      <c r="N242">
        <f>IFERROR(VLOOKUP(F242,SROU03!$F:$O,9,FALSE),0)</f>
        <v>31.131599999999999</v>
      </c>
      <c r="O242">
        <v>32.643500000000003</v>
      </c>
      <c r="P242" t="str">
        <f t="shared" si="17"/>
        <v>BM3D</v>
      </c>
      <c r="Q242">
        <f t="shared" si="15"/>
        <v>32.643500000000003</v>
      </c>
      <c r="R242">
        <f>VLOOKUP(P242,'Color codes'!$A:$B,2,FALSE)</f>
        <v>1</v>
      </c>
      <c r="S242">
        <f>TRUNC(VLOOKUP(P242,'Color codes'!$A:$E,3,FALSE)*(0.25 + 0.75*Q242/40))</f>
        <v>219</v>
      </c>
      <c r="T242">
        <f>TRUNC(VLOOKUP(P242,'Color codes'!$A:$E,4,FALSE)*(0.25 + 0.75*Q242/40))</f>
        <v>92</v>
      </c>
      <c r="U242">
        <f>TRUNC(VLOOKUP(P242,'Color codes'!$A:$E,5,FALSE)*(0.25 + 0.75*Q242/40))</f>
        <v>89</v>
      </c>
      <c r="V242" t="b">
        <f t="shared" si="18"/>
        <v>1</v>
      </c>
    </row>
    <row r="243" spans="1:22" x14ac:dyDescent="0.25">
      <c r="A243" t="s">
        <v>19</v>
      </c>
      <c r="B243" t="s">
        <v>18</v>
      </c>
      <c r="C243">
        <v>15</v>
      </c>
      <c r="D243">
        <v>100</v>
      </c>
      <c r="E243">
        <v>400</v>
      </c>
      <c r="F243" t="str">
        <f t="shared" si="16"/>
        <v>tree256_blurkernel10_15_100_400</v>
      </c>
      <c r="G243">
        <f>IFERROR(VLOOKUP(F243,SROU03!$F:$H,2,FALSE),0)</f>
        <v>34.387858999999999</v>
      </c>
      <c r="H243">
        <f>IFERROR(VLOOKUP(F243,SROU03!$F:$H,3,FALSE),0)</f>
        <v>20.566632999999999</v>
      </c>
      <c r="I243">
        <v>4.1390000000000002E-5</v>
      </c>
      <c r="J243">
        <v>9.0489999999999993E-6</v>
      </c>
      <c r="K243">
        <v>29.417000000000002</v>
      </c>
      <c r="L243">
        <v>3.7448000000000001</v>
      </c>
      <c r="M243">
        <f>IFERROR(VLOOKUP(F243,TICO09!$F:$O,8,FALSE),0)</f>
        <v>13.4191</v>
      </c>
      <c r="N243">
        <f>IFERROR(VLOOKUP(F243,SROU03!$F:$O,9,FALSE),0)</f>
        <v>28.0777</v>
      </c>
      <c r="O243">
        <v>29.452400000000001</v>
      </c>
      <c r="P243" t="str">
        <f t="shared" si="17"/>
        <v>BM3D</v>
      </c>
      <c r="Q243">
        <f t="shared" si="15"/>
        <v>29.452400000000001</v>
      </c>
      <c r="R243">
        <f>VLOOKUP(P243,'Color codes'!$A:$B,2,FALSE)</f>
        <v>1</v>
      </c>
      <c r="S243">
        <f>TRUNC(VLOOKUP(P243,'Color codes'!$A:$E,3,FALSE)*(0.25 + 0.75*Q243/40))</f>
        <v>204</v>
      </c>
      <c r="T243">
        <f>TRUNC(VLOOKUP(P243,'Color codes'!$A:$E,4,FALSE)*(0.25 + 0.75*Q243/40))</f>
        <v>85</v>
      </c>
      <c r="U243">
        <f>TRUNC(VLOOKUP(P243,'Color codes'!$A:$E,5,FALSE)*(0.25 + 0.75*Q243/40))</f>
        <v>83</v>
      </c>
      <c r="V243" t="b">
        <f t="shared" si="18"/>
        <v>1</v>
      </c>
    </row>
    <row r="244" spans="1:22" x14ac:dyDescent="0.25">
      <c r="A244" t="s">
        <v>19</v>
      </c>
      <c r="B244" t="s">
        <v>18</v>
      </c>
      <c r="C244">
        <v>15</v>
      </c>
      <c r="D244">
        <v>100</v>
      </c>
      <c r="E244">
        <v>800</v>
      </c>
      <c r="F244" t="str">
        <f t="shared" si="16"/>
        <v>tree256_blurkernel10_15_100_800</v>
      </c>
      <c r="G244">
        <f>IFERROR(VLOOKUP(F244,SROU03!$F:$H,2,FALSE),0)</f>
        <v>24.83089</v>
      </c>
      <c r="H244">
        <f>IFERROR(VLOOKUP(F244,SROU03!$F:$H,3,FALSE),0)</f>
        <v>19.447535999999999</v>
      </c>
      <c r="I244">
        <v>8.4241999999999997E-5</v>
      </c>
      <c r="J244">
        <v>9.0489999999999993E-6</v>
      </c>
      <c r="K244">
        <v>26.330200000000001</v>
      </c>
      <c r="L244">
        <v>3.7448000000000001</v>
      </c>
      <c r="M244">
        <f>IFERROR(VLOOKUP(F244,TICO09!$F:$O,8,FALSE),0)</f>
        <v>13.3649</v>
      </c>
      <c r="N244">
        <f>IFERROR(VLOOKUP(F244,SROU03!$F:$O,9,FALSE),0)</f>
        <v>25.031300000000002</v>
      </c>
      <c r="O244">
        <v>26.417000000000002</v>
      </c>
      <c r="P244" t="str">
        <f t="shared" si="17"/>
        <v>BM3D</v>
      </c>
      <c r="Q244">
        <f t="shared" si="15"/>
        <v>26.417000000000002</v>
      </c>
      <c r="R244">
        <f>VLOOKUP(P244,'Color codes'!$A:$B,2,FALSE)</f>
        <v>1</v>
      </c>
      <c r="S244">
        <f>TRUNC(VLOOKUP(P244,'Color codes'!$A:$E,3,FALSE)*(0.25 + 0.75*Q244/40))</f>
        <v>190</v>
      </c>
      <c r="T244">
        <f>TRUNC(VLOOKUP(P244,'Color codes'!$A:$E,4,FALSE)*(0.25 + 0.75*Q244/40))</f>
        <v>79</v>
      </c>
      <c r="U244">
        <f>TRUNC(VLOOKUP(P244,'Color codes'!$A:$E,5,FALSE)*(0.25 + 0.75*Q244/40))</f>
        <v>77</v>
      </c>
      <c r="V244" t="b">
        <f t="shared" si="18"/>
        <v>1</v>
      </c>
    </row>
    <row r="245" spans="1:22" x14ac:dyDescent="0.25">
      <c r="A245" t="s">
        <v>19</v>
      </c>
      <c r="B245" t="s">
        <v>18</v>
      </c>
      <c r="C245">
        <v>15</v>
      </c>
      <c r="D245">
        <v>100</v>
      </c>
      <c r="E245">
        <v>1600</v>
      </c>
      <c r="F245" t="str">
        <f t="shared" si="16"/>
        <v>tree256_blurkernel10_15_100_1600</v>
      </c>
      <c r="G245">
        <f>IFERROR(VLOOKUP(F245,SROU03!$F:$H,2,FALSE),0)</f>
        <v>18.926691999999999</v>
      </c>
      <c r="H245">
        <f>IFERROR(VLOOKUP(F245,SROU03!$F:$H,3,FALSE),0)</f>
        <v>19.010985000000002</v>
      </c>
      <c r="I245">
        <v>1.71173E-4</v>
      </c>
      <c r="J245">
        <v>9.0489999999999993E-6</v>
      </c>
      <c r="K245">
        <v>23.258900000000001</v>
      </c>
      <c r="L245">
        <v>3.7448000000000001</v>
      </c>
      <c r="M245">
        <f>IFERROR(VLOOKUP(F245,TICO09!$F:$O,8,FALSE),0)</f>
        <v>13.216699999999999</v>
      </c>
      <c r="N245">
        <f>IFERROR(VLOOKUP(F245,SROU03!$F:$O,9,FALSE),0)</f>
        <v>22.454999999999998</v>
      </c>
      <c r="O245">
        <v>23.438800000000001</v>
      </c>
      <c r="P245" t="str">
        <f t="shared" si="17"/>
        <v>BM3D</v>
      </c>
      <c r="Q245">
        <f t="shared" si="15"/>
        <v>23.438800000000001</v>
      </c>
      <c r="R245">
        <f>VLOOKUP(P245,'Color codes'!$A:$B,2,FALSE)</f>
        <v>1</v>
      </c>
      <c r="S245">
        <f>TRUNC(VLOOKUP(P245,'Color codes'!$A:$E,3,FALSE)*(0.25 + 0.75*Q245/40))</f>
        <v>175</v>
      </c>
      <c r="T245">
        <f>TRUNC(VLOOKUP(P245,'Color codes'!$A:$E,4,FALSE)*(0.25 + 0.75*Q245/40))</f>
        <v>73</v>
      </c>
      <c r="U245">
        <f>TRUNC(VLOOKUP(P245,'Color codes'!$A:$E,5,FALSE)*(0.25 + 0.75*Q245/40))</f>
        <v>71</v>
      </c>
      <c r="V245" t="b">
        <f t="shared" si="18"/>
        <v>0</v>
      </c>
    </row>
    <row r="246" spans="1:22" x14ac:dyDescent="0.25">
      <c r="A246" t="s">
        <v>19</v>
      </c>
      <c r="B246" t="s">
        <v>18</v>
      </c>
      <c r="C246">
        <v>15</v>
      </c>
      <c r="D246">
        <v>100</v>
      </c>
      <c r="E246">
        <v>3200</v>
      </c>
      <c r="F246" t="str">
        <f t="shared" si="16"/>
        <v>tree256_blurkernel10_15_100_3200</v>
      </c>
      <c r="G246">
        <f>IFERROR(VLOOKUP(F246,SROU03!$F:$H,2,FALSE),0)</f>
        <v>14.894515</v>
      </c>
      <c r="H246">
        <f>IFERROR(VLOOKUP(F246,SROU03!$F:$H,3,FALSE),0)</f>
        <v>18.688313999999998</v>
      </c>
      <c r="I246">
        <v>3.5167E-4</v>
      </c>
      <c r="J246">
        <v>9.0489999999999993E-6</v>
      </c>
      <c r="K246">
        <v>20.154199999999999</v>
      </c>
      <c r="L246">
        <v>3.7448000000000001</v>
      </c>
      <c r="M246">
        <f>IFERROR(VLOOKUP(F246,TICO09!$F:$O,8,FALSE),0)</f>
        <v>13.0062</v>
      </c>
      <c r="N246">
        <f>IFERROR(VLOOKUP(F246,SROU03!$F:$O,9,FALSE),0)</f>
        <v>20.046900000000001</v>
      </c>
      <c r="O246">
        <v>20.5213</v>
      </c>
      <c r="P246" t="str">
        <f t="shared" si="17"/>
        <v>BM3D</v>
      </c>
      <c r="Q246">
        <f t="shared" si="15"/>
        <v>20.5213</v>
      </c>
      <c r="R246">
        <f>VLOOKUP(P246,'Color codes'!$A:$B,2,FALSE)</f>
        <v>1</v>
      </c>
      <c r="S246">
        <f>TRUNC(VLOOKUP(P246,'Color codes'!$A:$E,3,FALSE)*(0.25 + 0.75*Q246/40))</f>
        <v>161</v>
      </c>
      <c r="T246">
        <f>TRUNC(VLOOKUP(P246,'Color codes'!$A:$E,4,FALSE)*(0.25 + 0.75*Q246/40))</f>
        <v>67</v>
      </c>
      <c r="U246">
        <f>TRUNC(VLOOKUP(P246,'Color codes'!$A:$E,5,FALSE)*(0.25 + 0.75*Q246/40))</f>
        <v>66</v>
      </c>
      <c r="V246" t="b">
        <f t="shared" si="18"/>
        <v>0</v>
      </c>
    </row>
    <row r="247" spans="1:22" x14ac:dyDescent="0.25">
      <c r="A247" t="s">
        <v>19</v>
      </c>
      <c r="B247" t="s">
        <v>18</v>
      </c>
      <c r="C247">
        <v>15</v>
      </c>
      <c r="D247">
        <v>100</v>
      </c>
      <c r="E247">
        <v>6400</v>
      </c>
      <c r="F247" t="str">
        <f t="shared" si="16"/>
        <v>tree256_blurkernel10_15_100_6400</v>
      </c>
      <c r="G247">
        <f>IFERROR(VLOOKUP(F247,SROU03!$F:$H,2,FALSE),0)</f>
        <v>12.334929000000001</v>
      </c>
      <c r="H247">
        <f>IFERROR(VLOOKUP(F247,SROU03!$F:$H,3,FALSE),0)</f>
        <v>18.636172999999999</v>
      </c>
      <c r="I247">
        <v>7.1888200000000001E-4</v>
      </c>
      <c r="J247">
        <v>9.0489999999999993E-6</v>
      </c>
      <c r="K247">
        <v>17.081900000000001</v>
      </c>
      <c r="L247">
        <v>3.7448000000000001</v>
      </c>
      <c r="M247">
        <f>IFERROR(VLOOKUP(F247,TICO09!$F:$O,8,FALSE),0)</f>
        <v>12.6744</v>
      </c>
      <c r="N247">
        <f>IFERROR(VLOOKUP(F247,SROU03!$F:$O,9,FALSE),0)</f>
        <v>17.463000000000001</v>
      </c>
      <c r="O247">
        <v>17.723199999999999</v>
      </c>
      <c r="P247" t="str">
        <f t="shared" si="17"/>
        <v>BM3D</v>
      </c>
      <c r="Q247">
        <f t="shared" si="15"/>
        <v>17.723199999999999</v>
      </c>
      <c r="R247">
        <f>VLOOKUP(P247,'Color codes'!$A:$B,2,FALSE)</f>
        <v>1</v>
      </c>
      <c r="S247">
        <f>TRUNC(VLOOKUP(P247,'Color codes'!$A:$E,3,FALSE)*(0.25 + 0.75*Q247/40))</f>
        <v>148</v>
      </c>
      <c r="T247">
        <f>TRUNC(VLOOKUP(P247,'Color codes'!$A:$E,4,FALSE)*(0.25 + 0.75*Q247/40))</f>
        <v>62</v>
      </c>
      <c r="U247">
        <f>TRUNC(VLOOKUP(P247,'Color codes'!$A:$E,5,FALSE)*(0.25 + 0.75*Q247/40))</f>
        <v>60</v>
      </c>
      <c r="V247" t="b">
        <f t="shared" si="18"/>
        <v>0</v>
      </c>
    </row>
    <row r="248" spans="1:22" x14ac:dyDescent="0.25">
      <c r="A248" t="s">
        <v>19</v>
      </c>
      <c r="B248" t="s">
        <v>18</v>
      </c>
      <c r="C248">
        <v>15</v>
      </c>
      <c r="D248">
        <v>100</v>
      </c>
      <c r="E248">
        <v>12800</v>
      </c>
      <c r="F248" t="str">
        <f t="shared" si="16"/>
        <v>tree256_blurkernel10_15_100_12800</v>
      </c>
      <c r="G248">
        <f>IFERROR(VLOOKUP(F248,SROU03!$F:$H,2,FALSE),0)</f>
        <v>10.672554</v>
      </c>
      <c r="H248">
        <f>IFERROR(VLOOKUP(F248,SROU03!$F:$H,3,FALSE),0)</f>
        <v>18.527370999999999</v>
      </c>
      <c r="I248">
        <v>1.5146479999999999E-3</v>
      </c>
      <c r="J248">
        <v>9.0489999999999993E-6</v>
      </c>
      <c r="K248">
        <v>13.9374</v>
      </c>
      <c r="L248">
        <v>3.7448000000000001</v>
      </c>
      <c r="M248">
        <f>IFERROR(VLOOKUP(F248,TICO09!$F:$O,8,FALSE),0)</f>
        <v>12.001200000000001</v>
      </c>
      <c r="N248">
        <f>IFERROR(VLOOKUP(F248,SROU03!$F:$O,9,FALSE),0)</f>
        <v>15.3948</v>
      </c>
      <c r="O248">
        <v>15.1007</v>
      </c>
      <c r="P248" t="str">
        <f t="shared" si="17"/>
        <v>SROU03</v>
      </c>
      <c r="Q248">
        <f t="shared" si="15"/>
        <v>15.3948</v>
      </c>
      <c r="R248">
        <f>VLOOKUP(P248,'Color codes'!$A:$B,2,FALSE)</f>
        <v>3</v>
      </c>
      <c r="S248">
        <f>TRUNC(VLOOKUP(P248,'Color codes'!$A:$E,3,FALSE)*(0.25 + 0.75*Q248/40))</f>
        <v>57</v>
      </c>
      <c r="T248">
        <f>TRUNC(VLOOKUP(P248,'Color codes'!$A:$E,4,FALSE)*(0.25 + 0.75*Q248/40))</f>
        <v>94</v>
      </c>
      <c r="U248">
        <f>TRUNC(VLOOKUP(P248,'Color codes'!$A:$E,5,FALSE)*(0.25 + 0.75*Q248/40))</f>
        <v>137</v>
      </c>
      <c r="V248" t="b">
        <f t="shared" si="18"/>
        <v>0</v>
      </c>
    </row>
    <row r="249" spans="1:22" x14ac:dyDescent="0.25">
      <c r="A249" t="s">
        <v>19</v>
      </c>
      <c r="B249" t="s">
        <v>18</v>
      </c>
      <c r="C249">
        <v>15</v>
      </c>
      <c r="D249">
        <v>100</v>
      </c>
      <c r="E249">
        <v>25600</v>
      </c>
      <c r="F249" t="str">
        <f t="shared" si="16"/>
        <v>tree256_blurkernel10_15_100_25600</v>
      </c>
      <c r="G249">
        <f>IFERROR(VLOOKUP(F249,SROU03!$F:$H,2,FALSE),0)</f>
        <v>9.5530600000000003</v>
      </c>
      <c r="H249">
        <f>IFERROR(VLOOKUP(F249,SROU03!$F:$H,3,FALSE),0)</f>
        <v>18.585435</v>
      </c>
      <c r="I249">
        <v>3.3518850000000002E-3</v>
      </c>
      <c r="J249">
        <v>9.0489999999999993E-6</v>
      </c>
      <c r="K249">
        <v>10.681100000000001</v>
      </c>
      <c r="L249">
        <v>3.7448000000000001</v>
      </c>
      <c r="M249">
        <f>IFERROR(VLOOKUP(F249,TICO09!$F:$O,8,FALSE),0)</f>
        <v>11.040800000000001</v>
      </c>
      <c r="N249">
        <f>IFERROR(VLOOKUP(F249,SROU03!$F:$O,9,FALSE),0)</f>
        <v>13.7378</v>
      </c>
      <c r="O249">
        <v>12.594099999999999</v>
      </c>
      <c r="P249" t="str">
        <f t="shared" si="17"/>
        <v>SROU03</v>
      </c>
      <c r="Q249">
        <f t="shared" si="15"/>
        <v>13.7378</v>
      </c>
      <c r="R249">
        <f>VLOOKUP(P249,'Color codes'!$A:$B,2,FALSE)</f>
        <v>3</v>
      </c>
      <c r="S249">
        <f>TRUNC(VLOOKUP(P249,'Color codes'!$A:$E,3,FALSE)*(0.25 + 0.75*Q249/40))</f>
        <v>54</v>
      </c>
      <c r="T249">
        <f>TRUNC(VLOOKUP(P249,'Color codes'!$A:$E,4,FALSE)*(0.25 + 0.75*Q249/40))</f>
        <v>89</v>
      </c>
      <c r="U249">
        <f>TRUNC(VLOOKUP(P249,'Color codes'!$A:$E,5,FALSE)*(0.25 + 0.75*Q249/40))</f>
        <v>129</v>
      </c>
      <c r="V249" t="b">
        <f t="shared" si="18"/>
        <v>1</v>
      </c>
    </row>
    <row r="250" spans="1:22" x14ac:dyDescent="0.25">
      <c r="A250" t="s">
        <v>19</v>
      </c>
      <c r="B250" t="s">
        <v>18</v>
      </c>
      <c r="C250">
        <v>31</v>
      </c>
      <c r="D250">
        <v>100</v>
      </c>
      <c r="E250">
        <v>200</v>
      </c>
      <c r="F250" t="str">
        <f t="shared" si="16"/>
        <v>tree256_blurkernel10_31_100_200</v>
      </c>
      <c r="G250">
        <f>IFERROR(VLOOKUP(F250,SROU03!$F:$H,2,FALSE),0)</f>
        <v>47.482199999999999</v>
      </c>
      <c r="H250">
        <f>IFERROR(VLOOKUP(F250,SROU03!$F:$H,3,FALSE),0)</f>
        <v>46.987302999999997</v>
      </c>
      <c r="I250">
        <v>1.9814E-5</v>
      </c>
      <c r="J250">
        <v>8.9970000000000004E-6</v>
      </c>
      <c r="K250">
        <v>32.612099999999998</v>
      </c>
      <c r="L250">
        <v>2.5832999999999999</v>
      </c>
      <c r="M250">
        <f>IFERROR(VLOOKUP(F250,TICO09!$F:$O,8,FALSE),0)</f>
        <v>13.5326</v>
      </c>
      <c r="N250">
        <f>IFERROR(VLOOKUP(F250,SROU03!$F:$O,9,FALSE),0)</f>
        <v>28.9361</v>
      </c>
      <c r="O250">
        <v>32.629899999999999</v>
      </c>
      <c r="P250" t="str">
        <f t="shared" si="17"/>
        <v>BM3D</v>
      </c>
      <c r="Q250">
        <f t="shared" si="15"/>
        <v>32.629899999999999</v>
      </c>
      <c r="R250">
        <f>VLOOKUP(P250,'Color codes'!$A:$B,2,FALSE)</f>
        <v>1</v>
      </c>
      <c r="S250">
        <f>TRUNC(VLOOKUP(P250,'Color codes'!$A:$E,3,FALSE)*(0.25 + 0.75*Q250/40))</f>
        <v>219</v>
      </c>
      <c r="T250">
        <f>TRUNC(VLOOKUP(P250,'Color codes'!$A:$E,4,FALSE)*(0.25 + 0.75*Q250/40))</f>
        <v>92</v>
      </c>
      <c r="U250">
        <f>TRUNC(VLOOKUP(P250,'Color codes'!$A:$E,5,FALSE)*(0.25 + 0.75*Q250/40))</f>
        <v>89</v>
      </c>
      <c r="V250" t="b">
        <f t="shared" si="18"/>
        <v>1</v>
      </c>
    </row>
    <row r="251" spans="1:22" x14ac:dyDescent="0.25">
      <c r="A251" t="s">
        <v>19</v>
      </c>
      <c r="B251" t="s">
        <v>18</v>
      </c>
      <c r="C251">
        <v>31</v>
      </c>
      <c r="D251">
        <v>100</v>
      </c>
      <c r="E251">
        <v>400</v>
      </c>
      <c r="F251" t="str">
        <f t="shared" si="16"/>
        <v>tree256_blurkernel10_31_100_400</v>
      </c>
      <c r="G251">
        <f>IFERROR(VLOOKUP(F251,SROU03!$F:$H,2,FALSE),0)</f>
        <v>33.468058999999997</v>
      </c>
      <c r="H251">
        <f>IFERROR(VLOOKUP(F251,SROU03!$F:$H,3,FALSE),0)</f>
        <v>42.471096000000003</v>
      </c>
      <c r="I251">
        <v>4.1063000000000003E-5</v>
      </c>
      <c r="J251">
        <v>8.9970000000000004E-6</v>
      </c>
      <c r="K251">
        <v>29.450199999999999</v>
      </c>
      <c r="L251">
        <v>2.5832999999999999</v>
      </c>
      <c r="M251">
        <f>IFERROR(VLOOKUP(F251,TICO09!$F:$O,8,FALSE),0)</f>
        <v>13.497199999999999</v>
      </c>
      <c r="N251">
        <f>IFERROR(VLOOKUP(F251,SROU03!$F:$O,9,FALSE),0)</f>
        <v>27.5307</v>
      </c>
      <c r="O251">
        <v>29.4863</v>
      </c>
      <c r="P251" t="str">
        <f t="shared" si="17"/>
        <v>BM3D</v>
      </c>
      <c r="Q251">
        <f t="shared" si="15"/>
        <v>29.4863</v>
      </c>
      <c r="R251">
        <f>VLOOKUP(P251,'Color codes'!$A:$B,2,FALSE)</f>
        <v>1</v>
      </c>
      <c r="S251">
        <f>TRUNC(VLOOKUP(P251,'Color codes'!$A:$E,3,FALSE)*(0.25 + 0.75*Q251/40))</f>
        <v>204</v>
      </c>
      <c r="T251">
        <f>TRUNC(VLOOKUP(P251,'Color codes'!$A:$E,4,FALSE)*(0.25 + 0.75*Q251/40))</f>
        <v>85</v>
      </c>
      <c r="U251">
        <f>TRUNC(VLOOKUP(P251,'Color codes'!$A:$E,5,FALSE)*(0.25 + 0.75*Q251/40))</f>
        <v>83</v>
      </c>
      <c r="V251" t="b">
        <f t="shared" si="18"/>
        <v>1</v>
      </c>
    </row>
    <row r="252" spans="1:22" x14ac:dyDescent="0.25">
      <c r="A252" t="s">
        <v>19</v>
      </c>
      <c r="B252" t="s">
        <v>18</v>
      </c>
      <c r="C252">
        <v>31</v>
      </c>
      <c r="D252">
        <v>100</v>
      </c>
      <c r="E252">
        <v>800</v>
      </c>
      <c r="F252" t="str">
        <f t="shared" si="16"/>
        <v>tree256_blurkernel10_31_100_800</v>
      </c>
      <c r="G252">
        <f>IFERROR(VLOOKUP(F252,SROU03!$F:$H,2,FALSE),0)</f>
        <v>23.952555</v>
      </c>
      <c r="H252">
        <f>IFERROR(VLOOKUP(F252,SROU03!$F:$H,3,FALSE),0)</f>
        <v>40.269686</v>
      </c>
      <c r="I252">
        <v>8.4810999999999998E-5</v>
      </c>
      <c r="J252">
        <v>8.9970000000000004E-6</v>
      </c>
      <c r="K252">
        <v>26.3035</v>
      </c>
      <c r="L252">
        <v>2.5832999999999999</v>
      </c>
      <c r="M252">
        <f>IFERROR(VLOOKUP(F252,TICO09!$F:$O,8,FALSE),0)</f>
        <v>13.443099999999999</v>
      </c>
      <c r="N252">
        <f>IFERROR(VLOOKUP(F252,SROU03!$F:$O,9,FALSE),0)</f>
        <v>24.561499999999999</v>
      </c>
      <c r="O252">
        <v>26.384499999999999</v>
      </c>
      <c r="P252" t="str">
        <f t="shared" si="17"/>
        <v>BM3D</v>
      </c>
      <c r="Q252">
        <f t="shared" si="15"/>
        <v>26.384499999999999</v>
      </c>
      <c r="R252">
        <f>VLOOKUP(P252,'Color codes'!$A:$B,2,FALSE)</f>
        <v>1</v>
      </c>
      <c r="S252">
        <f>TRUNC(VLOOKUP(P252,'Color codes'!$A:$E,3,FALSE)*(0.25 + 0.75*Q252/40))</f>
        <v>189</v>
      </c>
      <c r="T252">
        <f>TRUNC(VLOOKUP(P252,'Color codes'!$A:$E,4,FALSE)*(0.25 + 0.75*Q252/40))</f>
        <v>79</v>
      </c>
      <c r="U252">
        <f>TRUNC(VLOOKUP(P252,'Color codes'!$A:$E,5,FALSE)*(0.25 + 0.75*Q252/40))</f>
        <v>77</v>
      </c>
      <c r="V252" t="b">
        <f t="shared" si="18"/>
        <v>1</v>
      </c>
    </row>
    <row r="253" spans="1:22" x14ac:dyDescent="0.25">
      <c r="A253" t="s">
        <v>19</v>
      </c>
      <c r="B253" t="s">
        <v>18</v>
      </c>
      <c r="C253">
        <v>31</v>
      </c>
      <c r="D253">
        <v>100</v>
      </c>
      <c r="E253">
        <v>1600</v>
      </c>
      <c r="F253" t="str">
        <f t="shared" si="16"/>
        <v>tree256_blurkernel10_31_100_1600</v>
      </c>
      <c r="G253">
        <f>IFERROR(VLOOKUP(F253,SROU03!$F:$H,2,FALSE),0)</f>
        <v>17.512598000000001</v>
      </c>
      <c r="H253">
        <f>IFERROR(VLOOKUP(F253,SROU03!$F:$H,3,FALSE),0)</f>
        <v>39.245224</v>
      </c>
      <c r="I253">
        <v>1.70872E-4</v>
      </c>
      <c r="J253">
        <v>8.9970000000000004E-6</v>
      </c>
      <c r="K253">
        <v>23.266500000000001</v>
      </c>
      <c r="L253">
        <v>2.5832999999999999</v>
      </c>
      <c r="M253">
        <f>IFERROR(VLOOKUP(F253,TICO09!$F:$O,8,FALSE),0)</f>
        <v>13.3004</v>
      </c>
      <c r="N253">
        <f>IFERROR(VLOOKUP(F253,SROU03!$F:$O,9,FALSE),0)</f>
        <v>21.713000000000001</v>
      </c>
      <c r="O253">
        <v>23.4481</v>
      </c>
      <c r="P253" t="str">
        <f t="shared" si="17"/>
        <v>BM3D</v>
      </c>
      <c r="Q253">
        <f t="shared" si="15"/>
        <v>23.4481</v>
      </c>
      <c r="R253">
        <f>VLOOKUP(P253,'Color codes'!$A:$B,2,FALSE)</f>
        <v>1</v>
      </c>
      <c r="S253">
        <f>TRUNC(VLOOKUP(P253,'Color codes'!$A:$E,3,FALSE)*(0.25 + 0.75*Q253/40))</f>
        <v>175</v>
      </c>
      <c r="T253">
        <f>TRUNC(VLOOKUP(P253,'Color codes'!$A:$E,4,FALSE)*(0.25 + 0.75*Q253/40))</f>
        <v>73</v>
      </c>
      <c r="U253">
        <f>TRUNC(VLOOKUP(P253,'Color codes'!$A:$E,5,FALSE)*(0.25 + 0.75*Q253/40))</f>
        <v>71</v>
      </c>
      <c r="V253" t="b">
        <f t="shared" si="18"/>
        <v>1</v>
      </c>
    </row>
    <row r="254" spans="1:22" x14ac:dyDescent="0.25">
      <c r="A254" t="s">
        <v>19</v>
      </c>
      <c r="B254" t="s">
        <v>18</v>
      </c>
      <c r="C254">
        <v>31</v>
      </c>
      <c r="D254">
        <v>100</v>
      </c>
      <c r="E254">
        <v>3200</v>
      </c>
      <c r="F254" t="str">
        <f t="shared" si="16"/>
        <v>tree256_blurkernel10_31_100_3200</v>
      </c>
      <c r="G254">
        <f>IFERROR(VLOOKUP(F254,SROU03!$F:$H,2,FALSE),0)</f>
        <v>13.117274999999999</v>
      </c>
      <c r="H254">
        <f>IFERROR(VLOOKUP(F254,SROU03!$F:$H,3,FALSE),0)</f>
        <v>38.627555999999998</v>
      </c>
      <c r="I254">
        <v>3.4166399999999999E-4</v>
      </c>
      <c r="J254">
        <v>8.9970000000000004E-6</v>
      </c>
      <c r="K254">
        <v>20.274699999999999</v>
      </c>
      <c r="L254">
        <v>2.5832999999999999</v>
      </c>
      <c r="M254">
        <f>IFERROR(VLOOKUP(F254,TICO09!$F:$O,8,FALSE),0)</f>
        <v>13.0983</v>
      </c>
      <c r="N254">
        <f>IFERROR(VLOOKUP(F254,SROU03!$F:$O,9,FALSE),0)</f>
        <v>19.051200000000001</v>
      </c>
      <c r="O254">
        <v>20.633800000000001</v>
      </c>
      <c r="P254" t="str">
        <f t="shared" si="17"/>
        <v>BM3D</v>
      </c>
      <c r="Q254">
        <f t="shared" si="15"/>
        <v>20.633800000000001</v>
      </c>
      <c r="R254">
        <f>VLOOKUP(P254,'Color codes'!$A:$B,2,FALSE)</f>
        <v>1</v>
      </c>
      <c r="S254">
        <f>TRUNC(VLOOKUP(P254,'Color codes'!$A:$E,3,FALSE)*(0.25 + 0.75*Q254/40))</f>
        <v>162</v>
      </c>
      <c r="T254">
        <f>TRUNC(VLOOKUP(P254,'Color codes'!$A:$E,4,FALSE)*(0.25 + 0.75*Q254/40))</f>
        <v>68</v>
      </c>
      <c r="U254">
        <f>TRUNC(VLOOKUP(P254,'Color codes'!$A:$E,5,FALSE)*(0.25 + 0.75*Q254/40))</f>
        <v>66</v>
      </c>
      <c r="V254" t="b">
        <f t="shared" si="18"/>
        <v>1</v>
      </c>
    </row>
    <row r="255" spans="1:22" x14ac:dyDescent="0.25">
      <c r="A255" t="s">
        <v>19</v>
      </c>
      <c r="B255" t="s">
        <v>18</v>
      </c>
      <c r="C255">
        <v>31</v>
      </c>
      <c r="D255">
        <v>100</v>
      </c>
      <c r="E255">
        <v>6400</v>
      </c>
      <c r="F255" t="str">
        <f t="shared" si="16"/>
        <v>tree256_blurkernel10_31_100_6400</v>
      </c>
      <c r="G255">
        <f>IFERROR(VLOOKUP(F255,SROU03!$F:$H,2,FALSE),0)</f>
        <v>10.250254</v>
      </c>
      <c r="H255">
        <f>IFERROR(VLOOKUP(F255,SROU03!$F:$H,3,FALSE),0)</f>
        <v>38.423437999999997</v>
      </c>
      <c r="I255">
        <v>7.2164899999999999E-4</v>
      </c>
      <c r="J255">
        <v>8.9970000000000004E-6</v>
      </c>
      <c r="K255">
        <v>17.065200000000001</v>
      </c>
      <c r="L255">
        <v>2.5832999999999999</v>
      </c>
      <c r="M255">
        <f>IFERROR(VLOOKUP(F255,TICO09!$F:$O,8,FALSE),0)</f>
        <v>12.7104</v>
      </c>
      <c r="N255">
        <f>IFERROR(VLOOKUP(F255,SROU03!$F:$O,9,FALSE),0)</f>
        <v>16.570499999999999</v>
      </c>
      <c r="O255">
        <v>17.719200000000001</v>
      </c>
      <c r="P255" t="str">
        <f t="shared" si="17"/>
        <v>BM3D</v>
      </c>
      <c r="Q255">
        <f t="shared" si="15"/>
        <v>17.719200000000001</v>
      </c>
      <c r="R255">
        <f>VLOOKUP(P255,'Color codes'!$A:$B,2,FALSE)</f>
        <v>1</v>
      </c>
      <c r="S255">
        <f>TRUNC(VLOOKUP(P255,'Color codes'!$A:$E,3,FALSE)*(0.25 + 0.75*Q255/40))</f>
        <v>148</v>
      </c>
      <c r="T255">
        <f>TRUNC(VLOOKUP(P255,'Color codes'!$A:$E,4,FALSE)*(0.25 + 0.75*Q255/40))</f>
        <v>62</v>
      </c>
      <c r="U255">
        <f>TRUNC(VLOOKUP(P255,'Color codes'!$A:$E,5,FALSE)*(0.25 + 0.75*Q255/40))</f>
        <v>60</v>
      </c>
      <c r="V255" t="b">
        <f t="shared" si="18"/>
        <v>1</v>
      </c>
    </row>
    <row r="256" spans="1:22" x14ac:dyDescent="0.25">
      <c r="A256" t="s">
        <v>19</v>
      </c>
      <c r="B256" t="s">
        <v>18</v>
      </c>
      <c r="C256">
        <v>31</v>
      </c>
      <c r="D256">
        <v>100</v>
      </c>
      <c r="E256">
        <v>12800</v>
      </c>
      <c r="F256" t="str">
        <f t="shared" si="16"/>
        <v>tree256_blurkernel10_31_100_12800</v>
      </c>
      <c r="G256">
        <f>IFERROR(VLOOKUP(F256,SROU03!$F:$H,2,FALSE),0)</f>
        <v>8.3539469999999998</v>
      </c>
      <c r="H256">
        <f>IFERROR(VLOOKUP(F256,SROU03!$F:$H,3,FALSE),0)</f>
        <v>38.241383999999996</v>
      </c>
      <c r="I256">
        <v>1.52911E-3</v>
      </c>
      <c r="J256">
        <v>8.9970000000000004E-6</v>
      </c>
      <c r="K256">
        <v>13.881600000000001</v>
      </c>
      <c r="L256">
        <v>2.5832999999999999</v>
      </c>
      <c r="M256">
        <f>IFERROR(VLOOKUP(F256,TICO09!$F:$O,8,FALSE),0)</f>
        <v>12.0131</v>
      </c>
      <c r="N256">
        <f>IFERROR(VLOOKUP(F256,SROU03!$F:$O,9,FALSE),0)</f>
        <v>14.502800000000001</v>
      </c>
      <c r="O256">
        <v>15.0616</v>
      </c>
      <c r="P256" t="str">
        <f t="shared" si="17"/>
        <v>BM3D</v>
      </c>
      <c r="Q256">
        <f t="shared" si="15"/>
        <v>15.0616</v>
      </c>
      <c r="R256">
        <f>VLOOKUP(P256,'Color codes'!$A:$B,2,FALSE)</f>
        <v>1</v>
      </c>
      <c r="S256">
        <f>TRUNC(VLOOKUP(P256,'Color codes'!$A:$E,3,FALSE)*(0.25 + 0.75*Q256/40))</f>
        <v>135</v>
      </c>
      <c r="T256">
        <f>TRUNC(VLOOKUP(P256,'Color codes'!$A:$E,4,FALSE)*(0.25 + 0.75*Q256/40))</f>
        <v>56</v>
      </c>
      <c r="U256">
        <f>TRUNC(VLOOKUP(P256,'Color codes'!$A:$E,5,FALSE)*(0.25 + 0.75*Q256/40))</f>
        <v>55</v>
      </c>
      <c r="V256" t="b">
        <f t="shared" si="18"/>
        <v>0</v>
      </c>
    </row>
    <row r="257" spans="1:22" x14ac:dyDescent="0.25">
      <c r="A257" t="s">
        <v>19</v>
      </c>
      <c r="B257" t="s">
        <v>18</v>
      </c>
      <c r="C257">
        <v>31</v>
      </c>
      <c r="D257">
        <v>100</v>
      </c>
      <c r="E257">
        <v>25600</v>
      </c>
      <c r="F257" t="str">
        <f t="shared" si="16"/>
        <v>tree256_blurkernel10_31_100_25600</v>
      </c>
      <c r="G257">
        <f>IFERROR(VLOOKUP(F257,SROU03!$F:$H,2,FALSE),0)</f>
        <v>7.1056439999999998</v>
      </c>
      <c r="H257">
        <f>IFERROR(VLOOKUP(F257,SROU03!$F:$H,3,FALSE),0)</f>
        <v>38.265574000000001</v>
      </c>
      <c r="I257">
        <v>3.3321869999999999E-3</v>
      </c>
      <c r="J257">
        <v>8.9970000000000004E-6</v>
      </c>
      <c r="K257">
        <v>10.6844</v>
      </c>
      <c r="L257">
        <v>2.5832999999999999</v>
      </c>
      <c r="M257">
        <f>IFERROR(VLOOKUP(F257,TICO09!$F:$O,8,FALSE),0)</f>
        <v>10.959</v>
      </c>
      <c r="N257">
        <f>IFERROR(VLOOKUP(F257,SROU03!$F:$O,9,FALSE),0)</f>
        <v>13.0349</v>
      </c>
      <c r="O257">
        <v>12.6122</v>
      </c>
      <c r="P257" t="str">
        <f t="shared" si="17"/>
        <v>SROU03</v>
      </c>
      <c r="Q257">
        <f t="shared" si="15"/>
        <v>13.0349</v>
      </c>
      <c r="R257">
        <f>VLOOKUP(P257,'Color codes'!$A:$B,2,FALSE)</f>
        <v>3</v>
      </c>
      <c r="S257">
        <f>TRUNC(VLOOKUP(P257,'Color codes'!$A:$E,3,FALSE)*(0.25 + 0.75*Q257/40))</f>
        <v>52</v>
      </c>
      <c r="T257">
        <f>TRUNC(VLOOKUP(P257,'Color codes'!$A:$E,4,FALSE)*(0.25 + 0.75*Q257/40))</f>
        <v>87</v>
      </c>
      <c r="U257">
        <f>TRUNC(VLOOKUP(P257,'Color codes'!$A:$E,5,FALSE)*(0.25 + 0.75*Q257/40))</f>
        <v>126</v>
      </c>
      <c r="V257" t="b">
        <f t="shared" si="18"/>
        <v>0</v>
      </c>
    </row>
    <row r="258" spans="1:22" x14ac:dyDescent="0.25">
      <c r="A258" t="s">
        <v>20</v>
      </c>
      <c r="B258" t="s">
        <v>15</v>
      </c>
      <c r="C258">
        <v>3</v>
      </c>
      <c r="D258">
        <v>100</v>
      </c>
      <c r="E258">
        <v>200</v>
      </c>
      <c r="F258" t="str">
        <f t="shared" si="16"/>
        <v>text256_blurkernel7_3_100_200</v>
      </c>
      <c r="G258">
        <f>IFERROR(VLOOKUP(F258,SROU03!$F:$H,2,FALSE),0)</f>
        <v>31.035682999999999</v>
      </c>
      <c r="H258">
        <f>IFERROR(VLOOKUP(F258,SROU03!$F:$H,3,FALSE),0)</f>
        <v>7.4570119999999998</v>
      </c>
      <c r="I258">
        <v>1.6667000000000002E-5</v>
      </c>
      <c r="J258">
        <v>9.7100000000000002E-6</v>
      </c>
      <c r="K258">
        <v>35.686500000000002</v>
      </c>
      <c r="L258">
        <v>9.2123000000000008</v>
      </c>
      <c r="M258">
        <f>IFERROR(VLOOKUP(F258,TICO09!$F:$O,8,FALSE),0)</f>
        <v>17.3322</v>
      </c>
      <c r="N258">
        <f>IFERROR(VLOOKUP(F258,SROU03!$F:$O,9,FALSE),0)</f>
        <v>37.025399999999998</v>
      </c>
      <c r="O258">
        <v>39.868099999999998</v>
      </c>
      <c r="P258" t="str">
        <f t="shared" si="17"/>
        <v>BM3D</v>
      </c>
      <c r="Q258">
        <f t="shared" si="15"/>
        <v>39.868099999999998</v>
      </c>
      <c r="R258">
        <f>VLOOKUP(P258,'Color codes'!$A:$B,2,FALSE)</f>
        <v>1</v>
      </c>
      <c r="S258">
        <f>TRUNC(VLOOKUP(P258,'Color codes'!$A:$E,3,FALSE)*(0.25 + 0.75*Q258/40))</f>
        <v>254</v>
      </c>
      <c r="T258">
        <f>TRUNC(VLOOKUP(P258,'Color codes'!$A:$E,4,FALSE)*(0.25 + 0.75*Q258/40))</f>
        <v>106</v>
      </c>
      <c r="U258">
        <f>TRUNC(VLOOKUP(P258,'Color codes'!$A:$E,5,FALSE)*(0.25 + 0.75*Q258/40))</f>
        <v>103</v>
      </c>
      <c r="V258" t="b">
        <f t="shared" si="18"/>
        <v>1</v>
      </c>
    </row>
    <row r="259" spans="1:22" x14ac:dyDescent="0.25">
      <c r="A259" t="s">
        <v>20</v>
      </c>
      <c r="B259" t="s">
        <v>15</v>
      </c>
      <c r="C259">
        <v>3</v>
      </c>
      <c r="D259">
        <v>100</v>
      </c>
      <c r="E259">
        <v>400</v>
      </c>
      <c r="F259" t="str">
        <f t="shared" ref="F259:F314" si="19">A259&amp;"_"&amp;B259&amp;"_"&amp;C259&amp;"_"&amp;D259&amp;"_"&amp;E259</f>
        <v>text256_blurkernel7_3_100_400</v>
      </c>
      <c r="G259">
        <f>IFERROR(VLOOKUP(F259,SROU03!$F:$H,2,FALSE),0)</f>
        <v>24.119060000000001</v>
      </c>
      <c r="H259">
        <f>IFERROR(VLOOKUP(F259,SROU03!$F:$H,3,FALSE),0)</f>
        <v>6.6977570000000002</v>
      </c>
      <c r="I259">
        <v>3.5193E-5</v>
      </c>
      <c r="J259">
        <v>9.7100000000000002E-6</v>
      </c>
      <c r="K259">
        <v>32.4328</v>
      </c>
      <c r="L259">
        <v>9.2123000000000008</v>
      </c>
      <c r="M259">
        <f>IFERROR(VLOOKUP(F259,TICO09!$F:$O,8,FALSE),0)</f>
        <v>17.319099999999999</v>
      </c>
      <c r="N259">
        <f>IFERROR(VLOOKUP(F259,SROU03!$F:$O,9,FALSE),0)</f>
        <v>34.682099999999998</v>
      </c>
      <c r="O259">
        <v>36.671100000000003</v>
      </c>
      <c r="P259" t="str">
        <f t="shared" ref="P259:P314" si="20">IF((O259&gt;(MAX(M259,N259))),"BM3D",IF(N259&gt;(MAX(M259,O259)),"SROU03","TICO09"))</f>
        <v>BM3D</v>
      </c>
      <c r="Q259">
        <f t="shared" ref="Q259:Q322" si="21">MAX(M259:O259)</f>
        <v>36.671100000000003</v>
      </c>
      <c r="R259">
        <f>VLOOKUP(P259,'Color codes'!$A:$B,2,FALSE)</f>
        <v>1</v>
      </c>
      <c r="S259">
        <f>TRUNC(VLOOKUP(P259,'Color codes'!$A:$E,3,FALSE)*(0.25 + 0.75*Q259/40))</f>
        <v>239</v>
      </c>
      <c r="T259">
        <f>TRUNC(VLOOKUP(P259,'Color codes'!$A:$E,4,FALSE)*(0.25 + 0.75*Q259/40))</f>
        <v>100</v>
      </c>
      <c r="U259">
        <f>TRUNC(VLOOKUP(P259,'Color codes'!$A:$E,5,FALSE)*(0.25 + 0.75*Q259/40))</f>
        <v>97</v>
      </c>
      <c r="V259" t="b">
        <f t="shared" si="18"/>
        <v>1</v>
      </c>
    </row>
    <row r="260" spans="1:22" x14ac:dyDescent="0.25">
      <c r="A260" t="s">
        <v>20</v>
      </c>
      <c r="B260" t="s">
        <v>15</v>
      </c>
      <c r="C260">
        <v>3</v>
      </c>
      <c r="D260">
        <v>100</v>
      </c>
      <c r="E260">
        <v>800</v>
      </c>
      <c r="F260" t="str">
        <f t="shared" si="19"/>
        <v>text256_blurkernel7_3_100_800</v>
      </c>
      <c r="G260">
        <f>IFERROR(VLOOKUP(F260,SROU03!$F:$H,2,FALSE),0)</f>
        <v>20.084610000000001</v>
      </c>
      <c r="H260">
        <f>IFERROR(VLOOKUP(F260,SROU03!$F:$H,3,FALSE),0)</f>
        <v>6.3098780000000003</v>
      </c>
      <c r="I260">
        <v>7.1286999999999997E-5</v>
      </c>
      <c r="J260">
        <v>9.7100000000000002E-6</v>
      </c>
      <c r="K260">
        <v>29.349599999999999</v>
      </c>
      <c r="L260">
        <v>9.2123000000000008</v>
      </c>
      <c r="M260">
        <f>IFERROR(VLOOKUP(F260,TICO09!$F:$O,8,FALSE),0)</f>
        <v>17.2789</v>
      </c>
      <c r="N260">
        <f>IFERROR(VLOOKUP(F260,SROU03!$F:$O,9,FALSE),0)</f>
        <v>31.716799999999999</v>
      </c>
      <c r="O260">
        <v>33.545200000000001</v>
      </c>
      <c r="P260" t="str">
        <f t="shared" si="20"/>
        <v>BM3D</v>
      </c>
      <c r="Q260">
        <f t="shared" si="21"/>
        <v>33.545200000000001</v>
      </c>
      <c r="R260">
        <f>VLOOKUP(P260,'Color codes'!$A:$B,2,FALSE)</f>
        <v>1</v>
      </c>
      <c r="S260">
        <f>TRUNC(VLOOKUP(P260,'Color codes'!$A:$E,3,FALSE)*(0.25 + 0.75*Q260/40))</f>
        <v>224</v>
      </c>
      <c r="T260">
        <f>TRUNC(VLOOKUP(P260,'Color codes'!$A:$E,4,FALSE)*(0.25 + 0.75*Q260/40))</f>
        <v>94</v>
      </c>
      <c r="U260">
        <f>TRUNC(VLOOKUP(P260,'Color codes'!$A:$E,5,FALSE)*(0.25 + 0.75*Q260/40))</f>
        <v>91</v>
      </c>
      <c r="V260" t="b">
        <f t="shared" si="18"/>
        <v>1</v>
      </c>
    </row>
    <row r="261" spans="1:22" x14ac:dyDescent="0.25">
      <c r="A261" t="s">
        <v>20</v>
      </c>
      <c r="B261" t="s">
        <v>15</v>
      </c>
      <c r="C261">
        <v>3</v>
      </c>
      <c r="D261">
        <v>100</v>
      </c>
      <c r="E261">
        <v>1600</v>
      </c>
      <c r="F261" t="str">
        <f t="shared" si="19"/>
        <v>text256_blurkernel7_3_100_1600</v>
      </c>
      <c r="G261">
        <f>IFERROR(VLOOKUP(F261,SROU03!$F:$H,2,FALSE),0)</f>
        <v>17.858378999999999</v>
      </c>
      <c r="H261">
        <f>IFERROR(VLOOKUP(F261,SROU03!$F:$H,3,FALSE),0)</f>
        <v>6.1165370000000001</v>
      </c>
      <c r="I261">
        <v>1.4346000000000001E-4</v>
      </c>
      <c r="J261">
        <v>9.7100000000000002E-6</v>
      </c>
      <c r="K261">
        <v>26.292000000000002</v>
      </c>
      <c r="L261">
        <v>9.2123000000000008</v>
      </c>
      <c r="M261">
        <f>IFERROR(VLOOKUP(F261,TICO09!$F:$O,8,FALSE),0)</f>
        <v>17.203700000000001</v>
      </c>
      <c r="N261">
        <f>IFERROR(VLOOKUP(F261,SROU03!$F:$O,9,FALSE),0)</f>
        <v>30.931100000000001</v>
      </c>
      <c r="O261">
        <v>30.699000000000002</v>
      </c>
      <c r="P261" t="str">
        <f t="shared" si="20"/>
        <v>SROU03</v>
      </c>
      <c r="Q261">
        <f t="shared" si="21"/>
        <v>30.931100000000001</v>
      </c>
      <c r="R261">
        <f>VLOOKUP(P261,'Color codes'!$A:$B,2,FALSE)</f>
        <v>3</v>
      </c>
      <c r="S261">
        <f>TRUNC(VLOOKUP(P261,'Color codes'!$A:$E,3,FALSE)*(0.25 + 0.75*Q261/40))</f>
        <v>88</v>
      </c>
      <c r="T261">
        <f>TRUNC(VLOOKUP(P261,'Color codes'!$A:$E,4,FALSE)*(0.25 + 0.75*Q261/40))</f>
        <v>146</v>
      </c>
      <c r="U261">
        <f>TRUNC(VLOOKUP(P261,'Color codes'!$A:$E,5,FALSE)*(0.25 + 0.75*Q261/40))</f>
        <v>211</v>
      </c>
      <c r="V261" t="b">
        <f t="shared" si="18"/>
        <v>0</v>
      </c>
    </row>
    <row r="262" spans="1:22" x14ac:dyDescent="0.25">
      <c r="A262" t="s">
        <v>20</v>
      </c>
      <c r="B262" t="s">
        <v>15</v>
      </c>
      <c r="C262">
        <v>3</v>
      </c>
      <c r="D262">
        <v>100</v>
      </c>
      <c r="E262">
        <v>3200</v>
      </c>
      <c r="F262" t="str">
        <f t="shared" si="19"/>
        <v>text256_blurkernel7_3_100_3200</v>
      </c>
      <c r="G262">
        <f>IFERROR(VLOOKUP(F262,SROU03!$F:$H,2,FALSE),0)</f>
        <v>16.624473999999999</v>
      </c>
      <c r="H262">
        <f>IFERROR(VLOOKUP(F262,SROU03!$F:$H,3,FALSE),0)</f>
        <v>6.01586</v>
      </c>
      <c r="I262">
        <v>2.9020499999999998E-4</v>
      </c>
      <c r="J262">
        <v>9.7100000000000002E-6</v>
      </c>
      <c r="K262">
        <v>23.212900000000001</v>
      </c>
      <c r="L262">
        <v>9.2123000000000008</v>
      </c>
      <c r="M262">
        <f>IFERROR(VLOOKUP(F262,TICO09!$F:$O,8,FALSE),0)</f>
        <v>16.991900000000001</v>
      </c>
      <c r="N262">
        <f>IFERROR(VLOOKUP(F262,SROU03!$F:$O,9,FALSE),0)</f>
        <v>29.3813</v>
      </c>
      <c r="O262">
        <v>27.767099999999999</v>
      </c>
      <c r="P262" t="str">
        <f t="shared" si="20"/>
        <v>SROU03</v>
      </c>
      <c r="Q262">
        <f t="shared" si="21"/>
        <v>29.3813</v>
      </c>
      <c r="R262">
        <f>VLOOKUP(P262,'Color codes'!$A:$B,2,FALSE)</f>
        <v>3</v>
      </c>
      <c r="S262">
        <f>TRUNC(VLOOKUP(P262,'Color codes'!$A:$E,3,FALSE)*(0.25 + 0.75*Q262/40))</f>
        <v>85</v>
      </c>
      <c r="T262">
        <f>TRUNC(VLOOKUP(P262,'Color codes'!$A:$E,4,FALSE)*(0.25 + 0.75*Q262/40))</f>
        <v>140</v>
      </c>
      <c r="U262">
        <f>TRUNC(VLOOKUP(P262,'Color codes'!$A:$E,5,FALSE)*(0.25 + 0.75*Q262/40))</f>
        <v>204</v>
      </c>
      <c r="V262" t="b">
        <f t="shared" si="18"/>
        <v>1</v>
      </c>
    </row>
    <row r="263" spans="1:22" x14ac:dyDescent="0.25">
      <c r="A263" t="s">
        <v>20</v>
      </c>
      <c r="B263" t="s">
        <v>15</v>
      </c>
      <c r="C263">
        <v>3</v>
      </c>
      <c r="D263">
        <v>100</v>
      </c>
      <c r="E263">
        <v>6400</v>
      </c>
      <c r="F263" t="str">
        <f t="shared" si="19"/>
        <v>text256_blurkernel7_3_100_6400</v>
      </c>
      <c r="G263">
        <f>IFERROR(VLOOKUP(F263,SROU03!$F:$H,2,FALSE),0)</f>
        <v>15.996316</v>
      </c>
      <c r="H263">
        <f>IFERROR(VLOOKUP(F263,SROU03!$F:$H,3,FALSE),0)</f>
        <v>5.9647069999999998</v>
      </c>
      <c r="I263">
        <v>5.8933499999999997E-4</v>
      </c>
      <c r="J263">
        <v>9.7100000000000002E-6</v>
      </c>
      <c r="K263">
        <v>20.1069</v>
      </c>
      <c r="L263">
        <v>9.2123000000000008</v>
      </c>
      <c r="M263">
        <f>IFERROR(VLOOKUP(F263,TICO09!$F:$O,8,FALSE),0)</f>
        <v>16.4209</v>
      </c>
      <c r="N263">
        <f>IFERROR(VLOOKUP(F263,SROU03!$F:$O,9,FALSE),0)</f>
        <v>26.372299999999999</v>
      </c>
      <c r="O263">
        <v>24.803799999999999</v>
      </c>
      <c r="P263" t="str">
        <f t="shared" si="20"/>
        <v>SROU03</v>
      </c>
      <c r="Q263">
        <f t="shared" si="21"/>
        <v>26.372299999999999</v>
      </c>
      <c r="R263">
        <f>VLOOKUP(P263,'Color codes'!$A:$B,2,FALSE)</f>
        <v>3</v>
      </c>
      <c r="S263">
        <f>TRUNC(VLOOKUP(P263,'Color codes'!$A:$E,3,FALSE)*(0.25 + 0.75*Q263/40))</f>
        <v>79</v>
      </c>
      <c r="T263">
        <f>TRUNC(VLOOKUP(P263,'Color codes'!$A:$E,4,FALSE)*(0.25 + 0.75*Q263/40))</f>
        <v>131</v>
      </c>
      <c r="U263">
        <f>TRUNC(VLOOKUP(P263,'Color codes'!$A:$E,5,FALSE)*(0.25 + 0.75*Q263/40))</f>
        <v>189</v>
      </c>
      <c r="V263" t="b">
        <f t="shared" si="18"/>
        <v>1</v>
      </c>
    </row>
    <row r="264" spans="1:22" x14ac:dyDescent="0.25">
      <c r="A264" t="s">
        <v>20</v>
      </c>
      <c r="B264" t="s">
        <v>15</v>
      </c>
      <c r="C264">
        <v>3</v>
      </c>
      <c r="D264">
        <v>100</v>
      </c>
      <c r="E264">
        <v>12800</v>
      </c>
      <c r="F264" t="str">
        <f t="shared" si="19"/>
        <v>text256_blurkernel7_3_100_12800</v>
      </c>
      <c r="G264">
        <f>IFERROR(VLOOKUP(F264,SROU03!$F:$H,2,FALSE),0)</f>
        <v>15.675497</v>
      </c>
      <c r="H264">
        <f>IFERROR(VLOOKUP(F264,SROU03!$F:$H,3,FALSE),0)</f>
        <v>5.9416000000000002</v>
      </c>
      <c r="I264">
        <v>1.210198E-3</v>
      </c>
      <c r="J264">
        <v>9.7100000000000002E-6</v>
      </c>
      <c r="K264">
        <v>16.946000000000002</v>
      </c>
      <c r="L264">
        <v>9.2123000000000008</v>
      </c>
      <c r="M264">
        <f>IFERROR(VLOOKUP(F264,TICO09!$F:$O,8,FALSE),0)</f>
        <v>15.5214</v>
      </c>
      <c r="N264">
        <f>IFERROR(VLOOKUP(F264,SROU03!$F:$O,9,FALSE),0)</f>
        <v>23.302</v>
      </c>
      <c r="O264">
        <v>21.9283</v>
      </c>
      <c r="P264" t="str">
        <f t="shared" si="20"/>
        <v>SROU03</v>
      </c>
      <c r="Q264">
        <f t="shared" si="21"/>
        <v>23.302</v>
      </c>
      <c r="R264">
        <f>VLOOKUP(P264,'Color codes'!$A:$B,2,FALSE)</f>
        <v>3</v>
      </c>
      <c r="S264">
        <f>TRUNC(VLOOKUP(P264,'Color codes'!$A:$E,3,FALSE)*(0.25 + 0.75*Q264/40))</f>
        <v>73</v>
      </c>
      <c r="T264">
        <f>TRUNC(VLOOKUP(P264,'Color codes'!$A:$E,4,FALSE)*(0.25 + 0.75*Q264/40))</f>
        <v>120</v>
      </c>
      <c r="U264">
        <f>TRUNC(VLOOKUP(P264,'Color codes'!$A:$E,5,FALSE)*(0.25 + 0.75*Q264/40))</f>
        <v>175</v>
      </c>
      <c r="V264" t="b">
        <f t="shared" si="18"/>
        <v>1</v>
      </c>
    </row>
    <row r="265" spans="1:22" x14ac:dyDescent="0.25">
      <c r="A265" t="s">
        <v>20</v>
      </c>
      <c r="B265" t="s">
        <v>15</v>
      </c>
      <c r="C265">
        <v>3</v>
      </c>
      <c r="D265">
        <v>100</v>
      </c>
      <c r="E265">
        <v>25600</v>
      </c>
      <c r="F265" t="str">
        <f t="shared" si="19"/>
        <v>text256_blurkernel7_3_100_25600</v>
      </c>
      <c r="G265">
        <f>IFERROR(VLOOKUP(F265,SROU03!$F:$H,2,FALSE),0)</f>
        <v>15.474900999999999</v>
      </c>
      <c r="H265">
        <f>IFERROR(VLOOKUP(F265,SROU03!$F:$H,3,FALSE),0)</f>
        <v>5.939991</v>
      </c>
      <c r="I265">
        <v>2.5189520000000001E-3</v>
      </c>
      <c r="J265">
        <v>9.7100000000000002E-6</v>
      </c>
      <c r="K265">
        <v>13.739599999999999</v>
      </c>
      <c r="L265">
        <v>9.2123000000000008</v>
      </c>
      <c r="M265">
        <f>IFERROR(VLOOKUP(F265,TICO09!$F:$O,8,FALSE),0)</f>
        <v>14.1473</v>
      </c>
      <c r="N265">
        <f>IFERROR(VLOOKUP(F265,SROU03!$F:$O,9,FALSE),0)</f>
        <v>19.764900000000001</v>
      </c>
      <c r="O265">
        <v>18.995799999999999</v>
      </c>
      <c r="P265" t="str">
        <f t="shared" si="20"/>
        <v>SROU03</v>
      </c>
      <c r="Q265">
        <f t="shared" si="21"/>
        <v>19.764900000000001</v>
      </c>
      <c r="R265">
        <f>VLOOKUP(P265,'Color codes'!$A:$B,2,FALSE)</f>
        <v>3</v>
      </c>
      <c r="S265">
        <f>TRUNC(VLOOKUP(P265,'Color codes'!$A:$E,3,FALSE)*(0.25 + 0.75*Q265/40))</f>
        <v>66</v>
      </c>
      <c r="T265">
        <f>TRUNC(VLOOKUP(P265,'Color codes'!$A:$E,4,FALSE)*(0.25 + 0.75*Q265/40))</f>
        <v>109</v>
      </c>
      <c r="U265">
        <f>TRUNC(VLOOKUP(P265,'Color codes'!$A:$E,5,FALSE)*(0.25 + 0.75*Q265/40))</f>
        <v>158</v>
      </c>
      <c r="V265" t="b">
        <f t="shared" si="18"/>
        <v>0</v>
      </c>
    </row>
    <row r="266" spans="1:22" x14ac:dyDescent="0.25">
      <c r="A266" t="s">
        <v>20</v>
      </c>
      <c r="B266" t="s">
        <v>15</v>
      </c>
      <c r="C266">
        <v>7</v>
      </c>
      <c r="D266">
        <v>100</v>
      </c>
      <c r="E266">
        <v>200</v>
      </c>
      <c r="F266" t="str">
        <f t="shared" si="19"/>
        <v>text256_blurkernel7_7_100_200</v>
      </c>
      <c r="G266">
        <f>IFERROR(VLOOKUP(F266,SROU03!$F:$H,2,FALSE),0)</f>
        <v>28.182904000000001</v>
      </c>
      <c r="H266">
        <f>IFERROR(VLOOKUP(F266,SROU03!$F:$H,3,FALSE),0)</f>
        <v>18.407598</v>
      </c>
      <c r="I266">
        <v>1.6654E-5</v>
      </c>
      <c r="J266">
        <v>1.1739999999999999E-5</v>
      </c>
      <c r="K266">
        <v>35.6813</v>
      </c>
      <c r="L266">
        <v>3.1013000000000002</v>
      </c>
      <c r="M266">
        <f>IFERROR(VLOOKUP(F266,TICO09!$F:$O,8,FALSE),0)</f>
        <v>18.916599999999999</v>
      </c>
      <c r="N266">
        <f>IFERROR(VLOOKUP(F266,SROU03!$F:$O,9,FALSE),0)</f>
        <v>35.929600000000001</v>
      </c>
      <c r="O266">
        <v>39.770299999999999</v>
      </c>
      <c r="P266" t="str">
        <f t="shared" si="20"/>
        <v>BM3D</v>
      </c>
      <c r="Q266">
        <f t="shared" si="21"/>
        <v>39.770299999999999</v>
      </c>
      <c r="R266">
        <f>VLOOKUP(P266,'Color codes'!$A:$B,2,FALSE)</f>
        <v>1</v>
      </c>
      <c r="S266">
        <f>TRUNC(VLOOKUP(P266,'Color codes'!$A:$E,3,FALSE)*(0.25 + 0.75*Q266/40))</f>
        <v>253</v>
      </c>
      <c r="T266">
        <f>TRUNC(VLOOKUP(P266,'Color codes'!$A:$E,4,FALSE)*(0.25 + 0.75*Q266/40))</f>
        <v>106</v>
      </c>
      <c r="U266">
        <f>TRUNC(VLOOKUP(P266,'Color codes'!$A:$E,5,FALSE)*(0.25 + 0.75*Q266/40))</f>
        <v>103</v>
      </c>
      <c r="V266" t="b">
        <f t="shared" si="18"/>
        <v>1</v>
      </c>
    </row>
    <row r="267" spans="1:22" x14ac:dyDescent="0.25">
      <c r="A267" t="s">
        <v>20</v>
      </c>
      <c r="B267" t="s">
        <v>15</v>
      </c>
      <c r="C267">
        <v>7</v>
      </c>
      <c r="D267">
        <v>100</v>
      </c>
      <c r="E267">
        <v>400</v>
      </c>
      <c r="F267" t="str">
        <f t="shared" si="19"/>
        <v>text256_blurkernel7_7_100_400</v>
      </c>
      <c r="G267">
        <f>IFERROR(VLOOKUP(F267,SROU03!$F:$H,2,FALSE),0)</f>
        <v>20.115745</v>
      </c>
      <c r="H267">
        <f>IFERROR(VLOOKUP(F267,SROU03!$F:$H,3,FALSE),0)</f>
        <v>16.246832000000001</v>
      </c>
      <c r="I267">
        <v>3.5036999999999997E-5</v>
      </c>
      <c r="J267">
        <v>1.1739999999999999E-5</v>
      </c>
      <c r="K267">
        <v>32.443199999999997</v>
      </c>
      <c r="L267">
        <v>3.1013000000000002</v>
      </c>
      <c r="M267">
        <f>IFERROR(VLOOKUP(F267,TICO09!$F:$O,8,FALSE),0)</f>
        <v>18.845400000000001</v>
      </c>
      <c r="N267">
        <f>IFERROR(VLOOKUP(F267,SROU03!$F:$O,9,FALSE),0)</f>
        <v>33.073500000000003</v>
      </c>
      <c r="O267">
        <v>36.5702</v>
      </c>
      <c r="P267" t="str">
        <f t="shared" si="20"/>
        <v>BM3D</v>
      </c>
      <c r="Q267">
        <f t="shared" si="21"/>
        <v>36.5702</v>
      </c>
      <c r="R267">
        <f>VLOOKUP(P267,'Color codes'!$A:$B,2,FALSE)</f>
        <v>1</v>
      </c>
      <c r="S267">
        <f>TRUNC(VLOOKUP(P267,'Color codes'!$A:$E,3,FALSE)*(0.25 + 0.75*Q267/40))</f>
        <v>238</v>
      </c>
      <c r="T267">
        <f>TRUNC(VLOOKUP(P267,'Color codes'!$A:$E,4,FALSE)*(0.25 + 0.75*Q267/40))</f>
        <v>100</v>
      </c>
      <c r="U267">
        <f>TRUNC(VLOOKUP(P267,'Color codes'!$A:$E,5,FALSE)*(0.25 + 0.75*Q267/40))</f>
        <v>97</v>
      </c>
      <c r="V267" t="b">
        <f t="shared" si="18"/>
        <v>1</v>
      </c>
    </row>
    <row r="268" spans="1:22" x14ac:dyDescent="0.25">
      <c r="A268" t="s">
        <v>20</v>
      </c>
      <c r="B268" t="s">
        <v>15</v>
      </c>
      <c r="C268">
        <v>7</v>
      </c>
      <c r="D268">
        <v>100</v>
      </c>
      <c r="E268">
        <v>800</v>
      </c>
      <c r="F268" t="str">
        <f t="shared" si="19"/>
        <v>text256_blurkernel7_7_100_800</v>
      </c>
      <c r="G268">
        <f>IFERROR(VLOOKUP(F268,SROU03!$F:$H,2,FALSE),0)</f>
        <v>15.073684</v>
      </c>
      <c r="H268">
        <f>IFERROR(VLOOKUP(F268,SROU03!$F:$H,3,FALSE),0)</f>
        <v>15.160954</v>
      </c>
      <c r="I268">
        <v>7.2033000000000006E-5</v>
      </c>
      <c r="J268">
        <v>1.1739999999999999E-5</v>
      </c>
      <c r="K268">
        <v>29.303899999999999</v>
      </c>
      <c r="L268">
        <v>3.1013000000000002</v>
      </c>
      <c r="M268">
        <f>IFERROR(VLOOKUP(F268,TICO09!$F:$O,8,FALSE),0)</f>
        <v>18.769100000000002</v>
      </c>
      <c r="N268">
        <f>IFERROR(VLOOKUP(F268,SROU03!$F:$O,9,FALSE),0)</f>
        <v>30.588899999999999</v>
      </c>
      <c r="O268">
        <v>33.571199999999997</v>
      </c>
      <c r="P268" t="str">
        <f t="shared" si="20"/>
        <v>BM3D</v>
      </c>
      <c r="Q268">
        <f t="shared" si="21"/>
        <v>33.571199999999997</v>
      </c>
      <c r="R268">
        <f>VLOOKUP(P268,'Color codes'!$A:$B,2,FALSE)</f>
        <v>1</v>
      </c>
      <c r="S268">
        <f>TRUNC(VLOOKUP(P268,'Color codes'!$A:$E,3,FALSE)*(0.25 + 0.75*Q268/40))</f>
        <v>224</v>
      </c>
      <c r="T268">
        <f>TRUNC(VLOOKUP(P268,'Color codes'!$A:$E,4,FALSE)*(0.25 + 0.75*Q268/40))</f>
        <v>94</v>
      </c>
      <c r="U268">
        <f>TRUNC(VLOOKUP(P268,'Color codes'!$A:$E,5,FALSE)*(0.25 + 0.75*Q268/40))</f>
        <v>91</v>
      </c>
      <c r="V268" t="b">
        <f t="shared" si="18"/>
        <v>1</v>
      </c>
    </row>
    <row r="269" spans="1:22" x14ac:dyDescent="0.25">
      <c r="A269" t="s">
        <v>20</v>
      </c>
      <c r="B269" t="s">
        <v>15</v>
      </c>
      <c r="C269">
        <v>7</v>
      </c>
      <c r="D269">
        <v>100</v>
      </c>
      <c r="E269">
        <v>1600</v>
      </c>
      <c r="F269" t="str">
        <f t="shared" si="19"/>
        <v>text256_blurkernel7_7_100_1600</v>
      </c>
      <c r="G269">
        <f>IFERROR(VLOOKUP(F269,SROU03!$F:$H,2,FALSE),0)</f>
        <v>11.780219000000001</v>
      </c>
      <c r="H269">
        <f>IFERROR(VLOOKUP(F269,SROU03!$F:$H,3,FALSE),0)</f>
        <v>14.590764999999999</v>
      </c>
      <c r="I269">
        <v>1.43774E-4</v>
      </c>
      <c r="J269">
        <v>1.1739999999999999E-5</v>
      </c>
      <c r="K269">
        <v>26.287500000000001</v>
      </c>
      <c r="L269">
        <v>3.1013000000000002</v>
      </c>
      <c r="M269">
        <f>IFERROR(VLOOKUP(F269,TICO09!$F:$O,8,FALSE),0)</f>
        <v>18.614100000000001</v>
      </c>
      <c r="N269">
        <f>IFERROR(VLOOKUP(F269,SROU03!$F:$O,9,FALSE),0)</f>
        <v>28.241499999999998</v>
      </c>
      <c r="O269">
        <v>30.7303</v>
      </c>
      <c r="P269" t="str">
        <f t="shared" si="20"/>
        <v>BM3D</v>
      </c>
      <c r="Q269">
        <f t="shared" si="21"/>
        <v>30.7303</v>
      </c>
      <c r="R269">
        <f>VLOOKUP(P269,'Color codes'!$A:$B,2,FALSE)</f>
        <v>1</v>
      </c>
      <c r="S269">
        <f>TRUNC(VLOOKUP(P269,'Color codes'!$A:$E,3,FALSE)*(0.25 + 0.75*Q269/40))</f>
        <v>210</v>
      </c>
      <c r="T269">
        <f>TRUNC(VLOOKUP(P269,'Color codes'!$A:$E,4,FALSE)*(0.25 + 0.75*Q269/40))</f>
        <v>88</v>
      </c>
      <c r="U269">
        <f>TRUNC(VLOOKUP(P269,'Color codes'!$A:$E,5,FALSE)*(0.25 + 0.75*Q269/40))</f>
        <v>85</v>
      </c>
      <c r="V269" t="b">
        <f t="shared" si="18"/>
        <v>1</v>
      </c>
    </row>
    <row r="270" spans="1:22" x14ac:dyDescent="0.25">
      <c r="A270" t="s">
        <v>20</v>
      </c>
      <c r="B270" t="s">
        <v>15</v>
      </c>
      <c r="C270">
        <v>7</v>
      </c>
      <c r="D270">
        <v>100</v>
      </c>
      <c r="E270">
        <v>3200</v>
      </c>
      <c r="F270" t="str">
        <f t="shared" si="19"/>
        <v>text256_blurkernel7_7_100_3200</v>
      </c>
      <c r="G270">
        <f>IFERROR(VLOOKUP(F270,SROU03!$F:$H,2,FALSE),0)</f>
        <v>9.7340769999999992</v>
      </c>
      <c r="H270">
        <f>IFERROR(VLOOKUP(F270,SROU03!$F:$H,3,FALSE),0)</f>
        <v>14.296116</v>
      </c>
      <c r="I270">
        <v>2.9110600000000001E-4</v>
      </c>
      <c r="J270">
        <v>1.1739999999999999E-5</v>
      </c>
      <c r="K270">
        <v>23.200099999999999</v>
      </c>
      <c r="L270">
        <v>3.1013000000000002</v>
      </c>
      <c r="M270">
        <f>IFERROR(VLOOKUP(F270,TICO09!$F:$O,8,FALSE),0)</f>
        <v>18.214500000000001</v>
      </c>
      <c r="N270">
        <f>IFERROR(VLOOKUP(F270,SROU03!$F:$O,9,FALSE),0)</f>
        <v>26.041599999999999</v>
      </c>
      <c r="O270">
        <v>27.792200000000001</v>
      </c>
      <c r="P270" t="str">
        <f t="shared" si="20"/>
        <v>BM3D</v>
      </c>
      <c r="Q270">
        <f t="shared" si="21"/>
        <v>27.792200000000001</v>
      </c>
      <c r="R270">
        <f>VLOOKUP(P270,'Color codes'!$A:$B,2,FALSE)</f>
        <v>1</v>
      </c>
      <c r="S270">
        <f>TRUNC(VLOOKUP(P270,'Color codes'!$A:$E,3,FALSE)*(0.25 + 0.75*Q270/40))</f>
        <v>196</v>
      </c>
      <c r="T270">
        <f>TRUNC(VLOOKUP(P270,'Color codes'!$A:$E,4,FALSE)*(0.25 + 0.75*Q270/40))</f>
        <v>82</v>
      </c>
      <c r="U270">
        <f>TRUNC(VLOOKUP(P270,'Color codes'!$A:$E,5,FALSE)*(0.25 + 0.75*Q270/40))</f>
        <v>80</v>
      </c>
      <c r="V270" t="b">
        <f t="shared" si="18"/>
        <v>1</v>
      </c>
    </row>
    <row r="271" spans="1:22" x14ac:dyDescent="0.25">
      <c r="A271" t="s">
        <v>20</v>
      </c>
      <c r="B271" t="s">
        <v>15</v>
      </c>
      <c r="C271">
        <v>7</v>
      </c>
      <c r="D271">
        <v>100</v>
      </c>
      <c r="E271">
        <v>6400</v>
      </c>
      <c r="F271" t="str">
        <f t="shared" si="19"/>
        <v>text256_blurkernel7_7_100_6400</v>
      </c>
      <c r="G271">
        <f>IFERROR(VLOOKUP(F271,SROU03!$F:$H,2,FALSE),0)</f>
        <v>8.5498410000000007</v>
      </c>
      <c r="H271">
        <f>IFERROR(VLOOKUP(F271,SROU03!$F:$H,3,FALSE),0)</f>
        <v>14.150323</v>
      </c>
      <c r="I271">
        <v>5.9167400000000004E-4</v>
      </c>
      <c r="J271">
        <v>1.1739999999999999E-5</v>
      </c>
      <c r="K271">
        <v>20.089099999999998</v>
      </c>
      <c r="L271">
        <v>3.1013000000000002</v>
      </c>
      <c r="M271">
        <f>IFERROR(VLOOKUP(F271,TICO09!$F:$O,8,FALSE),0)</f>
        <v>17.5716</v>
      </c>
      <c r="N271">
        <f>IFERROR(VLOOKUP(F271,SROU03!$F:$O,9,FALSE),0)</f>
        <v>23.928999999999998</v>
      </c>
      <c r="O271">
        <v>24.902100000000001</v>
      </c>
      <c r="P271" t="str">
        <f t="shared" si="20"/>
        <v>BM3D</v>
      </c>
      <c r="Q271">
        <f t="shared" si="21"/>
        <v>24.902100000000001</v>
      </c>
      <c r="R271">
        <f>VLOOKUP(P271,'Color codes'!$A:$B,2,FALSE)</f>
        <v>1</v>
      </c>
      <c r="S271">
        <f>TRUNC(VLOOKUP(P271,'Color codes'!$A:$E,3,FALSE)*(0.25 + 0.75*Q271/40))</f>
        <v>182</v>
      </c>
      <c r="T271">
        <f>TRUNC(VLOOKUP(P271,'Color codes'!$A:$E,4,FALSE)*(0.25 + 0.75*Q271/40))</f>
        <v>76</v>
      </c>
      <c r="U271">
        <f>TRUNC(VLOOKUP(P271,'Color codes'!$A:$E,5,FALSE)*(0.25 + 0.75*Q271/40))</f>
        <v>74</v>
      </c>
      <c r="V271" t="b">
        <f t="shared" si="18"/>
        <v>0</v>
      </c>
    </row>
    <row r="272" spans="1:22" x14ac:dyDescent="0.25">
      <c r="A272" t="s">
        <v>20</v>
      </c>
      <c r="B272" t="s">
        <v>15</v>
      </c>
      <c r="C272">
        <v>7</v>
      </c>
      <c r="D272">
        <v>100</v>
      </c>
      <c r="E272">
        <v>12800</v>
      </c>
      <c r="F272" t="str">
        <f t="shared" si="19"/>
        <v>text256_blurkernel7_7_100_12800</v>
      </c>
      <c r="G272">
        <f>IFERROR(VLOOKUP(F272,SROU03!$F:$H,2,FALSE),0)</f>
        <v>7.9037810000000004</v>
      </c>
      <c r="H272">
        <f>IFERROR(VLOOKUP(F272,SROU03!$F:$H,3,FALSE),0)</f>
        <v>14.078405</v>
      </c>
      <c r="I272">
        <v>1.202732E-3</v>
      </c>
      <c r="J272">
        <v>1.1739999999999999E-5</v>
      </c>
      <c r="K272">
        <v>16.974299999999999</v>
      </c>
      <c r="L272">
        <v>3.1013000000000002</v>
      </c>
      <c r="M272">
        <f>IFERROR(VLOOKUP(F272,TICO09!$F:$O,8,FALSE),0)</f>
        <v>16.324200000000001</v>
      </c>
      <c r="N272">
        <f>IFERROR(VLOOKUP(F272,SROU03!$F:$O,9,FALSE),0)</f>
        <v>21.760300000000001</v>
      </c>
      <c r="O272">
        <v>21.948</v>
      </c>
      <c r="P272" t="str">
        <f t="shared" si="20"/>
        <v>BM3D</v>
      </c>
      <c r="Q272">
        <f t="shared" si="21"/>
        <v>21.948</v>
      </c>
      <c r="R272">
        <f>VLOOKUP(P272,'Color codes'!$A:$B,2,FALSE)</f>
        <v>1</v>
      </c>
      <c r="S272">
        <f>TRUNC(VLOOKUP(P272,'Color codes'!$A:$E,3,FALSE)*(0.25 + 0.75*Q272/40))</f>
        <v>168</v>
      </c>
      <c r="T272">
        <f>TRUNC(VLOOKUP(P272,'Color codes'!$A:$E,4,FALSE)*(0.25 + 0.75*Q272/40))</f>
        <v>70</v>
      </c>
      <c r="U272">
        <f>TRUNC(VLOOKUP(P272,'Color codes'!$A:$E,5,FALSE)*(0.25 + 0.75*Q272/40))</f>
        <v>68</v>
      </c>
      <c r="V272" t="b">
        <f t="shared" si="18"/>
        <v>0</v>
      </c>
    </row>
    <row r="273" spans="1:22" x14ac:dyDescent="0.25">
      <c r="A273" t="s">
        <v>20</v>
      </c>
      <c r="B273" t="s">
        <v>15</v>
      </c>
      <c r="C273">
        <v>7</v>
      </c>
      <c r="D273">
        <v>100</v>
      </c>
      <c r="E273">
        <v>25600</v>
      </c>
      <c r="F273" t="str">
        <f t="shared" si="19"/>
        <v>text256_blurkernel7_7_100_25600</v>
      </c>
      <c r="G273">
        <f>IFERROR(VLOOKUP(F273,SROU03!$F:$H,2,FALSE),0)</f>
        <v>7.5823970000000003</v>
      </c>
      <c r="H273">
        <f>IFERROR(VLOOKUP(F273,SROU03!$F:$H,3,FALSE),0)</f>
        <v>14.044034</v>
      </c>
      <c r="I273">
        <v>2.544611E-3</v>
      </c>
      <c r="J273">
        <v>1.1739999999999999E-5</v>
      </c>
      <c r="K273">
        <v>13.696300000000001</v>
      </c>
      <c r="L273">
        <v>3.1013000000000002</v>
      </c>
      <c r="M273">
        <f>IFERROR(VLOOKUP(F273,TICO09!$F:$O,8,FALSE),0)</f>
        <v>14.5379</v>
      </c>
      <c r="N273">
        <f>IFERROR(VLOOKUP(F273,SROU03!$F:$O,9,FALSE),0)</f>
        <v>14.8383</v>
      </c>
      <c r="O273">
        <v>18.963999999999999</v>
      </c>
      <c r="P273" t="str">
        <f t="shared" si="20"/>
        <v>BM3D</v>
      </c>
      <c r="Q273">
        <f t="shared" si="21"/>
        <v>18.963999999999999</v>
      </c>
      <c r="R273">
        <f>VLOOKUP(P273,'Color codes'!$A:$B,2,FALSE)</f>
        <v>1</v>
      </c>
      <c r="S273">
        <f>TRUNC(VLOOKUP(P273,'Color codes'!$A:$E,3,FALSE)*(0.25 + 0.75*Q273/40))</f>
        <v>154</v>
      </c>
      <c r="T273">
        <f>TRUNC(VLOOKUP(P273,'Color codes'!$A:$E,4,FALSE)*(0.25 + 0.75*Q273/40))</f>
        <v>64</v>
      </c>
      <c r="U273">
        <f>TRUNC(VLOOKUP(P273,'Color codes'!$A:$E,5,FALSE)*(0.25 + 0.75*Q273/40))</f>
        <v>62</v>
      </c>
      <c r="V273" t="b">
        <f t="shared" si="18"/>
        <v>1</v>
      </c>
    </row>
    <row r="274" spans="1:22" x14ac:dyDescent="0.25">
      <c r="A274" t="s">
        <v>20</v>
      </c>
      <c r="B274" t="s">
        <v>15</v>
      </c>
      <c r="C274">
        <v>15</v>
      </c>
      <c r="D274">
        <v>100</v>
      </c>
      <c r="E274">
        <v>200</v>
      </c>
      <c r="F274" t="str">
        <f t="shared" si="19"/>
        <v>text256_blurkernel7_15_100_200</v>
      </c>
      <c r="G274">
        <f>IFERROR(VLOOKUP(F274,SROU03!$F:$H,2,FALSE),0)</f>
        <v>27.538163999999998</v>
      </c>
      <c r="H274">
        <f>IFERROR(VLOOKUP(F274,SROU03!$F:$H,3,FALSE),0)</f>
        <v>38.316215999999997</v>
      </c>
      <c r="I274">
        <v>1.6364000000000001E-5</v>
      </c>
      <c r="J274">
        <v>1.4232E-5</v>
      </c>
      <c r="K274">
        <v>35.758299999999998</v>
      </c>
      <c r="L274">
        <v>1.5173000000000001</v>
      </c>
      <c r="M274">
        <f>IFERROR(VLOOKUP(F274,TICO09!$F:$O,8,FALSE),0)</f>
        <v>19.747499999999999</v>
      </c>
      <c r="N274">
        <f>IFERROR(VLOOKUP(F274,SROU03!$F:$O,9,FALSE),0)</f>
        <v>35.993699999999997</v>
      </c>
      <c r="O274">
        <v>39.8964</v>
      </c>
      <c r="P274" t="str">
        <f t="shared" si="20"/>
        <v>BM3D</v>
      </c>
      <c r="Q274">
        <f t="shared" si="21"/>
        <v>39.8964</v>
      </c>
      <c r="R274">
        <f>VLOOKUP(P274,'Color codes'!$A:$B,2,FALSE)</f>
        <v>1</v>
      </c>
      <c r="S274">
        <f>TRUNC(VLOOKUP(P274,'Color codes'!$A:$E,3,FALSE)*(0.25 + 0.75*Q274/40))</f>
        <v>254</v>
      </c>
      <c r="T274">
        <f>TRUNC(VLOOKUP(P274,'Color codes'!$A:$E,4,FALSE)*(0.25 + 0.75*Q274/40))</f>
        <v>106</v>
      </c>
      <c r="U274">
        <f>TRUNC(VLOOKUP(P274,'Color codes'!$A:$E,5,FALSE)*(0.25 + 0.75*Q274/40))</f>
        <v>103</v>
      </c>
      <c r="V274" t="b">
        <f t="shared" si="18"/>
        <v>1</v>
      </c>
    </row>
    <row r="275" spans="1:22" x14ac:dyDescent="0.25">
      <c r="A275" t="s">
        <v>20</v>
      </c>
      <c r="B275" t="s">
        <v>15</v>
      </c>
      <c r="C275">
        <v>15</v>
      </c>
      <c r="D275">
        <v>100</v>
      </c>
      <c r="E275">
        <v>400</v>
      </c>
      <c r="F275" t="str">
        <f t="shared" si="19"/>
        <v>text256_blurkernel7_15_100_400</v>
      </c>
      <c r="G275">
        <f>IFERROR(VLOOKUP(F275,SROU03!$F:$H,2,FALSE),0)</f>
        <v>19.095616</v>
      </c>
      <c r="H275">
        <f>IFERROR(VLOOKUP(F275,SROU03!$F:$H,3,FALSE),0)</f>
        <v>33.291319999999999</v>
      </c>
      <c r="I275">
        <v>3.4647999999999998E-5</v>
      </c>
      <c r="J275">
        <v>1.4232E-5</v>
      </c>
      <c r="K275">
        <v>32.496899999999997</v>
      </c>
      <c r="L275">
        <v>1.5173000000000001</v>
      </c>
      <c r="M275">
        <f>IFERROR(VLOOKUP(F275,TICO09!$F:$O,8,FALSE),0)</f>
        <v>19.6739</v>
      </c>
      <c r="N275">
        <f>IFERROR(VLOOKUP(F275,SROU03!$F:$O,9,FALSE),0)</f>
        <v>32.915799999999997</v>
      </c>
      <c r="O275">
        <v>36.665700000000001</v>
      </c>
      <c r="P275" t="str">
        <f t="shared" si="20"/>
        <v>BM3D</v>
      </c>
      <c r="Q275">
        <f t="shared" si="21"/>
        <v>36.665700000000001</v>
      </c>
      <c r="R275">
        <f>VLOOKUP(P275,'Color codes'!$A:$B,2,FALSE)</f>
        <v>1</v>
      </c>
      <c r="S275">
        <f>TRUNC(VLOOKUP(P275,'Color codes'!$A:$E,3,FALSE)*(0.25 + 0.75*Q275/40))</f>
        <v>239</v>
      </c>
      <c r="T275">
        <f>TRUNC(VLOOKUP(P275,'Color codes'!$A:$E,4,FALSE)*(0.25 + 0.75*Q275/40))</f>
        <v>100</v>
      </c>
      <c r="U275">
        <f>TRUNC(VLOOKUP(P275,'Color codes'!$A:$E,5,FALSE)*(0.25 + 0.75*Q275/40))</f>
        <v>97</v>
      </c>
      <c r="V275" t="b">
        <f t="shared" si="18"/>
        <v>1</v>
      </c>
    </row>
    <row r="276" spans="1:22" x14ac:dyDescent="0.25">
      <c r="A276" t="s">
        <v>20</v>
      </c>
      <c r="B276" t="s">
        <v>15</v>
      </c>
      <c r="C276">
        <v>15</v>
      </c>
      <c r="D276">
        <v>100</v>
      </c>
      <c r="E276">
        <v>800</v>
      </c>
      <c r="F276" t="str">
        <f t="shared" si="19"/>
        <v>text256_blurkernel7_15_100_800</v>
      </c>
      <c r="G276">
        <f>IFERROR(VLOOKUP(F276,SROU03!$F:$H,2,FALSE),0)</f>
        <v>13.810915</v>
      </c>
      <c r="H276">
        <f>IFERROR(VLOOKUP(F276,SROU03!$F:$H,3,FALSE),0)</f>
        <v>30.623414</v>
      </c>
      <c r="I276">
        <v>7.0967E-5</v>
      </c>
      <c r="J276">
        <v>1.4232E-5</v>
      </c>
      <c r="K276">
        <v>29.3688</v>
      </c>
      <c r="L276">
        <v>1.5173000000000001</v>
      </c>
      <c r="M276">
        <f>IFERROR(VLOOKUP(F276,TICO09!$F:$O,8,FALSE),0)</f>
        <v>19.5928</v>
      </c>
      <c r="N276">
        <f>IFERROR(VLOOKUP(F276,SROU03!$F:$O,9,FALSE),0)</f>
        <v>30.273499999999999</v>
      </c>
      <c r="O276">
        <v>33.6006</v>
      </c>
      <c r="P276" t="str">
        <f t="shared" si="20"/>
        <v>BM3D</v>
      </c>
      <c r="Q276">
        <f t="shared" si="21"/>
        <v>33.6006</v>
      </c>
      <c r="R276">
        <f>VLOOKUP(P276,'Color codes'!$A:$B,2,FALSE)</f>
        <v>1</v>
      </c>
      <c r="S276">
        <f>TRUNC(VLOOKUP(P276,'Color codes'!$A:$E,3,FALSE)*(0.25 + 0.75*Q276/40))</f>
        <v>224</v>
      </c>
      <c r="T276">
        <f>TRUNC(VLOOKUP(P276,'Color codes'!$A:$E,4,FALSE)*(0.25 + 0.75*Q276/40))</f>
        <v>94</v>
      </c>
      <c r="U276">
        <f>TRUNC(VLOOKUP(P276,'Color codes'!$A:$E,5,FALSE)*(0.25 + 0.75*Q276/40))</f>
        <v>91</v>
      </c>
      <c r="V276" t="b">
        <f t="shared" si="18"/>
        <v>1</v>
      </c>
    </row>
    <row r="277" spans="1:22" x14ac:dyDescent="0.25">
      <c r="A277" t="s">
        <v>20</v>
      </c>
      <c r="B277" t="s">
        <v>15</v>
      </c>
      <c r="C277">
        <v>15</v>
      </c>
      <c r="D277">
        <v>100</v>
      </c>
      <c r="E277">
        <v>1600</v>
      </c>
      <c r="F277" t="str">
        <f t="shared" si="19"/>
        <v>text256_blurkernel7_15_100_1600</v>
      </c>
      <c r="G277">
        <f>IFERROR(VLOOKUP(F277,SROU03!$F:$H,2,FALSE),0)</f>
        <v>10.065442000000001</v>
      </c>
      <c r="H277">
        <f>IFERROR(VLOOKUP(F277,SROU03!$F:$H,3,FALSE),0)</f>
        <v>29.372647000000001</v>
      </c>
      <c r="I277">
        <v>1.45322E-4</v>
      </c>
      <c r="J277">
        <v>1.4232E-5</v>
      </c>
      <c r="K277">
        <v>26.237200000000001</v>
      </c>
      <c r="L277">
        <v>1.5173000000000001</v>
      </c>
      <c r="M277">
        <f>IFERROR(VLOOKUP(F277,TICO09!$F:$O,8,FALSE),0)</f>
        <v>19.290099999999999</v>
      </c>
      <c r="N277">
        <f>IFERROR(VLOOKUP(F277,SROU03!$F:$O,9,FALSE),0)</f>
        <v>27.6419</v>
      </c>
      <c r="O277">
        <v>30.6769</v>
      </c>
      <c r="P277" t="str">
        <f t="shared" si="20"/>
        <v>BM3D</v>
      </c>
      <c r="Q277">
        <f t="shared" si="21"/>
        <v>30.6769</v>
      </c>
      <c r="R277">
        <f>VLOOKUP(P277,'Color codes'!$A:$B,2,FALSE)</f>
        <v>1</v>
      </c>
      <c r="S277">
        <f>TRUNC(VLOOKUP(P277,'Color codes'!$A:$E,3,FALSE)*(0.25 + 0.75*Q277/40))</f>
        <v>210</v>
      </c>
      <c r="T277">
        <f>TRUNC(VLOOKUP(P277,'Color codes'!$A:$E,4,FALSE)*(0.25 + 0.75*Q277/40))</f>
        <v>88</v>
      </c>
      <c r="U277">
        <f>TRUNC(VLOOKUP(P277,'Color codes'!$A:$E,5,FALSE)*(0.25 + 0.75*Q277/40))</f>
        <v>85</v>
      </c>
      <c r="V277" t="b">
        <f t="shared" si="18"/>
        <v>1</v>
      </c>
    </row>
    <row r="278" spans="1:22" x14ac:dyDescent="0.25">
      <c r="A278" t="s">
        <v>20</v>
      </c>
      <c r="B278" t="s">
        <v>15</v>
      </c>
      <c r="C278">
        <v>15</v>
      </c>
      <c r="D278">
        <v>100</v>
      </c>
      <c r="E278">
        <v>3200</v>
      </c>
      <c r="F278" t="str">
        <f t="shared" si="19"/>
        <v>text256_blurkernel7_15_100_3200</v>
      </c>
      <c r="G278">
        <f>IFERROR(VLOOKUP(F278,SROU03!$F:$H,2,FALSE),0)</f>
        <v>7.5262529999999996</v>
      </c>
      <c r="H278">
        <f>IFERROR(VLOOKUP(F278,SROU03!$F:$H,3,FALSE),0)</f>
        <v>28.515550000000001</v>
      </c>
      <c r="I278">
        <v>2.8855299999999999E-4</v>
      </c>
      <c r="J278">
        <v>1.4232E-5</v>
      </c>
      <c r="K278">
        <v>23.234000000000002</v>
      </c>
      <c r="L278">
        <v>1.5173000000000001</v>
      </c>
      <c r="M278">
        <f>IFERROR(VLOOKUP(F278,TICO09!$F:$O,8,FALSE),0)</f>
        <v>18.889600000000002</v>
      </c>
      <c r="N278">
        <f>IFERROR(VLOOKUP(F278,SROU03!$F:$O,9,FALSE),0)</f>
        <v>25.133299999999998</v>
      </c>
      <c r="O278">
        <v>27.816099999999999</v>
      </c>
      <c r="P278" t="str">
        <f t="shared" si="20"/>
        <v>BM3D</v>
      </c>
      <c r="Q278">
        <f t="shared" si="21"/>
        <v>27.816099999999999</v>
      </c>
      <c r="R278">
        <f>VLOOKUP(P278,'Color codes'!$A:$B,2,FALSE)</f>
        <v>1</v>
      </c>
      <c r="S278">
        <f>TRUNC(VLOOKUP(P278,'Color codes'!$A:$E,3,FALSE)*(0.25 + 0.75*Q278/40))</f>
        <v>196</v>
      </c>
      <c r="T278">
        <f>TRUNC(VLOOKUP(P278,'Color codes'!$A:$E,4,FALSE)*(0.25 + 0.75*Q278/40))</f>
        <v>82</v>
      </c>
      <c r="U278">
        <f>TRUNC(VLOOKUP(P278,'Color codes'!$A:$E,5,FALSE)*(0.25 + 0.75*Q278/40))</f>
        <v>80</v>
      </c>
      <c r="V278" t="b">
        <f t="shared" si="18"/>
        <v>1</v>
      </c>
    </row>
    <row r="279" spans="1:22" x14ac:dyDescent="0.25">
      <c r="A279" t="s">
        <v>20</v>
      </c>
      <c r="B279" t="s">
        <v>15</v>
      </c>
      <c r="C279">
        <v>15</v>
      </c>
      <c r="D279">
        <v>100</v>
      </c>
      <c r="E279">
        <v>6400</v>
      </c>
      <c r="F279" t="str">
        <f t="shared" si="19"/>
        <v>text256_blurkernel7_15_100_6400</v>
      </c>
      <c r="G279">
        <f>IFERROR(VLOOKUP(F279,SROU03!$F:$H,2,FALSE),0)</f>
        <v>5.8929510000000001</v>
      </c>
      <c r="H279">
        <f>IFERROR(VLOOKUP(F279,SROU03!$F:$H,3,FALSE),0)</f>
        <v>28.306642</v>
      </c>
      <c r="I279">
        <v>5.8540000000000003E-4</v>
      </c>
      <c r="J279">
        <v>1.4232E-5</v>
      </c>
      <c r="K279">
        <v>20.133600000000001</v>
      </c>
      <c r="L279">
        <v>1.5173000000000001</v>
      </c>
      <c r="M279">
        <f>IFERROR(VLOOKUP(F279,TICO09!$F:$O,8,FALSE),0)</f>
        <v>18.141999999999999</v>
      </c>
      <c r="N279">
        <f>IFERROR(VLOOKUP(F279,SROU03!$F:$O,9,FALSE),0)</f>
        <v>22.755600000000001</v>
      </c>
      <c r="O279">
        <v>24.8367</v>
      </c>
      <c r="P279" t="str">
        <f t="shared" si="20"/>
        <v>BM3D</v>
      </c>
      <c r="Q279">
        <f t="shared" si="21"/>
        <v>24.8367</v>
      </c>
      <c r="R279">
        <f>VLOOKUP(P279,'Color codes'!$A:$B,2,FALSE)</f>
        <v>1</v>
      </c>
      <c r="S279">
        <f>TRUNC(VLOOKUP(P279,'Color codes'!$A:$E,3,FALSE)*(0.25 + 0.75*Q279/40))</f>
        <v>182</v>
      </c>
      <c r="T279">
        <f>TRUNC(VLOOKUP(P279,'Color codes'!$A:$E,4,FALSE)*(0.25 + 0.75*Q279/40))</f>
        <v>76</v>
      </c>
      <c r="U279">
        <f>TRUNC(VLOOKUP(P279,'Color codes'!$A:$E,5,FALSE)*(0.25 + 0.75*Q279/40))</f>
        <v>74</v>
      </c>
      <c r="V279" t="b">
        <f t="shared" si="18"/>
        <v>1</v>
      </c>
    </row>
    <row r="280" spans="1:22" x14ac:dyDescent="0.25">
      <c r="A280" t="s">
        <v>20</v>
      </c>
      <c r="B280" t="s">
        <v>15</v>
      </c>
      <c r="C280">
        <v>15</v>
      </c>
      <c r="D280">
        <v>100</v>
      </c>
      <c r="E280">
        <v>12800</v>
      </c>
      <c r="F280" t="str">
        <f t="shared" si="19"/>
        <v>text256_blurkernel7_15_100_12800</v>
      </c>
      <c r="G280">
        <f>IFERROR(VLOOKUP(F280,SROU03!$F:$H,2,FALSE),0)</f>
        <v>4.8839639999999997</v>
      </c>
      <c r="H280">
        <f>IFERROR(VLOOKUP(F280,SROU03!$F:$H,3,FALSE),0)</f>
        <v>27.988772999999998</v>
      </c>
      <c r="I280">
        <v>1.196716E-3</v>
      </c>
      <c r="J280">
        <v>1.4232E-5</v>
      </c>
      <c r="K280">
        <v>16.995100000000001</v>
      </c>
      <c r="L280">
        <v>1.5173000000000001</v>
      </c>
      <c r="M280">
        <f>IFERROR(VLOOKUP(F280,TICO09!$F:$O,8,FALSE),0)</f>
        <v>16.8001</v>
      </c>
      <c r="N280">
        <f>IFERROR(VLOOKUP(F280,SROU03!$F:$O,9,FALSE),0)</f>
        <v>20.5319</v>
      </c>
      <c r="O280">
        <v>22.011099999999999</v>
      </c>
      <c r="P280" t="str">
        <f t="shared" si="20"/>
        <v>BM3D</v>
      </c>
      <c r="Q280">
        <f t="shared" si="21"/>
        <v>22.011099999999999</v>
      </c>
      <c r="R280">
        <f>VLOOKUP(P280,'Color codes'!$A:$B,2,FALSE)</f>
        <v>1</v>
      </c>
      <c r="S280">
        <f>TRUNC(VLOOKUP(P280,'Color codes'!$A:$E,3,FALSE)*(0.25 + 0.75*Q280/40))</f>
        <v>168</v>
      </c>
      <c r="T280">
        <f>TRUNC(VLOOKUP(P280,'Color codes'!$A:$E,4,FALSE)*(0.25 + 0.75*Q280/40))</f>
        <v>70</v>
      </c>
      <c r="U280">
        <f>TRUNC(VLOOKUP(P280,'Color codes'!$A:$E,5,FALSE)*(0.25 + 0.75*Q280/40))</f>
        <v>68</v>
      </c>
      <c r="V280" t="b">
        <f t="shared" si="18"/>
        <v>1</v>
      </c>
    </row>
    <row r="281" spans="1:22" x14ac:dyDescent="0.25">
      <c r="A281" t="s">
        <v>20</v>
      </c>
      <c r="B281" t="s">
        <v>15</v>
      </c>
      <c r="C281">
        <v>15</v>
      </c>
      <c r="D281">
        <v>100</v>
      </c>
      <c r="E281">
        <v>25600</v>
      </c>
      <c r="F281" t="str">
        <f t="shared" si="19"/>
        <v>text256_blurkernel7_15_100_25600</v>
      </c>
      <c r="G281">
        <f>IFERROR(VLOOKUP(F281,SROU03!$F:$H,2,FALSE),0)</f>
        <v>4.2751060000000001</v>
      </c>
      <c r="H281">
        <f>IFERROR(VLOOKUP(F281,SROU03!$F:$H,3,FALSE),0)</f>
        <v>28.052406999999999</v>
      </c>
      <c r="I281">
        <v>2.5532279999999998E-3</v>
      </c>
      <c r="J281">
        <v>1.4232E-5</v>
      </c>
      <c r="K281">
        <v>13.681100000000001</v>
      </c>
      <c r="L281">
        <v>1.5173000000000001</v>
      </c>
      <c r="M281">
        <f>IFERROR(VLOOKUP(F281,TICO09!$F:$O,8,FALSE),0)</f>
        <v>14.7897</v>
      </c>
      <c r="N281">
        <f>IFERROR(VLOOKUP(F281,SROU03!$F:$O,9,FALSE),0)</f>
        <v>18.635300000000001</v>
      </c>
      <c r="O281">
        <v>18.930900000000001</v>
      </c>
      <c r="P281" t="str">
        <f t="shared" si="20"/>
        <v>BM3D</v>
      </c>
      <c r="Q281">
        <f t="shared" si="21"/>
        <v>18.930900000000001</v>
      </c>
      <c r="R281">
        <f>VLOOKUP(P281,'Color codes'!$A:$B,2,FALSE)</f>
        <v>1</v>
      </c>
      <c r="S281">
        <f>TRUNC(VLOOKUP(P281,'Color codes'!$A:$E,3,FALSE)*(0.25 + 0.75*Q281/40))</f>
        <v>154</v>
      </c>
      <c r="T281">
        <f>TRUNC(VLOOKUP(P281,'Color codes'!$A:$E,4,FALSE)*(0.25 + 0.75*Q281/40))</f>
        <v>64</v>
      </c>
      <c r="U281">
        <f>TRUNC(VLOOKUP(P281,'Color codes'!$A:$E,5,FALSE)*(0.25 + 0.75*Q281/40))</f>
        <v>62</v>
      </c>
      <c r="V281" t="b">
        <f t="shared" si="18"/>
        <v>0</v>
      </c>
    </row>
    <row r="282" spans="1:22" x14ac:dyDescent="0.25">
      <c r="A282" t="s">
        <v>20</v>
      </c>
      <c r="B282" t="s">
        <v>15</v>
      </c>
      <c r="C282">
        <v>31</v>
      </c>
      <c r="D282">
        <v>100</v>
      </c>
      <c r="E282">
        <v>200</v>
      </c>
      <c r="F282" t="str">
        <f t="shared" si="19"/>
        <v>text256_blurkernel7_31_100_200</v>
      </c>
      <c r="G282">
        <f>IFERROR(VLOOKUP(F282,SROU03!$F:$H,2,FALSE),0)</f>
        <v>27.572388</v>
      </c>
      <c r="H282">
        <f>IFERROR(VLOOKUP(F282,SROU03!$F:$H,3,FALSE),0)</f>
        <v>77.451487999999998</v>
      </c>
      <c r="I282">
        <v>1.6759999999999999E-5</v>
      </c>
      <c r="J282">
        <v>1.6235E-5</v>
      </c>
      <c r="K282">
        <v>35.656199999999998</v>
      </c>
      <c r="L282">
        <v>0.78569999999999995</v>
      </c>
      <c r="M282">
        <f>IFERROR(VLOOKUP(F282,TICO09!$F:$O,8,FALSE),0)</f>
        <v>19.528199999999998</v>
      </c>
      <c r="N282">
        <f>IFERROR(VLOOKUP(F282,SROU03!$F:$O,9,FALSE),0)</f>
        <v>35.959099999999999</v>
      </c>
      <c r="O282">
        <v>39.758499999999998</v>
      </c>
      <c r="P282" t="str">
        <f t="shared" si="20"/>
        <v>BM3D</v>
      </c>
      <c r="Q282">
        <f t="shared" si="21"/>
        <v>39.758499999999998</v>
      </c>
      <c r="R282">
        <f>VLOOKUP(P282,'Color codes'!$A:$B,2,FALSE)</f>
        <v>1</v>
      </c>
      <c r="S282">
        <f>TRUNC(VLOOKUP(P282,'Color codes'!$A:$E,3,FALSE)*(0.25 + 0.75*Q282/40))</f>
        <v>253</v>
      </c>
      <c r="T282">
        <f>TRUNC(VLOOKUP(P282,'Color codes'!$A:$E,4,FALSE)*(0.25 + 0.75*Q282/40))</f>
        <v>106</v>
      </c>
      <c r="U282">
        <f>TRUNC(VLOOKUP(P282,'Color codes'!$A:$E,5,FALSE)*(0.25 + 0.75*Q282/40))</f>
        <v>103</v>
      </c>
      <c r="V282" t="b">
        <f t="shared" si="18"/>
        <v>1</v>
      </c>
    </row>
    <row r="283" spans="1:22" x14ac:dyDescent="0.25">
      <c r="A283" t="s">
        <v>20</v>
      </c>
      <c r="B283" t="s">
        <v>15</v>
      </c>
      <c r="C283">
        <v>31</v>
      </c>
      <c r="D283">
        <v>100</v>
      </c>
      <c r="E283">
        <v>400</v>
      </c>
      <c r="F283" t="str">
        <f t="shared" si="19"/>
        <v>text256_blurkernel7_31_100_400</v>
      </c>
      <c r="G283">
        <f>IFERROR(VLOOKUP(F283,SROU03!$F:$H,2,FALSE),0)</f>
        <v>19.096858000000001</v>
      </c>
      <c r="H283">
        <f>IFERROR(VLOOKUP(F283,SROU03!$F:$H,3,FALSE),0)</f>
        <v>66.309021999999999</v>
      </c>
      <c r="I283">
        <v>3.4567000000000003E-5</v>
      </c>
      <c r="J283">
        <v>1.6235E-5</v>
      </c>
      <c r="K283">
        <v>32.512</v>
      </c>
      <c r="L283">
        <v>0.78569999999999995</v>
      </c>
      <c r="M283">
        <f>IFERROR(VLOOKUP(F283,TICO09!$F:$O,8,FALSE),0)</f>
        <v>19.5305</v>
      </c>
      <c r="N283">
        <f>IFERROR(VLOOKUP(F283,SROU03!$F:$O,9,FALSE),0)</f>
        <v>32.933399999999999</v>
      </c>
      <c r="O283">
        <v>36.681800000000003</v>
      </c>
      <c r="P283" t="str">
        <f t="shared" si="20"/>
        <v>BM3D</v>
      </c>
      <c r="Q283">
        <f t="shared" si="21"/>
        <v>36.681800000000003</v>
      </c>
      <c r="R283">
        <f>VLOOKUP(P283,'Color codes'!$A:$B,2,FALSE)</f>
        <v>1</v>
      </c>
      <c r="S283">
        <f>TRUNC(VLOOKUP(P283,'Color codes'!$A:$E,3,FALSE)*(0.25 + 0.75*Q283/40))</f>
        <v>239</v>
      </c>
      <c r="T283">
        <f>TRUNC(VLOOKUP(P283,'Color codes'!$A:$E,4,FALSE)*(0.25 + 0.75*Q283/40))</f>
        <v>100</v>
      </c>
      <c r="U283">
        <f>TRUNC(VLOOKUP(P283,'Color codes'!$A:$E,5,FALSE)*(0.25 + 0.75*Q283/40))</f>
        <v>97</v>
      </c>
      <c r="V283" t="b">
        <f t="shared" si="18"/>
        <v>1</v>
      </c>
    </row>
    <row r="284" spans="1:22" x14ac:dyDescent="0.25">
      <c r="A284" t="s">
        <v>20</v>
      </c>
      <c r="B284" t="s">
        <v>15</v>
      </c>
      <c r="C284">
        <v>31</v>
      </c>
      <c r="D284">
        <v>100</v>
      </c>
      <c r="E284">
        <v>800</v>
      </c>
      <c r="F284" t="str">
        <f t="shared" si="19"/>
        <v>text256_blurkernel7_31_100_800</v>
      </c>
      <c r="G284">
        <f>IFERROR(VLOOKUP(F284,SROU03!$F:$H,2,FALSE),0)</f>
        <v>13.477453000000001</v>
      </c>
      <c r="H284">
        <f>IFERROR(VLOOKUP(F284,SROU03!$F:$H,3,FALSE),0)</f>
        <v>60.449793</v>
      </c>
      <c r="I284">
        <v>7.0653000000000003E-5</v>
      </c>
      <c r="J284">
        <v>1.6235E-5</v>
      </c>
      <c r="K284">
        <v>29.387599999999999</v>
      </c>
      <c r="L284">
        <v>0.78569999999999995</v>
      </c>
      <c r="M284">
        <f>IFERROR(VLOOKUP(F284,TICO09!$F:$O,8,FALSE),0)</f>
        <v>19.402899999999999</v>
      </c>
      <c r="N284">
        <f>IFERROR(VLOOKUP(F284,SROU03!$F:$O,9,FALSE),0)</f>
        <v>30.063800000000001</v>
      </c>
      <c r="O284">
        <v>33.657299999999999</v>
      </c>
      <c r="P284" t="str">
        <f t="shared" si="20"/>
        <v>BM3D</v>
      </c>
      <c r="Q284">
        <f t="shared" si="21"/>
        <v>33.657299999999999</v>
      </c>
      <c r="R284">
        <f>VLOOKUP(P284,'Color codes'!$A:$B,2,FALSE)</f>
        <v>1</v>
      </c>
      <c r="S284">
        <f>TRUNC(VLOOKUP(P284,'Color codes'!$A:$E,3,FALSE)*(0.25 + 0.75*Q284/40))</f>
        <v>224</v>
      </c>
      <c r="T284">
        <f>TRUNC(VLOOKUP(P284,'Color codes'!$A:$E,4,FALSE)*(0.25 + 0.75*Q284/40))</f>
        <v>94</v>
      </c>
      <c r="U284">
        <f>TRUNC(VLOOKUP(P284,'Color codes'!$A:$E,5,FALSE)*(0.25 + 0.75*Q284/40))</f>
        <v>91</v>
      </c>
      <c r="V284" t="b">
        <f t="shared" si="18"/>
        <v>1</v>
      </c>
    </row>
    <row r="285" spans="1:22" x14ac:dyDescent="0.25">
      <c r="A285" t="s">
        <v>20</v>
      </c>
      <c r="B285" t="s">
        <v>15</v>
      </c>
      <c r="C285">
        <v>31</v>
      </c>
      <c r="D285">
        <v>100</v>
      </c>
      <c r="E285">
        <v>1600</v>
      </c>
      <c r="F285" t="str">
        <f t="shared" si="19"/>
        <v>text256_blurkernel7_31_100_1600</v>
      </c>
      <c r="G285">
        <f>IFERROR(VLOOKUP(F285,SROU03!$F:$H,2,FALSE),0)</f>
        <v>9.5911109999999997</v>
      </c>
      <c r="H285">
        <f>IFERROR(VLOOKUP(F285,SROU03!$F:$H,3,FALSE),0)</f>
        <v>57.391955000000003</v>
      </c>
      <c r="I285">
        <v>1.4426700000000001E-4</v>
      </c>
      <c r="J285">
        <v>1.6235E-5</v>
      </c>
      <c r="K285">
        <v>26.2698</v>
      </c>
      <c r="L285">
        <v>0.78569999999999995</v>
      </c>
      <c r="M285">
        <f>IFERROR(VLOOKUP(F285,TICO09!$F:$O,8,FALSE),0)</f>
        <v>19.1907</v>
      </c>
      <c r="N285">
        <f>IFERROR(VLOOKUP(F285,SROU03!$F:$O,9,FALSE),0)</f>
        <v>27.293399999999998</v>
      </c>
      <c r="O285">
        <v>30.707799999999999</v>
      </c>
      <c r="P285" t="str">
        <f t="shared" si="20"/>
        <v>BM3D</v>
      </c>
      <c r="Q285">
        <f t="shared" si="21"/>
        <v>30.707799999999999</v>
      </c>
      <c r="R285">
        <f>VLOOKUP(P285,'Color codes'!$A:$B,2,FALSE)</f>
        <v>1</v>
      </c>
      <c r="S285">
        <f>TRUNC(VLOOKUP(P285,'Color codes'!$A:$E,3,FALSE)*(0.25 + 0.75*Q285/40))</f>
        <v>210</v>
      </c>
      <c r="T285">
        <f>TRUNC(VLOOKUP(P285,'Color codes'!$A:$E,4,FALSE)*(0.25 + 0.75*Q285/40))</f>
        <v>88</v>
      </c>
      <c r="U285">
        <f>TRUNC(VLOOKUP(P285,'Color codes'!$A:$E,5,FALSE)*(0.25 + 0.75*Q285/40))</f>
        <v>85</v>
      </c>
      <c r="V285" t="b">
        <f t="shared" si="18"/>
        <v>1</v>
      </c>
    </row>
    <row r="286" spans="1:22" x14ac:dyDescent="0.25">
      <c r="A286" t="s">
        <v>20</v>
      </c>
      <c r="B286" t="s">
        <v>15</v>
      </c>
      <c r="C286">
        <v>31</v>
      </c>
      <c r="D286">
        <v>100</v>
      </c>
      <c r="E286">
        <v>3200</v>
      </c>
      <c r="F286" t="str">
        <f t="shared" si="19"/>
        <v>text256_blurkernel7_31_100_3200</v>
      </c>
      <c r="G286">
        <f>IFERROR(VLOOKUP(F286,SROU03!$F:$H,2,FALSE),0)</f>
        <v>6.9262899999999998</v>
      </c>
      <c r="H286">
        <f>IFERROR(VLOOKUP(F286,SROU03!$F:$H,3,FALSE),0)</f>
        <v>55.811402000000001</v>
      </c>
      <c r="I286">
        <v>2.9324E-4</v>
      </c>
      <c r="J286">
        <v>1.6235E-5</v>
      </c>
      <c r="K286">
        <v>23.162700000000001</v>
      </c>
      <c r="L286">
        <v>0.78569999999999995</v>
      </c>
      <c r="M286">
        <f>IFERROR(VLOOKUP(F286,TICO09!$F:$O,8,FALSE),0)</f>
        <v>18.770900000000001</v>
      </c>
      <c r="N286">
        <f>IFERROR(VLOOKUP(F286,SROU03!$F:$O,9,FALSE),0)</f>
        <v>24.591100000000001</v>
      </c>
      <c r="O286">
        <v>27.724499999999999</v>
      </c>
      <c r="P286" t="str">
        <f t="shared" si="20"/>
        <v>BM3D</v>
      </c>
      <c r="Q286">
        <f t="shared" si="21"/>
        <v>27.724499999999999</v>
      </c>
      <c r="R286">
        <f>VLOOKUP(P286,'Color codes'!$A:$B,2,FALSE)</f>
        <v>1</v>
      </c>
      <c r="S286">
        <f>TRUNC(VLOOKUP(P286,'Color codes'!$A:$E,3,FALSE)*(0.25 + 0.75*Q286/40))</f>
        <v>196</v>
      </c>
      <c r="T286">
        <f>TRUNC(VLOOKUP(P286,'Color codes'!$A:$E,4,FALSE)*(0.25 + 0.75*Q286/40))</f>
        <v>82</v>
      </c>
      <c r="U286">
        <f>TRUNC(VLOOKUP(P286,'Color codes'!$A:$E,5,FALSE)*(0.25 + 0.75*Q286/40))</f>
        <v>80</v>
      </c>
      <c r="V286" t="b">
        <f t="shared" si="18"/>
        <v>1</v>
      </c>
    </row>
    <row r="287" spans="1:22" x14ac:dyDescent="0.25">
      <c r="A287" t="s">
        <v>20</v>
      </c>
      <c r="B287" t="s">
        <v>15</v>
      </c>
      <c r="C287">
        <v>31</v>
      </c>
      <c r="D287">
        <v>100</v>
      </c>
      <c r="E287">
        <v>6400</v>
      </c>
      <c r="F287" t="str">
        <f t="shared" si="19"/>
        <v>text256_blurkernel7_31_100_6400</v>
      </c>
      <c r="G287">
        <f>IFERROR(VLOOKUP(F287,SROU03!$F:$H,2,FALSE),0)</f>
        <v>5.1118420000000002</v>
      </c>
      <c r="H287">
        <f>IFERROR(VLOOKUP(F287,SROU03!$F:$H,3,FALSE),0)</f>
        <v>55.036093999999999</v>
      </c>
      <c r="I287">
        <v>5.9377699999999998E-4</v>
      </c>
      <c r="J287">
        <v>1.6235E-5</v>
      </c>
      <c r="K287">
        <v>20.070900000000002</v>
      </c>
      <c r="L287">
        <v>0.78569999999999995</v>
      </c>
      <c r="M287">
        <f>IFERROR(VLOOKUP(F287,TICO09!$F:$O,8,FALSE),0)</f>
        <v>17.993400000000001</v>
      </c>
      <c r="N287">
        <f>IFERROR(VLOOKUP(F287,SROU03!$F:$O,9,FALSE),0)</f>
        <v>21.957699999999999</v>
      </c>
      <c r="O287">
        <v>24.816600000000001</v>
      </c>
      <c r="P287" t="str">
        <f t="shared" si="20"/>
        <v>BM3D</v>
      </c>
      <c r="Q287">
        <f t="shared" si="21"/>
        <v>24.816600000000001</v>
      </c>
      <c r="R287">
        <f>VLOOKUP(P287,'Color codes'!$A:$B,2,FALSE)</f>
        <v>1</v>
      </c>
      <c r="S287">
        <f>TRUNC(VLOOKUP(P287,'Color codes'!$A:$E,3,FALSE)*(0.25 + 0.75*Q287/40))</f>
        <v>182</v>
      </c>
      <c r="T287">
        <f>TRUNC(VLOOKUP(P287,'Color codes'!$A:$E,4,FALSE)*(0.25 + 0.75*Q287/40))</f>
        <v>76</v>
      </c>
      <c r="U287">
        <f>TRUNC(VLOOKUP(P287,'Color codes'!$A:$E,5,FALSE)*(0.25 + 0.75*Q287/40))</f>
        <v>74</v>
      </c>
      <c r="V287" t="b">
        <f t="shared" si="18"/>
        <v>1</v>
      </c>
    </row>
    <row r="288" spans="1:22" x14ac:dyDescent="0.25">
      <c r="A288" t="s">
        <v>20</v>
      </c>
      <c r="B288" t="s">
        <v>15</v>
      </c>
      <c r="C288">
        <v>31</v>
      </c>
      <c r="D288">
        <v>100</v>
      </c>
      <c r="E288">
        <v>12800</v>
      </c>
      <c r="F288" t="str">
        <f t="shared" si="19"/>
        <v>text256_blurkernel7_31_100_12800</v>
      </c>
      <c r="G288">
        <f>IFERROR(VLOOKUP(F288,SROU03!$F:$H,2,FALSE),0)</f>
        <v>3.8721909999999999</v>
      </c>
      <c r="H288">
        <f>IFERROR(VLOOKUP(F288,SROU03!$F:$H,3,FALSE),0)</f>
        <v>54.617809999999999</v>
      </c>
      <c r="I288">
        <v>1.2103229999999999E-3</v>
      </c>
      <c r="J288">
        <v>1.6235E-5</v>
      </c>
      <c r="K288">
        <v>16.945599999999999</v>
      </c>
      <c r="L288">
        <v>0.78569999999999995</v>
      </c>
      <c r="M288">
        <f>IFERROR(VLOOKUP(F288,TICO09!$F:$O,8,FALSE),0)</f>
        <v>16.687899999999999</v>
      </c>
      <c r="N288">
        <f>IFERROR(VLOOKUP(F288,SROU03!$F:$O,9,FALSE),0)</f>
        <v>19.295999999999999</v>
      </c>
      <c r="O288">
        <v>21.990600000000001</v>
      </c>
      <c r="P288" t="str">
        <f t="shared" si="20"/>
        <v>BM3D</v>
      </c>
      <c r="Q288">
        <f t="shared" si="21"/>
        <v>21.990600000000001</v>
      </c>
      <c r="R288">
        <f>VLOOKUP(P288,'Color codes'!$A:$B,2,FALSE)</f>
        <v>1</v>
      </c>
      <c r="S288">
        <f>TRUNC(VLOOKUP(P288,'Color codes'!$A:$E,3,FALSE)*(0.25 + 0.75*Q288/40))</f>
        <v>168</v>
      </c>
      <c r="T288">
        <f>TRUNC(VLOOKUP(P288,'Color codes'!$A:$E,4,FALSE)*(0.25 + 0.75*Q288/40))</f>
        <v>70</v>
      </c>
      <c r="U288">
        <f>TRUNC(VLOOKUP(P288,'Color codes'!$A:$E,5,FALSE)*(0.25 + 0.75*Q288/40))</f>
        <v>68</v>
      </c>
      <c r="V288" t="b">
        <f t="shared" si="18"/>
        <v>1</v>
      </c>
    </row>
    <row r="289" spans="1:22" x14ac:dyDescent="0.25">
      <c r="A289" t="s">
        <v>20</v>
      </c>
      <c r="B289" t="s">
        <v>15</v>
      </c>
      <c r="C289">
        <v>31</v>
      </c>
      <c r="D289">
        <v>100</v>
      </c>
      <c r="E289">
        <v>25600</v>
      </c>
      <c r="F289" t="str">
        <f t="shared" si="19"/>
        <v>text256_blurkernel7_31_100_25600</v>
      </c>
      <c r="G289">
        <f>IFERROR(VLOOKUP(F289,SROU03!$F:$H,2,FALSE),0)</f>
        <v>2.8441329999999998</v>
      </c>
      <c r="H289">
        <f>IFERROR(VLOOKUP(F289,SROU03!$F:$H,3,FALSE),0)</f>
        <v>54.520733999999997</v>
      </c>
      <c r="I289">
        <v>2.5613939999999998E-3</v>
      </c>
      <c r="J289">
        <v>1.6235E-5</v>
      </c>
      <c r="K289">
        <v>13.6663</v>
      </c>
      <c r="L289">
        <v>0.78569999999999995</v>
      </c>
      <c r="M289">
        <f>IFERROR(VLOOKUP(F289,TICO09!$F:$O,8,FALSE),0)</f>
        <v>14.7995</v>
      </c>
      <c r="N289">
        <f>IFERROR(VLOOKUP(F289,SROU03!$F:$O,9,FALSE),0)</f>
        <v>16.387599999999999</v>
      </c>
      <c r="O289">
        <v>18.9314</v>
      </c>
      <c r="P289" t="str">
        <f t="shared" si="20"/>
        <v>BM3D</v>
      </c>
      <c r="Q289">
        <f t="shared" si="21"/>
        <v>18.9314</v>
      </c>
      <c r="R289">
        <f>VLOOKUP(P289,'Color codes'!$A:$B,2,FALSE)</f>
        <v>1</v>
      </c>
      <c r="S289">
        <f>TRUNC(VLOOKUP(P289,'Color codes'!$A:$E,3,FALSE)*(0.25 + 0.75*Q289/40))</f>
        <v>154</v>
      </c>
      <c r="T289">
        <f>TRUNC(VLOOKUP(P289,'Color codes'!$A:$E,4,FALSE)*(0.25 + 0.75*Q289/40))</f>
        <v>64</v>
      </c>
      <c r="U289">
        <f>TRUNC(VLOOKUP(P289,'Color codes'!$A:$E,5,FALSE)*(0.25 + 0.75*Q289/40))</f>
        <v>62</v>
      </c>
      <c r="V289" t="b">
        <f t="shared" si="18"/>
        <v>1</v>
      </c>
    </row>
    <row r="290" spans="1:22" x14ac:dyDescent="0.25">
      <c r="A290" t="s">
        <v>20</v>
      </c>
      <c r="B290" t="s">
        <v>16</v>
      </c>
      <c r="C290">
        <v>3</v>
      </c>
      <c r="D290">
        <v>100</v>
      </c>
      <c r="E290">
        <v>200</v>
      </c>
      <c r="F290" t="str">
        <f t="shared" si="19"/>
        <v>text256_blurkernel8_3_100_200</v>
      </c>
      <c r="G290">
        <f>IFERROR(VLOOKUP(F290,SROU03!$F:$H,2,FALSE),0)</f>
        <v>31.907063999999998</v>
      </c>
      <c r="H290">
        <f>IFERROR(VLOOKUP(F290,SROU03!$F:$H,3,FALSE),0)</f>
        <v>7.2930929999999998</v>
      </c>
      <c r="I290">
        <v>1.6903000000000001E-5</v>
      </c>
      <c r="J290">
        <v>9.6350000000000001E-6</v>
      </c>
      <c r="K290">
        <v>35.6252</v>
      </c>
      <c r="L290">
        <v>8.6296999999999997</v>
      </c>
      <c r="M290">
        <f>IFERROR(VLOOKUP(F290,TICO09!$F:$O,8,FALSE),0)</f>
        <v>17.194600000000001</v>
      </c>
      <c r="N290">
        <f>IFERROR(VLOOKUP(F290,SROU03!$F:$O,9,FALSE),0)</f>
        <v>37.277700000000003</v>
      </c>
      <c r="O290">
        <v>39.700699999999998</v>
      </c>
      <c r="P290" t="str">
        <f t="shared" si="20"/>
        <v>BM3D</v>
      </c>
      <c r="Q290">
        <f t="shared" si="21"/>
        <v>39.700699999999998</v>
      </c>
      <c r="R290">
        <f>VLOOKUP(P290,'Color codes'!$A:$B,2,FALSE)</f>
        <v>1</v>
      </c>
      <c r="S290">
        <f>TRUNC(VLOOKUP(P290,'Color codes'!$A:$E,3,FALSE)*(0.25 + 0.75*Q290/40))</f>
        <v>253</v>
      </c>
      <c r="T290">
        <f>TRUNC(VLOOKUP(P290,'Color codes'!$A:$E,4,FALSE)*(0.25 + 0.75*Q290/40))</f>
        <v>106</v>
      </c>
      <c r="U290">
        <f>TRUNC(VLOOKUP(P290,'Color codes'!$A:$E,5,FALSE)*(0.25 + 0.75*Q290/40))</f>
        <v>103</v>
      </c>
      <c r="V290" t="b">
        <f t="shared" si="18"/>
        <v>1</v>
      </c>
    </row>
    <row r="291" spans="1:22" x14ac:dyDescent="0.25">
      <c r="A291" t="s">
        <v>20</v>
      </c>
      <c r="B291" t="s">
        <v>16</v>
      </c>
      <c r="C291">
        <v>3</v>
      </c>
      <c r="D291">
        <v>100</v>
      </c>
      <c r="E291">
        <v>400</v>
      </c>
      <c r="F291" t="str">
        <f t="shared" si="19"/>
        <v>text256_blurkernel8_3_100_400</v>
      </c>
      <c r="G291">
        <f>IFERROR(VLOOKUP(F291,SROU03!$F:$H,2,FALSE),0)</f>
        <v>24.988125</v>
      </c>
      <c r="H291">
        <f>IFERROR(VLOOKUP(F291,SROU03!$F:$H,3,FALSE),0)</f>
        <v>6.5314629999999996</v>
      </c>
      <c r="I291">
        <v>3.4601999999999998E-5</v>
      </c>
      <c r="J291">
        <v>9.6350000000000001E-6</v>
      </c>
      <c r="K291">
        <v>32.505600000000001</v>
      </c>
      <c r="L291">
        <v>8.6296999999999997</v>
      </c>
      <c r="M291">
        <f>IFERROR(VLOOKUP(F291,TICO09!$F:$O,8,FALSE),0)</f>
        <v>17.191500000000001</v>
      </c>
      <c r="N291">
        <f>IFERROR(VLOOKUP(F291,SROU03!$F:$O,9,FALSE),0)</f>
        <v>34.991100000000003</v>
      </c>
      <c r="O291">
        <v>36.69</v>
      </c>
      <c r="P291" t="str">
        <f t="shared" si="20"/>
        <v>BM3D</v>
      </c>
      <c r="Q291">
        <f t="shared" si="21"/>
        <v>36.69</v>
      </c>
      <c r="R291">
        <f>VLOOKUP(P291,'Color codes'!$A:$B,2,FALSE)</f>
        <v>1</v>
      </c>
      <c r="S291">
        <f>TRUNC(VLOOKUP(P291,'Color codes'!$A:$E,3,FALSE)*(0.25 + 0.75*Q291/40))</f>
        <v>239</v>
      </c>
      <c r="T291">
        <f>TRUNC(VLOOKUP(P291,'Color codes'!$A:$E,4,FALSE)*(0.25 + 0.75*Q291/40))</f>
        <v>100</v>
      </c>
      <c r="U291">
        <f>TRUNC(VLOOKUP(P291,'Color codes'!$A:$E,5,FALSE)*(0.25 + 0.75*Q291/40))</f>
        <v>97</v>
      </c>
      <c r="V291" t="b">
        <f t="shared" si="18"/>
        <v>1</v>
      </c>
    </row>
    <row r="292" spans="1:22" x14ac:dyDescent="0.25">
      <c r="A292" t="s">
        <v>20</v>
      </c>
      <c r="B292" t="s">
        <v>16</v>
      </c>
      <c r="C292">
        <v>3</v>
      </c>
      <c r="D292">
        <v>100</v>
      </c>
      <c r="E292">
        <v>800</v>
      </c>
      <c r="F292" t="str">
        <f t="shared" si="19"/>
        <v>text256_blurkernel8_3_100_800</v>
      </c>
      <c r="G292">
        <f>IFERROR(VLOOKUP(F292,SROU03!$F:$H,2,FALSE),0)</f>
        <v>21.067181999999999</v>
      </c>
      <c r="H292">
        <f>IFERROR(VLOOKUP(F292,SROU03!$F:$H,3,FALSE),0)</f>
        <v>6.1474929999999999</v>
      </c>
      <c r="I292">
        <v>7.0809999999999995E-5</v>
      </c>
      <c r="J292">
        <v>9.6350000000000001E-6</v>
      </c>
      <c r="K292">
        <v>29.375399999999999</v>
      </c>
      <c r="L292">
        <v>8.6296999999999997</v>
      </c>
      <c r="M292">
        <f>IFERROR(VLOOKUP(F292,TICO09!$F:$O,8,FALSE),0)</f>
        <v>17.153199999999998</v>
      </c>
      <c r="N292">
        <f>IFERROR(VLOOKUP(F292,SROU03!$F:$O,9,FALSE),0)</f>
        <v>33.164499999999997</v>
      </c>
      <c r="O292">
        <v>33.7318</v>
      </c>
      <c r="P292" t="str">
        <f t="shared" si="20"/>
        <v>BM3D</v>
      </c>
      <c r="Q292">
        <f t="shared" si="21"/>
        <v>33.7318</v>
      </c>
      <c r="R292">
        <f>VLOOKUP(P292,'Color codes'!$A:$B,2,FALSE)</f>
        <v>1</v>
      </c>
      <c r="S292">
        <f>TRUNC(VLOOKUP(P292,'Color codes'!$A:$E,3,FALSE)*(0.25 + 0.75*Q292/40))</f>
        <v>225</v>
      </c>
      <c r="T292">
        <f>TRUNC(VLOOKUP(P292,'Color codes'!$A:$E,4,FALSE)*(0.25 + 0.75*Q292/40))</f>
        <v>94</v>
      </c>
      <c r="U292">
        <f>TRUNC(VLOOKUP(P292,'Color codes'!$A:$E,5,FALSE)*(0.25 + 0.75*Q292/40))</f>
        <v>91</v>
      </c>
      <c r="V292" t="b">
        <f t="shared" si="18"/>
        <v>0</v>
      </c>
    </row>
    <row r="293" spans="1:22" x14ac:dyDescent="0.25">
      <c r="A293" t="s">
        <v>20</v>
      </c>
      <c r="B293" t="s">
        <v>16</v>
      </c>
      <c r="C293">
        <v>3</v>
      </c>
      <c r="D293">
        <v>100</v>
      </c>
      <c r="E293">
        <v>1600</v>
      </c>
      <c r="F293" t="str">
        <f t="shared" si="19"/>
        <v>text256_blurkernel8_3_100_1600</v>
      </c>
      <c r="G293">
        <f>IFERROR(VLOOKUP(F293,SROU03!$F:$H,2,FALSE),0)</f>
        <v>18.884692000000001</v>
      </c>
      <c r="H293">
        <f>IFERROR(VLOOKUP(F293,SROU03!$F:$H,3,FALSE),0)</f>
        <v>5.9534880000000001</v>
      </c>
      <c r="I293">
        <v>1.44418E-4</v>
      </c>
      <c r="J293">
        <v>9.6350000000000001E-6</v>
      </c>
      <c r="K293">
        <v>26.2636</v>
      </c>
      <c r="L293">
        <v>8.6296999999999997</v>
      </c>
      <c r="M293">
        <f>IFERROR(VLOOKUP(F293,TICO09!$F:$O,8,FALSE),0)</f>
        <v>17.0578</v>
      </c>
      <c r="N293">
        <f>IFERROR(VLOOKUP(F293,SROU03!$F:$O,9,FALSE),0)</f>
        <v>31.718699999999998</v>
      </c>
      <c r="O293">
        <v>30.730399999999999</v>
      </c>
      <c r="P293" t="str">
        <f t="shared" si="20"/>
        <v>SROU03</v>
      </c>
      <c r="Q293">
        <f t="shared" si="21"/>
        <v>31.718699999999998</v>
      </c>
      <c r="R293">
        <f>VLOOKUP(P293,'Color codes'!$A:$B,2,FALSE)</f>
        <v>3</v>
      </c>
      <c r="S293">
        <f>TRUNC(VLOOKUP(P293,'Color codes'!$A:$E,3,FALSE)*(0.25 + 0.75*Q293/40))</f>
        <v>90</v>
      </c>
      <c r="T293">
        <f>TRUNC(VLOOKUP(P293,'Color codes'!$A:$E,4,FALSE)*(0.25 + 0.75*Q293/40))</f>
        <v>148</v>
      </c>
      <c r="U293">
        <f>TRUNC(VLOOKUP(P293,'Color codes'!$A:$E,5,FALSE)*(0.25 + 0.75*Q293/40))</f>
        <v>215</v>
      </c>
      <c r="V293" t="b">
        <f t="shared" si="18"/>
        <v>0</v>
      </c>
    </row>
    <row r="294" spans="1:22" x14ac:dyDescent="0.25">
      <c r="A294" t="s">
        <v>20</v>
      </c>
      <c r="B294" t="s">
        <v>16</v>
      </c>
      <c r="C294">
        <v>3</v>
      </c>
      <c r="D294">
        <v>100</v>
      </c>
      <c r="E294">
        <v>3200</v>
      </c>
      <c r="F294" t="str">
        <f t="shared" si="19"/>
        <v>text256_blurkernel8_3_100_3200</v>
      </c>
      <c r="G294">
        <f>IFERROR(VLOOKUP(F294,SROU03!$F:$H,2,FALSE),0)</f>
        <v>17.724284000000001</v>
      </c>
      <c r="H294">
        <f>IFERROR(VLOOKUP(F294,SROU03!$F:$H,3,FALSE),0)</f>
        <v>5.8578169999999998</v>
      </c>
      <c r="I294">
        <v>2.8582999999999999E-4</v>
      </c>
      <c r="J294">
        <v>9.6350000000000001E-6</v>
      </c>
      <c r="K294">
        <v>23.2761</v>
      </c>
      <c r="L294">
        <v>8.6296999999999997</v>
      </c>
      <c r="M294">
        <f>IFERROR(VLOOKUP(F294,TICO09!$F:$O,8,FALSE),0)</f>
        <v>16.8552</v>
      </c>
      <c r="N294">
        <f>IFERROR(VLOOKUP(F294,SROU03!$F:$O,9,FALSE),0)</f>
        <v>29.501999999999999</v>
      </c>
      <c r="O294">
        <v>27.835899999999999</v>
      </c>
      <c r="P294" t="str">
        <f t="shared" si="20"/>
        <v>SROU03</v>
      </c>
      <c r="Q294">
        <f t="shared" si="21"/>
        <v>29.501999999999999</v>
      </c>
      <c r="R294">
        <f>VLOOKUP(P294,'Color codes'!$A:$B,2,FALSE)</f>
        <v>3</v>
      </c>
      <c r="S294">
        <f>TRUNC(VLOOKUP(P294,'Color codes'!$A:$E,3,FALSE)*(0.25 + 0.75*Q294/40))</f>
        <v>85</v>
      </c>
      <c r="T294">
        <f>TRUNC(VLOOKUP(P294,'Color codes'!$A:$E,4,FALSE)*(0.25 + 0.75*Q294/40))</f>
        <v>141</v>
      </c>
      <c r="U294">
        <f>TRUNC(VLOOKUP(P294,'Color codes'!$A:$E,5,FALSE)*(0.25 + 0.75*Q294/40))</f>
        <v>204</v>
      </c>
      <c r="V294" t="b">
        <f t="shared" ref="V294:V357" si="22">(ABS(N294-O294)  &gt; 1)</f>
        <v>1</v>
      </c>
    </row>
    <row r="295" spans="1:22" x14ac:dyDescent="0.25">
      <c r="A295" t="s">
        <v>20</v>
      </c>
      <c r="B295" t="s">
        <v>16</v>
      </c>
      <c r="C295">
        <v>3</v>
      </c>
      <c r="D295">
        <v>100</v>
      </c>
      <c r="E295">
        <v>6400</v>
      </c>
      <c r="F295" t="str">
        <f t="shared" si="19"/>
        <v>text256_blurkernel8_3_100_6400</v>
      </c>
      <c r="G295">
        <f>IFERROR(VLOOKUP(F295,SROU03!$F:$H,2,FALSE),0)</f>
        <v>17.084631000000002</v>
      </c>
      <c r="H295">
        <f>IFERROR(VLOOKUP(F295,SROU03!$F:$H,3,FALSE),0)</f>
        <v>5.8136279999999996</v>
      </c>
      <c r="I295">
        <v>5.9642400000000002E-4</v>
      </c>
      <c r="J295">
        <v>9.6350000000000001E-6</v>
      </c>
      <c r="K295">
        <v>20.05</v>
      </c>
      <c r="L295">
        <v>8.6296999999999997</v>
      </c>
      <c r="M295">
        <f>IFERROR(VLOOKUP(F295,TICO09!$F:$O,8,FALSE),0)</f>
        <v>16.3642</v>
      </c>
      <c r="N295">
        <f>IFERROR(VLOOKUP(F295,SROU03!$F:$O,9,FALSE),0)</f>
        <v>27.576000000000001</v>
      </c>
      <c r="O295">
        <v>24.832000000000001</v>
      </c>
      <c r="P295" t="str">
        <f t="shared" si="20"/>
        <v>SROU03</v>
      </c>
      <c r="Q295">
        <f t="shared" si="21"/>
        <v>27.576000000000001</v>
      </c>
      <c r="R295">
        <f>VLOOKUP(P295,'Color codes'!$A:$B,2,FALSE)</f>
        <v>3</v>
      </c>
      <c r="S295">
        <f>TRUNC(VLOOKUP(P295,'Color codes'!$A:$E,3,FALSE)*(0.25 + 0.75*Q295/40))</f>
        <v>82</v>
      </c>
      <c r="T295">
        <f>TRUNC(VLOOKUP(P295,'Color codes'!$A:$E,4,FALSE)*(0.25 + 0.75*Q295/40))</f>
        <v>135</v>
      </c>
      <c r="U295">
        <f>TRUNC(VLOOKUP(P295,'Color codes'!$A:$E,5,FALSE)*(0.25 + 0.75*Q295/40))</f>
        <v>195</v>
      </c>
      <c r="V295" t="b">
        <f t="shared" si="22"/>
        <v>1</v>
      </c>
    </row>
    <row r="296" spans="1:22" x14ac:dyDescent="0.25">
      <c r="A296" t="s">
        <v>20</v>
      </c>
      <c r="B296" t="s">
        <v>16</v>
      </c>
      <c r="C296">
        <v>3</v>
      </c>
      <c r="D296">
        <v>100</v>
      </c>
      <c r="E296">
        <v>12800</v>
      </c>
      <c r="F296" t="str">
        <f t="shared" si="19"/>
        <v>text256_blurkernel8_3_100_12800</v>
      </c>
      <c r="G296">
        <f>IFERROR(VLOOKUP(F296,SROU03!$F:$H,2,FALSE),0)</f>
        <v>16.737501999999999</v>
      </c>
      <c r="H296">
        <f>IFERROR(VLOOKUP(F296,SROU03!$F:$H,3,FALSE),0)</f>
        <v>5.7980689999999999</v>
      </c>
      <c r="I296">
        <v>1.203085E-3</v>
      </c>
      <c r="J296">
        <v>9.6350000000000001E-6</v>
      </c>
      <c r="K296">
        <v>16.9727</v>
      </c>
      <c r="L296">
        <v>8.6296999999999997</v>
      </c>
      <c r="M296">
        <f>IFERROR(VLOOKUP(F296,TICO09!$F:$O,8,FALSE),0)</f>
        <v>15.3969</v>
      </c>
      <c r="N296">
        <f>IFERROR(VLOOKUP(F296,SROU03!$F:$O,9,FALSE),0)</f>
        <v>25.127800000000001</v>
      </c>
      <c r="O296">
        <v>22.037299999999998</v>
      </c>
      <c r="P296" t="str">
        <f t="shared" si="20"/>
        <v>SROU03</v>
      </c>
      <c r="Q296">
        <f t="shared" si="21"/>
        <v>25.127800000000001</v>
      </c>
      <c r="R296">
        <f>VLOOKUP(P296,'Color codes'!$A:$B,2,FALSE)</f>
        <v>3</v>
      </c>
      <c r="S296">
        <f>TRUNC(VLOOKUP(P296,'Color codes'!$A:$E,3,FALSE)*(0.25 + 0.75*Q296/40))</f>
        <v>77</v>
      </c>
      <c r="T296">
        <f>TRUNC(VLOOKUP(P296,'Color codes'!$A:$E,4,FALSE)*(0.25 + 0.75*Q296/40))</f>
        <v>126</v>
      </c>
      <c r="U296">
        <f>TRUNC(VLOOKUP(P296,'Color codes'!$A:$E,5,FALSE)*(0.25 + 0.75*Q296/40))</f>
        <v>183</v>
      </c>
      <c r="V296" t="b">
        <f t="shared" si="22"/>
        <v>1</v>
      </c>
    </row>
    <row r="297" spans="1:22" x14ac:dyDescent="0.25">
      <c r="A297" t="s">
        <v>20</v>
      </c>
      <c r="B297" t="s">
        <v>16</v>
      </c>
      <c r="C297">
        <v>3</v>
      </c>
      <c r="D297">
        <v>100</v>
      </c>
      <c r="E297">
        <v>25600</v>
      </c>
      <c r="F297" t="str">
        <f t="shared" si="19"/>
        <v>text256_blurkernel8_3_100_25600</v>
      </c>
      <c r="G297">
        <f>IFERROR(VLOOKUP(F297,SROU03!$F:$H,2,FALSE),0)</f>
        <v>16.416729</v>
      </c>
      <c r="H297">
        <f>IFERROR(VLOOKUP(F297,SROU03!$F:$H,3,FALSE),0)</f>
        <v>5.8138920000000001</v>
      </c>
      <c r="I297">
        <v>2.5500739999999998E-3</v>
      </c>
      <c r="J297">
        <v>9.6350000000000001E-6</v>
      </c>
      <c r="K297">
        <v>13.685700000000001</v>
      </c>
      <c r="L297">
        <v>8.6296999999999997</v>
      </c>
      <c r="M297">
        <f>IFERROR(VLOOKUP(F297,TICO09!$F:$O,8,FALSE),0)</f>
        <v>14.005699999999999</v>
      </c>
      <c r="N297">
        <f>IFERROR(VLOOKUP(F297,SROU03!$F:$O,9,FALSE),0)</f>
        <v>22.772500000000001</v>
      </c>
      <c r="O297">
        <v>18.908300000000001</v>
      </c>
      <c r="P297" t="str">
        <f t="shared" si="20"/>
        <v>SROU03</v>
      </c>
      <c r="Q297">
        <f t="shared" si="21"/>
        <v>22.772500000000001</v>
      </c>
      <c r="R297">
        <f>VLOOKUP(P297,'Color codes'!$A:$B,2,FALSE)</f>
        <v>3</v>
      </c>
      <c r="S297">
        <f>TRUNC(VLOOKUP(P297,'Color codes'!$A:$E,3,FALSE)*(0.25 + 0.75*Q297/40))</f>
        <v>72</v>
      </c>
      <c r="T297">
        <f>TRUNC(VLOOKUP(P297,'Color codes'!$A:$E,4,FALSE)*(0.25 + 0.75*Q297/40))</f>
        <v>119</v>
      </c>
      <c r="U297">
        <f>TRUNC(VLOOKUP(P297,'Color codes'!$A:$E,5,FALSE)*(0.25 + 0.75*Q297/40))</f>
        <v>172</v>
      </c>
      <c r="V297" t="b">
        <f t="shared" si="22"/>
        <v>1</v>
      </c>
    </row>
    <row r="298" spans="1:22" x14ac:dyDescent="0.25">
      <c r="A298" t="s">
        <v>20</v>
      </c>
      <c r="B298" t="s">
        <v>16</v>
      </c>
      <c r="C298">
        <v>7</v>
      </c>
      <c r="D298">
        <v>100</v>
      </c>
      <c r="E298">
        <v>200</v>
      </c>
      <c r="F298" t="str">
        <f t="shared" si="19"/>
        <v>text256_blurkernel8_7_100_200</v>
      </c>
      <c r="G298">
        <f>IFERROR(VLOOKUP(F298,SROU03!$F:$H,2,FALSE),0)</f>
        <v>28.369130999999999</v>
      </c>
      <c r="H298">
        <f>IFERROR(VLOOKUP(F298,SROU03!$F:$H,3,FALSE),0)</f>
        <v>18.065351</v>
      </c>
      <c r="I298">
        <v>1.6708999999999999E-5</v>
      </c>
      <c r="J298">
        <v>1.1763000000000001E-5</v>
      </c>
      <c r="K298">
        <v>35.670400000000001</v>
      </c>
      <c r="L298">
        <v>2.7492999999999999</v>
      </c>
      <c r="M298">
        <f>IFERROR(VLOOKUP(F298,TICO09!$F:$O,8,FALSE),0)</f>
        <v>18.949300000000001</v>
      </c>
      <c r="N298">
        <f>IFERROR(VLOOKUP(F298,SROU03!$F:$O,9,FALSE),0)</f>
        <v>35.822200000000002</v>
      </c>
      <c r="O298">
        <v>39.785899999999998</v>
      </c>
      <c r="P298" t="str">
        <f t="shared" si="20"/>
        <v>BM3D</v>
      </c>
      <c r="Q298">
        <f t="shared" si="21"/>
        <v>39.785899999999998</v>
      </c>
      <c r="R298">
        <f>VLOOKUP(P298,'Color codes'!$A:$B,2,FALSE)</f>
        <v>1</v>
      </c>
      <c r="S298">
        <f>TRUNC(VLOOKUP(P298,'Color codes'!$A:$E,3,FALSE)*(0.25 + 0.75*Q298/40))</f>
        <v>253</v>
      </c>
      <c r="T298">
        <f>TRUNC(VLOOKUP(P298,'Color codes'!$A:$E,4,FALSE)*(0.25 + 0.75*Q298/40))</f>
        <v>106</v>
      </c>
      <c r="U298">
        <f>TRUNC(VLOOKUP(P298,'Color codes'!$A:$E,5,FALSE)*(0.25 + 0.75*Q298/40))</f>
        <v>103</v>
      </c>
      <c r="V298" t="b">
        <f t="shared" si="22"/>
        <v>1</v>
      </c>
    </row>
    <row r="299" spans="1:22" x14ac:dyDescent="0.25">
      <c r="A299" t="s">
        <v>20</v>
      </c>
      <c r="B299" t="s">
        <v>16</v>
      </c>
      <c r="C299">
        <v>7</v>
      </c>
      <c r="D299">
        <v>100</v>
      </c>
      <c r="E299">
        <v>400</v>
      </c>
      <c r="F299" t="str">
        <f t="shared" si="19"/>
        <v>text256_blurkernel8_7_100_400</v>
      </c>
      <c r="G299">
        <f>IFERROR(VLOOKUP(F299,SROU03!$F:$H,2,FALSE),0)</f>
        <v>20.614218999999999</v>
      </c>
      <c r="H299">
        <f>IFERROR(VLOOKUP(F299,SROU03!$F:$H,3,FALSE),0)</f>
        <v>15.981903000000001</v>
      </c>
      <c r="I299">
        <v>3.5105999999999999E-5</v>
      </c>
      <c r="J299">
        <v>1.1763000000000001E-5</v>
      </c>
      <c r="K299">
        <v>32.435400000000001</v>
      </c>
      <c r="L299">
        <v>2.7492999999999999</v>
      </c>
      <c r="M299">
        <f>IFERROR(VLOOKUP(F299,TICO09!$F:$O,8,FALSE),0)</f>
        <v>18.906199999999998</v>
      </c>
      <c r="N299">
        <f>IFERROR(VLOOKUP(F299,SROU03!$F:$O,9,FALSE),0)</f>
        <v>33.0625</v>
      </c>
      <c r="O299">
        <v>36.733499999999999</v>
      </c>
      <c r="P299" t="str">
        <f t="shared" si="20"/>
        <v>BM3D</v>
      </c>
      <c r="Q299">
        <f t="shared" si="21"/>
        <v>36.733499999999999</v>
      </c>
      <c r="R299">
        <f>VLOOKUP(P299,'Color codes'!$A:$B,2,FALSE)</f>
        <v>1</v>
      </c>
      <c r="S299">
        <f>TRUNC(VLOOKUP(P299,'Color codes'!$A:$E,3,FALSE)*(0.25 + 0.75*Q299/40))</f>
        <v>239</v>
      </c>
      <c r="T299">
        <f>TRUNC(VLOOKUP(P299,'Color codes'!$A:$E,4,FALSE)*(0.25 + 0.75*Q299/40))</f>
        <v>100</v>
      </c>
      <c r="U299">
        <f>TRUNC(VLOOKUP(P299,'Color codes'!$A:$E,5,FALSE)*(0.25 + 0.75*Q299/40))</f>
        <v>97</v>
      </c>
      <c r="V299" t="b">
        <f t="shared" si="22"/>
        <v>1</v>
      </c>
    </row>
    <row r="300" spans="1:22" x14ac:dyDescent="0.25">
      <c r="A300" t="s">
        <v>20</v>
      </c>
      <c r="B300" t="s">
        <v>16</v>
      </c>
      <c r="C300">
        <v>7</v>
      </c>
      <c r="D300">
        <v>100</v>
      </c>
      <c r="E300">
        <v>800</v>
      </c>
      <c r="F300" t="str">
        <f t="shared" si="19"/>
        <v>text256_blurkernel8_7_100_800</v>
      </c>
      <c r="G300">
        <f>IFERROR(VLOOKUP(F300,SROU03!$F:$H,2,FALSE),0)</f>
        <v>15.603534</v>
      </c>
      <c r="H300">
        <f>IFERROR(VLOOKUP(F300,SROU03!$F:$H,3,FALSE),0)</f>
        <v>14.885861999999999</v>
      </c>
      <c r="I300">
        <v>7.1379999999999998E-5</v>
      </c>
      <c r="J300">
        <v>1.1763000000000001E-5</v>
      </c>
      <c r="K300">
        <v>29.3431</v>
      </c>
      <c r="L300">
        <v>2.7492999999999999</v>
      </c>
      <c r="M300">
        <f>IFERROR(VLOOKUP(F300,TICO09!$F:$O,8,FALSE),0)</f>
        <v>18.817599999999999</v>
      </c>
      <c r="N300">
        <f>IFERROR(VLOOKUP(F300,SROU03!$F:$O,9,FALSE),0)</f>
        <v>30.578900000000001</v>
      </c>
      <c r="O300">
        <v>33.652299999999997</v>
      </c>
      <c r="P300" t="str">
        <f t="shared" si="20"/>
        <v>BM3D</v>
      </c>
      <c r="Q300">
        <f t="shared" si="21"/>
        <v>33.652299999999997</v>
      </c>
      <c r="R300">
        <f>VLOOKUP(P300,'Color codes'!$A:$B,2,FALSE)</f>
        <v>1</v>
      </c>
      <c r="S300">
        <f>TRUNC(VLOOKUP(P300,'Color codes'!$A:$E,3,FALSE)*(0.25 + 0.75*Q300/40))</f>
        <v>224</v>
      </c>
      <c r="T300">
        <f>TRUNC(VLOOKUP(P300,'Color codes'!$A:$E,4,FALSE)*(0.25 + 0.75*Q300/40))</f>
        <v>94</v>
      </c>
      <c r="U300">
        <f>TRUNC(VLOOKUP(P300,'Color codes'!$A:$E,5,FALSE)*(0.25 + 0.75*Q300/40))</f>
        <v>91</v>
      </c>
      <c r="V300" t="b">
        <f t="shared" si="22"/>
        <v>1</v>
      </c>
    </row>
    <row r="301" spans="1:22" x14ac:dyDescent="0.25">
      <c r="A301" t="s">
        <v>20</v>
      </c>
      <c r="B301" t="s">
        <v>16</v>
      </c>
      <c r="C301">
        <v>7</v>
      </c>
      <c r="D301">
        <v>100</v>
      </c>
      <c r="E301">
        <v>1600</v>
      </c>
      <c r="F301" t="str">
        <f t="shared" si="19"/>
        <v>text256_blurkernel8_7_100_1600</v>
      </c>
      <c r="G301">
        <f>IFERROR(VLOOKUP(F301,SROU03!$F:$H,2,FALSE),0)</f>
        <v>12.444696</v>
      </c>
      <c r="H301">
        <f>IFERROR(VLOOKUP(F301,SROU03!$F:$H,3,FALSE),0)</f>
        <v>14.323130000000001</v>
      </c>
      <c r="I301">
        <v>1.4369900000000001E-4</v>
      </c>
      <c r="J301">
        <v>1.1763000000000001E-5</v>
      </c>
      <c r="K301">
        <v>26.280899999999999</v>
      </c>
      <c r="L301">
        <v>2.7492999999999999</v>
      </c>
      <c r="M301">
        <f>IFERROR(VLOOKUP(F301,TICO09!$F:$O,8,FALSE),0)</f>
        <v>18.659199999999998</v>
      </c>
      <c r="N301">
        <f>IFERROR(VLOOKUP(F301,SROU03!$F:$O,9,FALSE),0)</f>
        <v>28.442499999999999</v>
      </c>
      <c r="O301">
        <v>30.718699999999998</v>
      </c>
      <c r="P301" t="str">
        <f t="shared" si="20"/>
        <v>BM3D</v>
      </c>
      <c r="Q301">
        <f t="shared" si="21"/>
        <v>30.718699999999998</v>
      </c>
      <c r="R301">
        <f>VLOOKUP(P301,'Color codes'!$A:$B,2,FALSE)</f>
        <v>1</v>
      </c>
      <c r="S301">
        <f>TRUNC(VLOOKUP(P301,'Color codes'!$A:$E,3,FALSE)*(0.25 + 0.75*Q301/40))</f>
        <v>210</v>
      </c>
      <c r="T301">
        <f>TRUNC(VLOOKUP(P301,'Color codes'!$A:$E,4,FALSE)*(0.25 + 0.75*Q301/40))</f>
        <v>88</v>
      </c>
      <c r="U301">
        <f>TRUNC(VLOOKUP(P301,'Color codes'!$A:$E,5,FALSE)*(0.25 + 0.75*Q301/40))</f>
        <v>85</v>
      </c>
      <c r="V301" t="b">
        <f t="shared" si="22"/>
        <v>1</v>
      </c>
    </row>
    <row r="302" spans="1:22" x14ac:dyDescent="0.25">
      <c r="A302" t="s">
        <v>20</v>
      </c>
      <c r="B302" t="s">
        <v>16</v>
      </c>
      <c r="C302">
        <v>7</v>
      </c>
      <c r="D302">
        <v>100</v>
      </c>
      <c r="E302">
        <v>3200</v>
      </c>
      <c r="F302" t="str">
        <f t="shared" si="19"/>
        <v>text256_blurkernel8_7_100_3200</v>
      </c>
      <c r="G302">
        <f>IFERROR(VLOOKUP(F302,SROU03!$F:$H,2,FALSE),0)</f>
        <v>10.518046999999999</v>
      </c>
      <c r="H302">
        <f>IFERROR(VLOOKUP(F302,SROU03!$F:$H,3,FALSE),0)</f>
        <v>14.036918</v>
      </c>
      <c r="I302">
        <v>2.8972999999999998E-4</v>
      </c>
      <c r="J302">
        <v>1.1763000000000001E-5</v>
      </c>
      <c r="K302">
        <v>23.2121</v>
      </c>
      <c r="L302">
        <v>2.7492999999999999</v>
      </c>
      <c r="M302">
        <f>IFERROR(VLOOKUP(F302,TICO09!$F:$O,8,FALSE),0)</f>
        <v>18.225999999999999</v>
      </c>
      <c r="N302">
        <f>IFERROR(VLOOKUP(F302,SROU03!$F:$O,9,FALSE),0)</f>
        <v>26.395600000000002</v>
      </c>
      <c r="O302">
        <v>27.805</v>
      </c>
      <c r="P302" t="str">
        <f t="shared" si="20"/>
        <v>BM3D</v>
      </c>
      <c r="Q302">
        <f t="shared" si="21"/>
        <v>27.805</v>
      </c>
      <c r="R302">
        <f>VLOOKUP(P302,'Color codes'!$A:$B,2,FALSE)</f>
        <v>1</v>
      </c>
      <c r="S302">
        <f>TRUNC(VLOOKUP(P302,'Color codes'!$A:$E,3,FALSE)*(0.25 + 0.75*Q302/40))</f>
        <v>196</v>
      </c>
      <c r="T302">
        <f>TRUNC(VLOOKUP(P302,'Color codes'!$A:$E,4,FALSE)*(0.25 + 0.75*Q302/40))</f>
        <v>82</v>
      </c>
      <c r="U302">
        <f>TRUNC(VLOOKUP(P302,'Color codes'!$A:$E,5,FALSE)*(0.25 + 0.75*Q302/40))</f>
        <v>80</v>
      </c>
      <c r="V302" t="b">
        <f t="shared" si="22"/>
        <v>1</v>
      </c>
    </row>
    <row r="303" spans="1:22" x14ac:dyDescent="0.25">
      <c r="A303" t="s">
        <v>20</v>
      </c>
      <c r="B303" t="s">
        <v>16</v>
      </c>
      <c r="C303">
        <v>7</v>
      </c>
      <c r="D303">
        <v>100</v>
      </c>
      <c r="E303">
        <v>6400</v>
      </c>
      <c r="F303" t="str">
        <f t="shared" si="19"/>
        <v>text256_blurkernel8_7_100_6400</v>
      </c>
      <c r="G303">
        <f>IFERROR(VLOOKUP(F303,SROU03!$F:$H,2,FALSE),0)</f>
        <v>9.3620669999999997</v>
      </c>
      <c r="H303">
        <f>IFERROR(VLOOKUP(F303,SROU03!$F:$H,3,FALSE),0)</f>
        <v>13.893558000000001</v>
      </c>
      <c r="I303">
        <v>5.9030900000000002E-4</v>
      </c>
      <c r="J303">
        <v>1.1763000000000001E-5</v>
      </c>
      <c r="K303">
        <v>20.092099999999999</v>
      </c>
      <c r="L303">
        <v>2.7492999999999999</v>
      </c>
      <c r="M303">
        <f>IFERROR(VLOOKUP(F303,TICO09!$F:$O,8,FALSE),0)</f>
        <v>17.615600000000001</v>
      </c>
      <c r="N303">
        <f>IFERROR(VLOOKUP(F303,SROU03!$F:$O,9,FALSE),0)</f>
        <v>24.450900000000001</v>
      </c>
      <c r="O303">
        <v>24.948399999999999</v>
      </c>
      <c r="P303" t="str">
        <f t="shared" si="20"/>
        <v>BM3D</v>
      </c>
      <c r="Q303">
        <f t="shared" si="21"/>
        <v>24.948399999999999</v>
      </c>
      <c r="R303">
        <f>VLOOKUP(P303,'Color codes'!$A:$B,2,FALSE)</f>
        <v>1</v>
      </c>
      <c r="S303">
        <f>TRUNC(VLOOKUP(P303,'Color codes'!$A:$E,3,FALSE)*(0.25 + 0.75*Q303/40))</f>
        <v>183</v>
      </c>
      <c r="T303">
        <f>TRUNC(VLOOKUP(P303,'Color codes'!$A:$E,4,FALSE)*(0.25 + 0.75*Q303/40))</f>
        <v>76</v>
      </c>
      <c r="U303">
        <f>TRUNC(VLOOKUP(P303,'Color codes'!$A:$E,5,FALSE)*(0.25 + 0.75*Q303/40))</f>
        <v>74</v>
      </c>
      <c r="V303" t="b">
        <f t="shared" si="22"/>
        <v>0</v>
      </c>
    </row>
    <row r="304" spans="1:22" x14ac:dyDescent="0.25">
      <c r="A304" t="s">
        <v>20</v>
      </c>
      <c r="B304" t="s">
        <v>16</v>
      </c>
      <c r="C304">
        <v>7</v>
      </c>
      <c r="D304">
        <v>100</v>
      </c>
      <c r="E304">
        <v>12800</v>
      </c>
      <c r="F304" t="str">
        <f t="shared" si="19"/>
        <v>text256_blurkernel8_7_100_12800</v>
      </c>
      <c r="G304">
        <f>IFERROR(VLOOKUP(F304,SROU03!$F:$H,2,FALSE),0)</f>
        <v>8.7191329999999994</v>
      </c>
      <c r="H304">
        <f>IFERROR(VLOOKUP(F304,SROU03!$F:$H,3,FALSE),0)</f>
        <v>13.835219</v>
      </c>
      <c r="I304">
        <v>1.1978539999999999E-3</v>
      </c>
      <c r="J304">
        <v>1.1763000000000001E-5</v>
      </c>
      <c r="K304">
        <v>16.9925</v>
      </c>
      <c r="L304">
        <v>2.7492999999999999</v>
      </c>
      <c r="M304">
        <f>IFERROR(VLOOKUP(F304,TICO09!$F:$O,8,FALSE),0)</f>
        <v>16.347000000000001</v>
      </c>
      <c r="N304">
        <f>IFERROR(VLOOKUP(F304,SROU03!$F:$O,9,FALSE),0)</f>
        <v>21.9695</v>
      </c>
      <c r="O304">
        <v>21.956900000000001</v>
      </c>
      <c r="P304" t="str">
        <f t="shared" si="20"/>
        <v>SROU03</v>
      </c>
      <c r="Q304">
        <f t="shared" si="21"/>
        <v>21.9695</v>
      </c>
      <c r="R304">
        <f>VLOOKUP(P304,'Color codes'!$A:$B,2,FALSE)</f>
        <v>3</v>
      </c>
      <c r="S304">
        <f>TRUNC(VLOOKUP(P304,'Color codes'!$A:$E,3,FALSE)*(0.25 + 0.75*Q304/40))</f>
        <v>70</v>
      </c>
      <c r="T304">
        <f>TRUNC(VLOOKUP(P304,'Color codes'!$A:$E,4,FALSE)*(0.25 + 0.75*Q304/40))</f>
        <v>116</v>
      </c>
      <c r="U304">
        <f>TRUNC(VLOOKUP(P304,'Color codes'!$A:$E,5,FALSE)*(0.25 + 0.75*Q304/40))</f>
        <v>168</v>
      </c>
      <c r="V304" t="b">
        <f t="shared" si="22"/>
        <v>0</v>
      </c>
    </row>
    <row r="305" spans="1:22" x14ac:dyDescent="0.25">
      <c r="A305" t="s">
        <v>20</v>
      </c>
      <c r="B305" t="s">
        <v>16</v>
      </c>
      <c r="C305">
        <v>7</v>
      </c>
      <c r="D305">
        <v>100</v>
      </c>
      <c r="E305">
        <v>25600</v>
      </c>
      <c r="F305" t="str">
        <f t="shared" si="19"/>
        <v>text256_blurkernel8_7_100_25600</v>
      </c>
      <c r="G305">
        <f>IFERROR(VLOOKUP(F305,SROU03!$F:$H,2,FALSE),0)</f>
        <v>8.3399239999999999</v>
      </c>
      <c r="H305">
        <f>IFERROR(VLOOKUP(F305,SROU03!$F:$H,3,FALSE),0)</f>
        <v>13.819267</v>
      </c>
      <c r="I305">
        <v>2.539908E-3</v>
      </c>
      <c r="J305">
        <v>1.1763000000000001E-5</v>
      </c>
      <c r="K305">
        <v>13.7036</v>
      </c>
      <c r="L305">
        <v>2.7492999999999999</v>
      </c>
      <c r="M305">
        <f>IFERROR(VLOOKUP(F305,TICO09!$F:$O,8,FALSE),0)</f>
        <v>14.575100000000001</v>
      </c>
      <c r="N305">
        <f>IFERROR(VLOOKUP(F305,SROU03!$F:$O,9,FALSE),0)</f>
        <v>19.665900000000001</v>
      </c>
      <c r="O305">
        <v>18.869199999999999</v>
      </c>
      <c r="P305" t="str">
        <f t="shared" si="20"/>
        <v>SROU03</v>
      </c>
      <c r="Q305">
        <f t="shared" si="21"/>
        <v>19.665900000000001</v>
      </c>
      <c r="R305">
        <f>VLOOKUP(P305,'Color codes'!$A:$B,2,FALSE)</f>
        <v>3</v>
      </c>
      <c r="S305">
        <f>TRUNC(VLOOKUP(P305,'Color codes'!$A:$E,3,FALSE)*(0.25 + 0.75*Q305/40))</f>
        <v>66</v>
      </c>
      <c r="T305">
        <f>TRUNC(VLOOKUP(P305,'Color codes'!$A:$E,4,FALSE)*(0.25 + 0.75*Q305/40))</f>
        <v>108</v>
      </c>
      <c r="U305">
        <f>TRUNC(VLOOKUP(P305,'Color codes'!$A:$E,5,FALSE)*(0.25 + 0.75*Q305/40))</f>
        <v>157</v>
      </c>
      <c r="V305" t="b">
        <f t="shared" si="22"/>
        <v>0</v>
      </c>
    </row>
    <row r="306" spans="1:22" x14ac:dyDescent="0.25">
      <c r="A306" t="s">
        <v>20</v>
      </c>
      <c r="B306" t="s">
        <v>16</v>
      </c>
      <c r="C306">
        <v>15</v>
      </c>
      <c r="D306">
        <v>100</v>
      </c>
      <c r="E306">
        <v>200</v>
      </c>
      <c r="F306" t="str">
        <f t="shared" si="19"/>
        <v>text256_blurkernel8_15_100_200</v>
      </c>
      <c r="G306">
        <f>IFERROR(VLOOKUP(F306,SROU03!$F:$H,2,FALSE),0)</f>
        <v>27.878312999999999</v>
      </c>
      <c r="H306">
        <f>IFERROR(VLOOKUP(F306,SROU03!$F:$H,3,FALSE),0)</f>
        <v>38.308503000000002</v>
      </c>
      <c r="I306">
        <v>1.6945000000000001E-5</v>
      </c>
      <c r="J306">
        <v>1.4097000000000001E-5</v>
      </c>
      <c r="K306">
        <v>35.613100000000003</v>
      </c>
      <c r="L306">
        <v>1.6826000000000001</v>
      </c>
      <c r="M306">
        <f>IFERROR(VLOOKUP(F306,TICO09!$F:$O,8,FALSE),0)</f>
        <v>19.766100000000002</v>
      </c>
      <c r="N306">
        <f>IFERROR(VLOOKUP(F306,SROU03!$F:$O,9,FALSE),0)</f>
        <v>35.950899999999997</v>
      </c>
      <c r="O306">
        <v>39.740299999999998</v>
      </c>
      <c r="P306" t="str">
        <f t="shared" si="20"/>
        <v>BM3D</v>
      </c>
      <c r="Q306">
        <f t="shared" si="21"/>
        <v>39.740299999999998</v>
      </c>
      <c r="R306">
        <f>VLOOKUP(P306,'Color codes'!$A:$B,2,FALSE)</f>
        <v>1</v>
      </c>
      <c r="S306">
        <f>TRUNC(VLOOKUP(P306,'Color codes'!$A:$E,3,FALSE)*(0.25 + 0.75*Q306/40))</f>
        <v>253</v>
      </c>
      <c r="T306">
        <f>TRUNC(VLOOKUP(P306,'Color codes'!$A:$E,4,FALSE)*(0.25 + 0.75*Q306/40))</f>
        <v>106</v>
      </c>
      <c r="U306">
        <f>TRUNC(VLOOKUP(P306,'Color codes'!$A:$E,5,FALSE)*(0.25 + 0.75*Q306/40))</f>
        <v>103</v>
      </c>
      <c r="V306" t="b">
        <f t="shared" si="22"/>
        <v>1</v>
      </c>
    </row>
    <row r="307" spans="1:22" x14ac:dyDescent="0.25">
      <c r="A307" t="s">
        <v>20</v>
      </c>
      <c r="B307" t="s">
        <v>16</v>
      </c>
      <c r="C307">
        <v>15</v>
      </c>
      <c r="D307">
        <v>100</v>
      </c>
      <c r="E307">
        <v>400</v>
      </c>
      <c r="F307" t="str">
        <f t="shared" si="19"/>
        <v>text256_blurkernel8_15_100_400</v>
      </c>
      <c r="G307">
        <f>IFERROR(VLOOKUP(F307,SROU03!$F:$H,2,FALSE),0)</f>
        <v>19.679722999999999</v>
      </c>
      <c r="H307">
        <f>IFERROR(VLOOKUP(F307,SROU03!$F:$H,3,FALSE),0)</f>
        <v>33.325730999999998</v>
      </c>
      <c r="I307">
        <v>3.5033000000000002E-5</v>
      </c>
      <c r="J307">
        <v>1.4097000000000001E-5</v>
      </c>
      <c r="K307">
        <v>32.449800000000003</v>
      </c>
      <c r="L307">
        <v>1.6826000000000001</v>
      </c>
      <c r="M307">
        <f>IFERROR(VLOOKUP(F307,TICO09!$F:$O,8,FALSE),0)</f>
        <v>19.6891</v>
      </c>
      <c r="N307">
        <f>IFERROR(VLOOKUP(F307,SROU03!$F:$O,9,FALSE),0)</f>
        <v>32.974200000000003</v>
      </c>
      <c r="O307">
        <v>36.6113</v>
      </c>
      <c r="P307" t="str">
        <f t="shared" si="20"/>
        <v>BM3D</v>
      </c>
      <c r="Q307">
        <f t="shared" si="21"/>
        <v>36.6113</v>
      </c>
      <c r="R307">
        <f>VLOOKUP(P307,'Color codes'!$A:$B,2,FALSE)</f>
        <v>1</v>
      </c>
      <c r="S307">
        <f>TRUNC(VLOOKUP(P307,'Color codes'!$A:$E,3,FALSE)*(0.25 + 0.75*Q307/40))</f>
        <v>238</v>
      </c>
      <c r="T307">
        <f>TRUNC(VLOOKUP(P307,'Color codes'!$A:$E,4,FALSE)*(0.25 + 0.75*Q307/40))</f>
        <v>100</v>
      </c>
      <c r="U307">
        <f>TRUNC(VLOOKUP(P307,'Color codes'!$A:$E,5,FALSE)*(0.25 + 0.75*Q307/40))</f>
        <v>97</v>
      </c>
      <c r="V307" t="b">
        <f t="shared" si="22"/>
        <v>1</v>
      </c>
    </row>
    <row r="308" spans="1:22" x14ac:dyDescent="0.25">
      <c r="A308" t="s">
        <v>20</v>
      </c>
      <c r="B308" t="s">
        <v>16</v>
      </c>
      <c r="C308">
        <v>15</v>
      </c>
      <c r="D308">
        <v>100</v>
      </c>
      <c r="E308">
        <v>800</v>
      </c>
      <c r="F308" t="str">
        <f t="shared" si="19"/>
        <v>text256_blurkernel8_15_100_800</v>
      </c>
      <c r="G308">
        <f>IFERROR(VLOOKUP(F308,SROU03!$F:$H,2,FALSE),0)</f>
        <v>14.086884</v>
      </c>
      <c r="H308">
        <f>IFERROR(VLOOKUP(F308,SROU03!$F:$H,3,FALSE),0)</f>
        <v>30.568629999999999</v>
      </c>
      <c r="I308">
        <v>7.2219999999999996E-5</v>
      </c>
      <c r="J308">
        <v>1.4097000000000001E-5</v>
      </c>
      <c r="K308">
        <v>29.301300000000001</v>
      </c>
      <c r="L308">
        <v>1.6826000000000001</v>
      </c>
      <c r="M308">
        <f>IFERROR(VLOOKUP(F308,TICO09!$F:$O,8,FALSE),0)</f>
        <v>19.5457</v>
      </c>
      <c r="N308">
        <f>IFERROR(VLOOKUP(F308,SROU03!$F:$O,9,FALSE),0)</f>
        <v>30.159300000000002</v>
      </c>
      <c r="O308">
        <v>33.455199999999998</v>
      </c>
      <c r="P308" t="str">
        <f t="shared" si="20"/>
        <v>BM3D</v>
      </c>
      <c r="Q308">
        <f t="shared" si="21"/>
        <v>33.455199999999998</v>
      </c>
      <c r="R308">
        <f>VLOOKUP(P308,'Color codes'!$A:$B,2,FALSE)</f>
        <v>1</v>
      </c>
      <c r="S308">
        <f>TRUNC(VLOOKUP(P308,'Color codes'!$A:$E,3,FALSE)*(0.25 + 0.75*Q308/40))</f>
        <v>223</v>
      </c>
      <c r="T308">
        <f>TRUNC(VLOOKUP(P308,'Color codes'!$A:$E,4,FALSE)*(0.25 + 0.75*Q308/40))</f>
        <v>93</v>
      </c>
      <c r="U308">
        <f>TRUNC(VLOOKUP(P308,'Color codes'!$A:$E,5,FALSE)*(0.25 + 0.75*Q308/40))</f>
        <v>91</v>
      </c>
      <c r="V308" t="b">
        <f t="shared" si="22"/>
        <v>1</v>
      </c>
    </row>
    <row r="309" spans="1:22" x14ac:dyDescent="0.25">
      <c r="A309" t="s">
        <v>20</v>
      </c>
      <c r="B309" t="s">
        <v>16</v>
      </c>
      <c r="C309">
        <v>15</v>
      </c>
      <c r="D309">
        <v>100</v>
      </c>
      <c r="E309">
        <v>1600</v>
      </c>
      <c r="F309" t="str">
        <f t="shared" si="19"/>
        <v>text256_blurkernel8_15_100_1600</v>
      </c>
      <c r="G309">
        <f>IFERROR(VLOOKUP(F309,SROU03!$F:$H,2,FALSE),0)</f>
        <v>10.394702000000001</v>
      </c>
      <c r="H309">
        <f>IFERROR(VLOOKUP(F309,SROU03!$F:$H,3,FALSE),0)</f>
        <v>29.221384</v>
      </c>
      <c r="I309">
        <v>1.4440199999999999E-4</v>
      </c>
      <c r="J309">
        <v>1.4097000000000001E-5</v>
      </c>
      <c r="K309">
        <v>26.2668</v>
      </c>
      <c r="L309">
        <v>1.6826000000000001</v>
      </c>
      <c r="M309">
        <f>IFERROR(VLOOKUP(F309,TICO09!$F:$O,8,FALSE),0)</f>
        <v>19.396100000000001</v>
      </c>
      <c r="N309">
        <f>IFERROR(VLOOKUP(F309,SROU03!$F:$O,9,FALSE),0)</f>
        <v>27.549499999999998</v>
      </c>
      <c r="O309">
        <v>30.684100000000001</v>
      </c>
      <c r="P309" t="str">
        <f t="shared" si="20"/>
        <v>BM3D</v>
      </c>
      <c r="Q309">
        <f t="shared" si="21"/>
        <v>30.684100000000001</v>
      </c>
      <c r="R309">
        <f>VLOOKUP(P309,'Color codes'!$A:$B,2,FALSE)</f>
        <v>1</v>
      </c>
      <c r="S309">
        <f>TRUNC(VLOOKUP(P309,'Color codes'!$A:$E,3,FALSE)*(0.25 + 0.75*Q309/40))</f>
        <v>210</v>
      </c>
      <c r="T309">
        <f>TRUNC(VLOOKUP(P309,'Color codes'!$A:$E,4,FALSE)*(0.25 + 0.75*Q309/40))</f>
        <v>88</v>
      </c>
      <c r="U309">
        <f>TRUNC(VLOOKUP(P309,'Color codes'!$A:$E,5,FALSE)*(0.25 + 0.75*Q309/40))</f>
        <v>85</v>
      </c>
      <c r="V309" t="b">
        <f t="shared" si="22"/>
        <v>1</v>
      </c>
    </row>
    <row r="310" spans="1:22" x14ac:dyDescent="0.25">
      <c r="A310" t="s">
        <v>20</v>
      </c>
      <c r="B310" t="s">
        <v>16</v>
      </c>
      <c r="C310">
        <v>15</v>
      </c>
      <c r="D310">
        <v>100</v>
      </c>
      <c r="E310">
        <v>3200</v>
      </c>
      <c r="F310" t="str">
        <f t="shared" si="19"/>
        <v>text256_blurkernel8_15_100_3200</v>
      </c>
      <c r="G310">
        <f>IFERROR(VLOOKUP(F310,SROU03!$F:$H,2,FALSE),0)</f>
        <v>8.0231630000000003</v>
      </c>
      <c r="H310">
        <f>IFERROR(VLOOKUP(F310,SROU03!$F:$H,3,FALSE),0)</f>
        <v>28.485514999999999</v>
      </c>
      <c r="I310">
        <v>2.90413E-4</v>
      </c>
      <c r="J310">
        <v>1.4097000000000001E-5</v>
      </c>
      <c r="K310">
        <v>23.207899999999999</v>
      </c>
      <c r="L310">
        <v>1.6826000000000001</v>
      </c>
      <c r="M310">
        <f>IFERROR(VLOOKUP(F310,TICO09!$F:$O,8,FALSE),0)</f>
        <v>18.929300000000001</v>
      </c>
      <c r="N310">
        <f>IFERROR(VLOOKUP(F310,SROU03!$F:$O,9,FALSE),0)</f>
        <v>25.215299999999999</v>
      </c>
      <c r="O310">
        <v>27.698399999999999</v>
      </c>
      <c r="P310" t="str">
        <f t="shared" si="20"/>
        <v>BM3D</v>
      </c>
      <c r="Q310">
        <f t="shared" si="21"/>
        <v>27.698399999999999</v>
      </c>
      <c r="R310">
        <f>VLOOKUP(P310,'Color codes'!$A:$B,2,FALSE)</f>
        <v>1</v>
      </c>
      <c r="S310">
        <f>TRUNC(VLOOKUP(P310,'Color codes'!$A:$E,3,FALSE)*(0.25 + 0.75*Q310/40))</f>
        <v>196</v>
      </c>
      <c r="T310">
        <f>TRUNC(VLOOKUP(P310,'Color codes'!$A:$E,4,FALSE)*(0.25 + 0.75*Q310/40))</f>
        <v>82</v>
      </c>
      <c r="U310">
        <f>TRUNC(VLOOKUP(P310,'Color codes'!$A:$E,5,FALSE)*(0.25 + 0.75*Q310/40))</f>
        <v>80</v>
      </c>
      <c r="V310" t="b">
        <f t="shared" si="22"/>
        <v>1</v>
      </c>
    </row>
    <row r="311" spans="1:22" x14ac:dyDescent="0.25">
      <c r="A311" t="s">
        <v>20</v>
      </c>
      <c r="B311" t="s">
        <v>16</v>
      </c>
      <c r="C311">
        <v>15</v>
      </c>
      <c r="D311">
        <v>100</v>
      </c>
      <c r="E311">
        <v>6400</v>
      </c>
      <c r="F311" t="str">
        <f t="shared" si="19"/>
        <v>text256_blurkernel8_15_100_6400</v>
      </c>
      <c r="G311">
        <f>IFERROR(VLOOKUP(F311,SROU03!$F:$H,2,FALSE),0)</f>
        <v>6.5085490000000004</v>
      </c>
      <c r="H311">
        <f>IFERROR(VLOOKUP(F311,SROU03!$F:$H,3,FALSE),0)</f>
        <v>28.175173000000001</v>
      </c>
      <c r="I311">
        <v>5.8763299999999995E-4</v>
      </c>
      <c r="J311">
        <v>1.4097000000000001E-5</v>
      </c>
      <c r="K311">
        <v>20.113600000000002</v>
      </c>
      <c r="L311">
        <v>1.6826000000000001</v>
      </c>
      <c r="M311">
        <f>IFERROR(VLOOKUP(F311,TICO09!$F:$O,8,FALSE),0)</f>
        <v>18.106200000000001</v>
      </c>
      <c r="N311">
        <f>IFERROR(VLOOKUP(F311,SROU03!$F:$O,9,FALSE),0)</f>
        <v>23.036100000000001</v>
      </c>
      <c r="O311">
        <v>24.8919</v>
      </c>
      <c r="P311" t="str">
        <f t="shared" si="20"/>
        <v>BM3D</v>
      </c>
      <c r="Q311">
        <f t="shared" si="21"/>
        <v>24.8919</v>
      </c>
      <c r="R311">
        <f>VLOOKUP(P311,'Color codes'!$A:$B,2,FALSE)</f>
        <v>1</v>
      </c>
      <c r="S311">
        <f>TRUNC(VLOOKUP(P311,'Color codes'!$A:$E,3,FALSE)*(0.25 + 0.75*Q311/40))</f>
        <v>182</v>
      </c>
      <c r="T311">
        <f>TRUNC(VLOOKUP(P311,'Color codes'!$A:$E,4,FALSE)*(0.25 + 0.75*Q311/40))</f>
        <v>76</v>
      </c>
      <c r="U311">
        <f>TRUNC(VLOOKUP(P311,'Color codes'!$A:$E,5,FALSE)*(0.25 + 0.75*Q311/40))</f>
        <v>74</v>
      </c>
      <c r="V311" t="b">
        <f t="shared" si="22"/>
        <v>1</v>
      </c>
    </row>
    <row r="312" spans="1:22" x14ac:dyDescent="0.25">
      <c r="A312" t="s">
        <v>20</v>
      </c>
      <c r="B312" t="s">
        <v>16</v>
      </c>
      <c r="C312">
        <v>15</v>
      </c>
      <c r="D312">
        <v>100</v>
      </c>
      <c r="E312">
        <v>12800</v>
      </c>
      <c r="F312" t="str">
        <f t="shared" si="19"/>
        <v>text256_blurkernel8_15_100_12800</v>
      </c>
      <c r="G312">
        <f>IFERROR(VLOOKUP(F312,SROU03!$F:$H,2,FALSE),0)</f>
        <v>5.5812790000000003</v>
      </c>
      <c r="H312">
        <f>IFERROR(VLOOKUP(F312,SROU03!$F:$H,3,FALSE),0)</f>
        <v>27.957149000000001</v>
      </c>
      <c r="I312">
        <v>1.1887619999999999E-3</v>
      </c>
      <c r="J312">
        <v>1.4097000000000001E-5</v>
      </c>
      <c r="K312">
        <v>17.0242</v>
      </c>
      <c r="L312">
        <v>1.6826000000000001</v>
      </c>
      <c r="M312">
        <f>IFERROR(VLOOKUP(F312,TICO09!$F:$O,8,FALSE),0)</f>
        <v>16.769400000000001</v>
      </c>
      <c r="N312">
        <f>IFERROR(VLOOKUP(F312,SROU03!$F:$O,9,FALSE),0)</f>
        <v>21.031300000000002</v>
      </c>
      <c r="O312">
        <v>21.981300000000001</v>
      </c>
      <c r="P312" t="str">
        <f t="shared" si="20"/>
        <v>BM3D</v>
      </c>
      <c r="Q312">
        <f t="shared" si="21"/>
        <v>21.981300000000001</v>
      </c>
      <c r="R312">
        <f>VLOOKUP(P312,'Color codes'!$A:$B,2,FALSE)</f>
        <v>1</v>
      </c>
      <c r="S312">
        <f>TRUNC(VLOOKUP(P312,'Color codes'!$A:$E,3,FALSE)*(0.25 + 0.75*Q312/40))</f>
        <v>168</v>
      </c>
      <c r="T312">
        <f>TRUNC(VLOOKUP(P312,'Color codes'!$A:$E,4,FALSE)*(0.25 + 0.75*Q312/40))</f>
        <v>70</v>
      </c>
      <c r="U312">
        <f>TRUNC(VLOOKUP(P312,'Color codes'!$A:$E,5,FALSE)*(0.25 + 0.75*Q312/40))</f>
        <v>68</v>
      </c>
      <c r="V312" t="b">
        <f t="shared" si="22"/>
        <v>0</v>
      </c>
    </row>
    <row r="313" spans="1:22" x14ac:dyDescent="0.25">
      <c r="A313" t="s">
        <v>20</v>
      </c>
      <c r="B313" t="s">
        <v>16</v>
      </c>
      <c r="C313">
        <v>15</v>
      </c>
      <c r="D313">
        <v>100</v>
      </c>
      <c r="E313">
        <v>25600</v>
      </c>
      <c r="F313" t="str">
        <f t="shared" si="19"/>
        <v>text256_blurkernel8_15_100_25600</v>
      </c>
      <c r="G313">
        <f>IFERROR(VLOOKUP(F313,SROU03!$F:$H,2,FALSE),0)</f>
        <v>5.0587039999999996</v>
      </c>
      <c r="H313">
        <f>IFERROR(VLOOKUP(F313,SROU03!$F:$H,3,FALSE),0)</f>
        <v>27.924244999999999</v>
      </c>
      <c r="I313">
        <v>2.5302269999999999E-3</v>
      </c>
      <c r="J313">
        <v>1.4097000000000001E-5</v>
      </c>
      <c r="K313">
        <v>13.720499999999999</v>
      </c>
      <c r="L313">
        <v>1.6826000000000001</v>
      </c>
      <c r="M313">
        <f>IFERROR(VLOOKUP(F313,TICO09!$F:$O,8,FALSE),0)</f>
        <v>14.7521</v>
      </c>
      <c r="N313">
        <f>IFERROR(VLOOKUP(F313,SROU03!$F:$O,9,FALSE),0)</f>
        <v>19.059799999999999</v>
      </c>
      <c r="O313">
        <v>18.968900000000001</v>
      </c>
      <c r="P313" t="str">
        <f t="shared" si="20"/>
        <v>SROU03</v>
      </c>
      <c r="Q313">
        <f t="shared" si="21"/>
        <v>19.059799999999999</v>
      </c>
      <c r="R313">
        <f>VLOOKUP(P313,'Color codes'!$A:$B,2,FALSE)</f>
        <v>3</v>
      </c>
      <c r="S313">
        <f>TRUNC(VLOOKUP(P313,'Color codes'!$A:$E,3,FALSE)*(0.25 + 0.75*Q313/40))</f>
        <v>64</v>
      </c>
      <c r="T313">
        <f>TRUNC(VLOOKUP(P313,'Color codes'!$A:$E,4,FALSE)*(0.25 + 0.75*Q313/40))</f>
        <v>106</v>
      </c>
      <c r="U313">
        <f>TRUNC(VLOOKUP(P313,'Color codes'!$A:$E,5,FALSE)*(0.25 + 0.75*Q313/40))</f>
        <v>154</v>
      </c>
      <c r="V313" t="b">
        <f t="shared" si="22"/>
        <v>0</v>
      </c>
    </row>
    <row r="314" spans="1:22" x14ac:dyDescent="0.25">
      <c r="A314" t="s">
        <v>20</v>
      </c>
      <c r="B314" t="s">
        <v>16</v>
      </c>
      <c r="C314">
        <v>31</v>
      </c>
      <c r="D314">
        <v>100</v>
      </c>
      <c r="E314">
        <v>200</v>
      </c>
      <c r="F314" t="str">
        <f t="shared" si="19"/>
        <v>text256_blurkernel8_31_100_200</v>
      </c>
      <c r="G314">
        <f>IFERROR(VLOOKUP(F314,SROU03!$F:$H,2,FALSE),0)</f>
        <v>27.615354</v>
      </c>
      <c r="H314">
        <f>IFERROR(VLOOKUP(F314,SROU03!$F:$H,3,FALSE),0)</f>
        <v>77.569580000000002</v>
      </c>
      <c r="I314">
        <v>1.6711E-5</v>
      </c>
      <c r="J314">
        <v>1.6104E-5</v>
      </c>
      <c r="K314">
        <v>35.674399999999999</v>
      </c>
      <c r="L314">
        <v>0.86629999999999996</v>
      </c>
      <c r="M314">
        <f>IFERROR(VLOOKUP(F314,TICO09!$F:$O,8,FALSE),0)</f>
        <v>19.562100000000001</v>
      </c>
      <c r="N314">
        <f>IFERROR(VLOOKUP(F314,SROU03!$F:$O,9,FALSE),0)</f>
        <v>35.863799999999998</v>
      </c>
      <c r="O314">
        <v>39.8431</v>
      </c>
      <c r="P314" t="str">
        <f t="shared" si="20"/>
        <v>BM3D</v>
      </c>
      <c r="Q314">
        <f t="shared" si="21"/>
        <v>39.8431</v>
      </c>
      <c r="R314">
        <f>VLOOKUP(P314,'Color codes'!$A:$B,2,FALSE)</f>
        <v>1</v>
      </c>
      <c r="S314">
        <f>TRUNC(VLOOKUP(P314,'Color codes'!$A:$E,3,FALSE)*(0.25 + 0.75*Q314/40))</f>
        <v>254</v>
      </c>
      <c r="T314">
        <f>TRUNC(VLOOKUP(P314,'Color codes'!$A:$E,4,FALSE)*(0.25 + 0.75*Q314/40))</f>
        <v>106</v>
      </c>
      <c r="U314">
        <f>TRUNC(VLOOKUP(P314,'Color codes'!$A:$E,5,FALSE)*(0.25 + 0.75*Q314/40))</f>
        <v>103</v>
      </c>
      <c r="V314" t="b">
        <f t="shared" si="22"/>
        <v>1</v>
      </c>
    </row>
    <row r="315" spans="1:22" x14ac:dyDescent="0.25">
      <c r="A315" t="s">
        <v>20</v>
      </c>
      <c r="B315" t="s">
        <v>16</v>
      </c>
      <c r="C315">
        <v>31</v>
      </c>
      <c r="D315">
        <v>100</v>
      </c>
      <c r="E315">
        <v>400</v>
      </c>
      <c r="F315" t="str">
        <f t="shared" ref="F315:F362" si="23">A315&amp;"_"&amp;B315&amp;"_"&amp;C315&amp;"_"&amp;D315&amp;"_"&amp;E315</f>
        <v>text256_blurkernel8_31_100_400</v>
      </c>
      <c r="G315">
        <f>IFERROR(VLOOKUP(F315,SROU03!$F:$H,2,FALSE),0)</f>
        <v>19.211904000000001</v>
      </c>
      <c r="H315">
        <f>IFERROR(VLOOKUP(F315,SROU03!$F:$H,3,FALSE),0)</f>
        <v>66.651077000000001</v>
      </c>
      <c r="I315">
        <v>3.4783999999999998E-5</v>
      </c>
      <c r="J315">
        <v>1.6104E-5</v>
      </c>
      <c r="K315">
        <v>32.476300000000002</v>
      </c>
      <c r="L315">
        <v>0.86629999999999996</v>
      </c>
      <c r="M315">
        <f>IFERROR(VLOOKUP(F315,TICO09!$F:$O,8,FALSE),0)</f>
        <v>19.519200000000001</v>
      </c>
      <c r="N315">
        <f>IFERROR(VLOOKUP(F315,SROU03!$F:$O,9,FALSE),0)</f>
        <v>32.735799999999998</v>
      </c>
      <c r="O315">
        <v>36.6755</v>
      </c>
      <c r="P315" t="str">
        <f t="shared" ref="P315:P362" si="24">IF((O315&gt;(MAX(M315,N315))),"BM3D",IF(N315&gt;(MAX(M315,O315)),"SROU03","TICO09"))</f>
        <v>BM3D</v>
      </c>
      <c r="Q315">
        <f t="shared" si="21"/>
        <v>36.6755</v>
      </c>
      <c r="R315">
        <f>VLOOKUP(P315,'Color codes'!$A:$B,2,FALSE)</f>
        <v>1</v>
      </c>
      <c r="S315">
        <f>TRUNC(VLOOKUP(P315,'Color codes'!$A:$E,3,FALSE)*(0.25 + 0.75*Q315/40))</f>
        <v>239</v>
      </c>
      <c r="T315">
        <f>TRUNC(VLOOKUP(P315,'Color codes'!$A:$E,4,FALSE)*(0.25 + 0.75*Q315/40))</f>
        <v>100</v>
      </c>
      <c r="U315">
        <f>TRUNC(VLOOKUP(P315,'Color codes'!$A:$E,5,FALSE)*(0.25 + 0.75*Q315/40))</f>
        <v>97</v>
      </c>
      <c r="V315" t="b">
        <f t="shared" si="22"/>
        <v>1</v>
      </c>
    </row>
    <row r="316" spans="1:22" x14ac:dyDescent="0.25">
      <c r="A316" t="s">
        <v>20</v>
      </c>
      <c r="B316" t="s">
        <v>16</v>
      </c>
      <c r="C316">
        <v>31</v>
      </c>
      <c r="D316">
        <v>100</v>
      </c>
      <c r="E316">
        <v>800</v>
      </c>
      <c r="F316" t="str">
        <f t="shared" si="23"/>
        <v>text256_blurkernel8_31_100_800</v>
      </c>
      <c r="G316">
        <f>IFERROR(VLOOKUP(F316,SROU03!$F:$H,2,FALSE),0)</f>
        <v>13.615709000000001</v>
      </c>
      <c r="H316">
        <f>IFERROR(VLOOKUP(F316,SROU03!$F:$H,3,FALSE),0)</f>
        <v>60.735666000000002</v>
      </c>
      <c r="I316">
        <v>7.2927000000000002E-5</v>
      </c>
      <c r="J316">
        <v>1.6104E-5</v>
      </c>
      <c r="K316">
        <v>29.249099999999999</v>
      </c>
      <c r="L316">
        <v>0.86629999999999996</v>
      </c>
      <c r="M316">
        <f>IFERROR(VLOOKUP(F316,TICO09!$F:$O,8,FALSE),0)</f>
        <v>19.453099999999999</v>
      </c>
      <c r="N316">
        <f>IFERROR(VLOOKUP(F316,SROU03!$F:$O,9,FALSE),0)</f>
        <v>29.7866</v>
      </c>
      <c r="O316">
        <v>33.494700000000002</v>
      </c>
      <c r="P316" t="str">
        <f t="shared" si="24"/>
        <v>BM3D</v>
      </c>
      <c r="Q316">
        <f t="shared" si="21"/>
        <v>33.494700000000002</v>
      </c>
      <c r="R316">
        <f>VLOOKUP(P316,'Color codes'!$A:$B,2,FALSE)</f>
        <v>1</v>
      </c>
      <c r="S316">
        <f>TRUNC(VLOOKUP(P316,'Color codes'!$A:$E,3,FALSE)*(0.25 + 0.75*Q316/40))</f>
        <v>223</v>
      </c>
      <c r="T316">
        <f>TRUNC(VLOOKUP(P316,'Color codes'!$A:$E,4,FALSE)*(0.25 + 0.75*Q316/40))</f>
        <v>93</v>
      </c>
      <c r="U316">
        <f>TRUNC(VLOOKUP(P316,'Color codes'!$A:$E,5,FALSE)*(0.25 + 0.75*Q316/40))</f>
        <v>91</v>
      </c>
      <c r="V316" t="b">
        <f t="shared" si="22"/>
        <v>1</v>
      </c>
    </row>
    <row r="317" spans="1:22" x14ac:dyDescent="0.25">
      <c r="A317" t="s">
        <v>20</v>
      </c>
      <c r="B317" t="s">
        <v>16</v>
      </c>
      <c r="C317">
        <v>31</v>
      </c>
      <c r="D317">
        <v>100</v>
      </c>
      <c r="E317">
        <v>1600</v>
      </c>
      <c r="F317" t="str">
        <f t="shared" si="23"/>
        <v>text256_blurkernel8_31_100_1600</v>
      </c>
      <c r="G317">
        <f>IFERROR(VLOOKUP(F317,SROU03!$F:$H,2,FALSE),0)</f>
        <v>9.6910670000000003</v>
      </c>
      <c r="H317">
        <f>IFERROR(VLOOKUP(F317,SROU03!$F:$H,3,FALSE),0)</f>
        <v>57.744120000000002</v>
      </c>
      <c r="I317">
        <v>1.4327900000000001E-4</v>
      </c>
      <c r="J317">
        <v>1.6104E-5</v>
      </c>
      <c r="K317">
        <v>26.293399999999998</v>
      </c>
      <c r="L317">
        <v>0.86629999999999996</v>
      </c>
      <c r="M317">
        <f>IFERROR(VLOOKUP(F317,TICO09!$F:$O,8,FALSE),0)</f>
        <v>19.1981</v>
      </c>
      <c r="N317">
        <f>IFERROR(VLOOKUP(F317,SROU03!$F:$O,9,FALSE),0)</f>
        <v>26.952999999999999</v>
      </c>
      <c r="O317">
        <v>30.694500000000001</v>
      </c>
      <c r="P317" t="str">
        <f t="shared" si="24"/>
        <v>BM3D</v>
      </c>
      <c r="Q317">
        <f t="shared" si="21"/>
        <v>30.694500000000001</v>
      </c>
      <c r="R317">
        <f>VLOOKUP(P317,'Color codes'!$A:$B,2,FALSE)</f>
        <v>1</v>
      </c>
      <c r="S317">
        <f>TRUNC(VLOOKUP(P317,'Color codes'!$A:$E,3,FALSE)*(0.25 + 0.75*Q317/40))</f>
        <v>210</v>
      </c>
      <c r="T317">
        <f>TRUNC(VLOOKUP(P317,'Color codes'!$A:$E,4,FALSE)*(0.25 + 0.75*Q317/40))</f>
        <v>88</v>
      </c>
      <c r="U317">
        <f>TRUNC(VLOOKUP(P317,'Color codes'!$A:$E,5,FALSE)*(0.25 + 0.75*Q317/40))</f>
        <v>85</v>
      </c>
      <c r="V317" t="b">
        <f t="shared" si="22"/>
        <v>1</v>
      </c>
    </row>
    <row r="318" spans="1:22" x14ac:dyDescent="0.25">
      <c r="A318" t="s">
        <v>20</v>
      </c>
      <c r="B318" t="s">
        <v>16</v>
      </c>
      <c r="C318">
        <v>31</v>
      </c>
      <c r="D318">
        <v>100</v>
      </c>
      <c r="E318">
        <v>3200</v>
      </c>
      <c r="F318" t="str">
        <f t="shared" si="23"/>
        <v>text256_blurkernel8_31_100_3200</v>
      </c>
      <c r="G318">
        <f>IFERROR(VLOOKUP(F318,SROU03!$F:$H,2,FALSE),0)</f>
        <v>7.0922260000000001</v>
      </c>
      <c r="H318">
        <f>IFERROR(VLOOKUP(F318,SROU03!$F:$H,3,FALSE),0)</f>
        <v>56.091127999999998</v>
      </c>
      <c r="I318">
        <v>2.9318600000000002E-4</v>
      </c>
      <c r="J318">
        <v>1.6104E-5</v>
      </c>
      <c r="K318">
        <v>23.163699999999999</v>
      </c>
      <c r="L318">
        <v>0.86629999999999996</v>
      </c>
      <c r="M318">
        <f>IFERROR(VLOOKUP(F318,TICO09!$F:$O,8,FALSE),0)</f>
        <v>18.806100000000001</v>
      </c>
      <c r="N318">
        <f>IFERROR(VLOOKUP(F318,SROU03!$F:$O,9,FALSE),0)</f>
        <v>24.2319</v>
      </c>
      <c r="O318">
        <v>27.6494</v>
      </c>
      <c r="P318" t="str">
        <f t="shared" si="24"/>
        <v>BM3D</v>
      </c>
      <c r="Q318">
        <f t="shared" si="21"/>
        <v>27.6494</v>
      </c>
      <c r="R318">
        <f>VLOOKUP(P318,'Color codes'!$A:$B,2,FALSE)</f>
        <v>1</v>
      </c>
      <c r="S318">
        <f>TRUNC(VLOOKUP(P318,'Color codes'!$A:$E,3,FALSE)*(0.25 + 0.75*Q318/40))</f>
        <v>195</v>
      </c>
      <c r="T318">
        <f>TRUNC(VLOOKUP(P318,'Color codes'!$A:$E,4,FALSE)*(0.25 + 0.75*Q318/40))</f>
        <v>82</v>
      </c>
      <c r="U318">
        <f>TRUNC(VLOOKUP(P318,'Color codes'!$A:$E,5,FALSE)*(0.25 + 0.75*Q318/40))</f>
        <v>79</v>
      </c>
      <c r="V318" t="b">
        <f t="shared" si="22"/>
        <v>1</v>
      </c>
    </row>
    <row r="319" spans="1:22" x14ac:dyDescent="0.25">
      <c r="A319" t="s">
        <v>20</v>
      </c>
      <c r="B319" t="s">
        <v>16</v>
      </c>
      <c r="C319">
        <v>31</v>
      </c>
      <c r="D319">
        <v>100</v>
      </c>
      <c r="E319">
        <v>6400</v>
      </c>
      <c r="F319" t="str">
        <f t="shared" si="23"/>
        <v>text256_blurkernel8_31_100_6400</v>
      </c>
      <c r="G319">
        <f>IFERROR(VLOOKUP(F319,SROU03!$F:$H,2,FALSE),0)</f>
        <v>5.3397709999999998</v>
      </c>
      <c r="H319">
        <f>IFERROR(VLOOKUP(F319,SROU03!$F:$H,3,FALSE),0)</f>
        <v>55.429206999999998</v>
      </c>
      <c r="I319">
        <v>5.8777700000000005E-4</v>
      </c>
      <c r="J319">
        <v>1.6104E-5</v>
      </c>
      <c r="K319">
        <v>20.1187</v>
      </c>
      <c r="L319">
        <v>0.86629999999999996</v>
      </c>
      <c r="M319">
        <f>IFERROR(VLOOKUP(F319,TICO09!$F:$O,8,FALSE),0)</f>
        <v>17.950700000000001</v>
      </c>
      <c r="N319">
        <f>IFERROR(VLOOKUP(F319,SROU03!$F:$O,9,FALSE),0)</f>
        <v>21.669499999999999</v>
      </c>
      <c r="O319">
        <v>24.917999999999999</v>
      </c>
      <c r="P319" t="str">
        <f t="shared" si="24"/>
        <v>BM3D</v>
      </c>
      <c r="Q319">
        <f t="shared" si="21"/>
        <v>24.917999999999999</v>
      </c>
      <c r="R319">
        <f>VLOOKUP(P319,'Color codes'!$A:$B,2,FALSE)</f>
        <v>1</v>
      </c>
      <c r="S319">
        <f>TRUNC(VLOOKUP(P319,'Color codes'!$A:$E,3,FALSE)*(0.25 + 0.75*Q319/40))</f>
        <v>182</v>
      </c>
      <c r="T319">
        <f>TRUNC(VLOOKUP(P319,'Color codes'!$A:$E,4,FALSE)*(0.25 + 0.75*Q319/40))</f>
        <v>76</v>
      </c>
      <c r="U319">
        <f>TRUNC(VLOOKUP(P319,'Color codes'!$A:$E,5,FALSE)*(0.25 + 0.75*Q319/40))</f>
        <v>74</v>
      </c>
      <c r="V319" t="b">
        <f t="shared" si="22"/>
        <v>1</v>
      </c>
    </row>
    <row r="320" spans="1:22" x14ac:dyDescent="0.25">
      <c r="A320" t="s">
        <v>20</v>
      </c>
      <c r="B320" t="s">
        <v>16</v>
      </c>
      <c r="C320">
        <v>31</v>
      </c>
      <c r="D320">
        <v>100</v>
      </c>
      <c r="E320">
        <v>12800</v>
      </c>
      <c r="F320" t="str">
        <f t="shared" si="23"/>
        <v>text256_blurkernel8_31_100_12800</v>
      </c>
      <c r="G320">
        <f>IFERROR(VLOOKUP(F320,SROU03!$F:$H,2,FALSE),0)</f>
        <v>4.166207</v>
      </c>
      <c r="H320">
        <f>IFERROR(VLOOKUP(F320,SROU03!$F:$H,3,FALSE),0)</f>
        <v>54.903585999999997</v>
      </c>
      <c r="I320">
        <v>1.201148E-3</v>
      </c>
      <c r="J320">
        <v>1.6104E-5</v>
      </c>
      <c r="K320">
        <v>16.9801</v>
      </c>
      <c r="L320">
        <v>0.86629999999999996</v>
      </c>
      <c r="M320">
        <f>IFERROR(VLOOKUP(F320,TICO09!$F:$O,8,FALSE),0)</f>
        <v>16.6233</v>
      </c>
      <c r="N320">
        <f>IFERROR(VLOOKUP(F320,SROU03!$F:$O,9,FALSE),0)</f>
        <v>19.107199999999999</v>
      </c>
      <c r="O320">
        <v>21.9575</v>
      </c>
      <c r="P320" t="str">
        <f t="shared" si="24"/>
        <v>BM3D</v>
      </c>
      <c r="Q320">
        <f t="shared" si="21"/>
        <v>21.9575</v>
      </c>
      <c r="R320">
        <f>VLOOKUP(P320,'Color codes'!$A:$B,2,FALSE)</f>
        <v>1</v>
      </c>
      <c r="S320">
        <f>TRUNC(VLOOKUP(P320,'Color codes'!$A:$E,3,FALSE)*(0.25 + 0.75*Q320/40))</f>
        <v>168</v>
      </c>
      <c r="T320">
        <f>TRUNC(VLOOKUP(P320,'Color codes'!$A:$E,4,FALSE)*(0.25 + 0.75*Q320/40))</f>
        <v>70</v>
      </c>
      <c r="U320">
        <f>TRUNC(VLOOKUP(P320,'Color codes'!$A:$E,5,FALSE)*(0.25 + 0.75*Q320/40))</f>
        <v>68</v>
      </c>
      <c r="V320" t="b">
        <f t="shared" si="22"/>
        <v>1</v>
      </c>
    </row>
    <row r="321" spans="1:22" x14ac:dyDescent="0.25">
      <c r="A321" t="s">
        <v>20</v>
      </c>
      <c r="B321" t="s">
        <v>16</v>
      </c>
      <c r="C321">
        <v>31</v>
      </c>
      <c r="D321">
        <v>100</v>
      </c>
      <c r="E321">
        <v>25600</v>
      </c>
      <c r="F321" t="str">
        <f t="shared" si="23"/>
        <v>text256_blurkernel8_31_100_25600</v>
      </c>
      <c r="G321">
        <f>IFERROR(VLOOKUP(F321,SROU03!$F:$H,2,FALSE),0)</f>
        <v>3.434847</v>
      </c>
      <c r="H321">
        <f>IFERROR(VLOOKUP(F321,SROU03!$F:$H,3,FALSE),0)</f>
        <v>54.828158000000002</v>
      </c>
      <c r="I321">
        <v>2.4970470000000001E-3</v>
      </c>
      <c r="J321">
        <v>1.6104E-5</v>
      </c>
      <c r="K321">
        <v>13.777699999999999</v>
      </c>
      <c r="L321">
        <v>0.86629999999999996</v>
      </c>
      <c r="M321">
        <f>IFERROR(VLOOKUP(F321,TICO09!$F:$O,8,FALSE),0)</f>
        <v>14.859</v>
      </c>
      <c r="N321">
        <f>IFERROR(VLOOKUP(F321,SROU03!$F:$O,9,FALSE),0)</f>
        <v>16.9328</v>
      </c>
      <c r="O321">
        <v>19.007000000000001</v>
      </c>
      <c r="P321" t="str">
        <f t="shared" si="24"/>
        <v>BM3D</v>
      </c>
      <c r="Q321">
        <f t="shared" si="21"/>
        <v>19.007000000000001</v>
      </c>
      <c r="R321">
        <f>VLOOKUP(P321,'Color codes'!$A:$B,2,FALSE)</f>
        <v>1</v>
      </c>
      <c r="S321">
        <f>TRUNC(VLOOKUP(P321,'Color codes'!$A:$E,3,FALSE)*(0.25 + 0.75*Q321/40))</f>
        <v>154</v>
      </c>
      <c r="T321">
        <f>TRUNC(VLOOKUP(P321,'Color codes'!$A:$E,4,FALSE)*(0.25 + 0.75*Q321/40))</f>
        <v>64</v>
      </c>
      <c r="U321">
        <f>TRUNC(VLOOKUP(P321,'Color codes'!$A:$E,5,FALSE)*(0.25 + 0.75*Q321/40))</f>
        <v>63</v>
      </c>
      <c r="V321" t="b">
        <f t="shared" si="22"/>
        <v>1</v>
      </c>
    </row>
    <row r="322" spans="1:22" x14ac:dyDescent="0.25">
      <c r="A322" t="s">
        <v>20</v>
      </c>
      <c r="B322" t="s">
        <v>17</v>
      </c>
      <c r="C322">
        <v>3</v>
      </c>
      <c r="D322">
        <v>100</v>
      </c>
      <c r="E322">
        <v>200</v>
      </c>
      <c r="F322" t="str">
        <f t="shared" si="23"/>
        <v>text256_line_3_100_200</v>
      </c>
      <c r="G322">
        <f>IFERROR(VLOOKUP(F322,SROU03!$F:$H,2,FALSE),0)</f>
        <v>34.267941</v>
      </c>
      <c r="H322">
        <f>IFERROR(VLOOKUP(F322,SROU03!$F:$H,3,FALSE),0)</f>
        <v>6.6426590000000001</v>
      </c>
      <c r="I322">
        <v>1.6463000000000001E-5</v>
      </c>
      <c r="J322">
        <v>9.4199999999999996E-6</v>
      </c>
      <c r="K322">
        <v>35.730699999999999</v>
      </c>
      <c r="L322">
        <v>5.9851000000000001</v>
      </c>
      <c r="M322">
        <f>IFERROR(VLOOKUP(F322,TICO09!$F:$O,8,FALSE),0)</f>
        <v>18.498899999999999</v>
      </c>
      <c r="N322">
        <f>IFERROR(VLOOKUP(F322,SROU03!$F:$O,9,FALSE),0)</f>
        <v>37.531199999999998</v>
      </c>
      <c r="O322">
        <v>39.8185</v>
      </c>
      <c r="P322" t="str">
        <f t="shared" si="24"/>
        <v>BM3D</v>
      </c>
      <c r="Q322">
        <f t="shared" si="21"/>
        <v>39.8185</v>
      </c>
      <c r="R322">
        <f>VLOOKUP(P322,'Color codes'!$A:$B,2,FALSE)</f>
        <v>1</v>
      </c>
      <c r="S322">
        <f>TRUNC(VLOOKUP(P322,'Color codes'!$A:$E,3,FALSE)*(0.25 + 0.75*Q322/40))</f>
        <v>254</v>
      </c>
      <c r="T322">
        <f>TRUNC(VLOOKUP(P322,'Color codes'!$A:$E,4,FALSE)*(0.25 + 0.75*Q322/40))</f>
        <v>106</v>
      </c>
      <c r="U322">
        <f>TRUNC(VLOOKUP(P322,'Color codes'!$A:$E,5,FALSE)*(0.25 + 0.75*Q322/40))</f>
        <v>103</v>
      </c>
      <c r="V322" t="b">
        <f t="shared" si="22"/>
        <v>1</v>
      </c>
    </row>
    <row r="323" spans="1:22" x14ac:dyDescent="0.25">
      <c r="A323" t="s">
        <v>20</v>
      </c>
      <c r="B323" t="s">
        <v>17</v>
      </c>
      <c r="C323">
        <v>3</v>
      </c>
      <c r="D323">
        <v>100</v>
      </c>
      <c r="E323">
        <v>400</v>
      </c>
      <c r="F323" t="str">
        <f t="shared" si="23"/>
        <v>text256_line_3_100_400</v>
      </c>
      <c r="G323">
        <f>IFERROR(VLOOKUP(F323,SROU03!$F:$H,2,FALSE),0)</f>
        <v>28.127213000000001</v>
      </c>
      <c r="H323">
        <f>IFERROR(VLOOKUP(F323,SROU03!$F:$H,3,FALSE),0)</f>
        <v>5.976407</v>
      </c>
      <c r="I323">
        <v>3.4783999999999998E-5</v>
      </c>
      <c r="J323">
        <v>9.4199999999999996E-6</v>
      </c>
      <c r="K323">
        <v>32.477600000000002</v>
      </c>
      <c r="L323">
        <v>5.9851000000000001</v>
      </c>
      <c r="M323">
        <f>IFERROR(VLOOKUP(F323,TICO09!$F:$O,8,FALSE),0)</f>
        <v>18.488399999999999</v>
      </c>
      <c r="N323">
        <f>IFERROR(VLOOKUP(F323,SROU03!$F:$O,9,FALSE),0)</f>
        <v>35.377400000000002</v>
      </c>
      <c r="O323">
        <v>36.607700000000001</v>
      </c>
      <c r="P323" t="str">
        <f t="shared" si="24"/>
        <v>BM3D</v>
      </c>
      <c r="Q323">
        <f t="shared" ref="Q323:Q386" si="25">MAX(M323:O323)</f>
        <v>36.607700000000001</v>
      </c>
      <c r="R323">
        <f>VLOOKUP(P323,'Color codes'!$A:$B,2,FALSE)</f>
        <v>1</v>
      </c>
      <c r="S323">
        <f>TRUNC(VLOOKUP(P323,'Color codes'!$A:$E,3,FALSE)*(0.25 + 0.75*Q323/40))</f>
        <v>238</v>
      </c>
      <c r="T323">
        <f>TRUNC(VLOOKUP(P323,'Color codes'!$A:$E,4,FALSE)*(0.25 + 0.75*Q323/40))</f>
        <v>100</v>
      </c>
      <c r="U323">
        <f>TRUNC(VLOOKUP(P323,'Color codes'!$A:$E,5,FALSE)*(0.25 + 0.75*Q323/40))</f>
        <v>97</v>
      </c>
      <c r="V323" t="b">
        <f t="shared" si="22"/>
        <v>1</v>
      </c>
    </row>
    <row r="324" spans="1:22" x14ac:dyDescent="0.25">
      <c r="A324" t="s">
        <v>20</v>
      </c>
      <c r="B324" t="s">
        <v>17</v>
      </c>
      <c r="C324">
        <v>3</v>
      </c>
      <c r="D324">
        <v>100</v>
      </c>
      <c r="E324">
        <v>800</v>
      </c>
      <c r="F324" t="str">
        <f t="shared" si="23"/>
        <v>text256_line_3_100_800</v>
      </c>
      <c r="G324">
        <f>IFERROR(VLOOKUP(F324,SROU03!$F:$H,2,FALSE),0)</f>
        <v>24.628900000000002</v>
      </c>
      <c r="H324">
        <f>IFERROR(VLOOKUP(F324,SROU03!$F:$H,3,FALSE),0)</f>
        <v>5.6364679999999998</v>
      </c>
      <c r="I324">
        <v>6.9926999999999996E-5</v>
      </c>
      <c r="J324">
        <v>9.4199999999999996E-6</v>
      </c>
      <c r="K324">
        <v>29.431699999999999</v>
      </c>
      <c r="L324">
        <v>5.9851000000000001</v>
      </c>
      <c r="M324">
        <f>IFERROR(VLOOKUP(F324,TICO09!$F:$O,8,FALSE),0)</f>
        <v>18.403300000000002</v>
      </c>
      <c r="N324">
        <f>IFERROR(VLOOKUP(F324,SROU03!$F:$O,9,FALSE),0)</f>
        <v>33.491700000000002</v>
      </c>
      <c r="O324">
        <v>33.778500000000001</v>
      </c>
      <c r="P324" t="str">
        <f t="shared" si="24"/>
        <v>BM3D</v>
      </c>
      <c r="Q324">
        <f t="shared" si="25"/>
        <v>33.778500000000001</v>
      </c>
      <c r="R324">
        <f>VLOOKUP(P324,'Color codes'!$A:$B,2,FALSE)</f>
        <v>1</v>
      </c>
      <c r="S324">
        <f>TRUNC(VLOOKUP(P324,'Color codes'!$A:$E,3,FALSE)*(0.25 + 0.75*Q324/40))</f>
        <v>225</v>
      </c>
      <c r="T324">
        <f>TRUNC(VLOOKUP(P324,'Color codes'!$A:$E,4,FALSE)*(0.25 + 0.75*Q324/40))</f>
        <v>94</v>
      </c>
      <c r="U324">
        <f>TRUNC(VLOOKUP(P324,'Color codes'!$A:$E,5,FALSE)*(0.25 + 0.75*Q324/40))</f>
        <v>91</v>
      </c>
      <c r="V324" t="b">
        <f t="shared" si="22"/>
        <v>0</v>
      </c>
    </row>
    <row r="325" spans="1:22" x14ac:dyDescent="0.25">
      <c r="A325" t="s">
        <v>20</v>
      </c>
      <c r="B325" t="s">
        <v>17</v>
      </c>
      <c r="C325">
        <v>3</v>
      </c>
      <c r="D325">
        <v>100</v>
      </c>
      <c r="E325">
        <v>1600</v>
      </c>
      <c r="F325" t="str">
        <f t="shared" si="23"/>
        <v>text256_line_3_100_1600</v>
      </c>
      <c r="G325">
        <f>IFERROR(VLOOKUP(F325,SROU03!$F:$H,2,FALSE),0)</f>
        <v>22.767244000000002</v>
      </c>
      <c r="H325">
        <f>IFERROR(VLOOKUP(F325,SROU03!$F:$H,3,FALSE),0)</f>
        <v>5.4797890000000002</v>
      </c>
      <c r="I325">
        <v>1.4292100000000001E-4</v>
      </c>
      <c r="J325">
        <v>9.4199999999999996E-6</v>
      </c>
      <c r="K325">
        <v>26.308299999999999</v>
      </c>
      <c r="L325">
        <v>5.9851000000000001</v>
      </c>
      <c r="M325">
        <f>IFERROR(VLOOKUP(F325,TICO09!$F:$O,8,FALSE),0)</f>
        <v>18.209</v>
      </c>
      <c r="N325">
        <f>IFERROR(VLOOKUP(F325,SROU03!$F:$O,9,FALSE),0)</f>
        <v>31.947199999999999</v>
      </c>
      <c r="O325">
        <v>30.7288</v>
      </c>
      <c r="P325" t="str">
        <f t="shared" si="24"/>
        <v>SROU03</v>
      </c>
      <c r="Q325">
        <f t="shared" si="25"/>
        <v>31.947199999999999</v>
      </c>
      <c r="R325">
        <f>VLOOKUP(P325,'Color codes'!$A:$B,2,FALSE)</f>
        <v>3</v>
      </c>
      <c r="S325">
        <f>TRUNC(VLOOKUP(P325,'Color codes'!$A:$E,3,FALSE)*(0.25 + 0.75*Q325/40))</f>
        <v>90</v>
      </c>
      <c r="T325">
        <f>TRUNC(VLOOKUP(P325,'Color codes'!$A:$E,4,FALSE)*(0.25 + 0.75*Q325/40))</f>
        <v>149</v>
      </c>
      <c r="U325">
        <f>TRUNC(VLOOKUP(P325,'Color codes'!$A:$E,5,FALSE)*(0.25 + 0.75*Q325/40))</f>
        <v>216</v>
      </c>
      <c r="V325" t="b">
        <f t="shared" si="22"/>
        <v>1</v>
      </c>
    </row>
    <row r="326" spans="1:22" x14ac:dyDescent="0.25">
      <c r="A326" t="s">
        <v>20</v>
      </c>
      <c r="B326" t="s">
        <v>17</v>
      </c>
      <c r="C326">
        <v>3</v>
      </c>
      <c r="D326">
        <v>100</v>
      </c>
      <c r="E326">
        <v>3200</v>
      </c>
      <c r="F326" t="str">
        <f t="shared" si="23"/>
        <v>text256_line_3_100_3200</v>
      </c>
      <c r="G326">
        <f>IFERROR(VLOOKUP(F326,SROU03!$F:$H,2,FALSE),0)</f>
        <v>21.622858000000001</v>
      </c>
      <c r="H326">
        <f>IFERROR(VLOOKUP(F326,SROU03!$F:$H,3,FALSE),0)</f>
        <v>5.4155449999999998</v>
      </c>
      <c r="I326">
        <v>2.9111000000000002E-4</v>
      </c>
      <c r="J326">
        <v>9.4199999999999996E-6</v>
      </c>
      <c r="K326">
        <v>23.196999999999999</v>
      </c>
      <c r="L326">
        <v>5.9851000000000001</v>
      </c>
      <c r="M326">
        <f>IFERROR(VLOOKUP(F326,TICO09!$F:$O,8,FALSE),0)</f>
        <v>17.959</v>
      </c>
      <c r="N326">
        <f>IFERROR(VLOOKUP(F326,SROU03!$F:$O,9,FALSE),0)</f>
        <v>30.4681</v>
      </c>
      <c r="O326">
        <v>27.680099999999999</v>
      </c>
      <c r="P326" t="str">
        <f t="shared" si="24"/>
        <v>SROU03</v>
      </c>
      <c r="Q326">
        <f t="shared" si="25"/>
        <v>30.4681</v>
      </c>
      <c r="R326">
        <f>VLOOKUP(P326,'Color codes'!$A:$B,2,FALSE)</f>
        <v>3</v>
      </c>
      <c r="S326">
        <f>TRUNC(VLOOKUP(P326,'Color codes'!$A:$E,3,FALSE)*(0.25 + 0.75*Q326/40))</f>
        <v>87</v>
      </c>
      <c r="T326">
        <f>TRUNC(VLOOKUP(P326,'Color codes'!$A:$E,4,FALSE)*(0.25 + 0.75*Q326/40))</f>
        <v>144</v>
      </c>
      <c r="U326">
        <f>TRUNC(VLOOKUP(P326,'Color codes'!$A:$E,5,FALSE)*(0.25 + 0.75*Q326/40))</f>
        <v>209</v>
      </c>
      <c r="V326" t="b">
        <f t="shared" si="22"/>
        <v>1</v>
      </c>
    </row>
    <row r="327" spans="1:22" x14ac:dyDescent="0.25">
      <c r="A327" t="s">
        <v>20</v>
      </c>
      <c r="B327" t="s">
        <v>17</v>
      </c>
      <c r="C327">
        <v>3</v>
      </c>
      <c r="D327">
        <v>100</v>
      </c>
      <c r="E327">
        <v>6400</v>
      </c>
      <c r="F327" t="str">
        <f t="shared" si="23"/>
        <v>text256_line_3_100_6400</v>
      </c>
      <c r="G327">
        <f>IFERROR(VLOOKUP(F327,SROU03!$F:$H,2,FALSE),0)</f>
        <v>20.755634000000001</v>
      </c>
      <c r="H327">
        <f>IFERROR(VLOOKUP(F327,SROU03!$F:$H,3,FALSE),0)</f>
        <v>5.4224680000000003</v>
      </c>
      <c r="I327">
        <v>5.8387399999999996E-4</v>
      </c>
      <c r="J327">
        <v>9.4199999999999996E-6</v>
      </c>
      <c r="K327">
        <v>20.141999999999999</v>
      </c>
      <c r="L327">
        <v>5.9851000000000001</v>
      </c>
      <c r="M327">
        <f>IFERROR(VLOOKUP(F327,TICO09!$F:$O,8,FALSE),0)</f>
        <v>17.284800000000001</v>
      </c>
      <c r="N327">
        <f>IFERROR(VLOOKUP(F327,SROU03!$F:$O,9,FALSE),0)</f>
        <v>29.1387</v>
      </c>
      <c r="O327">
        <v>24.908200000000001</v>
      </c>
      <c r="P327" t="str">
        <f t="shared" si="24"/>
        <v>SROU03</v>
      </c>
      <c r="Q327">
        <f t="shared" si="25"/>
        <v>29.1387</v>
      </c>
      <c r="R327">
        <f>VLOOKUP(P327,'Color codes'!$A:$B,2,FALSE)</f>
        <v>3</v>
      </c>
      <c r="S327">
        <f>TRUNC(VLOOKUP(P327,'Color codes'!$A:$E,3,FALSE)*(0.25 + 0.75*Q327/40))</f>
        <v>85</v>
      </c>
      <c r="T327">
        <f>TRUNC(VLOOKUP(P327,'Color codes'!$A:$E,4,FALSE)*(0.25 + 0.75*Q327/40))</f>
        <v>140</v>
      </c>
      <c r="U327">
        <f>TRUNC(VLOOKUP(P327,'Color codes'!$A:$E,5,FALSE)*(0.25 + 0.75*Q327/40))</f>
        <v>203</v>
      </c>
      <c r="V327" t="b">
        <f t="shared" si="22"/>
        <v>1</v>
      </c>
    </row>
    <row r="328" spans="1:22" x14ac:dyDescent="0.25">
      <c r="A328" t="s">
        <v>20</v>
      </c>
      <c r="B328" t="s">
        <v>17</v>
      </c>
      <c r="C328">
        <v>3</v>
      </c>
      <c r="D328">
        <v>100</v>
      </c>
      <c r="E328">
        <v>12800</v>
      </c>
      <c r="F328" t="str">
        <f t="shared" si="23"/>
        <v>text256_line_3_100_12800</v>
      </c>
      <c r="G328">
        <f>IFERROR(VLOOKUP(F328,SROU03!$F:$H,2,FALSE),0)</f>
        <v>19.851521000000002</v>
      </c>
      <c r="H328">
        <f>IFERROR(VLOOKUP(F328,SROU03!$F:$H,3,FALSE),0)</f>
        <v>5.4900260000000003</v>
      </c>
      <c r="I328">
        <v>1.2060689999999999E-3</v>
      </c>
      <c r="J328">
        <v>9.4199999999999996E-6</v>
      </c>
      <c r="K328">
        <v>16.9636</v>
      </c>
      <c r="L328">
        <v>5.9851000000000001</v>
      </c>
      <c r="M328">
        <f>IFERROR(VLOOKUP(F328,TICO09!$F:$O,8,FALSE),0)</f>
        <v>16.1721</v>
      </c>
      <c r="N328">
        <f>IFERROR(VLOOKUP(F328,SROU03!$F:$O,9,FALSE),0)</f>
        <v>24.895800000000001</v>
      </c>
      <c r="O328">
        <v>21.855499999999999</v>
      </c>
      <c r="P328" t="str">
        <f t="shared" si="24"/>
        <v>SROU03</v>
      </c>
      <c r="Q328">
        <f t="shared" si="25"/>
        <v>24.895800000000001</v>
      </c>
      <c r="R328">
        <f>VLOOKUP(P328,'Color codes'!$A:$B,2,FALSE)</f>
        <v>3</v>
      </c>
      <c r="S328">
        <f>TRUNC(VLOOKUP(P328,'Color codes'!$A:$E,3,FALSE)*(0.25 + 0.75*Q328/40))</f>
        <v>76</v>
      </c>
      <c r="T328">
        <f>TRUNC(VLOOKUP(P328,'Color codes'!$A:$E,4,FALSE)*(0.25 + 0.75*Q328/40))</f>
        <v>126</v>
      </c>
      <c r="U328">
        <f>TRUNC(VLOOKUP(P328,'Color codes'!$A:$E,5,FALSE)*(0.25 + 0.75*Q328/40))</f>
        <v>182</v>
      </c>
      <c r="V328" t="b">
        <f t="shared" si="22"/>
        <v>1</v>
      </c>
    </row>
    <row r="329" spans="1:22" x14ac:dyDescent="0.25">
      <c r="A329" t="s">
        <v>20</v>
      </c>
      <c r="B329" t="s">
        <v>17</v>
      </c>
      <c r="C329">
        <v>3</v>
      </c>
      <c r="D329">
        <v>100</v>
      </c>
      <c r="E329">
        <v>25600</v>
      </c>
      <c r="F329" t="str">
        <f t="shared" si="23"/>
        <v>text256_line_3_100_25600</v>
      </c>
      <c r="G329">
        <f>IFERROR(VLOOKUP(F329,SROU03!$F:$H,2,FALSE),0)</f>
        <v>18.695371999999999</v>
      </c>
      <c r="H329">
        <f>IFERROR(VLOOKUP(F329,SROU03!$F:$H,3,FALSE),0)</f>
        <v>5.6156610000000002</v>
      </c>
      <c r="I329">
        <v>2.5520220000000001E-3</v>
      </c>
      <c r="J329">
        <v>9.4199999999999996E-6</v>
      </c>
      <c r="K329">
        <v>13.683</v>
      </c>
      <c r="L329">
        <v>5.9851000000000001</v>
      </c>
      <c r="M329">
        <f>IFERROR(VLOOKUP(F329,TICO09!$F:$O,8,FALSE),0)</f>
        <v>14.489699999999999</v>
      </c>
      <c r="N329">
        <f>IFERROR(VLOOKUP(F329,SROU03!$F:$O,9,FALSE),0)</f>
        <v>27.071000000000002</v>
      </c>
      <c r="O329">
        <v>18.898</v>
      </c>
      <c r="P329" t="str">
        <f t="shared" si="24"/>
        <v>SROU03</v>
      </c>
      <c r="Q329">
        <f t="shared" si="25"/>
        <v>27.071000000000002</v>
      </c>
      <c r="R329">
        <f>VLOOKUP(P329,'Color codes'!$A:$B,2,FALSE)</f>
        <v>3</v>
      </c>
      <c r="S329">
        <f>TRUNC(VLOOKUP(P329,'Color codes'!$A:$E,3,FALSE)*(0.25 + 0.75*Q329/40))</f>
        <v>81</v>
      </c>
      <c r="T329">
        <f>TRUNC(VLOOKUP(P329,'Color codes'!$A:$E,4,FALSE)*(0.25 + 0.75*Q329/40))</f>
        <v>133</v>
      </c>
      <c r="U329">
        <f>TRUNC(VLOOKUP(P329,'Color codes'!$A:$E,5,FALSE)*(0.25 + 0.75*Q329/40))</f>
        <v>193</v>
      </c>
      <c r="V329" t="b">
        <f t="shared" si="22"/>
        <v>1</v>
      </c>
    </row>
    <row r="330" spans="1:22" x14ac:dyDescent="0.25">
      <c r="A330" t="s">
        <v>20</v>
      </c>
      <c r="B330" t="s">
        <v>17</v>
      </c>
      <c r="C330">
        <v>7</v>
      </c>
      <c r="D330">
        <v>100</v>
      </c>
      <c r="E330">
        <v>200</v>
      </c>
      <c r="F330" t="str">
        <f t="shared" si="23"/>
        <v>text256_line_7_100_200</v>
      </c>
      <c r="G330">
        <f>IFERROR(VLOOKUP(F330,SROU03!$F:$H,2,FALSE),0)</f>
        <v>29.911836999999998</v>
      </c>
      <c r="H330">
        <f>IFERROR(VLOOKUP(F330,SROU03!$F:$H,3,FALSE),0)</f>
        <v>16.957858000000002</v>
      </c>
      <c r="I330">
        <v>1.6690000000000001E-5</v>
      </c>
      <c r="J330">
        <v>1.1449E-5</v>
      </c>
      <c r="K330">
        <v>35.6751</v>
      </c>
      <c r="L330">
        <v>1.8164</v>
      </c>
      <c r="M330">
        <f>IFERROR(VLOOKUP(F330,TICO09!$F:$O,8,FALSE),0)</f>
        <v>19.467600000000001</v>
      </c>
      <c r="N330">
        <f>IFERROR(VLOOKUP(F330,SROU03!$F:$O,9,FALSE),0)</f>
        <v>36.427700000000002</v>
      </c>
      <c r="O330">
        <v>39.760399999999997</v>
      </c>
      <c r="P330" t="str">
        <f t="shared" si="24"/>
        <v>BM3D</v>
      </c>
      <c r="Q330">
        <f t="shared" si="25"/>
        <v>39.760399999999997</v>
      </c>
      <c r="R330">
        <f>VLOOKUP(P330,'Color codes'!$A:$B,2,FALSE)</f>
        <v>1</v>
      </c>
      <c r="S330">
        <f>TRUNC(VLOOKUP(P330,'Color codes'!$A:$E,3,FALSE)*(0.25 + 0.75*Q330/40))</f>
        <v>253</v>
      </c>
      <c r="T330">
        <f>TRUNC(VLOOKUP(P330,'Color codes'!$A:$E,4,FALSE)*(0.25 + 0.75*Q330/40))</f>
        <v>106</v>
      </c>
      <c r="U330">
        <f>TRUNC(VLOOKUP(P330,'Color codes'!$A:$E,5,FALSE)*(0.25 + 0.75*Q330/40))</f>
        <v>103</v>
      </c>
      <c r="V330" t="b">
        <f t="shared" si="22"/>
        <v>1</v>
      </c>
    </row>
    <row r="331" spans="1:22" x14ac:dyDescent="0.25">
      <c r="A331" t="s">
        <v>20</v>
      </c>
      <c r="B331" t="s">
        <v>17</v>
      </c>
      <c r="C331">
        <v>7</v>
      </c>
      <c r="D331">
        <v>100</v>
      </c>
      <c r="E331">
        <v>400</v>
      </c>
      <c r="F331" t="str">
        <f t="shared" si="23"/>
        <v>text256_line_7_100_400</v>
      </c>
      <c r="G331">
        <f>IFERROR(VLOOKUP(F331,SROU03!$F:$H,2,FALSE),0)</f>
        <v>22.613558000000001</v>
      </c>
      <c r="H331">
        <f>IFERROR(VLOOKUP(F331,SROU03!$F:$H,3,FALSE),0)</f>
        <v>15.026792</v>
      </c>
      <c r="I331">
        <v>3.5092999999999998E-5</v>
      </c>
      <c r="J331">
        <v>1.1449E-5</v>
      </c>
      <c r="K331">
        <v>32.436199999999999</v>
      </c>
      <c r="L331">
        <v>1.8164</v>
      </c>
      <c r="M331">
        <f>IFERROR(VLOOKUP(F331,TICO09!$F:$O,8,FALSE),0)</f>
        <v>19.419699999999999</v>
      </c>
      <c r="N331">
        <f>IFERROR(VLOOKUP(F331,SROU03!$F:$O,9,FALSE),0)</f>
        <v>33.768999999999998</v>
      </c>
      <c r="O331">
        <v>36.662700000000001</v>
      </c>
      <c r="P331" t="str">
        <f t="shared" si="24"/>
        <v>BM3D</v>
      </c>
      <c r="Q331">
        <f t="shared" si="25"/>
        <v>36.662700000000001</v>
      </c>
      <c r="R331">
        <f>VLOOKUP(P331,'Color codes'!$A:$B,2,FALSE)</f>
        <v>1</v>
      </c>
      <c r="S331">
        <f>TRUNC(VLOOKUP(P331,'Color codes'!$A:$E,3,FALSE)*(0.25 + 0.75*Q331/40))</f>
        <v>239</v>
      </c>
      <c r="T331">
        <f>TRUNC(VLOOKUP(P331,'Color codes'!$A:$E,4,FALSE)*(0.25 + 0.75*Q331/40))</f>
        <v>100</v>
      </c>
      <c r="U331">
        <f>TRUNC(VLOOKUP(P331,'Color codes'!$A:$E,5,FALSE)*(0.25 + 0.75*Q331/40))</f>
        <v>97</v>
      </c>
      <c r="V331" t="b">
        <f t="shared" si="22"/>
        <v>1</v>
      </c>
    </row>
    <row r="332" spans="1:22" x14ac:dyDescent="0.25">
      <c r="A332" t="s">
        <v>20</v>
      </c>
      <c r="B332" t="s">
        <v>17</v>
      </c>
      <c r="C332">
        <v>7</v>
      </c>
      <c r="D332">
        <v>100</v>
      </c>
      <c r="E332">
        <v>800</v>
      </c>
      <c r="F332" t="str">
        <f t="shared" si="23"/>
        <v>text256_line_7_100_800</v>
      </c>
      <c r="G332">
        <f>IFERROR(VLOOKUP(F332,SROU03!$F:$H,2,FALSE),0)</f>
        <v>18.192177000000001</v>
      </c>
      <c r="H332">
        <f>IFERROR(VLOOKUP(F332,SROU03!$F:$H,3,FALSE),0)</f>
        <v>14.033224000000001</v>
      </c>
      <c r="I332">
        <v>7.1389000000000004E-5</v>
      </c>
      <c r="J332">
        <v>1.1449E-5</v>
      </c>
      <c r="K332">
        <v>29.3399</v>
      </c>
      <c r="L332">
        <v>1.8164</v>
      </c>
      <c r="M332">
        <f>IFERROR(VLOOKUP(F332,TICO09!$F:$O,8,FALSE),0)</f>
        <v>19.318899999999999</v>
      </c>
      <c r="N332">
        <f>IFERROR(VLOOKUP(F332,SROU03!$F:$O,9,FALSE),0)</f>
        <v>31.381900000000002</v>
      </c>
      <c r="O332">
        <v>33.644799999999996</v>
      </c>
      <c r="P332" t="str">
        <f t="shared" si="24"/>
        <v>BM3D</v>
      </c>
      <c r="Q332">
        <f t="shared" si="25"/>
        <v>33.644799999999996</v>
      </c>
      <c r="R332">
        <f>VLOOKUP(P332,'Color codes'!$A:$B,2,FALSE)</f>
        <v>1</v>
      </c>
      <c r="S332">
        <f>TRUNC(VLOOKUP(P332,'Color codes'!$A:$E,3,FALSE)*(0.25 + 0.75*Q332/40))</f>
        <v>224</v>
      </c>
      <c r="T332">
        <f>TRUNC(VLOOKUP(P332,'Color codes'!$A:$E,4,FALSE)*(0.25 + 0.75*Q332/40))</f>
        <v>94</v>
      </c>
      <c r="U332">
        <f>TRUNC(VLOOKUP(P332,'Color codes'!$A:$E,5,FALSE)*(0.25 + 0.75*Q332/40))</f>
        <v>91</v>
      </c>
      <c r="V332" t="b">
        <f t="shared" si="22"/>
        <v>1</v>
      </c>
    </row>
    <row r="333" spans="1:22" x14ac:dyDescent="0.25">
      <c r="A333" t="s">
        <v>20</v>
      </c>
      <c r="B333" t="s">
        <v>17</v>
      </c>
      <c r="C333">
        <v>7</v>
      </c>
      <c r="D333">
        <v>100</v>
      </c>
      <c r="E333">
        <v>1600</v>
      </c>
      <c r="F333" t="str">
        <f t="shared" si="23"/>
        <v>text256_line_7_100_1600</v>
      </c>
      <c r="G333">
        <f>IFERROR(VLOOKUP(F333,SROU03!$F:$H,2,FALSE),0)</f>
        <v>15.498517</v>
      </c>
      <c r="H333">
        <f>IFERROR(VLOOKUP(F333,SROU03!$F:$H,3,FALSE),0)</f>
        <v>13.533534</v>
      </c>
      <c r="I333">
        <v>1.4429199999999999E-4</v>
      </c>
      <c r="J333">
        <v>1.1449E-5</v>
      </c>
      <c r="K333">
        <v>26.270800000000001</v>
      </c>
      <c r="L333">
        <v>1.8164</v>
      </c>
      <c r="M333">
        <f>IFERROR(VLOOKUP(F333,TICO09!$F:$O,8,FALSE),0)</f>
        <v>19.122499999999999</v>
      </c>
      <c r="N333">
        <f>IFERROR(VLOOKUP(F333,SROU03!$F:$O,9,FALSE),0)</f>
        <v>29.121700000000001</v>
      </c>
      <c r="O333">
        <v>30.715900000000001</v>
      </c>
      <c r="P333" t="str">
        <f t="shared" si="24"/>
        <v>BM3D</v>
      </c>
      <c r="Q333">
        <f t="shared" si="25"/>
        <v>30.715900000000001</v>
      </c>
      <c r="R333">
        <f>VLOOKUP(P333,'Color codes'!$A:$B,2,FALSE)</f>
        <v>1</v>
      </c>
      <c r="S333">
        <f>TRUNC(VLOOKUP(P333,'Color codes'!$A:$E,3,FALSE)*(0.25 + 0.75*Q333/40))</f>
        <v>210</v>
      </c>
      <c r="T333">
        <f>TRUNC(VLOOKUP(P333,'Color codes'!$A:$E,4,FALSE)*(0.25 + 0.75*Q333/40))</f>
        <v>88</v>
      </c>
      <c r="U333">
        <f>TRUNC(VLOOKUP(P333,'Color codes'!$A:$E,5,FALSE)*(0.25 + 0.75*Q333/40))</f>
        <v>85</v>
      </c>
      <c r="V333" t="b">
        <f t="shared" si="22"/>
        <v>1</v>
      </c>
    </row>
    <row r="334" spans="1:22" x14ac:dyDescent="0.25">
      <c r="A334" t="s">
        <v>20</v>
      </c>
      <c r="B334" t="s">
        <v>17</v>
      </c>
      <c r="C334">
        <v>7</v>
      </c>
      <c r="D334">
        <v>100</v>
      </c>
      <c r="E334">
        <v>3200</v>
      </c>
      <c r="F334" t="str">
        <f t="shared" si="23"/>
        <v>text256_line_7_100_3200</v>
      </c>
      <c r="G334">
        <f>IFERROR(VLOOKUP(F334,SROU03!$F:$H,2,FALSE),0)</f>
        <v>13.953996</v>
      </c>
      <c r="H334">
        <f>IFERROR(VLOOKUP(F334,SROU03!$F:$H,3,FALSE),0)</f>
        <v>13.316482000000001</v>
      </c>
      <c r="I334">
        <v>2.8788000000000002E-4</v>
      </c>
      <c r="J334">
        <v>1.1449E-5</v>
      </c>
      <c r="K334">
        <v>23.2454</v>
      </c>
      <c r="L334">
        <v>1.8164</v>
      </c>
      <c r="M334">
        <f>IFERROR(VLOOKUP(F334,TICO09!$F:$O,8,FALSE),0)</f>
        <v>18.64</v>
      </c>
      <c r="N334">
        <f>IFERROR(VLOOKUP(F334,SROU03!$F:$O,9,FALSE),0)</f>
        <v>27.1328</v>
      </c>
      <c r="O334">
        <v>27.7941</v>
      </c>
      <c r="P334" t="str">
        <f t="shared" si="24"/>
        <v>BM3D</v>
      </c>
      <c r="Q334">
        <f t="shared" si="25"/>
        <v>27.7941</v>
      </c>
      <c r="R334">
        <f>VLOOKUP(P334,'Color codes'!$A:$B,2,FALSE)</f>
        <v>1</v>
      </c>
      <c r="S334">
        <f>TRUNC(VLOOKUP(P334,'Color codes'!$A:$E,3,FALSE)*(0.25 + 0.75*Q334/40))</f>
        <v>196</v>
      </c>
      <c r="T334">
        <f>TRUNC(VLOOKUP(P334,'Color codes'!$A:$E,4,FALSE)*(0.25 + 0.75*Q334/40))</f>
        <v>82</v>
      </c>
      <c r="U334">
        <f>TRUNC(VLOOKUP(P334,'Color codes'!$A:$E,5,FALSE)*(0.25 + 0.75*Q334/40))</f>
        <v>80</v>
      </c>
      <c r="V334" t="b">
        <f t="shared" si="22"/>
        <v>0</v>
      </c>
    </row>
    <row r="335" spans="1:22" x14ac:dyDescent="0.25">
      <c r="A335" t="s">
        <v>20</v>
      </c>
      <c r="B335" t="s">
        <v>17</v>
      </c>
      <c r="C335">
        <v>7</v>
      </c>
      <c r="D335">
        <v>100</v>
      </c>
      <c r="E335">
        <v>6400</v>
      </c>
      <c r="F335" t="str">
        <f t="shared" si="23"/>
        <v>text256_line_7_100_6400</v>
      </c>
      <c r="G335">
        <f>IFERROR(VLOOKUP(F335,SROU03!$F:$H,2,FALSE),0)</f>
        <v>12.904453</v>
      </c>
      <c r="H335">
        <f>IFERROR(VLOOKUP(F335,SROU03!$F:$H,3,FALSE),0)</f>
        <v>13.247246000000001</v>
      </c>
      <c r="I335">
        <v>5.8908699999999997E-4</v>
      </c>
      <c r="J335">
        <v>1.1449E-5</v>
      </c>
      <c r="K335">
        <v>20.105799999999999</v>
      </c>
      <c r="L335">
        <v>1.8164</v>
      </c>
      <c r="M335">
        <f>IFERROR(VLOOKUP(F335,TICO09!$F:$O,8,FALSE),0)</f>
        <v>17.781500000000001</v>
      </c>
      <c r="N335">
        <f>IFERROR(VLOOKUP(F335,SROU03!$F:$O,9,FALSE),0)</f>
        <v>24.356400000000001</v>
      </c>
      <c r="O335">
        <v>24.883500000000002</v>
      </c>
      <c r="P335" t="str">
        <f t="shared" si="24"/>
        <v>BM3D</v>
      </c>
      <c r="Q335">
        <f t="shared" si="25"/>
        <v>24.883500000000002</v>
      </c>
      <c r="R335">
        <f>VLOOKUP(P335,'Color codes'!$A:$B,2,FALSE)</f>
        <v>1</v>
      </c>
      <c r="S335">
        <f>TRUNC(VLOOKUP(P335,'Color codes'!$A:$E,3,FALSE)*(0.25 + 0.75*Q335/40))</f>
        <v>182</v>
      </c>
      <c r="T335">
        <f>TRUNC(VLOOKUP(P335,'Color codes'!$A:$E,4,FALSE)*(0.25 + 0.75*Q335/40))</f>
        <v>76</v>
      </c>
      <c r="U335">
        <f>TRUNC(VLOOKUP(P335,'Color codes'!$A:$E,5,FALSE)*(0.25 + 0.75*Q335/40))</f>
        <v>74</v>
      </c>
      <c r="V335" t="b">
        <f t="shared" si="22"/>
        <v>0</v>
      </c>
    </row>
    <row r="336" spans="1:22" x14ac:dyDescent="0.25">
      <c r="A336" t="s">
        <v>20</v>
      </c>
      <c r="B336" t="s">
        <v>17</v>
      </c>
      <c r="C336">
        <v>7</v>
      </c>
      <c r="D336">
        <v>100</v>
      </c>
      <c r="E336">
        <v>12800</v>
      </c>
      <c r="F336" t="str">
        <f t="shared" si="23"/>
        <v>text256_line_7_100_12800</v>
      </c>
      <c r="G336">
        <f>IFERROR(VLOOKUP(F336,SROU03!$F:$H,2,FALSE),0)</f>
        <v>12.084921</v>
      </c>
      <c r="H336">
        <f>IFERROR(VLOOKUP(F336,SROU03!$F:$H,3,FALSE),0)</f>
        <v>13.294535</v>
      </c>
      <c r="I336">
        <v>1.190331E-3</v>
      </c>
      <c r="J336">
        <v>1.1449E-5</v>
      </c>
      <c r="K336">
        <v>17.0182</v>
      </c>
      <c r="L336">
        <v>1.8164</v>
      </c>
      <c r="M336">
        <f>IFERROR(VLOOKUP(F336,TICO09!$F:$O,8,FALSE),0)</f>
        <v>16.594000000000001</v>
      </c>
      <c r="N336">
        <f>IFERROR(VLOOKUP(F336,SROU03!$F:$O,9,FALSE),0)</f>
        <v>22.691600000000001</v>
      </c>
      <c r="O336">
        <v>21.991800000000001</v>
      </c>
      <c r="P336" t="str">
        <f t="shared" si="24"/>
        <v>SROU03</v>
      </c>
      <c r="Q336">
        <f t="shared" si="25"/>
        <v>22.691600000000001</v>
      </c>
      <c r="R336">
        <f>VLOOKUP(P336,'Color codes'!$A:$B,2,FALSE)</f>
        <v>3</v>
      </c>
      <c r="S336">
        <f>TRUNC(VLOOKUP(P336,'Color codes'!$A:$E,3,FALSE)*(0.25 + 0.75*Q336/40))</f>
        <v>72</v>
      </c>
      <c r="T336">
        <f>TRUNC(VLOOKUP(P336,'Color codes'!$A:$E,4,FALSE)*(0.25 + 0.75*Q336/40))</f>
        <v>118</v>
      </c>
      <c r="U336">
        <f>TRUNC(VLOOKUP(P336,'Color codes'!$A:$E,5,FALSE)*(0.25 + 0.75*Q336/40))</f>
        <v>172</v>
      </c>
      <c r="V336" t="b">
        <f t="shared" si="22"/>
        <v>0</v>
      </c>
    </row>
    <row r="337" spans="1:22" x14ac:dyDescent="0.25">
      <c r="A337" t="s">
        <v>20</v>
      </c>
      <c r="B337" t="s">
        <v>17</v>
      </c>
      <c r="C337">
        <v>7</v>
      </c>
      <c r="D337">
        <v>100</v>
      </c>
      <c r="E337">
        <v>25600</v>
      </c>
      <c r="F337" t="str">
        <f t="shared" si="23"/>
        <v>text256_line_7_100_25600</v>
      </c>
      <c r="G337">
        <f>IFERROR(VLOOKUP(F337,SROU03!$F:$H,2,FALSE),0)</f>
        <v>11.095713</v>
      </c>
      <c r="H337">
        <f>IFERROR(VLOOKUP(F337,SROU03!$F:$H,3,FALSE),0)</f>
        <v>13.459903000000001</v>
      </c>
      <c r="I337">
        <v>2.5082220000000001E-3</v>
      </c>
      <c r="J337">
        <v>1.1449E-5</v>
      </c>
      <c r="K337">
        <v>13.7585</v>
      </c>
      <c r="L337">
        <v>1.8164</v>
      </c>
      <c r="M337">
        <f>IFERROR(VLOOKUP(F337,TICO09!$F:$O,8,FALSE),0)</f>
        <v>14.7315</v>
      </c>
      <c r="N337">
        <f>IFERROR(VLOOKUP(F337,SROU03!$F:$O,9,FALSE),0)</f>
        <v>20.023800000000001</v>
      </c>
      <c r="O337">
        <v>18.906700000000001</v>
      </c>
      <c r="P337" t="str">
        <f t="shared" si="24"/>
        <v>SROU03</v>
      </c>
      <c r="Q337">
        <f t="shared" si="25"/>
        <v>20.023800000000001</v>
      </c>
      <c r="R337">
        <f>VLOOKUP(P337,'Color codes'!$A:$B,2,FALSE)</f>
        <v>3</v>
      </c>
      <c r="S337">
        <f>TRUNC(VLOOKUP(P337,'Color codes'!$A:$E,3,FALSE)*(0.25 + 0.75*Q337/40))</f>
        <v>66</v>
      </c>
      <c r="T337">
        <f>TRUNC(VLOOKUP(P337,'Color codes'!$A:$E,4,FALSE)*(0.25 + 0.75*Q337/40))</f>
        <v>110</v>
      </c>
      <c r="U337">
        <f>TRUNC(VLOOKUP(P337,'Color codes'!$A:$E,5,FALSE)*(0.25 + 0.75*Q337/40))</f>
        <v>159</v>
      </c>
      <c r="V337" t="b">
        <f t="shared" si="22"/>
        <v>1</v>
      </c>
    </row>
    <row r="338" spans="1:22" x14ac:dyDescent="0.25">
      <c r="A338" t="s">
        <v>20</v>
      </c>
      <c r="B338" t="s">
        <v>17</v>
      </c>
      <c r="C338">
        <v>15</v>
      </c>
      <c r="D338">
        <v>100</v>
      </c>
      <c r="E338">
        <v>200</v>
      </c>
      <c r="F338" t="str">
        <f t="shared" si="23"/>
        <v>text256_line_15_100_200</v>
      </c>
      <c r="G338">
        <f>IFERROR(VLOOKUP(F338,SROU03!$F:$H,2,FALSE),0)</f>
        <v>28.351984000000002</v>
      </c>
      <c r="H338">
        <f>IFERROR(VLOOKUP(F338,SROU03!$F:$H,3,FALSE),0)</f>
        <v>36.408529000000001</v>
      </c>
      <c r="I338">
        <v>1.6668E-5</v>
      </c>
      <c r="J338">
        <v>1.4295E-5</v>
      </c>
      <c r="K338">
        <v>35.677399999999999</v>
      </c>
      <c r="L338">
        <v>1.3436999999999999</v>
      </c>
      <c r="M338">
        <f>IFERROR(VLOOKUP(F338,TICO09!$F:$O,8,FALSE),0)</f>
        <v>19.5288</v>
      </c>
      <c r="N338">
        <f>IFERROR(VLOOKUP(F338,SROU03!$F:$O,9,FALSE),0)</f>
        <v>36.110599999999998</v>
      </c>
      <c r="O338">
        <v>39.765099999999997</v>
      </c>
      <c r="P338" t="str">
        <f t="shared" si="24"/>
        <v>BM3D</v>
      </c>
      <c r="Q338">
        <f t="shared" si="25"/>
        <v>39.765099999999997</v>
      </c>
      <c r="R338">
        <f>VLOOKUP(P338,'Color codes'!$A:$B,2,FALSE)</f>
        <v>1</v>
      </c>
      <c r="S338">
        <f>TRUNC(VLOOKUP(P338,'Color codes'!$A:$E,3,FALSE)*(0.25 + 0.75*Q338/40))</f>
        <v>253</v>
      </c>
      <c r="T338">
        <f>TRUNC(VLOOKUP(P338,'Color codes'!$A:$E,4,FALSE)*(0.25 + 0.75*Q338/40))</f>
        <v>106</v>
      </c>
      <c r="U338">
        <f>TRUNC(VLOOKUP(P338,'Color codes'!$A:$E,5,FALSE)*(0.25 + 0.75*Q338/40))</f>
        <v>103</v>
      </c>
      <c r="V338" t="b">
        <f t="shared" si="22"/>
        <v>1</v>
      </c>
    </row>
    <row r="339" spans="1:22" x14ac:dyDescent="0.25">
      <c r="A339" t="s">
        <v>20</v>
      </c>
      <c r="B339" t="s">
        <v>17</v>
      </c>
      <c r="C339">
        <v>15</v>
      </c>
      <c r="D339">
        <v>100</v>
      </c>
      <c r="E339">
        <v>400</v>
      </c>
      <c r="F339" t="str">
        <f t="shared" si="23"/>
        <v>text256_line_15_100_400</v>
      </c>
      <c r="G339">
        <f>IFERROR(VLOOKUP(F339,SROU03!$F:$H,2,FALSE),0)</f>
        <v>20.436439</v>
      </c>
      <c r="H339">
        <f>IFERROR(VLOOKUP(F339,SROU03!$F:$H,3,FALSE),0)</f>
        <v>31.709990999999999</v>
      </c>
      <c r="I339">
        <v>3.4697999999999999E-5</v>
      </c>
      <c r="J339">
        <v>1.4295E-5</v>
      </c>
      <c r="K339">
        <v>32.492100000000001</v>
      </c>
      <c r="L339">
        <v>1.3436999999999999</v>
      </c>
      <c r="M339">
        <f>IFERROR(VLOOKUP(F339,TICO09!$F:$O,8,FALSE),0)</f>
        <v>19.494499999999999</v>
      </c>
      <c r="N339">
        <f>IFERROR(VLOOKUP(F339,SROU03!$F:$O,9,FALSE),0)</f>
        <v>33.244199999999999</v>
      </c>
      <c r="O339">
        <v>36.761800000000001</v>
      </c>
      <c r="P339" t="str">
        <f t="shared" si="24"/>
        <v>BM3D</v>
      </c>
      <c r="Q339">
        <f t="shared" si="25"/>
        <v>36.761800000000001</v>
      </c>
      <c r="R339">
        <f>VLOOKUP(P339,'Color codes'!$A:$B,2,FALSE)</f>
        <v>1</v>
      </c>
      <c r="S339">
        <f>TRUNC(VLOOKUP(P339,'Color codes'!$A:$E,3,FALSE)*(0.25 + 0.75*Q339/40))</f>
        <v>239</v>
      </c>
      <c r="T339">
        <f>TRUNC(VLOOKUP(P339,'Color codes'!$A:$E,4,FALSE)*(0.25 + 0.75*Q339/40))</f>
        <v>100</v>
      </c>
      <c r="U339">
        <f>TRUNC(VLOOKUP(P339,'Color codes'!$A:$E,5,FALSE)*(0.25 + 0.75*Q339/40))</f>
        <v>97</v>
      </c>
      <c r="V339" t="b">
        <f t="shared" si="22"/>
        <v>1</v>
      </c>
    </row>
    <row r="340" spans="1:22" x14ac:dyDescent="0.25">
      <c r="A340" t="s">
        <v>20</v>
      </c>
      <c r="B340" t="s">
        <v>17</v>
      </c>
      <c r="C340">
        <v>15</v>
      </c>
      <c r="D340">
        <v>100</v>
      </c>
      <c r="E340">
        <v>800</v>
      </c>
      <c r="F340" t="str">
        <f t="shared" si="23"/>
        <v>text256_line_15_100_800</v>
      </c>
      <c r="G340">
        <f>IFERROR(VLOOKUP(F340,SROU03!$F:$H,2,FALSE),0)</f>
        <v>15.384122</v>
      </c>
      <c r="H340">
        <f>IFERROR(VLOOKUP(F340,SROU03!$F:$H,3,FALSE),0)</f>
        <v>29.107409000000001</v>
      </c>
      <c r="I340">
        <v>7.0947999999999999E-5</v>
      </c>
      <c r="J340">
        <v>1.4295E-5</v>
      </c>
      <c r="K340">
        <v>29.369199999999999</v>
      </c>
      <c r="L340">
        <v>1.3436999999999999</v>
      </c>
      <c r="M340">
        <f>IFERROR(VLOOKUP(F340,TICO09!$F:$O,8,FALSE),0)</f>
        <v>19.384499999999999</v>
      </c>
      <c r="N340">
        <f>IFERROR(VLOOKUP(F340,SROU03!$F:$O,9,FALSE),0)</f>
        <v>30.6144</v>
      </c>
      <c r="O340">
        <v>33.709800000000001</v>
      </c>
      <c r="P340" t="str">
        <f t="shared" si="24"/>
        <v>BM3D</v>
      </c>
      <c r="Q340">
        <f t="shared" si="25"/>
        <v>33.709800000000001</v>
      </c>
      <c r="R340">
        <f>VLOOKUP(P340,'Color codes'!$A:$B,2,FALSE)</f>
        <v>1</v>
      </c>
      <c r="S340">
        <f>TRUNC(VLOOKUP(P340,'Color codes'!$A:$E,3,FALSE)*(0.25 + 0.75*Q340/40))</f>
        <v>224</v>
      </c>
      <c r="T340">
        <f>TRUNC(VLOOKUP(P340,'Color codes'!$A:$E,4,FALSE)*(0.25 + 0.75*Q340/40))</f>
        <v>94</v>
      </c>
      <c r="U340">
        <f>TRUNC(VLOOKUP(P340,'Color codes'!$A:$E,5,FALSE)*(0.25 + 0.75*Q340/40))</f>
        <v>91</v>
      </c>
      <c r="V340" t="b">
        <f t="shared" si="22"/>
        <v>1</v>
      </c>
    </row>
    <row r="341" spans="1:22" x14ac:dyDescent="0.25">
      <c r="A341" t="s">
        <v>20</v>
      </c>
      <c r="B341" t="s">
        <v>17</v>
      </c>
      <c r="C341">
        <v>15</v>
      </c>
      <c r="D341">
        <v>100</v>
      </c>
      <c r="E341">
        <v>1600</v>
      </c>
      <c r="F341" t="str">
        <f t="shared" si="23"/>
        <v>text256_line_15_100_1600</v>
      </c>
      <c r="G341">
        <f>IFERROR(VLOOKUP(F341,SROU03!$F:$H,2,FALSE),0)</f>
        <v>12.131633000000001</v>
      </c>
      <c r="H341">
        <f>IFERROR(VLOOKUP(F341,SROU03!$F:$H,3,FALSE),0)</f>
        <v>27.900877000000001</v>
      </c>
      <c r="I341">
        <v>1.4312299999999999E-4</v>
      </c>
      <c r="J341">
        <v>1.4295E-5</v>
      </c>
      <c r="K341">
        <v>26.304500000000001</v>
      </c>
      <c r="L341">
        <v>1.3436999999999999</v>
      </c>
      <c r="M341">
        <f>IFERROR(VLOOKUP(F341,TICO09!$F:$O,8,FALSE),0)</f>
        <v>19.127600000000001</v>
      </c>
      <c r="N341">
        <f>IFERROR(VLOOKUP(F341,SROU03!$F:$O,9,FALSE),0)</f>
        <v>28.114599999999999</v>
      </c>
      <c r="O341">
        <v>30.672000000000001</v>
      </c>
      <c r="P341" t="str">
        <f t="shared" si="24"/>
        <v>BM3D</v>
      </c>
      <c r="Q341">
        <f t="shared" si="25"/>
        <v>30.672000000000001</v>
      </c>
      <c r="R341">
        <f>VLOOKUP(P341,'Color codes'!$A:$B,2,FALSE)</f>
        <v>1</v>
      </c>
      <c r="S341">
        <f>TRUNC(VLOOKUP(P341,'Color codes'!$A:$E,3,FALSE)*(0.25 + 0.75*Q341/40))</f>
        <v>210</v>
      </c>
      <c r="T341">
        <f>TRUNC(VLOOKUP(P341,'Color codes'!$A:$E,4,FALSE)*(0.25 + 0.75*Q341/40))</f>
        <v>88</v>
      </c>
      <c r="U341">
        <f>TRUNC(VLOOKUP(P341,'Color codes'!$A:$E,5,FALSE)*(0.25 + 0.75*Q341/40))</f>
        <v>85</v>
      </c>
      <c r="V341" t="b">
        <f t="shared" si="22"/>
        <v>1</v>
      </c>
    </row>
    <row r="342" spans="1:22" x14ac:dyDescent="0.25">
      <c r="A342" t="s">
        <v>20</v>
      </c>
      <c r="B342" t="s">
        <v>17</v>
      </c>
      <c r="C342">
        <v>15</v>
      </c>
      <c r="D342">
        <v>100</v>
      </c>
      <c r="E342">
        <v>3200</v>
      </c>
      <c r="F342" t="str">
        <f t="shared" si="23"/>
        <v>text256_line_15_100_3200</v>
      </c>
      <c r="G342">
        <f>IFERROR(VLOOKUP(F342,SROU03!$F:$H,2,FALSE),0)</f>
        <v>10.013864</v>
      </c>
      <c r="H342">
        <f>IFERROR(VLOOKUP(F342,SROU03!$F:$H,3,FALSE),0)</f>
        <v>27.136590999999999</v>
      </c>
      <c r="I342">
        <v>2.9078099999999999E-4</v>
      </c>
      <c r="J342">
        <v>1.4295E-5</v>
      </c>
      <c r="K342">
        <v>23.1953</v>
      </c>
      <c r="L342">
        <v>1.3436999999999999</v>
      </c>
      <c r="M342">
        <f>IFERROR(VLOOKUP(F342,TICO09!$F:$O,8,FALSE),0)</f>
        <v>18.658799999999999</v>
      </c>
      <c r="N342">
        <f>IFERROR(VLOOKUP(F342,SROU03!$F:$O,9,FALSE),0)</f>
        <v>25.6328</v>
      </c>
      <c r="O342">
        <v>27.713899999999999</v>
      </c>
      <c r="P342" t="str">
        <f t="shared" si="24"/>
        <v>BM3D</v>
      </c>
      <c r="Q342">
        <f t="shared" si="25"/>
        <v>27.713899999999999</v>
      </c>
      <c r="R342">
        <f>VLOOKUP(P342,'Color codes'!$A:$B,2,FALSE)</f>
        <v>1</v>
      </c>
      <c r="S342">
        <f>TRUNC(VLOOKUP(P342,'Color codes'!$A:$E,3,FALSE)*(0.25 + 0.75*Q342/40))</f>
        <v>196</v>
      </c>
      <c r="T342">
        <f>TRUNC(VLOOKUP(P342,'Color codes'!$A:$E,4,FALSE)*(0.25 + 0.75*Q342/40))</f>
        <v>82</v>
      </c>
      <c r="U342">
        <f>TRUNC(VLOOKUP(P342,'Color codes'!$A:$E,5,FALSE)*(0.25 + 0.75*Q342/40))</f>
        <v>80</v>
      </c>
      <c r="V342" t="b">
        <f t="shared" si="22"/>
        <v>1</v>
      </c>
    </row>
    <row r="343" spans="1:22" x14ac:dyDescent="0.25">
      <c r="A343" t="s">
        <v>20</v>
      </c>
      <c r="B343" t="s">
        <v>17</v>
      </c>
      <c r="C343">
        <v>15</v>
      </c>
      <c r="D343">
        <v>100</v>
      </c>
      <c r="E343">
        <v>6400</v>
      </c>
      <c r="F343" t="str">
        <f t="shared" si="23"/>
        <v>text256_line_15_100_6400</v>
      </c>
      <c r="G343">
        <f>IFERROR(VLOOKUP(F343,SROU03!$F:$H,2,FALSE),0)</f>
        <v>8.7465899999999994</v>
      </c>
      <c r="H343">
        <f>IFERROR(VLOOKUP(F343,SROU03!$F:$H,3,FALSE),0)</f>
        <v>26.963753000000001</v>
      </c>
      <c r="I343">
        <v>5.8686299999999997E-4</v>
      </c>
      <c r="J343">
        <v>1.4295E-5</v>
      </c>
      <c r="K343">
        <v>20.123899999999999</v>
      </c>
      <c r="L343">
        <v>1.3436999999999999</v>
      </c>
      <c r="M343">
        <f>IFERROR(VLOOKUP(F343,TICO09!$F:$O,8,FALSE),0)</f>
        <v>17.766200000000001</v>
      </c>
      <c r="N343">
        <f>IFERROR(VLOOKUP(F343,SROU03!$F:$O,9,FALSE),0)</f>
        <v>23.2624</v>
      </c>
      <c r="O343">
        <v>24.835100000000001</v>
      </c>
      <c r="P343" t="str">
        <f t="shared" si="24"/>
        <v>BM3D</v>
      </c>
      <c r="Q343">
        <f t="shared" si="25"/>
        <v>24.835100000000001</v>
      </c>
      <c r="R343">
        <f>VLOOKUP(P343,'Color codes'!$A:$B,2,FALSE)</f>
        <v>1</v>
      </c>
      <c r="S343">
        <f>TRUNC(VLOOKUP(P343,'Color codes'!$A:$E,3,FALSE)*(0.25 + 0.75*Q343/40))</f>
        <v>182</v>
      </c>
      <c r="T343">
        <f>TRUNC(VLOOKUP(P343,'Color codes'!$A:$E,4,FALSE)*(0.25 + 0.75*Q343/40))</f>
        <v>76</v>
      </c>
      <c r="U343">
        <f>TRUNC(VLOOKUP(P343,'Color codes'!$A:$E,5,FALSE)*(0.25 + 0.75*Q343/40))</f>
        <v>74</v>
      </c>
      <c r="V343" t="b">
        <f t="shared" si="22"/>
        <v>1</v>
      </c>
    </row>
    <row r="344" spans="1:22" x14ac:dyDescent="0.25">
      <c r="A344" t="s">
        <v>20</v>
      </c>
      <c r="B344" t="s">
        <v>17</v>
      </c>
      <c r="C344">
        <v>15</v>
      </c>
      <c r="D344">
        <v>100</v>
      </c>
      <c r="E344">
        <v>12800</v>
      </c>
      <c r="F344" t="str">
        <f t="shared" si="23"/>
        <v>text256_line_15_100_12800</v>
      </c>
      <c r="G344">
        <f>IFERROR(VLOOKUP(F344,SROU03!$F:$H,2,FALSE),0)</f>
        <v>7.8435810000000004</v>
      </c>
      <c r="H344">
        <f>IFERROR(VLOOKUP(F344,SROU03!$F:$H,3,FALSE),0)</f>
        <v>26.789960000000001</v>
      </c>
      <c r="I344">
        <v>1.2069310000000001E-3</v>
      </c>
      <c r="J344">
        <v>1.4295E-5</v>
      </c>
      <c r="K344">
        <v>16.956900000000001</v>
      </c>
      <c r="L344">
        <v>1.3436999999999999</v>
      </c>
      <c r="M344">
        <f>IFERROR(VLOOKUP(F344,TICO09!$F:$O,8,FALSE),0)</f>
        <v>16.4468</v>
      </c>
      <c r="N344">
        <f>IFERROR(VLOOKUP(F344,SROU03!$F:$O,9,FALSE),0)</f>
        <v>20.770800000000001</v>
      </c>
      <c r="O344">
        <v>21.9558</v>
      </c>
      <c r="P344" t="str">
        <f t="shared" si="24"/>
        <v>BM3D</v>
      </c>
      <c r="Q344">
        <f t="shared" si="25"/>
        <v>21.9558</v>
      </c>
      <c r="R344">
        <f>VLOOKUP(P344,'Color codes'!$A:$B,2,FALSE)</f>
        <v>1</v>
      </c>
      <c r="S344">
        <f>TRUNC(VLOOKUP(P344,'Color codes'!$A:$E,3,FALSE)*(0.25 + 0.75*Q344/40))</f>
        <v>168</v>
      </c>
      <c r="T344">
        <f>TRUNC(VLOOKUP(P344,'Color codes'!$A:$E,4,FALSE)*(0.25 + 0.75*Q344/40))</f>
        <v>70</v>
      </c>
      <c r="U344">
        <f>TRUNC(VLOOKUP(P344,'Color codes'!$A:$E,5,FALSE)*(0.25 + 0.75*Q344/40))</f>
        <v>68</v>
      </c>
      <c r="V344" t="b">
        <f t="shared" si="22"/>
        <v>1</v>
      </c>
    </row>
    <row r="345" spans="1:22" x14ac:dyDescent="0.25">
      <c r="A345" t="s">
        <v>20</v>
      </c>
      <c r="B345" t="s">
        <v>17</v>
      </c>
      <c r="C345">
        <v>15</v>
      </c>
      <c r="D345">
        <v>100</v>
      </c>
      <c r="E345">
        <v>25600</v>
      </c>
      <c r="F345" t="str">
        <f t="shared" si="23"/>
        <v>text256_line_15_100_25600</v>
      </c>
      <c r="G345">
        <f>IFERROR(VLOOKUP(F345,SROU03!$F:$H,2,FALSE),0)</f>
        <v>7.061121</v>
      </c>
      <c r="H345">
        <f>IFERROR(VLOOKUP(F345,SROU03!$F:$H,3,FALSE),0)</f>
        <v>27.013368</v>
      </c>
      <c r="I345">
        <v>2.5677880000000001E-3</v>
      </c>
      <c r="J345">
        <v>1.4295E-5</v>
      </c>
      <c r="K345">
        <v>13.655799999999999</v>
      </c>
      <c r="L345">
        <v>1.3436999999999999</v>
      </c>
      <c r="M345">
        <f>IFERROR(VLOOKUP(F345,TICO09!$F:$O,8,FALSE),0)</f>
        <v>14.530900000000001</v>
      </c>
      <c r="N345">
        <f>IFERROR(VLOOKUP(F345,SROU03!$F:$O,9,FALSE),0)</f>
        <v>17.736699999999999</v>
      </c>
      <c r="O345">
        <v>18.845199999999998</v>
      </c>
      <c r="P345" t="str">
        <f t="shared" si="24"/>
        <v>BM3D</v>
      </c>
      <c r="Q345">
        <f t="shared" si="25"/>
        <v>18.845199999999998</v>
      </c>
      <c r="R345">
        <f>VLOOKUP(P345,'Color codes'!$A:$B,2,FALSE)</f>
        <v>1</v>
      </c>
      <c r="S345">
        <f>TRUNC(VLOOKUP(P345,'Color codes'!$A:$E,3,FALSE)*(0.25 + 0.75*Q345/40))</f>
        <v>153</v>
      </c>
      <c r="T345">
        <f>TRUNC(VLOOKUP(P345,'Color codes'!$A:$E,4,FALSE)*(0.25 + 0.75*Q345/40))</f>
        <v>64</v>
      </c>
      <c r="U345">
        <f>TRUNC(VLOOKUP(P345,'Color codes'!$A:$E,5,FALSE)*(0.25 + 0.75*Q345/40))</f>
        <v>62</v>
      </c>
      <c r="V345" t="b">
        <f t="shared" si="22"/>
        <v>1</v>
      </c>
    </row>
    <row r="346" spans="1:22" x14ac:dyDescent="0.25">
      <c r="A346" t="s">
        <v>20</v>
      </c>
      <c r="B346" t="s">
        <v>17</v>
      </c>
      <c r="C346">
        <v>31</v>
      </c>
      <c r="D346">
        <v>100</v>
      </c>
      <c r="E346">
        <v>200</v>
      </c>
      <c r="F346" t="str">
        <f t="shared" si="23"/>
        <v>text256_line_31_100_200</v>
      </c>
      <c r="G346">
        <f>IFERROR(VLOOKUP(F346,SROU03!$F:$H,2,FALSE),0)</f>
        <v>27.960144</v>
      </c>
      <c r="H346">
        <f>IFERROR(VLOOKUP(F346,SROU03!$F:$H,3,FALSE),0)</f>
        <v>75.688856999999999</v>
      </c>
      <c r="I346">
        <v>1.6857000000000001E-5</v>
      </c>
      <c r="J346">
        <v>1.6324000000000002E-5</v>
      </c>
      <c r="K346">
        <v>35.631999999999998</v>
      </c>
      <c r="L346">
        <v>0.1762</v>
      </c>
      <c r="M346">
        <f>IFERROR(VLOOKUP(F346,TICO09!$F:$O,8,FALSE),0)</f>
        <v>19.3903</v>
      </c>
      <c r="N346">
        <f>IFERROR(VLOOKUP(F346,SROU03!$F:$O,9,FALSE),0)</f>
        <v>35.991100000000003</v>
      </c>
      <c r="O346">
        <v>39.737000000000002</v>
      </c>
      <c r="P346" t="str">
        <f t="shared" si="24"/>
        <v>BM3D</v>
      </c>
      <c r="Q346">
        <f t="shared" si="25"/>
        <v>39.737000000000002</v>
      </c>
      <c r="R346">
        <f>VLOOKUP(P346,'Color codes'!$A:$B,2,FALSE)</f>
        <v>1</v>
      </c>
      <c r="S346">
        <f>TRUNC(VLOOKUP(P346,'Color codes'!$A:$E,3,FALSE)*(0.25 + 0.75*Q346/40))</f>
        <v>253</v>
      </c>
      <c r="T346">
        <f>TRUNC(VLOOKUP(P346,'Color codes'!$A:$E,4,FALSE)*(0.25 + 0.75*Q346/40))</f>
        <v>106</v>
      </c>
      <c r="U346">
        <f>TRUNC(VLOOKUP(P346,'Color codes'!$A:$E,5,FALSE)*(0.25 + 0.75*Q346/40))</f>
        <v>103</v>
      </c>
      <c r="V346" t="b">
        <f t="shared" si="22"/>
        <v>1</v>
      </c>
    </row>
    <row r="347" spans="1:22" x14ac:dyDescent="0.25">
      <c r="A347" t="s">
        <v>20</v>
      </c>
      <c r="B347" t="s">
        <v>17</v>
      </c>
      <c r="C347">
        <v>31</v>
      </c>
      <c r="D347">
        <v>100</v>
      </c>
      <c r="E347">
        <v>400</v>
      </c>
      <c r="F347" t="str">
        <f t="shared" si="23"/>
        <v>text256_line_31_100_400</v>
      </c>
      <c r="G347">
        <f>IFERROR(VLOOKUP(F347,SROU03!$F:$H,2,FALSE),0)</f>
        <v>19.628799999999998</v>
      </c>
      <c r="H347">
        <f>IFERROR(VLOOKUP(F347,SROU03!$F:$H,3,FALSE),0)</f>
        <v>64.685449000000006</v>
      </c>
      <c r="I347">
        <v>3.4885000000000002E-5</v>
      </c>
      <c r="J347">
        <v>1.6324000000000002E-5</v>
      </c>
      <c r="K347">
        <v>32.463500000000003</v>
      </c>
      <c r="L347">
        <v>0.1762</v>
      </c>
      <c r="M347">
        <f>IFERROR(VLOOKUP(F347,TICO09!$F:$O,8,FALSE),0)</f>
        <v>19.357199999999999</v>
      </c>
      <c r="N347">
        <f>IFERROR(VLOOKUP(F347,SROU03!$F:$O,9,FALSE),0)</f>
        <v>32.947000000000003</v>
      </c>
      <c r="O347">
        <v>36.692900000000002</v>
      </c>
      <c r="P347" t="str">
        <f t="shared" si="24"/>
        <v>BM3D</v>
      </c>
      <c r="Q347">
        <f t="shared" si="25"/>
        <v>36.692900000000002</v>
      </c>
      <c r="R347">
        <f>VLOOKUP(P347,'Color codes'!$A:$B,2,FALSE)</f>
        <v>1</v>
      </c>
      <c r="S347">
        <f>TRUNC(VLOOKUP(P347,'Color codes'!$A:$E,3,FALSE)*(0.25 + 0.75*Q347/40))</f>
        <v>239</v>
      </c>
      <c r="T347">
        <f>TRUNC(VLOOKUP(P347,'Color codes'!$A:$E,4,FALSE)*(0.25 + 0.75*Q347/40))</f>
        <v>100</v>
      </c>
      <c r="U347">
        <f>TRUNC(VLOOKUP(P347,'Color codes'!$A:$E,5,FALSE)*(0.25 + 0.75*Q347/40))</f>
        <v>97</v>
      </c>
      <c r="V347" t="b">
        <f t="shared" si="22"/>
        <v>1</v>
      </c>
    </row>
    <row r="348" spans="1:22" x14ac:dyDescent="0.25">
      <c r="A348" t="s">
        <v>20</v>
      </c>
      <c r="B348" t="s">
        <v>17</v>
      </c>
      <c r="C348">
        <v>31</v>
      </c>
      <c r="D348">
        <v>100</v>
      </c>
      <c r="E348">
        <v>800</v>
      </c>
      <c r="F348" t="str">
        <f t="shared" si="23"/>
        <v>text256_line_31_100_800</v>
      </c>
      <c r="G348">
        <f>IFERROR(VLOOKUP(F348,SROU03!$F:$H,2,FALSE),0)</f>
        <v>14.279185</v>
      </c>
      <c r="H348">
        <f>IFERROR(VLOOKUP(F348,SROU03!$F:$H,3,FALSE),0)</f>
        <v>59.197958</v>
      </c>
      <c r="I348">
        <v>7.0957999999999994E-5</v>
      </c>
      <c r="J348">
        <v>1.6324000000000002E-5</v>
      </c>
      <c r="K348">
        <v>29.366700000000002</v>
      </c>
      <c r="L348">
        <v>0.1762</v>
      </c>
      <c r="M348">
        <f>IFERROR(VLOOKUP(F348,TICO09!$F:$O,8,FALSE),0)</f>
        <v>19.257200000000001</v>
      </c>
      <c r="N348">
        <f>IFERROR(VLOOKUP(F348,SROU03!$F:$O,9,FALSE),0)</f>
        <v>30.153400000000001</v>
      </c>
      <c r="O348">
        <v>33.657899999999998</v>
      </c>
      <c r="P348" t="str">
        <f t="shared" si="24"/>
        <v>BM3D</v>
      </c>
      <c r="Q348">
        <f t="shared" si="25"/>
        <v>33.657899999999998</v>
      </c>
      <c r="R348">
        <f>VLOOKUP(P348,'Color codes'!$A:$B,2,FALSE)</f>
        <v>1</v>
      </c>
      <c r="S348">
        <f>TRUNC(VLOOKUP(P348,'Color codes'!$A:$E,3,FALSE)*(0.25 + 0.75*Q348/40))</f>
        <v>224</v>
      </c>
      <c r="T348">
        <f>TRUNC(VLOOKUP(P348,'Color codes'!$A:$E,4,FALSE)*(0.25 + 0.75*Q348/40))</f>
        <v>94</v>
      </c>
      <c r="U348">
        <f>TRUNC(VLOOKUP(P348,'Color codes'!$A:$E,5,FALSE)*(0.25 + 0.75*Q348/40))</f>
        <v>91</v>
      </c>
      <c r="V348" t="b">
        <f t="shared" si="22"/>
        <v>1</v>
      </c>
    </row>
    <row r="349" spans="1:22" x14ac:dyDescent="0.25">
      <c r="A349" t="s">
        <v>20</v>
      </c>
      <c r="B349" t="s">
        <v>17</v>
      </c>
      <c r="C349">
        <v>31</v>
      </c>
      <c r="D349">
        <v>100</v>
      </c>
      <c r="E349">
        <v>1600</v>
      </c>
      <c r="F349" t="str">
        <f t="shared" si="23"/>
        <v>text256_line_31_100_1600</v>
      </c>
      <c r="G349">
        <f>IFERROR(VLOOKUP(F349,SROU03!$F:$H,2,FALSE),0)</f>
        <v>10.618029</v>
      </c>
      <c r="H349">
        <f>IFERROR(VLOOKUP(F349,SROU03!$F:$H,3,FALSE),0)</f>
        <v>56.030002000000003</v>
      </c>
      <c r="I349">
        <v>1.4286600000000001E-4</v>
      </c>
      <c r="J349">
        <v>1.6324000000000002E-5</v>
      </c>
      <c r="K349">
        <v>26.311399999999999</v>
      </c>
      <c r="L349">
        <v>0.1762</v>
      </c>
      <c r="M349">
        <f>IFERROR(VLOOKUP(F349,TICO09!$F:$O,8,FALSE),0)</f>
        <v>18.963000000000001</v>
      </c>
      <c r="N349">
        <f>IFERROR(VLOOKUP(F349,SROU03!$F:$O,9,FALSE),0)</f>
        <v>27.55</v>
      </c>
      <c r="O349">
        <v>30.6538</v>
      </c>
      <c r="P349" t="str">
        <f t="shared" si="24"/>
        <v>BM3D</v>
      </c>
      <c r="Q349">
        <f t="shared" si="25"/>
        <v>30.6538</v>
      </c>
      <c r="R349">
        <f>VLOOKUP(P349,'Color codes'!$A:$B,2,FALSE)</f>
        <v>1</v>
      </c>
      <c r="S349">
        <f>TRUNC(VLOOKUP(P349,'Color codes'!$A:$E,3,FALSE)*(0.25 + 0.75*Q349/40))</f>
        <v>210</v>
      </c>
      <c r="T349">
        <f>TRUNC(VLOOKUP(P349,'Color codes'!$A:$E,4,FALSE)*(0.25 + 0.75*Q349/40))</f>
        <v>88</v>
      </c>
      <c r="U349">
        <f>TRUNC(VLOOKUP(P349,'Color codes'!$A:$E,5,FALSE)*(0.25 + 0.75*Q349/40))</f>
        <v>85</v>
      </c>
      <c r="V349" t="b">
        <f t="shared" si="22"/>
        <v>1</v>
      </c>
    </row>
    <row r="350" spans="1:22" x14ac:dyDescent="0.25">
      <c r="A350" t="s">
        <v>20</v>
      </c>
      <c r="B350" t="s">
        <v>17</v>
      </c>
      <c r="C350">
        <v>31</v>
      </c>
      <c r="D350">
        <v>100</v>
      </c>
      <c r="E350">
        <v>3200</v>
      </c>
      <c r="F350" t="str">
        <f t="shared" si="23"/>
        <v>text256_line_31_100_3200</v>
      </c>
      <c r="G350">
        <f>IFERROR(VLOOKUP(F350,SROU03!$F:$H,2,FALSE),0)</f>
        <v>8.2477</v>
      </c>
      <c r="H350">
        <f>IFERROR(VLOOKUP(F350,SROU03!$F:$H,3,FALSE),0)</f>
        <v>54.701647000000001</v>
      </c>
      <c r="I350">
        <v>2.9382300000000002E-4</v>
      </c>
      <c r="J350">
        <v>1.6324000000000002E-5</v>
      </c>
      <c r="K350">
        <v>23.151499999999999</v>
      </c>
      <c r="L350">
        <v>0.1762</v>
      </c>
      <c r="M350">
        <f>IFERROR(VLOOKUP(F350,TICO09!$F:$O,8,FALSE),0)</f>
        <v>18.528400000000001</v>
      </c>
      <c r="N350">
        <f>IFERROR(VLOOKUP(F350,SROU03!$F:$O,9,FALSE),0)</f>
        <v>24.921199999999999</v>
      </c>
      <c r="O350">
        <v>27.780100000000001</v>
      </c>
      <c r="P350" t="str">
        <f t="shared" si="24"/>
        <v>BM3D</v>
      </c>
      <c r="Q350">
        <f t="shared" si="25"/>
        <v>27.780100000000001</v>
      </c>
      <c r="R350">
        <f>VLOOKUP(P350,'Color codes'!$A:$B,2,FALSE)</f>
        <v>1</v>
      </c>
      <c r="S350">
        <f>TRUNC(VLOOKUP(P350,'Color codes'!$A:$E,3,FALSE)*(0.25 + 0.75*Q350/40))</f>
        <v>196</v>
      </c>
      <c r="T350">
        <f>TRUNC(VLOOKUP(P350,'Color codes'!$A:$E,4,FALSE)*(0.25 + 0.75*Q350/40))</f>
        <v>82</v>
      </c>
      <c r="U350">
        <f>TRUNC(VLOOKUP(P350,'Color codes'!$A:$E,5,FALSE)*(0.25 + 0.75*Q350/40))</f>
        <v>80</v>
      </c>
      <c r="V350" t="b">
        <f t="shared" si="22"/>
        <v>1</v>
      </c>
    </row>
    <row r="351" spans="1:22" x14ac:dyDescent="0.25">
      <c r="A351" t="s">
        <v>20</v>
      </c>
      <c r="B351" t="s">
        <v>17</v>
      </c>
      <c r="C351">
        <v>31</v>
      </c>
      <c r="D351">
        <v>100</v>
      </c>
      <c r="E351">
        <v>6400</v>
      </c>
      <c r="F351" t="str">
        <f t="shared" si="23"/>
        <v>text256_line_31_100_6400</v>
      </c>
      <c r="G351">
        <f>IFERROR(VLOOKUP(F351,SROU03!$F:$H,2,FALSE),0)</f>
        <v>6.7293760000000002</v>
      </c>
      <c r="H351">
        <f>IFERROR(VLOOKUP(F351,SROU03!$F:$H,3,FALSE),0)</f>
        <v>53.808256999999998</v>
      </c>
      <c r="I351">
        <v>5.8637299999999995E-4</v>
      </c>
      <c r="J351">
        <v>1.6324000000000002E-5</v>
      </c>
      <c r="K351">
        <v>20.127800000000001</v>
      </c>
      <c r="L351">
        <v>0.1762</v>
      </c>
      <c r="M351">
        <f>IFERROR(VLOOKUP(F351,TICO09!$F:$O,8,FALSE),0)</f>
        <v>17.6892</v>
      </c>
      <c r="N351">
        <f>IFERROR(VLOOKUP(F351,SROU03!$F:$O,9,FALSE),0)</f>
        <v>22.4709</v>
      </c>
      <c r="O351">
        <v>24.897200000000002</v>
      </c>
      <c r="P351" t="str">
        <f t="shared" si="24"/>
        <v>BM3D</v>
      </c>
      <c r="Q351">
        <f t="shared" si="25"/>
        <v>24.897200000000002</v>
      </c>
      <c r="R351">
        <f>VLOOKUP(P351,'Color codes'!$A:$B,2,FALSE)</f>
        <v>1</v>
      </c>
      <c r="S351">
        <f>TRUNC(VLOOKUP(P351,'Color codes'!$A:$E,3,FALSE)*(0.25 + 0.75*Q351/40))</f>
        <v>182</v>
      </c>
      <c r="T351">
        <f>TRUNC(VLOOKUP(P351,'Color codes'!$A:$E,4,FALSE)*(0.25 + 0.75*Q351/40))</f>
        <v>76</v>
      </c>
      <c r="U351">
        <f>TRUNC(VLOOKUP(P351,'Color codes'!$A:$E,5,FALSE)*(0.25 + 0.75*Q351/40))</f>
        <v>74</v>
      </c>
      <c r="V351" t="b">
        <f t="shared" si="22"/>
        <v>1</v>
      </c>
    </row>
    <row r="352" spans="1:22" x14ac:dyDescent="0.25">
      <c r="A352" t="s">
        <v>20</v>
      </c>
      <c r="B352" t="s">
        <v>17</v>
      </c>
      <c r="C352">
        <v>31</v>
      </c>
      <c r="D352">
        <v>100</v>
      </c>
      <c r="E352">
        <v>12800</v>
      </c>
      <c r="F352" t="str">
        <f t="shared" si="23"/>
        <v>text256_line_31_100_12800</v>
      </c>
      <c r="G352">
        <f>IFERROR(VLOOKUP(F352,SROU03!$F:$H,2,FALSE),0)</f>
        <v>5.6959689999999998</v>
      </c>
      <c r="H352">
        <f>IFERROR(VLOOKUP(F352,SROU03!$F:$H,3,FALSE),0)</f>
        <v>53.722534000000003</v>
      </c>
      <c r="I352">
        <v>1.206599E-3</v>
      </c>
      <c r="J352">
        <v>1.6324000000000002E-5</v>
      </c>
      <c r="K352">
        <v>16.961300000000001</v>
      </c>
      <c r="L352">
        <v>0.1762</v>
      </c>
      <c r="M352">
        <f>IFERROR(VLOOKUP(F352,TICO09!$F:$O,8,FALSE),0)</f>
        <v>16.4176</v>
      </c>
      <c r="N352">
        <f>IFERROR(VLOOKUP(F352,SROU03!$F:$O,9,FALSE),0)</f>
        <v>19.487100000000002</v>
      </c>
      <c r="O352">
        <v>22.0627</v>
      </c>
      <c r="P352" t="str">
        <f t="shared" si="24"/>
        <v>BM3D</v>
      </c>
      <c r="Q352">
        <f t="shared" si="25"/>
        <v>22.0627</v>
      </c>
      <c r="R352">
        <f>VLOOKUP(P352,'Color codes'!$A:$B,2,FALSE)</f>
        <v>1</v>
      </c>
      <c r="S352">
        <f>TRUNC(VLOOKUP(P352,'Color codes'!$A:$E,3,FALSE)*(0.25 + 0.75*Q352/40))</f>
        <v>169</v>
      </c>
      <c r="T352">
        <f>TRUNC(VLOOKUP(P352,'Color codes'!$A:$E,4,FALSE)*(0.25 + 0.75*Q352/40))</f>
        <v>71</v>
      </c>
      <c r="U352">
        <f>TRUNC(VLOOKUP(P352,'Color codes'!$A:$E,5,FALSE)*(0.25 + 0.75*Q352/40))</f>
        <v>69</v>
      </c>
      <c r="V352" t="b">
        <f t="shared" si="22"/>
        <v>1</v>
      </c>
    </row>
    <row r="353" spans="1:22" x14ac:dyDescent="0.25">
      <c r="A353" t="s">
        <v>20</v>
      </c>
      <c r="B353" t="s">
        <v>17</v>
      </c>
      <c r="C353">
        <v>31</v>
      </c>
      <c r="D353">
        <v>100</v>
      </c>
      <c r="E353">
        <v>25600</v>
      </c>
      <c r="F353" t="str">
        <f t="shared" si="23"/>
        <v>text256_line_31_100_25600</v>
      </c>
      <c r="G353">
        <f>IFERROR(VLOOKUP(F353,SROU03!$F:$H,2,FALSE),0)</f>
        <v>4.8780380000000001</v>
      </c>
      <c r="H353">
        <f>IFERROR(VLOOKUP(F353,SROU03!$F:$H,3,FALSE),0)</f>
        <v>53.551473000000001</v>
      </c>
      <c r="I353">
        <v>2.5604109999999999E-3</v>
      </c>
      <c r="J353">
        <v>1.6324000000000002E-5</v>
      </c>
      <c r="K353">
        <v>13.6684</v>
      </c>
      <c r="L353">
        <v>0.1762</v>
      </c>
      <c r="M353">
        <f>IFERROR(VLOOKUP(F353,TICO09!$F:$O,8,FALSE),0)</f>
        <v>14.5389</v>
      </c>
      <c r="N353">
        <f>IFERROR(VLOOKUP(F353,SROU03!$F:$O,9,FALSE),0)</f>
        <v>16.199100000000001</v>
      </c>
      <c r="O353">
        <v>18.857299999999999</v>
      </c>
      <c r="P353" t="str">
        <f t="shared" si="24"/>
        <v>BM3D</v>
      </c>
      <c r="Q353">
        <f t="shared" si="25"/>
        <v>18.857299999999999</v>
      </c>
      <c r="R353">
        <f>VLOOKUP(P353,'Color codes'!$A:$B,2,FALSE)</f>
        <v>1</v>
      </c>
      <c r="S353">
        <f>TRUNC(VLOOKUP(P353,'Color codes'!$A:$E,3,FALSE)*(0.25 + 0.75*Q353/40))</f>
        <v>153</v>
      </c>
      <c r="T353">
        <f>TRUNC(VLOOKUP(P353,'Color codes'!$A:$E,4,FALSE)*(0.25 + 0.75*Q353/40))</f>
        <v>64</v>
      </c>
      <c r="U353">
        <f>TRUNC(VLOOKUP(P353,'Color codes'!$A:$E,5,FALSE)*(0.25 + 0.75*Q353/40))</f>
        <v>62</v>
      </c>
      <c r="V353" t="b">
        <f t="shared" si="22"/>
        <v>1</v>
      </c>
    </row>
    <row r="354" spans="1:22" x14ac:dyDescent="0.25">
      <c r="A354" t="s">
        <v>20</v>
      </c>
      <c r="B354" t="s">
        <v>18</v>
      </c>
      <c r="C354">
        <v>3</v>
      </c>
      <c r="D354">
        <v>100</v>
      </c>
      <c r="E354">
        <v>200</v>
      </c>
      <c r="F354" t="str">
        <f t="shared" si="23"/>
        <v>text256_blurkernel10_3_100_200</v>
      </c>
      <c r="G354">
        <f>IFERROR(VLOOKUP(F354,SROU03!$F:$H,2,FALSE),0)</f>
        <v>31.096889000000001</v>
      </c>
      <c r="H354">
        <f>IFERROR(VLOOKUP(F354,SROU03!$F:$H,3,FALSE),0)</f>
        <v>7.3992820000000004</v>
      </c>
      <c r="I354">
        <v>1.7085999999999999E-5</v>
      </c>
      <c r="J354">
        <v>9.8689999999999999E-6</v>
      </c>
      <c r="K354">
        <v>35.577500000000001</v>
      </c>
      <c r="L354">
        <v>7.1322999999999999</v>
      </c>
      <c r="M354">
        <f>IFERROR(VLOOKUP(F354,TICO09!$F:$O,8,FALSE),0)</f>
        <v>17.3413</v>
      </c>
      <c r="N354">
        <f>IFERROR(VLOOKUP(F354,SROU03!$F:$O,9,FALSE),0)</f>
        <v>37.0349</v>
      </c>
      <c r="O354">
        <v>39.705399999999997</v>
      </c>
      <c r="P354" t="str">
        <f t="shared" si="24"/>
        <v>BM3D</v>
      </c>
      <c r="Q354">
        <f t="shared" si="25"/>
        <v>39.705399999999997</v>
      </c>
      <c r="R354">
        <f>VLOOKUP(P354,'Color codes'!$A:$B,2,FALSE)</f>
        <v>1</v>
      </c>
      <c r="S354">
        <f>TRUNC(VLOOKUP(P354,'Color codes'!$A:$E,3,FALSE)*(0.25 + 0.75*Q354/40))</f>
        <v>253</v>
      </c>
      <c r="T354">
        <f>TRUNC(VLOOKUP(P354,'Color codes'!$A:$E,4,FALSE)*(0.25 + 0.75*Q354/40))</f>
        <v>106</v>
      </c>
      <c r="U354">
        <f>TRUNC(VLOOKUP(P354,'Color codes'!$A:$E,5,FALSE)*(0.25 + 0.75*Q354/40))</f>
        <v>103</v>
      </c>
      <c r="V354" t="b">
        <f t="shared" si="22"/>
        <v>1</v>
      </c>
    </row>
    <row r="355" spans="1:22" x14ac:dyDescent="0.25">
      <c r="A355" t="s">
        <v>20</v>
      </c>
      <c r="B355" t="s">
        <v>18</v>
      </c>
      <c r="C355">
        <v>3</v>
      </c>
      <c r="D355">
        <v>100</v>
      </c>
      <c r="E355">
        <v>400</v>
      </c>
      <c r="F355" t="str">
        <f t="shared" si="23"/>
        <v>text256_blurkernel10_3_100_400</v>
      </c>
      <c r="G355">
        <f>IFERROR(VLOOKUP(F355,SROU03!$F:$H,2,FALSE),0)</f>
        <v>24.342081</v>
      </c>
      <c r="H355">
        <f>IFERROR(VLOOKUP(F355,SROU03!$F:$H,3,FALSE),0)</f>
        <v>6.6542349999999999</v>
      </c>
      <c r="I355">
        <v>3.4686E-5</v>
      </c>
      <c r="J355">
        <v>9.8689999999999999E-6</v>
      </c>
      <c r="K355">
        <v>32.491599999999998</v>
      </c>
      <c r="L355">
        <v>7.1322999999999999</v>
      </c>
      <c r="M355">
        <f>IFERROR(VLOOKUP(F355,TICO09!$F:$O,8,FALSE),0)</f>
        <v>17.308599999999998</v>
      </c>
      <c r="N355">
        <f>IFERROR(VLOOKUP(F355,SROU03!$F:$O,9,FALSE),0)</f>
        <v>34.779600000000002</v>
      </c>
      <c r="O355">
        <v>36.706299999999999</v>
      </c>
      <c r="P355" t="str">
        <f t="shared" si="24"/>
        <v>BM3D</v>
      </c>
      <c r="Q355">
        <f t="shared" si="25"/>
        <v>36.706299999999999</v>
      </c>
      <c r="R355">
        <f>VLOOKUP(P355,'Color codes'!$A:$B,2,FALSE)</f>
        <v>1</v>
      </c>
      <c r="S355">
        <f>TRUNC(VLOOKUP(P355,'Color codes'!$A:$E,3,FALSE)*(0.25 + 0.75*Q355/40))</f>
        <v>239</v>
      </c>
      <c r="T355">
        <f>TRUNC(VLOOKUP(P355,'Color codes'!$A:$E,4,FALSE)*(0.25 + 0.75*Q355/40))</f>
        <v>100</v>
      </c>
      <c r="U355">
        <f>TRUNC(VLOOKUP(P355,'Color codes'!$A:$E,5,FALSE)*(0.25 + 0.75*Q355/40))</f>
        <v>97</v>
      </c>
      <c r="V355" t="b">
        <f t="shared" si="22"/>
        <v>1</v>
      </c>
    </row>
    <row r="356" spans="1:22" x14ac:dyDescent="0.25">
      <c r="A356" t="s">
        <v>20</v>
      </c>
      <c r="B356" t="s">
        <v>18</v>
      </c>
      <c r="C356">
        <v>3</v>
      </c>
      <c r="D356">
        <v>100</v>
      </c>
      <c r="E356">
        <v>800</v>
      </c>
      <c r="F356" t="str">
        <f t="shared" si="23"/>
        <v>text256_blurkernel10_3_100_800</v>
      </c>
      <c r="G356">
        <f>IFERROR(VLOOKUP(F356,SROU03!$F:$H,2,FALSE),0)</f>
        <v>20.284638999999999</v>
      </c>
      <c r="H356">
        <f>IFERROR(VLOOKUP(F356,SROU03!$F:$H,3,FALSE),0)</f>
        <v>6.2627969999999999</v>
      </c>
      <c r="I356">
        <v>7.1732999999999999E-5</v>
      </c>
      <c r="J356">
        <v>9.8689999999999999E-6</v>
      </c>
      <c r="K356">
        <v>29.323599999999999</v>
      </c>
      <c r="L356">
        <v>7.1322999999999999</v>
      </c>
      <c r="M356">
        <f>IFERROR(VLOOKUP(F356,TICO09!$F:$O,8,FALSE),0)</f>
        <v>17.259</v>
      </c>
      <c r="N356">
        <f>IFERROR(VLOOKUP(F356,SROU03!$F:$O,9,FALSE),0)</f>
        <v>32.767200000000003</v>
      </c>
      <c r="O356">
        <v>33.663899999999998</v>
      </c>
      <c r="P356" t="str">
        <f t="shared" si="24"/>
        <v>BM3D</v>
      </c>
      <c r="Q356">
        <f t="shared" si="25"/>
        <v>33.663899999999998</v>
      </c>
      <c r="R356">
        <f>VLOOKUP(P356,'Color codes'!$A:$B,2,FALSE)</f>
        <v>1</v>
      </c>
      <c r="S356">
        <f>TRUNC(VLOOKUP(P356,'Color codes'!$A:$E,3,FALSE)*(0.25 + 0.75*Q356/40))</f>
        <v>224</v>
      </c>
      <c r="T356">
        <f>TRUNC(VLOOKUP(P356,'Color codes'!$A:$E,4,FALSE)*(0.25 + 0.75*Q356/40))</f>
        <v>94</v>
      </c>
      <c r="U356">
        <f>TRUNC(VLOOKUP(P356,'Color codes'!$A:$E,5,FALSE)*(0.25 + 0.75*Q356/40))</f>
        <v>91</v>
      </c>
      <c r="V356" t="b">
        <f t="shared" si="22"/>
        <v>0</v>
      </c>
    </row>
    <row r="357" spans="1:22" x14ac:dyDescent="0.25">
      <c r="A357" t="s">
        <v>20</v>
      </c>
      <c r="B357" t="s">
        <v>18</v>
      </c>
      <c r="C357">
        <v>3</v>
      </c>
      <c r="D357">
        <v>100</v>
      </c>
      <c r="E357">
        <v>1600</v>
      </c>
      <c r="F357" t="str">
        <f t="shared" si="23"/>
        <v>text256_blurkernel10_3_100_1600</v>
      </c>
      <c r="G357">
        <f>IFERROR(VLOOKUP(F357,SROU03!$F:$H,2,FALSE),0)</f>
        <v>17.978045999999999</v>
      </c>
      <c r="H357">
        <f>IFERROR(VLOOKUP(F357,SROU03!$F:$H,3,FALSE),0)</f>
        <v>6.0647260000000003</v>
      </c>
      <c r="I357">
        <v>1.42941E-4</v>
      </c>
      <c r="J357">
        <v>9.8689999999999999E-6</v>
      </c>
      <c r="K357">
        <v>26.3108</v>
      </c>
      <c r="L357">
        <v>7.1322999999999999</v>
      </c>
      <c r="M357">
        <f>IFERROR(VLOOKUP(F357,TICO09!$F:$O,8,FALSE),0)</f>
        <v>17.173100000000002</v>
      </c>
      <c r="N357">
        <f>IFERROR(VLOOKUP(F357,SROU03!$F:$O,9,FALSE),0)</f>
        <v>31.127099999999999</v>
      </c>
      <c r="O357">
        <v>30.722799999999999</v>
      </c>
      <c r="P357" t="str">
        <f t="shared" si="24"/>
        <v>SROU03</v>
      </c>
      <c r="Q357">
        <f t="shared" si="25"/>
        <v>31.127099999999999</v>
      </c>
      <c r="R357">
        <f>VLOOKUP(P357,'Color codes'!$A:$B,2,FALSE)</f>
        <v>3</v>
      </c>
      <c r="S357">
        <f>TRUNC(VLOOKUP(P357,'Color codes'!$A:$E,3,FALSE)*(0.25 + 0.75*Q357/40))</f>
        <v>89</v>
      </c>
      <c r="T357">
        <f>TRUNC(VLOOKUP(P357,'Color codes'!$A:$E,4,FALSE)*(0.25 + 0.75*Q357/40))</f>
        <v>146</v>
      </c>
      <c r="U357">
        <f>TRUNC(VLOOKUP(P357,'Color codes'!$A:$E,5,FALSE)*(0.25 + 0.75*Q357/40))</f>
        <v>212</v>
      </c>
      <c r="V357" t="b">
        <f t="shared" si="22"/>
        <v>0</v>
      </c>
    </row>
    <row r="358" spans="1:22" x14ac:dyDescent="0.25">
      <c r="A358" t="s">
        <v>20</v>
      </c>
      <c r="B358" t="s">
        <v>18</v>
      </c>
      <c r="C358">
        <v>3</v>
      </c>
      <c r="D358">
        <v>100</v>
      </c>
      <c r="E358">
        <v>3200</v>
      </c>
      <c r="F358" t="str">
        <f t="shared" si="23"/>
        <v>text256_blurkernel10_3_100_3200</v>
      </c>
      <c r="G358">
        <f>IFERROR(VLOOKUP(F358,SROU03!$F:$H,2,FALSE),0)</f>
        <v>16.716259000000001</v>
      </c>
      <c r="H358">
        <f>IFERROR(VLOOKUP(F358,SROU03!$F:$H,3,FALSE),0)</f>
        <v>5.9630710000000002</v>
      </c>
      <c r="I358">
        <v>2.8937899999999998E-4</v>
      </c>
      <c r="J358">
        <v>9.8689999999999999E-6</v>
      </c>
      <c r="K358">
        <v>23.222300000000001</v>
      </c>
      <c r="L358">
        <v>7.1322999999999999</v>
      </c>
      <c r="M358">
        <f>IFERROR(VLOOKUP(F358,TICO09!$F:$O,8,FALSE),0)</f>
        <v>16.958400000000001</v>
      </c>
      <c r="N358">
        <f>IFERROR(VLOOKUP(F358,SROU03!$F:$O,9,FALSE),0)</f>
        <v>29.642399999999999</v>
      </c>
      <c r="O358">
        <v>27.817699999999999</v>
      </c>
      <c r="P358" t="str">
        <f t="shared" si="24"/>
        <v>SROU03</v>
      </c>
      <c r="Q358">
        <f t="shared" si="25"/>
        <v>29.642399999999999</v>
      </c>
      <c r="R358">
        <f>VLOOKUP(P358,'Color codes'!$A:$B,2,FALSE)</f>
        <v>3</v>
      </c>
      <c r="S358">
        <f>TRUNC(VLOOKUP(P358,'Color codes'!$A:$E,3,FALSE)*(0.25 + 0.75*Q358/40))</f>
        <v>86</v>
      </c>
      <c r="T358">
        <f>TRUNC(VLOOKUP(P358,'Color codes'!$A:$E,4,FALSE)*(0.25 + 0.75*Q358/40))</f>
        <v>141</v>
      </c>
      <c r="U358">
        <f>TRUNC(VLOOKUP(P358,'Color codes'!$A:$E,5,FALSE)*(0.25 + 0.75*Q358/40))</f>
        <v>205</v>
      </c>
      <c r="V358" t="b">
        <f t="shared" ref="V358:V421" si="26">(ABS(N358-O358)  &gt; 1)</f>
        <v>1</v>
      </c>
    </row>
    <row r="359" spans="1:22" x14ac:dyDescent="0.25">
      <c r="A359" t="s">
        <v>20</v>
      </c>
      <c r="B359" t="s">
        <v>18</v>
      </c>
      <c r="C359">
        <v>3</v>
      </c>
      <c r="D359">
        <v>100</v>
      </c>
      <c r="E359">
        <v>6400</v>
      </c>
      <c r="F359" t="str">
        <f t="shared" si="23"/>
        <v>text256_blurkernel10_3_100_6400</v>
      </c>
      <c r="G359">
        <f>IFERROR(VLOOKUP(F359,SROU03!$F:$H,2,FALSE),0)</f>
        <v>16.034998000000002</v>
      </c>
      <c r="H359">
        <f>IFERROR(VLOOKUP(F359,SROU03!$F:$H,3,FALSE),0)</f>
        <v>5.9175630000000004</v>
      </c>
      <c r="I359">
        <v>5.8909700000000001E-4</v>
      </c>
      <c r="J359">
        <v>9.8689999999999999E-6</v>
      </c>
      <c r="K359">
        <v>20.103200000000001</v>
      </c>
      <c r="L359">
        <v>7.1322999999999999</v>
      </c>
      <c r="M359">
        <f>IFERROR(VLOOKUP(F359,TICO09!$F:$O,8,FALSE),0)</f>
        <v>16.422899999999998</v>
      </c>
      <c r="N359">
        <f>IFERROR(VLOOKUP(F359,SROU03!$F:$O,9,FALSE),0)</f>
        <v>27.726700000000001</v>
      </c>
      <c r="O359">
        <v>24.9176</v>
      </c>
      <c r="P359" t="str">
        <f t="shared" si="24"/>
        <v>SROU03</v>
      </c>
      <c r="Q359">
        <f t="shared" si="25"/>
        <v>27.726700000000001</v>
      </c>
      <c r="R359">
        <f>VLOOKUP(P359,'Color codes'!$A:$B,2,FALSE)</f>
        <v>3</v>
      </c>
      <c r="S359">
        <f>TRUNC(VLOOKUP(P359,'Color codes'!$A:$E,3,FALSE)*(0.25 + 0.75*Q359/40))</f>
        <v>82</v>
      </c>
      <c r="T359">
        <f>TRUNC(VLOOKUP(P359,'Color codes'!$A:$E,4,FALSE)*(0.25 + 0.75*Q359/40))</f>
        <v>135</v>
      </c>
      <c r="U359">
        <f>TRUNC(VLOOKUP(P359,'Color codes'!$A:$E,5,FALSE)*(0.25 + 0.75*Q359/40))</f>
        <v>196</v>
      </c>
      <c r="V359" t="b">
        <f t="shared" si="26"/>
        <v>1</v>
      </c>
    </row>
    <row r="360" spans="1:22" x14ac:dyDescent="0.25">
      <c r="A360" t="s">
        <v>20</v>
      </c>
      <c r="B360" t="s">
        <v>18</v>
      </c>
      <c r="C360">
        <v>3</v>
      </c>
      <c r="D360">
        <v>100</v>
      </c>
      <c r="E360">
        <v>12800</v>
      </c>
      <c r="F360" t="str">
        <f t="shared" si="23"/>
        <v>text256_blurkernel10_3_100_12800</v>
      </c>
      <c r="G360">
        <f>IFERROR(VLOOKUP(F360,SROU03!$F:$H,2,FALSE),0)</f>
        <v>15.641697000000001</v>
      </c>
      <c r="H360">
        <f>IFERROR(VLOOKUP(F360,SROU03!$F:$H,3,FALSE),0)</f>
        <v>5.9030180000000003</v>
      </c>
      <c r="I360">
        <v>1.206188E-3</v>
      </c>
      <c r="J360">
        <v>9.8689999999999999E-6</v>
      </c>
      <c r="K360">
        <v>16.9633</v>
      </c>
      <c r="L360">
        <v>7.1322999999999999</v>
      </c>
      <c r="M360">
        <f>IFERROR(VLOOKUP(F360,TICO09!$F:$O,8,FALSE),0)</f>
        <v>15.5159</v>
      </c>
      <c r="N360">
        <f>IFERROR(VLOOKUP(F360,SROU03!$F:$O,9,FALSE),0)</f>
        <v>23.218499999999999</v>
      </c>
      <c r="O360">
        <v>21.904699999999998</v>
      </c>
      <c r="P360" t="str">
        <f t="shared" si="24"/>
        <v>SROU03</v>
      </c>
      <c r="Q360">
        <f t="shared" si="25"/>
        <v>23.218499999999999</v>
      </c>
      <c r="R360">
        <f>VLOOKUP(P360,'Color codes'!$A:$B,2,FALSE)</f>
        <v>3</v>
      </c>
      <c r="S360">
        <f>TRUNC(VLOOKUP(P360,'Color codes'!$A:$E,3,FALSE)*(0.25 + 0.75*Q360/40))</f>
        <v>73</v>
      </c>
      <c r="T360">
        <f>TRUNC(VLOOKUP(P360,'Color codes'!$A:$E,4,FALSE)*(0.25 + 0.75*Q360/40))</f>
        <v>120</v>
      </c>
      <c r="U360">
        <f>TRUNC(VLOOKUP(P360,'Color codes'!$A:$E,5,FALSE)*(0.25 + 0.75*Q360/40))</f>
        <v>174</v>
      </c>
      <c r="V360" t="b">
        <f t="shared" si="26"/>
        <v>1</v>
      </c>
    </row>
    <row r="361" spans="1:22" x14ac:dyDescent="0.25">
      <c r="A361" t="s">
        <v>20</v>
      </c>
      <c r="B361" t="s">
        <v>18</v>
      </c>
      <c r="C361">
        <v>3</v>
      </c>
      <c r="D361">
        <v>100</v>
      </c>
      <c r="E361">
        <v>25600</v>
      </c>
      <c r="F361" t="str">
        <f t="shared" si="23"/>
        <v>text256_blurkernel10_3_100_25600</v>
      </c>
      <c r="G361">
        <f>IFERROR(VLOOKUP(F361,SROU03!$F:$H,2,FALSE),0)</f>
        <v>15.366365</v>
      </c>
      <c r="H361">
        <f>IFERROR(VLOOKUP(F361,SROU03!$F:$H,3,FALSE),0)</f>
        <v>5.9104580000000002</v>
      </c>
      <c r="I361">
        <v>2.5312139999999999E-3</v>
      </c>
      <c r="J361">
        <v>9.8689999999999999E-6</v>
      </c>
      <c r="K361">
        <v>13.718</v>
      </c>
      <c r="L361">
        <v>7.1322999999999999</v>
      </c>
      <c r="M361">
        <f>IFERROR(VLOOKUP(F361,TICO09!$F:$O,8,FALSE),0)</f>
        <v>14.146000000000001</v>
      </c>
      <c r="N361">
        <f>IFERROR(VLOOKUP(F361,SROU03!$F:$O,9,FALSE),0)</f>
        <v>21.416699999999999</v>
      </c>
      <c r="O361">
        <v>18.962900000000001</v>
      </c>
      <c r="P361" t="str">
        <f t="shared" si="24"/>
        <v>SROU03</v>
      </c>
      <c r="Q361">
        <f t="shared" si="25"/>
        <v>21.416699999999999</v>
      </c>
      <c r="R361">
        <f>VLOOKUP(P361,'Color codes'!$A:$B,2,FALSE)</f>
        <v>3</v>
      </c>
      <c r="S361">
        <f>TRUNC(VLOOKUP(P361,'Color codes'!$A:$E,3,FALSE)*(0.25 + 0.75*Q361/40))</f>
        <v>69</v>
      </c>
      <c r="T361">
        <f>TRUNC(VLOOKUP(P361,'Color codes'!$A:$E,4,FALSE)*(0.25 + 0.75*Q361/40))</f>
        <v>114</v>
      </c>
      <c r="U361">
        <f>TRUNC(VLOOKUP(P361,'Color codes'!$A:$E,5,FALSE)*(0.25 + 0.75*Q361/40))</f>
        <v>166</v>
      </c>
      <c r="V361" t="b">
        <f t="shared" si="26"/>
        <v>1</v>
      </c>
    </row>
    <row r="362" spans="1:22" x14ac:dyDescent="0.25">
      <c r="A362" t="s">
        <v>20</v>
      </c>
      <c r="B362" t="s">
        <v>18</v>
      </c>
      <c r="C362">
        <v>7</v>
      </c>
      <c r="D362">
        <v>100</v>
      </c>
      <c r="E362">
        <v>200</v>
      </c>
      <c r="F362" t="str">
        <f t="shared" si="23"/>
        <v>text256_blurkernel10_7_100_200</v>
      </c>
      <c r="G362">
        <f>IFERROR(VLOOKUP(F362,SROU03!$F:$H,2,FALSE),0)</f>
        <v>28.182181</v>
      </c>
      <c r="H362">
        <f>IFERROR(VLOOKUP(F362,SROU03!$F:$H,3,FALSE),0)</f>
        <v>18.225071</v>
      </c>
      <c r="I362">
        <v>1.6733999999999999E-5</v>
      </c>
      <c r="J362">
        <v>1.1922E-5</v>
      </c>
      <c r="K362">
        <v>35.670200000000001</v>
      </c>
      <c r="L362">
        <v>2.1814</v>
      </c>
      <c r="M362">
        <f>IFERROR(VLOOKUP(F362,TICO09!$F:$O,8,FALSE),0)</f>
        <v>19.428899999999999</v>
      </c>
      <c r="N362">
        <f>IFERROR(VLOOKUP(F362,SROU03!$F:$O,9,FALSE),0)</f>
        <v>35.928400000000003</v>
      </c>
      <c r="O362">
        <v>39.814599999999999</v>
      </c>
      <c r="P362" t="str">
        <f t="shared" si="24"/>
        <v>BM3D</v>
      </c>
      <c r="Q362">
        <f t="shared" si="25"/>
        <v>39.814599999999999</v>
      </c>
      <c r="R362">
        <f>VLOOKUP(P362,'Color codes'!$A:$B,2,FALSE)</f>
        <v>1</v>
      </c>
      <c r="S362">
        <f>TRUNC(VLOOKUP(P362,'Color codes'!$A:$E,3,FALSE)*(0.25 + 0.75*Q362/40))</f>
        <v>254</v>
      </c>
      <c r="T362">
        <f>TRUNC(VLOOKUP(P362,'Color codes'!$A:$E,4,FALSE)*(0.25 + 0.75*Q362/40))</f>
        <v>106</v>
      </c>
      <c r="U362">
        <f>TRUNC(VLOOKUP(P362,'Color codes'!$A:$E,5,FALSE)*(0.25 + 0.75*Q362/40))</f>
        <v>103</v>
      </c>
      <c r="V362" t="b">
        <f t="shared" si="26"/>
        <v>1</v>
      </c>
    </row>
    <row r="363" spans="1:22" x14ac:dyDescent="0.25">
      <c r="A363" t="s">
        <v>20</v>
      </c>
      <c r="B363" t="s">
        <v>18</v>
      </c>
      <c r="C363">
        <v>7</v>
      </c>
      <c r="D363">
        <v>100</v>
      </c>
      <c r="E363">
        <v>400</v>
      </c>
      <c r="F363" t="str">
        <f t="shared" ref="F363:F417" si="27">A363&amp;"_"&amp;B363&amp;"_"&amp;C363&amp;"_"&amp;D363&amp;"_"&amp;E363</f>
        <v>text256_blurkernel10_7_100_400</v>
      </c>
      <c r="G363">
        <f>IFERROR(VLOOKUP(F363,SROU03!$F:$H,2,FALSE),0)</f>
        <v>20.287860999999999</v>
      </c>
      <c r="H363">
        <f>IFERROR(VLOOKUP(F363,SROU03!$F:$H,3,FALSE),0)</f>
        <v>16.100035999999999</v>
      </c>
      <c r="I363">
        <v>3.4421000000000001E-5</v>
      </c>
      <c r="J363">
        <v>1.1922E-5</v>
      </c>
      <c r="K363">
        <v>32.521999999999998</v>
      </c>
      <c r="L363">
        <v>2.1814</v>
      </c>
      <c r="M363">
        <f>IFERROR(VLOOKUP(F363,TICO09!$F:$O,8,FALSE),0)</f>
        <v>19.411799999999999</v>
      </c>
      <c r="N363">
        <f>IFERROR(VLOOKUP(F363,SROU03!$F:$O,9,FALSE),0)</f>
        <v>33.211199999999998</v>
      </c>
      <c r="O363">
        <v>36.719299999999997</v>
      </c>
      <c r="P363" t="str">
        <f t="shared" ref="P363:P417" si="28">IF((O363&gt;(MAX(M363,N363))),"BM3D",IF(N363&gt;(MAX(M363,O363)),"SROU03","TICO09"))</f>
        <v>BM3D</v>
      </c>
      <c r="Q363">
        <f t="shared" si="25"/>
        <v>36.719299999999997</v>
      </c>
      <c r="R363">
        <f>VLOOKUP(P363,'Color codes'!$A:$B,2,FALSE)</f>
        <v>1</v>
      </c>
      <c r="S363">
        <f>TRUNC(VLOOKUP(P363,'Color codes'!$A:$E,3,FALSE)*(0.25 + 0.75*Q363/40))</f>
        <v>239</v>
      </c>
      <c r="T363">
        <f>TRUNC(VLOOKUP(P363,'Color codes'!$A:$E,4,FALSE)*(0.25 + 0.75*Q363/40))</f>
        <v>100</v>
      </c>
      <c r="U363">
        <f>TRUNC(VLOOKUP(P363,'Color codes'!$A:$E,5,FALSE)*(0.25 + 0.75*Q363/40))</f>
        <v>97</v>
      </c>
      <c r="V363" t="b">
        <f t="shared" si="26"/>
        <v>1</v>
      </c>
    </row>
    <row r="364" spans="1:22" x14ac:dyDescent="0.25">
      <c r="A364" t="s">
        <v>20</v>
      </c>
      <c r="B364" t="s">
        <v>18</v>
      </c>
      <c r="C364">
        <v>7</v>
      </c>
      <c r="D364">
        <v>100</v>
      </c>
      <c r="E364">
        <v>800</v>
      </c>
      <c r="F364" t="str">
        <f t="shared" si="27"/>
        <v>text256_blurkernel10_7_100_800</v>
      </c>
      <c r="G364">
        <f>IFERROR(VLOOKUP(F364,SROU03!$F:$H,2,FALSE),0)</f>
        <v>15.159001999999999</v>
      </c>
      <c r="H364">
        <f>IFERROR(VLOOKUP(F364,SROU03!$F:$H,3,FALSE),0)</f>
        <v>14.986791999999999</v>
      </c>
      <c r="I364">
        <v>7.1703000000000001E-5</v>
      </c>
      <c r="J364">
        <v>1.1922E-5</v>
      </c>
      <c r="K364">
        <v>29.3186</v>
      </c>
      <c r="L364">
        <v>2.1814</v>
      </c>
      <c r="M364">
        <f>IFERROR(VLOOKUP(F364,TICO09!$F:$O,8,FALSE),0)</f>
        <v>19.305499999999999</v>
      </c>
      <c r="N364">
        <f>IFERROR(VLOOKUP(F364,SROU03!$F:$O,9,FALSE),0)</f>
        <v>30.667400000000001</v>
      </c>
      <c r="O364">
        <v>33.579500000000003</v>
      </c>
      <c r="P364" t="str">
        <f t="shared" si="28"/>
        <v>BM3D</v>
      </c>
      <c r="Q364">
        <f t="shared" si="25"/>
        <v>33.579500000000003</v>
      </c>
      <c r="R364">
        <f>VLOOKUP(P364,'Color codes'!$A:$B,2,FALSE)</f>
        <v>1</v>
      </c>
      <c r="S364">
        <f>TRUNC(VLOOKUP(P364,'Color codes'!$A:$E,3,FALSE)*(0.25 + 0.75*Q364/40))</f>
        <v>224</v>
      </c>
      <c r="T364">
        <f>TRUNC(VLOOKUP(P364,'Color codes'!$A:$E,4,FALSE)*(0.25 + 0.75*Q364/40))</f>
        <v>94</v>
      </c>
      <c r="U364">
        <f>TRUNC(VLOOKUP(P364,'Color codes'!$A:$E,5,FALSE)*(0.25 + 0.75*Q364/40))</f>
        <v>91</v>
      </c>
      <c r="V364" t="b">
        <f t="shared" si="26"/>
        <v>1</v>
      </c>
    </row>
    <row r="365" spans="1:22" x14ac:dyDescent="0.25">
      <c r="A365" t="s">
        <v>20</v>
      </c>
      <c r="B365" t="s">
        <v>18</v>
      </c>
      <c r="C365">
        <v>7</v>
      </c>
      <c r="D365">
        <v>100</v>
      </c>
      <c r="E365">
        <v>1600</v>
      </c>
      <c r="F365" t="str">
        <f t="shared" si="27"/>
        <v>text256_blurkernel10_7_100_1600</v>
      </c>
      <c r="G365">
        <f>IFERROR(VLOOKUP(F365,SROU03!$F:$H,2,FALSE),0)</f>
        <v>11.903543000000001</v>
      </c>
      <c r="H365">
        <f>IFERROR(VLOOKUP(F365,SROU03!$F:$H,3,FALSE),0)</f>
        <v>14.415603000000001</v>
      </c>
      <c r="I365">
        <v>1.4543100000000001E-4</v>
      </c>
      <c r="J365">
        <v>1.1922E-5</v>
      </c>
      <c r="K365">
        <v>26.2346</v>
      </c>
      <c r="L365">
        <v>2.1814</v>
      </c>
      <c r="M365">
        <f>IFERROR(VLOOKUP(F365,TICO09!$F:$O,8,FALSE),0)</f>
        <v>19.073399999999999</v>
      </c>
      <c r="N365">
        <f>IFERROR(VLOOKUP(F365,SROU03!$F:$O,9,FALSE),0)</f>
        <v>28.2941</v>
      </c>
      <c r="O365">
        <v>30.654299999999999</v>
      </c>
      <c r="P365" t="str">
        <f t="shared" si="28"/>
        <v>BM3D</v>
      </c>
      <c r="Q365">
        <f t="shared" si="25"/>
        <v>30.654299999999999</v>
      </c>
      <c r="R365">
        <f>VLOOKUP(P365,'Color codes'!$A:$B,2,FALSE)</f>
        <v>1</v>
      </c>
      <c r="S365">
        <f>TRUNC(VLOOKUP(P365,'Color codes'!$A:$E,3,FALSE)*(0.25 + 0.75*Q365/40))</f>
        <v>210</v>
      </c>
      <c r="T365">
        <f>TRUNC(VLOOKUP(P365,'Color codes'!$A:$E,4,FALSE)*(0.25 + 0.75*Q365/40))</f>
        <v>88</v>
      </c>
      <c r="U365">
        <f>TRUNC(VLOOKUP(P365,'Color codes'!$A:$E,5,FALSE)*(0.25 + 0.75*Q365/40))</f>
        <v>85</v>
      </c>
      <c r="V365" t="b">
        <f t="shared" si="26"/>
        <v>1</v>
      </c>
    </row>
    <row r="366" spans="1:22" x14ac:dyDescent="0.25">
      <c r="A366" t="s">
        <v>20</v>
      </c>
      <c r="B366" t="s">
        <v>18</v>
      </c>
      <c r="C366">
        <v>7</v>
      </c>
      <c r="D366">
        <v>100</v>
      </c>
      <c r="E366">
        <v>3200</v>
      </c>
      <c r="F366" t="str">
        <f t="shared" si="27"/>
        <v>text256_blurkernel10_7_100_3200</v>
      </c>
      <c r="G366">
        <f>IFERROR(VLOOKUP(F366,SROU03!$F:$H,2,FALSE),0)</f>
        <v>9.8861139999999992</v>
      </c>
      <c r="H366">
        <f>IFERROR(VLOOKUP(F366,SROU03!$F:$H,3,FALSE),0)</f>
        <v>14.124871000000001</v>
      </c>
      <c r="I366">
        <v>2.9415300000000001E-4</v>
      </c>
      <c r="J366">
        <v>1.1922E-5</v>
      </c>
      <c r="K366">
        <v>23.153500000000001</v>
      </c>
      <c r="L366">
        <v>2.1814</v>
      </c>
      <c r="M366">
        <f>IFERROR(VLOOKUP(F366,TICO09!$F:$O,8,FALSE),0)</f>
        <v>18.7089</v>
      </c>
      <c r="N366">
        <f>IFERROR(VLOOKUP(F366,SROU03!$F:$O,9,FALSE),0)</f>
        <v>26.1568</v>
      </c>
      <c r="O366">
        <v>27.7193</v>
      </c>
      <c r="P366" t="str">
        <f t="shared" si="28"/>
        <v>BM3D</v>
      </c>
      <c r="Q366">
        <f t="shared" si="25"/>
        <v>27.7193</v>
      </c>
      <c r="R366">
        <f>VLOOKUP(P366,'Color codes'!$A:$B,2,FALSE)</f>
        <v>1</v>
      </c>
      <c r="S366">
        <f>TRUNC(VLOOKUP(P366,'Color codes'!$A:$E,3,FALSE)*(0.25 + 0.75*Q366/40))</f>
        <v>196</v>
      </c>
      <c r="T366">
        <f>TRUNC(VLOOKUP(P366,'Color codes'!$A:$E,4,FALSE)*(0.25 + 0.75*Q366/40))</f>
        <v>82</v>
      </c>
      <c r="U366">
        <f>TRUNC(VLOOKUP(P366,'Color codes'!$A:$E,5,FALSE)*(0.25 + 0.75*Q366/40))</f>
        <v>80</v>
      </c>
      <c r="V366" t="b">
        <f t="shared" si="26"/>
        <v>1</v>
      </c>
    </row>
    <row r="367" spans="1:22" x14ac:dyDescent="0.25">
      <c r="A367" t="s">
        <v>20</v>
      </c>
      <c r="B367" t="s">
        <v>18</v>
      </c>
      <c r="C367">
        <v>7</v>
      </c>
      <c r="D367">
        <v>100</v>
      </c>
      <c r="E367">
        <v>6400</v>
      </c>
      <c r="F367" t="str">
        <f t="shared" si="27"/>
        <v>text256_blurkernel10_7_100_6400</v>
      </c>
      <c r="G367">
        <f>IFERROR(VLOOKUP(F367,SROU03!$F:$H,2,FALSE),0)</f>
        <v>8.7644690000000001</v>
      </c>
      <c r="H367">
        <f>IFERROR(VLOOKUP(F367,SROU03!$F:$H,3,FALSE),0)</f>
        <v>13.984146000000001</v>
      </c>
      <c r="I367">
        <v>5.8694300000000004E-4</v>
      </c>
      <c r="J367">
        <v>1.1922E-5</v>
      </c>
      <c r="K367">
        <v>20.123899999999999</v>
      </c>
      <c r="L367">
        <v>2.1814</v>
      </c>
      <c r="M367">
        <f>IFERROR(VLOOKUP(F367,TICO09!$F:$O,8,FALSE),0)</f>
        <v>17.8872</v>
      </c>
      <c r="N367">
        <f>IFERROR(VLOOKUP(F367,SROU03!$F:$O,9,FALSE),0)</f>
        <v>24.225100000000001</v>
      </c>
      <c r="O367">
        <v>24.910399999999999</v>
      </c>
      <c r="P367" t="str">
        <f t="shared" si="28"/>
        <v>BM3D</v>
      </c>
      <c r="Q367">
        <f t="shared" si="25"/>
        <v>24.910399999999999</v>
      </c>
      <c r="R367">
        <f>VLOOKUP(P367,'Color codes'!$A:$B,2,FALSE)</f>
        <v>1</v>
      </c>
      <c r="S367">
        <f>TRUNC(VLOOKUP(P367,'Color codes'!$A:$E,3,FALSE)*(0.25 + 0.75*Q367/40))</f>
        <v>182</v>
      </c>
      <c r="T367">
        <f>TRUNC(VLOOKUP(P367,'Color codes'!$A:$E,4,FALSE)*(0.25 + 0.75*Q367/40))</f>
        <v>76</v>
      </c>
      <c r="U367">
        <f>TRUNC(VLOOKUP(P367,'Color codes'!$A:$E,5,FALSE)*(0.25 + 0.75*Q367/40))</f>
        <v>74</v>
      </c>
      <c r="V367" t="b">
        <f t="shared" si="26"/>
        <v>0</v>
      </c>
    </row>
    <row r="368" spans="1:22" x14ac:dyDescent="0.25">
      <c r="A368" t="s">
        <v>20</v>
      </c>
      <c r="B368" t="s">
        <v>18</v>
      </c>
      <c r="C368">
        <v>7</v>
      </c>
      <c r="D368">
        <v>100</v>
      </c>
      <c r="E368">
        <v>12800</v>
      </c>
      <c r="F368" t="str">
        <f t="shared" si="27"/>
        <v>text256_blurkernel10_7_100_12800</v>
      </c>
      <c r="G368">
        <f>IFERROR(VLOOKUP(F368,SROU03!$F:$H,2,FALSE),0)</f>
        <v>8.0960099999999997</v>
      </c>
      <c r="H368">
        <f>IFERROR(VLOOKUP(F368,SROU03!$F:$H,3,FALSE),0)</f>
        <v>13.912067</v>
      </c>
      <c r="I368">
        <v>1.2012990000000001E-3</v>
      </c>
      <c r="J368">
        <v>1.1922E-5</v>
      </c>
      <c r="K368">
        <v>16.9771</v>
      </c>
      <c r="L368">
        <v>2.1814</v>
      </c>
      <c r="M368">
        <f>IFERROR(VLOOKUP(F368,TICO09!$F:$O,8,FALSE),0)</f>
        <v>16.661000000000001</v>
      </c>
      <c r="N368">
        <f>IFERROR(VLOOKUP(F368,SROU03!$F:$O,9,FALSE),0)</f>
        <v>21.735299999999999</v>
      </c>
      <c r="O368">
        <v>21.978999999999999</v>
      </c>
      <c r="P368" t="str">
        <f t="shared" si="28"/>
        <v>BM3D</v>
      </c>
      <c r="Q368">
        <f t="shared" si="25"/>
        <v>21.978999999999999</v>
      </c>
      <c r="R368">
        <f>VLOOKUP(P368,'Color codes'!$A:$B,2,FALSE)</f>
        <v>1</v>
      </c>
      <c r="S368">
        <f>TRUNC(VLOOKUP(P368,'Color codes'!$A:$E,3,FALSE)*(0.25 + 0.75*Q368/40))</f>
        <v>168</v>
      </c>
      <c r="T368">
        <f>TRUNC(VLOOKUP(P368,'Color codes'!$A:$E,4,FALSE)*(0.25 + 0.75*Q368/40))</f>
        <v>70</v>
      </c>
      <c r="U368">
        <f>TRUNC(VLOOKUP(P368,'Color codes'!$A:$E,5,FALSE)*(0.25 + 0.75*Q368/40))</f>
        <v>68</v>
      </c>
      <c r="V368" t="b">
        <f t="shared" si="26"/>
        <v>0</v>
      </c>
    </row>
    <row r="369" spans="1:22" x14ac:dyDescent="0.25">
      <c r="A369" t="s">
        <v>20</v>
      </c>
      <c r="B369" t="s">
        <v>18</v>
      </c>
      <c r="C369">
        <v>7</v>
      </c>
      <c r="D369">
        <v>100</v>
      </c>
      <c r="E369">
        <v>25600</v>
      </c>
      <c r="F369" t="str">
        <f t="shared" si="27"/>
        <v>text256_blurkernel10_7_100_25600</v>
      </c>
      <c r="G369">
        <f>IFERROR(VLOOKUP(F369,SROU03!$F:$H,2,FALSE),0)</f>
        <v>7.7399050000000003</v>
      </c>
      <c r="H369">
        <f>IFERROR(VLOOKUP(F369,SROU03!$F:$H,3,FALSE),0)</f>
        <v>13.882704</v>
      </c>
      <c r="I369">
        <v>2.526899E-3</v>
      </c>
      <c r="J369">
        <v>1.1922E-5</v>
      </c>
      <c r="K369">
        <v>13.725899999999999</v>
      </c>
      <c r="L369">
        <v>2.1814</v>
      </c>
      <c r="M369">
        <f>IFERROR(VLOOKUP(F369,TICO09!$F:$O,8,FALSE),0)</f>
        <v>14.814399999999999</v>
      </c>
      <c r="N369">
        <f>IFERROR(VLOOKUP(F369,SROU03!$F:$O,9,FALSE),0)</f>
        <v>19.911300000000001</v>
      </c>
      <c r="O369">
        <v>19.0274</v>
      </c>
      <c r="P369" t="str">
        <f t="shared" si="28"/>
        <v>SROU03</v>
      </c>
      <c r="Q369">
        <f t="shared" si="25"/>
        <v>19.911300000000001</v>
      </c>
      <c r="R369">
        <f>VLOOKUP(P369,'Color codes'!$A:$B,2,FALSE)</f>
        <v>3</v>
      </c>
      <c r="S369">
        <f>TRUNC(VLOOKUP(P369,'Color codes'!$A:$E,3,FALSE)*(0.25 + 0.75*Q369/40))</f>
        <v>66</v>
      </c>
      <c r="T369">
        <f>TRUNC(VLOOKUP(P369,'Color codes'!$A:$E,4,FALSE)*(0.25 + 0.75*Q369/40))</f>
        <v>109</v>
      </c>
      <c r="U369">
        <f>TRUNC(VLOOKUP(P369,'Color codes'!$A:$E,5,FALSE)*(0.25 + 0.75*Q369/40))</f>
        <v>158</v>
      </c>
      <c r="V369" t="b">
        <f t="shared" si="26"/>
        <v>0</v>
      </c>
    </row>
    <row r="370" spans="1:22" x14ac:dyDescent="0.25">
      <c r="A370" t="s">
        <v>20</v>
      </c>
      <c r="B370" t="s">
        <v>18</v>
      </c>
      <c r="C370">
        <v>15</v>
      </c>
      <c r="D370">
        <v>100</v>
      </c>
      <c r="E370">
        <v>200</v>
      </c>
      <c r="F370" t="str">
        <f t="shared" si="27"/>
        <v>text256_blurkernel10_15_100_200</v>
      </c>
      <c r="G370">
        <f>IFERROR(VLOOKUP(F370,SROU03!$F:$H,2,FALSE),0)</f>
        <v>27.780716999999999</v>
      </c>
      <c r="H370">
        <f>IFERROR(VLOOKUP(F370,SROU03!$F:$H,3,FALSE),0)</f>
        <v>37.989488000000001</v>
      </c>
      <c r="I370">
        <v>1.7031E-5</v>
      </c>
      <c r="J370">
        <v>1.4671000000000001E-5</v>
      </c>
      <c r="K370">
        <v>35.596600000000002</v>
      </c>
      <c r="L370">
        <v>1.3008999999999999</v>
      </c>
      <c r="M370">
        <f>IFERROR(VLOOKUP(F370,TICO09!$F:$O,8,FALSE),0)</f>
        <v>19.489599999999999</v>
      </c>
      <c r="N370">
        <f>IFERROR(VLOOKUP(F370,SROU03!$F:$O,9,FALSE),0)</f>
        <v>35.7211</v>
      </c>
      <c r="O370">
        <v>39.736499999999999</v>
      </c>
      <c r="P370" t="str">
        <f t="shared" si="28"/>
        <v>BM3D</v>
      </c>
      <c r="Q370">
        <f t="shared" si="25"/>
        <v>39.736499999999999</v>
      </c>
      <c r="R370">
        <f>VLOOKUP(P370,'Color codes'!$A:$B,2,FALSE)</f>
        <v>1</v>
      </c>
      <c r="S370">
        <f>TRUNC(VLOOKUP(P370,'Color codes'!$A:$E,3,FALSE)*(0.25 + 0.75*Q370/40))</f>
        <v>253</v>
      </c>
      <c r="T370">
        <f>TRUNC(VLOOKUP(P370,'Color codes'!$A:$E,4,FALSE)*(0.25 + 0.75*Q370/40))</f>
        <v>106</v>
      </c>
      <c r="U370">
        <f>TRUNC(VLOOKUP(P370,'Color codes'!$A:$E,5,FALSE)*(0.25 + 0.75*Q370/40))</f>
        <v>103</v>
      </c>
      <c r="V370" t="b">
        <f t="shared" si="26"/>
        <v>1</v>
      </c>
    </row>
    <row r="371" spans="1:22" x14ac:dyDescent="0.25">
      <c r="A371" t="s">
        <v>20</v>
      </c>
      <c r="B371" t="s">
        <v>18</v>
      </c>
      <c r="C371">
        <v>15</v>
      </c>
      <c r="D371">
        <v>100</v>
      </c>
      <c r="E371">
        <v>400</v>
      </c>
      <c r="F371" t="str">
        <f t="shared" si="27"/>
        <v>text256_blurkernel10_15_100_400</v>
      </c>
      <c r="G371">
        <f>IFERROR(VLOOKUP(F371,SROU03!$F:$H,2,FALSE),0)</f>
        <v>19.404440000000001</v>
      </c>
      <c r="H371">
        <f>IFERROR(VLOOKUP(F371,SROU03!$F:$H,3,FALSE),0)</f>
        <v>32.918582999999998</v>
      </c>
      <c r="I371">
        <v>3.4947999999999998E-5</v>
      </c>
      <c r="J371">
        <v>1.4671000000000001E-5</v>
      </c>
      <c r="K371">
        <v>32.454500000000003</v>
      </c>
      <c r="L371">
        <v>1.3008999999999999</v>
      </c>
      <c r="M371">
        <f>IFERROR(VLOOKUP(F371,TICO09!$F:$O,8,FALSE),0)</f>
        <v>19.452500000000001</v>
      </c>
      <c r="N371">
        <f>IFERROR(VLOOKUP(F371,SROU03!$F:$O,9,FALSE),0)</f>
        <v>32.5685</v>
      </c>
      <c r="O371">
        <v>36.692900000000002</v>
      </c>
      <c r="P371" t="str">
        <f t="shared" si="28"/>
        <v>BM3D</v>
      </c>
      <c r="Q371">
        <f t="shared" si="25"/>
        <v>36.692900000000002</v>
      </c>
      <c r="R371">
        <f>VLOOKUP(P371,'Color codes'!$A:$B,2,FALSE)</f>
        <v>1</v>
      </c>
      <c r="S371">
        <f>TRUNC(VLOOKUP(P371,'Color codes'!$A:$E,3,FALSE)*(0.25 + 0.75*Q371/40))</f>
        <v>239</v>
      </c>
      <c r="T371">
        <f>TRUNC(VLOOKUP(P371,'Color codes'!$A:$E,4,FALSE)*(0.25 + 0.75*Q371/40))</f>
        <v>100</v>
      </c>
      <c r="U371">
        <f>TRUNC(VLOOKUP(P371,'Color codes'!$A:$E,5,FALSE)*(0.25 + 0.75*Q371/40))</f>
        <v>97</v>
      </c>
      <c r="V371" t="b">
        <f t="shared" si="26"/>
        <v>1</v>
      </c>
    </row>
    <row r="372" spans="1:22" x14ac:dyDescent="0.25">
      <c r="A372" t="s">
        <v>20</v>
      </c>
      <c r="B372" t="s">
        <v>18</v>
      </c>
      <c r="C372">
        <v>15</v>
      </c>
      <c r="D372">
        <v>100</v>
      </c>
      <c r="E372">
        <v>800</v>
      </c>
      <c r="F372" t="str">
        <f t="shared" si="27"/>
        <v>text256_blurkernel10_15_100_800</v>
      </c>
      <c r="G372">
        <f>IFERROR(VLOOKUP(F372,SROU03!$F:$H,2,FALSE),0)</f>
        <v>14.040932</v>
      </c>
      <c r="H372">
        <f>IFERROR(VLOOKUP(F372,SROU03!$F:$H,3,FALSE),0)</f>
        <v>30.211898999999999</v>
      </c>
      <c r="I372">
        <v>7.1291999999999994E-5</v>
      </c>
      <c r="J372">
        <v>1.4671000000000001E-5</v>
      </c>
      <c r="K372">
        <v>29.345600000000001</v>
      </c>
      <c r="L372">
        <v>1.3008999999999999</v>
      </c>
      <c r="M372">
        <f>IFERROR(VLOOKUP(F372,TICO09!$F:$O,8,FALSE),0)</f>
        <v>19.3291</v>
      </c>
      <c r="N372">
        <f>IFERROR(VLOOKUP(F372,SROU03!$F:$O,9,FALSE),0)</f>
        <v>29.832899999999999</v>
      </c>
      <c r="O372">
        <v>33.647500000000001</v>
      </c>
      <c r="P372" t="str">
        <f t="shared" si="28"/>
        <v>BM3D</v>
      </c>
      <c r="Q372">
        <f t="shared" si="25"/>
        <v>33.647500000000001</v>
      </c>
      <c r="R372">
        <f>VLOOKUP(P372,'Color codes'!$A:$B,2,FALSE)</f>
        <v>1</v>
      </c>
      <c r="S372">
        <f>TRUNC(VLOOKUP(P372,'Color codes'!$A:$E,3,FALSE)*(0.25 + 0.75*Q372/40))</f>
        <v>224</v>
      </c>
      <c r="T372">
        <f>TRUNC(VLOOKUP(P372,'Color codes'!$A:$E,4,FALSE)*(0.25 + 0.75*Q372/40))</f>
        <v>94</v>
      </c>
      <c r="U372">
        <f>TRUNC(VLOOKUP(P372,'Color codes'!$A:$E,5,FALSE)*(0.25 + 0.75*Q372/40))</f>
        <v>91</v>
      </c>
      <c r="V372" t="b">
        <f t="shared" si="26"/>
        <v>1</v>
      </c>
    </row>
    <row r="373" spans="1:22" x14ac:dyDescent="0.25">
      <c r="A373" t="s">
        <v>20</v>
      </c>
      <c r="B373" t="s">
        <v>18</v>
      </c>
      <c r="C373">
        <v>15</v>
      </c>
      <c r="D373">
        <v>100</v>
      </c>
      <c r="E373">
        <v>1600</v>
      </c>
      <c r="F373" t="str">
        <f t="shared" si="27"/>
        <v>text256_blurkernel10_15_100_1600</v>
      </c>
      <c r="G373">
        <f>IFERROR(VLOOKUP(F373,SROU03!$F:$H,2,FALSE),0)</f>
        <v>10.357435000000001</v>
      </c>
      <c r="H373">
        <f>IFERROR(VLOOKUP(F373,SROU03!$F:$H,3,FALSE),0)</f>
        <v>28.906901999999999</v>
      </c>
      <c r="I373">
        <v>1.45463E-4</v>
      </c>
      <c r="J373">
        <v>1.4671000000000001E-5</v>
      </c>
      <c r="K373">
        <v>26.232600000000001</v>
      </c>
      <c r="L373">
        <v>1.3008999999999999</v>
      </c>
      <c r="M373">
        <f>IFERROR(VLOOKUP(F373,TICO09!$F:$O,8,FALSE),0)</f>
        <v>19.126100000000001</v>
      </c>
      <c r="N373">
        <f>IFERROR(VLOOKUP(F373,SROU03!$F:$O,9,FALSE),0)</f>
        <v>27.146100000000001</v>
      </c>
      <c r="O373">
        <v>30.566600000000001</v>
      </c>
      <c r="P373" t="str">
        <f t="shared" si="28"/>
        <v>BM3D</v>
      </c>
      <c r="Q373">
        <f t="shared" si="25"/>
        <v>30.566600000000001</v>
      </c>
      <c r="R373">
        <f>VLOOKUP(P373,'Color codes'!$A:$B,2,FALSE)</f>
        <v>1</v>
      </c>
      <c r="S373">
        <f>TRUNC(VLOOKUP(P373,'Color codes'!$A:$E,3,FALSE)*(0.25 + 0.75*Q373/40))</f>
        <v>209</v>
      </c>
      <c r="T373">
        <f>TRUNC(VLOOKUP(P373,'Color codes'!$A:$E,4,FALSE)*(0.25 + 0.75*Q373/40))</f>
        <v>88</v>
      </c>
      <c r="U373">
        <f>TRUNC(VLOOKUP(P373,'Color codes'!$A:$E,5,FALSE)*(0.25 + 0.75*Q373/40))</f>
        <v>85</v>
      </c>
      <c r="V373" t="b">
        <f t="shared" si="26"/>
        <v>1</v>
      </c>
    </row>
    <row r="374" spans="1:22" x14ac:dyDescent="0.25">
      <c r="A374" t="s">
        <v>20</v>
      </c>
      <c r="B374" t="s">
        <v>18</v>
      </c>
      <c r="C374">
        <v>15</v>
      </c>
      <c r="D374">
        <v>100</v>
      </c>
      <c r="E374">
        <v>3200</v>
      </c>
      <c r="F374" t="str">
        <f t="shared" si="27"/>
        <v>text256_blurkernel10_15_100_3200</v>
      </c>
      <c r="G374">
        <f>IFERROR(VLOOKUP(F374,SROU03!$F:$H,2,FALSE),0)</f>
        <v>7.8034470000000002</v>
      </c>
      <c r="H374">
        <f>IFERROR(VLOOKUP(F374,SROU03!$F:$H,3,FALSE),0)</f>
        <v>28.069762999999998</v>
      </c>
      <c r="I374">
        <v>2.89676E-4</v>
      </c>
      <c r="J374">
        <v>1.4671000000000001E-5</v>
      </c>
      <c r="K374">
        <v>23.219899999999999</v>
      </c>
      <c r="L374">
        <v>1.3008999999999999</v>
      </c>
      <c r="M374">
        <f>IFERROR(VLOOKUP(F374,TICO09!$F:$O,8,FALSE),0)</f>
        <v>18.6313</v>
      </c>
      <c r="N374">
        <f>IFERROR(VLOOKUP(F374,SROU03!$F:$O,9,FALSE),0)</f>
        <v>24.605799999999999</v>
      </c>
      <c r="O374">
        <v>27.8032</v>
      </c>
      <c r="P374" t="str">
        <f t="shared" si="28"/>
        <v>BM3D</v>
      </c>
      <c r="Q374">
        <f t="shared" si="25"/>
        <v>27.8032</v>
      </c>
      <c r="R374">
        <f>VLOOKUP(P374,'Color codes'!$A:$B,2,FALSE)</f>
        <v>1</v>
      </c>
      <c r="S374">
        <f>TRUNC(VLOOKUP(P374,'Color codes'!$A:$E,3,FALSE)*(0.25 + 0.75*Q374/40))</f>
        <v>196</v>
      </c>
      <c r="T374">
        <f>TRUNC(VLOOKUP(P374,'Color codes'!$A:$E,4,FALSE)*(0.25 + 0.75*Q374/40))</f>
        <v>82</v>
      </c>
      <c r="U374">
        <f>TRUNC(VLOOKUP(P374,'Color codes'!$A:$E,5,FALSE)*(0.25 + 0.75*Q374/40))</f>
        <v>80</v>
      </c>
      <c r="V374" t="b">
        <f t="shared" si="26"/>
        <v>1</v>
      </c>
    </row>
    <row r="375" spans="1:22" x14ac:dyDescent="0.25">
      <c r="A375" t="s">
        <v>20</v>
      </c>
      <c r="B375" t="s">
        <v>18</v>
      </c>
      <c r="C375">
        <v>15</v>
      </c>
      <c r="D375">
        <v>100</v>
      </c>
      <c r="E375">
        <v>6400</v>
      </c>
      <c r="F375" t="str">
        <f t="shared" si="27"/>
        <v>text256_blurkernel10_15_100_6400</v>
      </c>
      <c r="G375">
        <f>IFERROR(VLOOKUP(F375,SROU03!$F:$H,2,FALSE),0)</f>
        <v>6.2970839999999999</v>
      </c>
      <c r="H375">
        <f>IFERROR(VLOOKUP(F375,SROU03!$F:$H,3,FALSE),0)</f>
        <v>27.819894999999999</v>
      </c>
      <c r="I375">
        <v>5.8685400000000004E-4</v>
      </c>
      <c r="J375">
        <v>1.4671000000000001E-5</v>
      </c>
      <c r="K375">
        <v>20.12</v>
      </c>
      <c r="L375">
        <v>1.3008999999999999</v>
      </c>
      <c r="M375">
        <f>IFERROR(VLOOKUP(F375,TICO09!$F:$O,8,FALSE),0)</f>
        <v>17.927199999999999</v>
      </c>
      <c r="N375">
        <f>IFERROR(VLOOKUP(F375,SROU03!$F:$O,9,FALSE),0)</f>
        <v>22.442299999999999</v>
      </c>
      <c r="O375">
        <v>24.8369</v>
      </c>
      <c r="P375" t="str">
        <f t="shared" si="28"/>
        <v>BM3D</v>
      </c>
      <c r="Q375">
        <f t="shared" si="25"/>
        <v>24.8369</v>
      </c>
      <c r="R375">
        <f>VLOOKUP(P375,'Color codes'!$A:$B,2,FALSE)</f>
        <v>1</v>
      </c>
      <c r="S375">
        <f>TRUNC(VLOOKUP(P375,'Color codes'!$A:$E,3,FALSE)*(0.25 + 0.75*Q375/40))</f>
        <v>182</v>
      </c>
      <c r="T375">
        <f>TRUNC(VLOOKUP(P375,'Color codes'!$A:$E,4,FALSE)*(0.25 + 0.75*Q375/40))</f>
        <v>76</v>
      </c>
      <c r="U375">
        <f>TRUNC(VLOOKUP(P375,'Color codes'!$A:$E,5,FALSE)*(0.25 + 0.75*Q375/40))</f>
        <v>74</v>
      </c>
      <c r="V375" t="b">
        <f t="shared" si="26"/>
        <v>1</v>
      </c>
    </row>
    <row r="376" spans="1:22" x14ac:dyDescent="0.25">
      <c r="A376" t="s">
        <v>20</v>
      </c>
      <c r="B376" t="s">
        <v>18</v>
      </c>
      <c r="C376">
        <v>15</v>
      </c>
      <c r="D376">
        <v>100</v>
      </c>
      <c r="E376">
        <v>12800</v>
      </c>
      <c r="F376" t="str">
        <f t="shared" si="27"/>
        <v>text256_blurkernel10_15_100_12800</v>
      </c>
      <c r="G376">
        <f>IFERROR(VLOOKUP(F376,SROU03!$F:$H,2,FALSE),0)</f>
        <v>5.3199920000000001</v>
      </c>
      <c r="H376">
        <f>IFERROR(VLOOKUP(F376,SROU03!$F:$H,3,FALSE),0)</f>
        <v>27.543469000000002</v>
      </c>
      <c r="I376">
        <v>1.21412E-3</v>
      </c>
      <c r="J376">
        <v>1.4671000000000001E-5</v>
      </c>
      <c r="K376">
        <v>16.929500000000001</v>
      </c>
      <c r="L376">
        <v>1.3008999999999999</v>
      </c>
      <c r="M376">
        <f>IFERROR(VLOOKUP(F376,TICO09!$F:$O,8,FALSE),0)</f>
        <v>16.6341</v>
      </c>
      <c r="N376">
        <f>IFERROR(VLOOKUP(F376,SROU03!$F:$O,9,FALSE),0)</f>
        <v>20.4589</v>
      </c>
      <c r="O376">
        <v>21.877199999999998</v>
      </c>
      <c r="P376" t="str">
        <f t="shared" si="28"/>
        <v>BM3D</v>
      </c>
      <c r="Q376">
        <f t="shared" si="25"/>
        <v>21.877199999999998</v>
      </c>
      <c r="R376">
        <f>VLOOKUP(P376,'Color codes'!$A:$B,2,FALSE)</f>
        <v>1</v>
      </c>
      <c r="S376">
        <f>TRUNC(VLOOKUP(P376,'Color codes'!$A:$E,3,FALSE)*(0.25 + 0.75*Q376/40))</f>
        <v>168</v>
      </c>
      <c r="T376">
        <f>TRUNC(VLOOKUP(P376,'Color codes'!$A:$E,4,FALSE)*(0.25 + 0.75*Q376/40))</f>
        <v>70</v>
      </c>
      <c r="U376">
        <f>TRUNC(VLOOKUP(P376,'Color codes'!$A:$E,5,FALSE)*(0.25 + 0.75*Q376/40))</f>
        <v>68</v>
      </c>
      <c r="V376" t="b">
        <f t="shared" si="26"/>
        <v>1</v>
      </c>
    </row>
    <row r="377" spans="1:22" x14ac:dyDescent="0.25">
      <c r="A377" t="s">
        <v>20</v>
      </c>
      <c r="B377" t="s">
        <v>18</v>
      </c>
      <c r="C377">
        <v>15</v>
      </c>
      <c r="D377">
        <v>100</v>
      </c>
      <c r="E377">
        <v>25600</v>
      </c>
      <c r="F377" t="str">
        <f t="shared" si="27"/>
        <v>text256_blurkernel10_15_100_25600</v>
      </c>
      <c r="G377">
        <f>IFERROR(VLOOKUP(F377,SROU03!$F:$H,2,FALSE),0)</f>
        <v>4.7780829999999996</v>
      </c>
      <c r="H377">
        <f>IFERROR(VLOOKUP(F377,SROU03!$F:$H,3,FALSE),0)</f>
        <v>27.567691</v>
      </c>
      <c r="I377">
        <v>2.580012E-3</v>
      </c>
      <c r="J377">
        <v>1.4671000000000001E-5</v>
      </c>
      <c r="K377">
        <v>13.6357</v>
      </c>
      <c r="L377">
        <v>1.3008999999999999</v>
      </c>
      <c r="M377">
        <f>IFERROR(VLOOKUP(F377,TICO09!$F:$O,8,FALSE),0)</f>
        <v>14.792400000000001</v>
      </c>
      <c r="N377">
        <f>IFERROR(VLOOKUP(F377,SROU03!$F:$O,9,FALSE),0)</f>
        <v>18.6084</v>
      </c>
      <c r="O377">
        <v>18.8718</v>
      </c>
      <c r="P377" t="str">
        <f t="shared" si="28"/>
        <v>BM3D</v>
      </c>
      <c r="Q377">
        <f t="shared" si="25"/>
        <v>18.8718</v>
      </c>
      <c r="R377">
        <f>VLOOKUP(P377,'Color codes'!$A:$B,2,FALSE)</f>
        <v>1</v>
      </c>
      <c r="S377">
        <f>TRUNC(VLOOKUP(P377,'Color codes'!$A:$E,3,FALSE)*(0.25 + 0.75*Q377/40))</f>
        <v>153</v>
      </c>
      <c r="T377">
        <f>TRUNC(VLOOKUP(P377,'Color codes'!$A:$E,4,FALSE)*(0.25 + 0.75*Q377/40))</f>
        <v>64</v>
      </c>
      <c r="U377">
        <f>TRUNC(VLOOKUP(P377,'Color codes'!$A:$E,5,FALSE)*(0.25 + 0.75*Q377/40))</f>
        <v>62</v>
      </c>
      <c r="V377" t="b">
        <f t="shared" si="26"/>
        <v>0</v>
      </c>
    </row>
    <row r="378" spans="1:22" x14ac:dyDescent="0.25">
      <c r="A378" t="s">
        <v>20</v>
      </c>
      <c r="B378" t="s">
        <v>18</v>
      </c>
      <c r="C378">
        <v>31</v>
      </c>
      <c r="D378">
        <v>100</v>
      </c>
      <c r="E378">
        <v>200</v>
      </c>
      <c r="F378" t="str">
        <f t="shared" si="27"/>
        <v>text256_blurkernel10_31_100_200</v>
      </c>
      <c r="G378">
        <f>IFERROR(VLOOKUP(F378,SROU03!$F:$H,2,FALSE),0)</f>
        <v>27.474564000000001</v>
      </c>
      <c r="H378">
        <f>IFERROR(VLOOKUP(F378,SROU03!$F:$H,3,FALSE),0)</f>
        <v>76.938428999999999</v>
      </c>
      <c r="I378">
        <v>1.6997E-5</v>
      </c>
      <c r="J378">
        <v>1.6477000000000002E-5</v>
      </c>
      <c r="K378">
        <v>35.601599999999998</v>
      </c>
      <c r="L378">
        <v>0.2384</v>
      </c>
      <c r="M378">
        <f>IFERROR(VLOOKUP(F378,TICO09!$F:$O,8,FALSE),0)</f>
        <v>19.453900000000001</v>
      </c>
      <c r="N378">
        <f>IFERROR(VLOOKUP(F378,SROU03!$F:$O,9,FALSE),0)</f>
        <v>35.392299999999999</v>
      </c>
      <c r="O378">
        <v>39.706699999999998</v>
      </c>
      <c r="P378" t="str">
        <f t="shared" si="28"/>
        <v>BM3D</v>
      </c>
      <c r="Q378">
        <f t="shared" si="25"/>
        <v>39.706699999999998</v>
      </c>
      <c r="R378">
        <f>VLOOKUP(P378,'Color codes'!$A:$B,2,FALSE)</f>
        <v>1</v>
      </c>
      <c r="S378">
        <f>TRUNC(VLOOKUP(P378,'Color codes'!$A:$E,3,FALSE)*(0.25 + 0.75*Q378/40))</f>
        <v>253</v>
      </c>
      <c r="T378">
        <f>TRUNC(VLOOKUP(P378,'Color codes'!$A:$E,4,FALSE)*(0.25 + 0.75*Q378/40))</f>
        <v>106</v>
      </c>
      <c r="U378">
        <f>TRUNC(VLOOKUP(P378,'Color codes'!$A:$E,5,FALSE)*(0.25 + 0.75*Q378/40))</f>
        <v>103</v>
      </c>
      <c r="V378" t="b">
        <f t="shared" si="26"/>
        <v>1</v>
      </c>
    </row>
    <row r="379" spans="1:22" x14ac:dyDescent="0.25">
      <c r="A379" t="s">
        <v>20</v>
      </c>
      <c r="B379" t="s">
        <v>18</v>
      </c>
      <c r="C379">
        <v>31</v>
      </c>
      <c r="D379">
        <v>100</v>
      </c>
      <c r="E379">
        <v>400</v>
      </c>
      <c r="F379" t="str">
        <f t="shared" si="27"/>
        <v>text256_blurkernel10_31_100_400</v>
      </c>
      <c r="G379">
        <f>IFERROR(VLOOKUP(F379,SROU03!$F:$H,2,FALSE),0)</f>
        <v>19.085062000000001</v>
      </c>
      <c r="H379">
        <f>IFERROR(VLOOKUP(F379,SROU03!$F:$H,3,FALSE),0)</f>
        <v>66.040953999999999</v>
      </c>
      <c r="I379">
        <v>3.468E-5</v>
      </c>
      <c r="J379">
        <v>1.6477000000000002E-5</v>
      </c>
      <c r="K379">
        <v>32.490299999999998</v>
      </c>
      <c r="L379">
        <v>0.2384</v>
      </c>
      <c r="M379">
        <f>IFERROR(VLOOKUP(F379,TICO09!$F:$O,8,FALSE),0)</f>
        <v>19.403500000000001</v>
      </c>
      <c r="N379">
        <f>IFERROR(VLOOKUP(F379,SROU03!$F:$O,9,FALSE),0)</f>
        <v>32.041200000000003</v>
      </c>
      <c r="O379">
        <v>36.668799999999997</v>
      </c>
      <c r="P379" t="str">
        <f t="shared" si="28"/>
        <v>BM3D</v>
      </c>
      <c r="Q379">
        <f t="shared" si="25"/>
        <v>36.668799999999997</v>
      </c>
      <c r="R379">
        <f>VLOOKUP(P379,'Color codes'!$A:$B,2,FALSE)</f>
        <v>1</v>
      </c>
      <c r="S379">
        <f>TRUNC(VLOOKUP(P379,'Color codes'!$A:$E,3,FALSE)*(0.25 + 0.75*Q379/40))</f>
        <v>239</v>
      </c>
      <c r="T379">
        <f>TRUNC(VLOOKUP(P379,'Color codes'!$A:$E,4,FALSE)*(0.25 + 0.75*Q379/40))</f>
        <v>100</v>
      </c>
      <c r="U379">
        <f>TRUNC(VLOOKUP(P379,'Color codes'!$A:$E,5,FALSE)*(0.25 + 0.75*Q379/40))</f>
        <v>97</v>
      </c>
      <c r="V379" t="b">
        <f t="shared" si="26"/>
        <v>1</v>
      </c>
    </row>
    <row r="380" spans="1:22" x14ac:dyDescent="0.25">
      <c r="A380" t="s">
        <v>20</v>
      </c>
      <c r="B380" t="s">
        <v>18</v>
      </c>
      <c r="C380">
        <v>31</v>
      </c>
      <c r="D380">
        <v>100</v>
      </c>
      <c r="E380">
        <v>800</v>
      </c>
      <c r="F380" t="str">
        <f t="shared" si="27"/>
        <v>text256_blurkernel10_31_100_800</v>
      </c>
      <c r="G380">
        <f>IFERROR(VLOOKUP(F380,SROU03!$F:$H,2,FALSE),0)</f>
        <v>13.572587</v>
      </c>
      <c r="H380">
        <f>IFERROR(VLOOKUP(F380,SROU03!$F:$H,3,FALSE),0)</f>
        <v>60.210296999999997</v>
      </c>
      <c r="I380">
        <v>7.0038999999999998E-5</v>
      </c>
      <c r="J380">
        <v>1.6477000000000002E-5</v>
      </c>
      <c r="K380">
        <v>29.421199999999999</v>
      </c>
      <c r="L380">
        <v>0.2384</v>
      </c>
      <c r="M380">
        <f>IFERROR(VLOOKUP(F380,TICO09!$F:$O,8,FALSE),0)</f>
        <v>19.257000000000001</v>
      </c>
      <c r="N380">
        <f>IFERROR(VLOOKUP(F380,SROU03!$F:$O,9,FALSE),0)</f>
        <v>29.013100000000001</v>
      </c>
      <c r="O380">
        <v>33.726300000000002</v>
      </c>
      <c r="P380" t="str">
        <f t="shared" si="28"/>
        <v>BM3D</v>
      </c>
      <c r="Q380">
        <f t="shared" si="25"/>
        <v>33.726300000000002</v>
      </c>
      <c r="R380">
        <f>VLOOKUP(P380,'Color codes'!$A:$B,2,FALSE)</f>
        <v>1</v>
      </c>
      <c r="S380">
        <f>TRUNC(VLOOKUP(P380,'Color codes'!$A:$E,3,FALSE)*(0.25 + 0.75*Q380/40))</f>
        <v>225</v>
      </c>
      <c r="T380">
        <f>TRUNC(VLOOKUP(P380,'Color codes'!$A:$E,4,FALSE)*(0.25 + 0.75*Q380/40))</f>
        <v>94</v>
      </c>
      <c r="U380">
        <f>TRUNC(VLOOKUP(P380,'Color codes'!$A:$E,5,FALSE)*(0.25 + 0.75*Q380/40))</f>
        <v>91</v>
      </c>
      <c r="V380" t="b">
        <f t="shared" si="26"/>
        <v>1</v>
      </c>
    </row>
    <row r="381" spans="1:22" x14ac:dyDescent="0.25">
      <c r="A381" t="s">
        <v>20</v>
      </c>
      <c r="B381" t="s">
        <v>18</v>
      </c>
      <c r="C381">
        <v>31</v>
      </c>
      <c r="D381">
        <v>100</v>
      </c>
      <c r="E381">
        <v>1600</v>
      </c>
      <c r="F381" t="str">
        <f t="shared" si="27"/>
        <v>text256_blurkernel10_31_100_1600</v>
      </c>
      <c r="G381">
        <f>IFERROR(VLOOKUP(F381,SROU03!$F:$H,2,FALSE),0)</f>
        <v>9.8197500000000009</v>
      </c>
      <c r="H381">
        <f>IFERROR(VLOOKUP(F381,SROU03!$F:$H,3,FALSE),0)</f>
        <v>57.330334999999998</v>
      </c>
      <c r="I381">
        <v>1.4328499999999999E-4</v>
      </c>
      <c r="J381">
        <v>1.6477000000000002E-5</v>
      </c>
      <c r="K381">
        <v>26.295500000000001</v>
      </c>
      <c r="L381">
        <v>0.2384</v>
      </c>
      <c r="M381">
        <f>IFERROR(VLOOKUP(F381,TICO09!$F:$O,8,FALSE),0)</f>
        <v>19.0548</v>
      </c>
      <c r="N381">
        <f>IFERROR(VLOOKUP(F381,SROU03!$F:$O,9,FALSE),0)</f>
        <v>26.1693</v>
      </c>
      <c r="O381">
        <v>30.6067</v>
      </c>
      <c r="P381" t="str">
        <f t="shared" si="28"/>
        <v>BM3D</v>
      </c>
      <c r="Q381">
        <f t="shared" si="25"/>
        <v>30.6067</v>
      </c>
      <c r="R381">
        <f>VLOOKUP(P381,'Color codes'!$A:$B,2,FALSE)</f>
        <v>1</v>
      </c>
      <c r="S381">
        <f>TRUNC(VLOOKUP(P381,'Color codes'!$A:$E,3,FALSE)*(0.25 + 0.75*Q381/40))</f>
        <v>210</v>
      </c>
      <c r="T381">
        <f>TRUNC(VLOOKUP(P381,'Color codes'!$A:$E,4,FALSE)*(0.25 + 0.75*Q381/40))</f>
        <v>88</v>
      </c>
      <c r="U381">
        <f>TRUNC(VLOOKUP(P381,'Color codes'!$A:$E,5,FALSE)*(0.25 + 0.75*Q381/40))</f>
        <v>85</v>
      </c>
      <c r="V381" t="b">
        <f t="shared" si="26"/>
        <v>1</v>
      </c>
    </row>
    <row r="382" spans="1:22" x14ac:dyDescent="0.25">
      <c r="A382" t="s">
        <v>20</v>
      </c>
      <c r="B382" t="s">
        <v>18</v>
      </c>
      <c r="C382">
        <v>31</v>
      </c>
      <c r="D382">
        <v>100</v>
      </c>
      <c r="E382">
        <v>3200</v>
      </c>
      <c r="F382" t="str">
        <f t="shared" si="27"/>
        <v>text256_blurkernel10_31_100_3200</v>
      </c>
      <c r="G382">
        <f>IFERROR(VLOOKUP(F382,SROU03!$F:$H,2,FALSE),0)</f>
        <v>7.1573520000000004</v>
      </c>
      <c r="H382">
        <f>IFERROR(VLOOKUP(F382,SROU03!$F:$H,3,FALSE),0)</f>
        <v>55.606928000000003</v>
      </c>
      <c r="I382">
        <v>2.9007600000000001E-4</v>
      </c>
      <c r="J382">
        <v>1.6477000000000002E-5</v>
      </c>
      <c r="K382">
        <v>23.2134</v>
      </c>
      <c r="L382">
        <v>0.2384</v>
      </c>
      <c r="M382">
        <f>IFERROR(VLOOKUP(F382,TICO09!$F:$O,8,FALSE),0)</f>
        <v>18.6677</v>
      </c>
      <c r="N382">
        <f>IFERROR(VLOOKUP(F382,SROU03!$F:$O,9,FALSE),0)</f>
        <v>23.3474</v>
      </c>
      <c r="O382">
        <v>27.7879</v>
      </c>
      <c r="P382" t="str">
        <f t="shared" si="28"/>
        <v>BM3D</v>
      </c>
      <c r="Q382">
        <f t="shared" si="25"/>
        <v>27.7879</v>
      </c>
      <c r="R382">
        <f>VLOOKUP(P382,'Color codes'!$A:$B,2,FALSE)</f>
        <v>1</v>
      </c>
      <c r="S382">
        <f>TRUNC(VLOOKUP(P382,'Color codes'!$A:$E,3,FALSE)*(0.25 + 0.75*Q382/40))</f>
        <v>196</v>
      </c>
      <c r="T382">
        <f>TRUNC(VLOOKUP(P382,'Color codes'!$A:$E,4,FALSE)*(0.25 + 0.75*Q382/40))</f>
        <v>82</v>
      </c>
      <c r="U382">
        <f>TRUNC(VLOOKUP(P382,'Color codes'!$A:$E,5,FALSE)*(0.25 + 0.75*Q382/40))</f>
        <v>80</v>
      </c>
      <c r="V382" t="b">
        <f t="shared" si="26"/>
        <v>1</v>
      </c>
    </row>
    <row r="383" spans="1:22" x14ac:dyDescent="0.25">
      <c r="A383" t="s">
        <v>20</v>
      </c>
      <c r="B383" t="s">
        <v>18</v>
      </c>
      <c r="C383">
        <v>31</v>
      </c>
      <c r="D383">
        <v>100</v>
      </c>
      <c r="E383">
        <v>6400</v>
      </c>
      <c r="F383" t="str">
        <f t="shared" si="27"/>
        <v>text256_blurkernel10_31_100_6400</v>
      </c>
      <c r="G383">
        <f>IFERROR(VLOOKUP(F383,SROU03!$F:$H,2,FALSE),0)</f>
        <v>5.4224480000000002</v>
      </c>
      <c r="H383">
        <f>IFERROR(VLOOKUP(F383,SROU03!$F:$H,3,FALSE),0)</f>
        <v>54.955629000000002</v>
      </c>
      <c r="I383">
        <v>5.8874399999999999E-4</v>
      </c>
      <c r="J383">
        <v>1.6477000000000002E-5</v>
      </c>
      <c r="K383">
        <v>20.1065</v>
      </c>
      <c r="L383">
        <v>0.2384</v>
      </c>
      <c r="M383">
        <f>IFERROR(VLOOKUP(F383,TICO09!$F:$O,8,FALSE),0)</f>
        <v>17.904199999999999</v>
      </c>
      <c r="N383">
        <f>IFERROR(VLOOKUP(F383,SROU03!$F:$O,9,FALSE),0)</f>
        <v>20.842600000000001</v>
      </c>
      <c r="O383">
        <v>24.935099999999998</v>
      </c>
      <c r="P383" t="str">
        <f t="shared" si="28"/>
        <v>BM3D</v>
      </c>
      <c r="Q383">
        <f t="shared" si="25"/>
        <v>24.935099999999998</v>
      </c>
      <c r="R383">
        <f>VLOOKUP(P383,'Color codes'!$A:$B,2,FALSE)</f>
        <v>1</v>
      </c>
      <c r="S383">
        <f>TRUNC(VLOOKUP(P383,'Color codes'!$A:$E,3,FALSE)*(0.25 + 0.75*Q383/40))</f>
        <v>182</v>
      </c>
      <c r="T383">
        <f>TRUNC(VLOOKUP(P383,'Color codes'!$A:$E,4,FALSE)*(0.25 + 0.75*Q383/40))</f>
        <v>76</v>
      </c>
      <c r="U383">
        <f>TRUNC(VLOOKUP(P383,'Color codes'!$A:$E,5,FALSE)*(0.25 + 0.75*Q383/40))</f>
        <v>74</v>
      </c>
      <c r="V383" t="b">
        <f t="shared" si="26"/>
        <v>1</v>
      </c>
    </row>
    <row r="384" spans="1:22" x14ac:dyDescent="0.25">
      <c r="A384" t="s">
        <v>20</v>
      </c>
      <c r="B384" t="s">
        <v>18</v>
      </c>
      <c r="C384">
        <v>31</v>
      </c>
      <c r="D384">
        <v>100</v>
      </c>
      <c r="E384">
        <v>12800</v>
      </c>
      <c r="F384" t="str">
        <f t="shared" si="27"/>
        <v>text256_blurkernel10_31_100_12800</v>
      </c>
      <c r="G384">
        <f>IFERROR(VLOOKUP(F384,SROU03!$F:$H,2,FALSE),0)</f>
        <v>4.2537440000000002</v>
      </c>
      <c r="H384">
        <f>IFERROR(VLOOKUP(F384,SROU03!$F:$H,3,FALSE),0)</f>
        <v>54.419919</v>
      </c>
      <c r="I384">
        <v>1.2001080000000001E-3</v>
      </c>
      <c r="J384">
        <v>1.6477000000000002E-5</v>
      </c>
      <c r="K384">
        <v>16.979800000000001</v>
      </c>
      <c r="L384">
        <v>0.2384</v>
      </c>
      <c r="M384">
        <f>IFERROR(VLOOKUP(F384,TICO09!$F:$O,8,FALSE),0)</f>
        <v>16.518599999999999</v>
      </c>
      <c r="N384">
        <f>IFERROR(VLOOKUP(F384,SROU03!$F:$O,9,FALSE),0)</f>
        <v>18.465399999999999</v>
      </c>
      <c r="O384">
        <v>22.0106</v>
      </c>
      <c r="P384" t="str">
        <f t="shared" si="28"/>
        <v>BM3D</v>
      </c>
      <c r="Q384">
        <f t="shared" si="25"/>
        <v>22.0106</v>
      </c>
      <c r="R384">
        <f>VLOOKUP(P384,'Color codes'!$A:$B,2,FALSE)</f>
        <v>1</v>
      </c>
      <c r="S384">
        <f>TRUNC(VLOOKUP(P384,'Color codes'!$A:$E,3,FALSE)*(0.25 + 0.75*Q384/40))</f>
        <v>168</v>
      </c>
      <c r="T384">
        <f>TRUNC(VLOOKUP(P384,'Color codes'!$A:$E,4,FALSE)*(0.25 + 0.75*Q384/40))</f>
        <v>70</v>
      </c>
      <c r="U384">
        <f>TRUNC(VLOOKUP(P384,'Color codes'!$A:$E,5,FALSE)*(0.25 + 0.75*Q384/40))</f>
        <v>68</v>
      </c>
      <c r="V384" t="b">
        <f t="shared" si="26"/>
        <v>1</v>
      </c>
    </row>
    <row r="385" spans="1:22" x14ac:dyDescent="0.25">
      <c r="A385" t="s">
        <v>20</v>
      </c>
      <c r="B385" t="s">
        <v>18</v>
      </c>
      <c r="C385">
        <v>31</v>
      </c>
      <c r="D385">
        <v>100</v>
      </c>
      <c r="E385">
        <v>25600</v>
      </c>
      <c r="F385" t="str">
        <f t="shared" si="27"/>
        <v>text256_blurkernel10_31_100_25600</v>
      </c>
      <c r="G385">
        <f>IFERROR(VLOOKUP(F385,SROU03!$F:$H,2,FALSE),0)</f>
        <v>3.5523690000000001</v>
      </c>
      <c r="H385">
        <f>IFERROR(VLOOKUP(F385,SROU03!$F:$H,3,FALSE),0)</f>
        <v>54.356335000000001</v>
      </c>
      <c r="I385">
        <v>2.5486789999999999E-3</v>
      </c>
      <c r="J385">
        <v>1.6477000000000002E-5</v>
      </c>
      <c r="K385">
        <v>13.6883</v>
      </c>
      <c r="L385">
        <v>0.2384</v>
      </c>
      <c r="M385">
        <f>IFERROR(VLOOKUP(F385,TICO09!$F:$O,8,FALSE),0)</f>
        <v>14.5855</v>
      </c>
      <c r="N385">
        <f>IFERROR(VLOOKUP(F385,SROU03!$F:$O,9,FALSE),0)</f>
        <v>16.229099999999999</v>
      </c>
      <c r="O385">
        <v>18.904199999999999</v>
      </c>
      <c r="P385" t="str">
        <f t="shared" si="28"/>
        <v>BM3D</v>
      </c>
      <c r="Q385">
        <f t="shared" si="25"/>
        <v>18.904199999999999</v>
      </c>
      <c r="R385">
        <f>VLOOKUP(P385,'Color codes'!$A:$B,2,FALSE)</f>
        <v>1</v>
      </c>
      <c r="S385">
        <f>TRUNC(VLOOKUP(P385,'Color codes'!$A:$E,3,FALSE)*(0.25 + 0.75*Q385/40))</f>
        <v>154</v>
      </c>
      <c r="T385">
        <f>TRUNC(VLOOKUP(P385,'Color codes'!$A:$E,4,FALSE)*(0.25 + 0.75*Q385/40))</f>
        <v>64</v>
      </c>
      <c r="U385">
        <f>TRUNC(VLOOKUP(P385,'Color codes'!$A:$E,5,FALSE)*(0.25 + 0.75*Q385/40))</f>
        <v>62</v>
      </c>
      <c r="V385" t="b">
        <f t="shared" si="26"/>
        <v>1</v>
      </c>
    </row>
    <row r="386" spans="1:22" x14ac:dyDescent="0.25">
      <c r="A386" t="s">
        <v>21</v>
      </c>
      <c r="B386" t="s">
        <v>15</v>
      </c>
      <c r="C386">
        <v>3</v>
      </c>
      <c r="D386">
        <v>100</v>
      </c>
      <c r="E386">
        <v>200</v>
      </c>
      <c r="F386" t="str">
        <f t="shared" si="27"/>
        <v>castle256_blurkernel7_3_100_200</v>
      </c>
      <c r="G386">
        <f>IFERROR(VLOOKUP(F386,SROU03!$F:$H,2,FALSE),0)</f>
        <v>58.033456000000001</v>
      </c>
      <c r="H386">
        <f>IFERROR(VLOOKUP(F386,SROU03!$F:$H,3,FALSE),0)</f>
        <v>3.9267639999999999</v>
      </c>
      <c r="I386">
        <v>1.9221000000000001E-5</v>
      </c>
      <c r="J386">
        <v>8.7530000000000007E-6</v>
      </c>
      <c r="K386">
        <v>32.537199999999999</v>
      </c>
      <c r="L386">
        <v>15.6562</v>
      </c>
      <c r="M386">
        <f>IFERROR(VLOOKUP(F386,TICO09!$F:$O,8,FALSE),0)</f>
        <v>19.2105</v>
      </c>
      <c r="N386">
        <f>IFERROR(VLOOKUP(F386,SROU03!$F:$O,9,FALSE),0)</f>
        <v>33.473599999999998</v>
      </c>
      <c r="O386">
        <v>34.460999999999999</v>
      </c>
      <c r="P386" t="str">
        <f t="shared" si="28"/>
        <v>BM3D</v>
      </c>
      <c r="Q386">
        <f t="shared" si="25"/>
        <v>34.460999999999999</v>
      </c>
      <c r="R386">
        <f>VLOOKUP(P386,'Color codes'!$A:$B,2,FALSE)</f>
        <v>1</v>
      </c>
      <c r="S386">
        <f>TRUNC(VLOOKUP(P386,'Color codes'!$A:$E,3,FALSE)*(0.25 + 0.75*Q386/40))</f>
        <v>228</v>
      </c>
      <c r="T386">
        <f>TRUNC(VLOOKUP(P386,'Color codes'!$A:$E,4,FALSE)*(0.25 + 0.75*Q386/40))</f>
        <v>95</v>
      </c>
      <c r="U386">
        <f>TRUNC(VLOOKUP(P386,'Color codes'!$A:$E,5,FALSE)*(0.25 + 0.75*Q386/40))</f>
        <v>93</v>
      </c>
      <c r="V386" t="b">
        <f t="shared" si="26"/>
        <v>0</v>
      </c>
    </row>
    <row r="387" spans="1:22" x14ac:dyDescent="0.25">
      <c r="A387" t="s">
        <v>21</v>
      </c>
      <c r="B387" t="s">
        <v>15</v>
      </c>
      <c r="C387">
        <v>3</v>
      </c>
      <c r="D387">
        <v>100</v>
      </c>
      <c r="E387">
        <v>400</v>
      </c>
      <c r="F387" t="str">
        <f t="shared" si="27"/>
        <v>castle256_blurkernel7_3_100_400</v>
      </c>
      <c r="G387">
        <f>IFERROR(VLOOKUP(F387,SROU03!$F:$H,2,FALSE),0)</f>
        <v>45.710878000000001</v>
      </c>
      <c r="H387">
        <f>IFERROR(VLOOKUP(F387,SROU03!$F:$H,3,FALSE),0)</f>
        <v>3.5917089999999998</v>
      </c>
      <c r="I387">
        <v>3.9784999999999999E-5</v>
      </c>
      <c r="J387">
        <v>8.7530000000000007E-6</v>
      </c>
      <c r="K387">
        <v>29.379000000000001</v>
      </c>
      <c r="L387">
        <v>15.6562</v>
      </c>
      <c r="M387">
        <f>IFERROR(VLOOKUP(F387,TICO09!$F:$O,8,FALSE),0)</f>
        <v>19.149899999999999</v>
      </c>
      <c r="N387">
        <f>IFERROR(VLOOKUP(F387,SROU03!$F:$O,9,FALSE),0)</f>
        <v>31.0185</v>
      </c>
      <c r="O387">
        <v>31.8505</v>
      </c>
      <c r="P387" t="str">
        <f t="shared" si="28"/>
        <v>BM3D</v>
      </c>
      <c r="Q387">
        <f t="shared" ref="Q387:Q450" si="29">MAX(M387:O387)</f>
        <v>31.8505</v>
      </c>
      <c r="R387">
        <f>VLOOKUP(P387,'Color codes'!$A:$B,2,FALSE)</f>
        <v>1</v>
      </c>
      <c r="S387">
        <f>TRUNC(VLOOKUP(P387,'Color codes'!$A:$E,3,FALSE)*(0.25 + 0.75*Q387/40))</f>
        <v>216</v>
      </c>
      <c r="T387">
        <f>TRUNC(VLOOKUP(P387,'Color codes'!$A:$E,4,FALSE)*(0.25 + 0.75*Q387/40))</f>
        <v>90</v>
      </c>
      <c r="U387">
        <f>TRUNC(VLOOKUP(P387,'Color codes'!$A:$E,5,FALSE)*(0.25 + 0.75*Q387/40))</f>
        <v>88</v>
      </c>
      <c r="V387" t="b">
        <f t="shared" si="26"/>
        <v>0</v>
      </c>
    </row>
    <row r="388" spans="1:22" x14ac:dyDescent="0.25">
      <c r="A388" t="s">
        <v>21</v>
      </c>
      <c r="B388" t="s">
        <v>15</v>
      </c>
      <c r="C388">
        <v>3</v>
      </c>
      <c r="D388">
        <v>100</v>
      </c>
      <c r="E388">
        <v>800</v>
      </c>
      <c r="F388" t="str">
        <f t="shared" si="27"/>
        <v>castle256_blurkernel7_3_100_800</v>
      </c>
      <c r="G388">
        <f>IFERROR(VLOOKUP(F388,SROU03!$F:$H,2,FALSE),0)</f>
        <v>38.518583</v>
      </c>
      <c r="H388">
        <f>IFERROR(VLOOKUP(F388,SROU03!$F:$H,3,FALSE),0)</f>
        <v>3.4319359999999999</v>
      </c>
      <c r="I388">
        <v>8.1567E-5</v>
      </c>
      <c r="J388">
        <v>8.7530000000000007E-6</v>
      </c>
      <c r="K388">
        <v>26.265899999999998</v>
      </c>
      <c r="L388">
        <v>15.6562</v>
      </c>
      <c r="M388">
        <f>IFERROR(VLOOKUP(F388,TICO09!$F:$O,8,FALSE),0)</f>
        <v>19.049099999999999</v>
      </c>
      <c r="N388">
        <f>IFERROR(VLOOKUP(F388,SROU03!$F:$O,9,FALSE),0)</f>
        <v>28.743400000000001</v>
      </c>
      <c r="O388">
        <v>29.241900000000001</v>
      </c>
      <c r="P388" t="str">
        <f t="shared" si="28"/>
        <v>BM3D</v>
      </c>
      <c r="Q388">
        <f t="shared" si="29"/>
        <v>29.241900000000001</v>
      </c>
      <c r="R388">
        <f>VLOOKUP(P388,'Color codes'!$A:$B,2,FALSE)</f>
        <v>1</v>
      </c>
      <c r="S388">
        <f>TRUNC(VLOOKUP(P388,'Color codes'!$A:$E,3,FALSE)*(0.25 + 0.75*Q388/40))</f>
        <v>203</v>
      </c>
      <c r="T388">
        <f>TRUNC(VLOOKUP(P388,'Color codes'!$A:$E,4,FALSE)*(0.25 + 0.75*Q388/40))</f>
        <v>85</v>
      </c>
      <c r="U388">
        <f>TRUNC(VLOOKUP(P388,'Color codes'!$A:$E,5,FALSE)*(0.25 + 0.75*Q388/40))</f>
        <v>83</v>
      </c>
      <c r="V388" t="b">
        <f t="shared" si="26"/>
        <v>0</v>
      </c>
    </row>
    <row r="389" spans="1:22" x14ac:dyDescent="0.25">
      <c r="A389" t="s">
        <v>21</v>
      </c>
      <c r="B389" t="s">
        <v>15</v>
      </c>
      <c r="C389">
        <v>3</v>
      </c>
      <c r="D389">
        <v>100</v>
      </c>
      <c r="E389">
        <v>1600</v>
      </c>
      <c r="F389" t="str">
        <f t="shared" si="27"/>
        <v>castle256_blurkernel7_3_100_1600</v>
      </c>
      <c r="G389">
        <f>IFERROR(VLOOKUP(F389,SROU03!$F:$H,2,FALSE),0)</f>
        <v>34.177168000000002</v>
      </c>
      <c r="H389">
        <f>IFERROR(VLOOKUP(F389,SROU03!$F:$H,3,FALSE),0)</f>
        <v>3.3578420000000002</v>
      </c>
      <c r="I389">
        <v>1.65604E-4</v>
      </c>
      <c r="J389">
        <v>8.7530000000000007E-6</v>
      </c>
      <c r="K389">
        <v>23.204499999999999</v>
      </c>
      <c r="L389">
        <v>15.6562</v>
      </c>
      <c r="M389">
        <f>IFERROR(VLOOKUP(F389,TICO09!$F:$O,8,FALSE),0)</f>
        <v>18.861699999999999</v>
      </c>
      <c r="N389">
        <f>IFERROR(VLOOKUP(F389,SROU03!$F:$O,9,FALSE),0)</f>
        <v>26.3825</v>
      </c>
      <c r="O389">
        <v>26.575099999999999</v>
      </c>
      <c r="P389" t="str">
        <f t="shared" si="28"/>
        <v>BM3D</v>
      </c>
      <c r="Q389">
        <f t="shared" si="29"/>
        <v>26.575099999999999</v>
      </c>
      <c r="R389">
        <f>VLOOKUP(P389,'Color codes'!$A:$B,2,FALSE)</f>
        <v>1</v>
      </c>
      <c r="S389">
        <f>TRUNC(VLOOKUP(P389,'Color codes'!$A:$E,3,FALSE)*(0.25 + 0.75*Q389/40))</f>
        <v>190</v>
      </c>
      <c r="T389">
        <f>TRUNC(VLOOKUP(P389,'Color codes'!$A:$E,4,FALSE)*(0.25 + 0.75*Q389/40))</f>
        <v>80</v>
      </c>
      <c r="U389">
        <f>TRUNC(VLOOKUP(P389,'Color codes'!$A:$E,5,FALSE)*(0.25 + 0.75*Q389/40))</f>
        <v>77</v>
      </c>
      <c r="V389" t="b">
        <f t="shared" si="26"/>
        <v>0</v>
      </c>
    </row>
    <row r="390" spans="1:22" x14ac:dyDescent="0.25">
      <c r="A390" t="s">
        <v>21</v>
      </c>
      <c r="B390" t="s">
        <v>15</v>
      </c>
      <c r="C390">
        <v>3</v>
      </c>
      <c r="D390">
        <v>100</v>
      </c>
      <c r="E390">
        <v>3200</v>
      </c>
      <c r="F390" t="str">
        <f t="shared" si="27"/>
        <v>castle256_blurkernel7_3_100_3200</v>
      </c>
      <c r="G390">
        <f>IFERROR(VLOOKUP(F390,SROU03!$F:$H,2,FALSE),0)</f>
        <v>31.383824000000001</v>
      </c>
      <c r="H390">
        <f>IFERROR(VLOOKUP(F390,SROU03!$F:$H,3,FALSE),0)</f>
        <v>3.3378899999999998</v>
      </c>
      <c r="I390">
        <v>3.4039399999999999E-4</v>
      </c>
      <c r="J390">
        <v>8.7530000000000007E-6</v>
      </c>
      <c r="K390">
        <v>20.094100000000001</v>
      </c>
      <c r="L390">
        <v>15.6562</v>
      </c>
      <c r="M390">
        <f>IFERROR(VLOOKUP(F390,TICO09!$F:$O,8,FALSE),0)</f>
        <v>18.626100000000001</v>
      </c>
      <c r="N390">
        <f>IFERROR(VLOOKUP(F390,SROU03!$F:$O,9,FALSE),0)</f>
        <v>24.180599999999998</v>
      </c>
      <c r="O390">
        <v>23.968399999999999</v>
      </c>
      <c r="P390" t="str">
        <f t="shared" si="28"/>
        <v>SROU03</v>
      </c>
      <c r="Q390">
        <f t="shared" si="29"/>
        <v>24.180599999999998</v>
      </c>
      <c r="R390">
        <f>VLOOKUP(P390,'Color codes'!$A:$B,2,FALSE)</f>
        <v>3</v>
      </c>
      <c r="S390">
        <f>TRUNC(VLOOKUP(P390,'Color codes'!$A:$E,3,FALSE)*(0.25 + 0.75*Q390/40))</f>
        <v>75</v>
      </c>
      <c r="T390">
        <f>TRUNC(VLOOKUP(P390,'Color codes'!$A:$E,4,FALSE)*(0.25 + 0.75*Q390/40))</f>
        <v>123</v>
      </c>
      <c r="U390">
        <f>TRUNC(VLOOKUP(P390,'Color codes'!$A:$E,5,FALSE)*(0.25 + 0.75*Q390/40))</f>
        <v>179</v>
      </c>
      <c r="V390" t="b">
        <f t="shared" si="26"/>
        <v>0</v>
      </c>
    </row>
    <row r="391" spans="1:22" x14ac:dyDescent="0.25">
      <c r="A391" t="s">
        <v>21</v>
      </c>
      <c r="B391" t="s">
        <v>15</v>
      </c>
      <c r="C391">
        <v>3</v>
      </c>
      <c r="D391">
        <v>100</v>
      </c>
      <c r="E391">
        <v>6400</v>
      </c>
      <c r="F391" t="str">
        <f t="shared" si="27"/>
        <v>castle256_blurkernel7_3_100_6400</v>
      </c>
      <c r="G391">
        <f>IFERROR(VLOOKUP(F391,SROU03!$F:$H,2,FALSE),0)</f>
        <v>29.352906999999998</v>
      </c>
      <c r="H391">
        <f>IFERROR(VLOOKUP(F391,SROU03!$F:$H,3,FALSE),0)</f>
        <v>3.3449110000000002</v>
      </c>
      <c r="I391">
        <v>6.9512600000000001E-4</v>
      </c>
      <c r="J391">
        <v>8.7530000000000007E-6</v>
      </c>
      <c r="K391">
        <v>17.031199999999998</v>
      </c>
      <c r="L391">
        <v>15.6562</v>
      </c>
      <c r="M391">
        <f>IFERROR(VLOOKUP(F391,TICO09!$F:$O,8,FALSE),0)</f>
        <v>18.255600000000001</v>
      </c>
      <c r="N391">
        <f>IFERROR(VLOOKUP(F391,SROU03!$F:$O,9,FALSE),0)</f>
        <v>22.073399999999999</v>
      </c>
      <c r="O391">
        <v>21.324400000000001</v>
      </c>
      <c r="P391" t="str">
        <f t="shared" si="28"/>
        <v>SROU03</v>
      </c>
      <c r="Q391">
        <f t="shared" si="29"/>
        <v>22.073399999999999</v>
      </c>
      <c r="R391">
        <f>VLOOKUP(P391,'Color codes'!$A:$B,2,FALSE)</f>
        <v>3</v>
      </c>
      <c r="S391">
        <f>TRUNC(VLOOKUP(P391,'Color codes'!$A:$E,3,FALSE)*(0.25 + 0.75*Q391/40))</f>
        <v>71</v>
      </c>
      <c r="T391">
        <f>TRUNC(VLOOKUP(P391,'Color codes'!$A:$E,4,FALSE)*(0.25 + 0.75*Q391/40))</f>
        <v>116</v>
      </c>
      <c r="U391">
        <f>TRUNC(VLOOKUP(P391,'Color codes'!$A:$E,5,FALSE)*(0.25 + 0.75*Q391/40))</f>
        <v>169</v>
      </c>
      <c r="V391" t="b">
        <f t="shared" si="26"/>
        <v>0</v>
      </c>
    </row>
    <row r="392" spans="1:22" x14ac:dyDescent="0.25">
      <c r="A392" t="s">
        <v>21</v>
      </c>
      <c r="B392" t="s">
        <v>15</v>
      </c>
      <c r="C392">
        <v>3</v>
      </c>
      <c r="D392">
        <v>100</v>
      </c>
      <c r="E392">
        <v>12800</v>
      </c>
      <c r="F392" t="str">
        <f t="shared" si="27"/>
        <v>castle256_blurkernel7_3_100_12800</v>
      </c>
      <c r="G392">
        <f>IFERROR(VLOOKUP(F392,SROU03!$F:$H,2,FALSE),0)</f>
        <v>27.473123000000001</v>
      </c>
      <c r="H392">
        <f>IFERROR(VLOOKUP(F392,SROU03!$F:$H,3,FALSE),0)</f>
        <v>3.37338</v>
      </c>
      <c r="I392">
        <v>1.4647729999999999E-3</v>
      </c>
      <c r="J392">
        <v>8.7530000000000007E-6</v>
      </c>
      <c r="K392">
        <v>13.8873</v>
      </c>
      <c r="L392">
        <v>15.6562</v>
      </c>
      <c r="M392">
        <f>IFERROR(VLOOKUP(F392,TICO09!$F:$O,8,FALSE),0)</f>
        <v>17.7758</v>
      </c>
      <c r="N392">
        <f>IFERROR(VLOOKUP(F392,SROU03!$F:$O,9,FALSE),0)</f>
        <v>21.038699999999999</v>
      </c>
      <c r="O392">
        <v>18.9941</v>
      </c>
      <c r="P392" t="str">
        <f t="shared" si="28"/>
        <v>SROU03</v>
      </c>
      <c r="Q392">
        <f t="shared" si="29"/>
        <v>21.038699999999999</v>
      </c>
      <c r="R392">
        <f>VLOOKUP(P392,'Color codes'!$A:$B,2,FALSE)</f>
        <v>3</v>
      </c>
      <c r="S392">
        <f>TRUNC(VLOOKUP(P392,'Color codes'!$A:$E,3,FALSE)*(0.25 + 0.75*Q392/40))</f>
        <v>68</v>
      </c>
      <c r="T392">
        <f>TRUNC(VLOOKUP(P392,'Color codes'!$A:$E,4,FALSE)*(0.25 + 0.75*Q392/40))</f>
        <v>113</v>
      </c>
      <c r="U392">
        <f>TRUNC(VLOOKUP(P392,'Color codes'!$A:$E,5,FALSE)*(0.25 + 0.75*Q392/40))</f>
        <v>164</v>
      </c>
      <c r="V392" t="b">
        <f t="shared" si="26"/>
        <v>1</v>
      </c>
    </row>
    <row r="393" spans="1:22" x14ac:dyDescent="0.25">
      <c r="A393" t="s">
        <v>21</v>
      </c>
      <c r="B393" t="s">
        <v>15</v>
      </c>
      <c r="C393">
        <v>3</v>
      </c>
      <c r="D393">
        <v>100</v>
      </c>
      <c r="E393">
        <v>25600</v>
      </c>
      <c r="F393" t="str">
        <f t="shared" si="27"/>
        <v>castle256_blurkernel7_3_100_25600</v>
      </c>
      <c r="G393">
        <f>IFERROR(VLOOKUP(F393,SROU03!$F:$H,2,FALSE),0)</f>
        <v>25.887822</v>
      </c>
      <c r="H393">
        <f>IFERROR(VLOOKUP(F393,SROU03!$F:$H,3,FALSE),0)</f>
        <v>3.4043869999999998</v>
      </c>
      <c r="I393">
        <v>3.2141539999999999E-3</v>
      </c>
      <c r="J393">
        <v>8.7530000000000007E-6</v>
      </c>
      <c r="K393">
        <v>10.662800000000001</v>
      </c>
      <c r="L393">
        <v>15.6562</v>
      </c>
      <c r="M393">
        <f>IFERROR(VLOOKUP(F393,TICO09!$F:$O,8,FALSE),0)</f>
        <v>16.953099999999999</v>
      </c>
      <c r="N393">
        <f>IFERROR(VLOOKUP(F393,SROU03!$F:$O,9,FALSE),0)</f>
        <v>20.3764</v>
      </c>
      <c r="O393">
        <v>16.7105</v>
      </c>
      <c r="P393" t="str">
        <f t="shared" si="28"/>
        <v>SROU03</v>
      </c>
      <c r="Q393">
        <f t="shared" si="29"/>
        <v>20.3764</v>
      </c>
      <c r="R393">
        <f>VLOOKUP(P393,'Color codes'!$A:$B,2,FALSE)</f>
        <v>3</v>
      </c>
      <c r="S393">
        <f>TRUNC(VLOOKUP(P393,'Color codes'!$A:$E,3,FALSE)*(0.25 + 0.75*Q393/40))</f>
        <v>67</v>
      </c>
      <c r="T393">
        <f>TRUNC(VLOOKUP(P393,'Color codes'!$A:$E,4,FALSE)*(0.25 + 0.75*Q393/40))</f>
        <v>111</v>
      </c>
      <c r="U393">
        <f>TRUNC(VLOOKUP(P393,'Color codes'!$A:$E,5,FALSE)*(0.25 + 0.75*Q393/40))</f>
        <v>161</v>
      </c>
      <c r="V393" t="b">
        <f t="shared" si="26"/>
        <v>1</v>
      </c>
    </row>
    <row r="394" spans="1:22" x14ac:dyDescent="0.25">
      <c r="A394" t="s">
        <v>21</v>
      </c>
      <c r="B394" t="s">
        <v>15</v>
      </c>
      <c r="C394">
        <v>7</v>
      </c>
      <c r="D394">
        <v>100</v>
      </c>
      <c r="E394">
        <v>200</v>
      </c>
      <c r="F394" t="str">
        <f t="shared" si="27"/>
        <v>castle256_blurkernel7_7_100_200</v>
      </c>
      <c r="G394">
        <f>IFERROR(VLOOKUP(F394,SROU03!$F:$H,2,FALSE),0)</f>
        <v>51.848171999999998</v>
      </c>
      <c r="H394">
        <f>IFERROR(VLOOKUP(F394,SROU03!$F:$H,3,FALSE),0)</f>
        <v>10.246570999999999</v>
      </c>
      <c r="I394">
        <v>1.9159000000000001E-5</v>
      </c>
      <c r="J394">
        <v>8.6850000000000007E-6</v>
      </c>
      <c r="K394">
        <v>32.551000000000002</v>
      </c>
      <c r="L394">
        <v>10.9269</v>
      </c>
      <c r="M394">
        <f>IFERROR(VLOOKUP(F394,TICO09!$F:$O,8,FALSE),0)</f>
        <v>19.2255</v>
      </c>
      <c r="N394">
        <f>IFERROR(VLOOKUP(F394,SROU03!$F:$O,9,FALSE),0)</f>
        <v>32.787100000000002</v>
      </c>
      <c r="O394">
        <v>34.4696</v>
      </c>
      <c r="P394" t="str">
        <f t="shared" si="28"/>
        <v>BM3D</v>
      </c>
      <c r="Q394">
        <f t="shared" si="29"/>
        <v>34.4696</v>
      </c>
      <c r="R394">
        <f>VLOOKUP(P394,'Color codes'!$A:$B,2,FALSE)</f>
        <v>1</v>
      </c>
      <c r="S394">
        <f>TRUNC(VLOOKUP(P394,'Color codes'!$A:$E,3,FALSE)*(0.25 + 0.75*Q394/40))</f>
        <v>228</v>
      </c>
      <c r="T394">
        <f>TRUNC(VLOOKUP(P394,'Color codes'!$A:$E,4,FALSE)*(0.25 + 0.75*Q394/40))</f>
        <v>95</v>
      </c>
      <c r="U394">
        <f>TRUNC(VLOOKUP(P394,'Color codes'!$A:$E,5,FALSE)*(0.25 + 0.75*Q394/40))</f>
        <v>93</v>
      </c>
      <c r="V394" t="b">
        <f t="shared" si="26"/>
        <v>1</v>
      </c>
    </row>
    <row r="395" spans="1:22" x14ac:dyDescent="0.25">
      <c r="A395" t="s">
        <v>21</v>
      </c>
      <c r="B395" t="s">
        <v>15</v>
      </c>
      <c r="C395">
        <v>7</v>
      </c>
      <c r="D395">
        <v>100</v>
      </c>
      <c r="E395">
        <v>400</v>
      </c>
      <c r="F395" t="str">
        <f t="shared" si="27"/>
        <v>castle256_blurkernel7_7_100_400</v>
      </c>
      <c r="G395">
        <f>IFERROR(VLOOKUP(F395,SROU03!$F:$H,2,FALSE),0)</f>
        <v>37.501468000000003</v>
      </c>
      <c r="H395">
        <f>IFERROR(VLOOKUP(F395,SROU03!$F:$H,3,FALSE),0)</f>
        <v>9.3532410000000006</v>
      </c>
      <c r="I395">
        <v>3.9938000000000003E-5</v>
      </c>
      <c r="J395">
        <v>8.6850000000000007E-6</v>
      </c>
      <c r="K395">
        <v>29.3658</v>
      </c>
      <c r="L395">
        <v>10.9269</v>
      </c>
      <c r="M395">
        <f>IFERROR(VLOOKUP(F395,TICO09!$F:$O,8,FALSE),0)</f>
        <v>19.128499999999999</v>
      </c>
      <c r="N395">
        <f>IFERROR(VLOOKUP(F395,SROU03!$F:$O,9,FALSE),0)</f>
        <v>30.0791</v>
      </c>
      <c r="O395">
        <v>31.849599999999999</v>
      </c>
      <c r="P395" t="str">
        <f t="shared" si="28"/>
        <v>BM3D</v>
      </c>
      <c r="Q395">
        <f t="shared" si="29"/>
        <v>31.849599999999999</v>
      </c>
      <c r="R395">
        <f>VLOOKUP(P395,'Color codes'!$A:$B,2,FALSE)</f>
        <v>1</v>
      </c>
      <c r="S395">
        <f>TRUNC(VLOOKUP(P395,'Color codes'!$A:$E,3,FALSE)*(0.25 + 0.75*Q395/40))</f>
        <v>216</v>
      </c>
      <c r="T395">
        <f>TRUNC(VLOOKUP(P395,'Color codes'!$A:$E,4,FALSE)*(0.25 + 0.75*Q395/40))</f>
        <v>90</v>
      </c>
      <c r="U395">
        <f>TRUNC(VLOOKUP(P395,'Color codes'!$A:$E,5,FALSE)*(0.25 + 0.75*Q395/40))</f>
        <v>88</v>
      </c>
      <c r="V395" t="b">
        <f t="shared" si="26"/>
        <v>1</v>
      </c>
    </row>
    <row r="396" spans="1:22" x14ac:dyDescent="0.25">
      <c r="A396" t="s">
        <v>21</v>
      </c>
      <c r="B396" t="s">
        <v>15</v>
      </c>
      <c r="C396">
        <v>7</v>
      </c>
      <c r="D396">
        <v>100</v>
      </c>
      <c r="E396">
        <v>800</v>
      </c>
      <c r="F396" t="str">
        <f t="shared" si="27"/>
        <v>castle256_blurkernel7_7_100_800</v>
      </c>
      <c r="G396">
        <f>IFERROR(VLOOKUP(F396,SROU03!$F:$H,2,FALSE),0)</f>
        <v>28.375364000000001</v>
      </c>
      <c r="H396">
        <f>IFERROR(VLOOKUP(F396,SROU03!$F:$H,3,FALSE),0)</f>
        <v>8.9080860000000008</v>
      </c>
      <c r="I396">
        <v>8.2121999999999997E-5</v>
      </c>
      <c r="J396">
        <v>8.6850000000000007E-6</v>
      </c>
      <c r="K396">
        <v>26.239699999999999</v>
      </c>
      <c r="L396">
        <v>10.9269</v>
      </c>
      <c r="M396">
        <f>IFERROR(VLOOKUP(F396,TICO09!$F:$O,8,FALSE),0)</f>
        <v>18.978400000000001</v>
      </c>
      <c r="N396">
        <f>IFERROR(VLOOKUP(F396,SROU03!$F:$O,9,FALSE),0)</f>
        <v>27.504300000000001</v>
      </c>
      <c r="O396">
        <v>29.201799999999999</v>
      </c>
      <c r="P396" t="str">
        <f t="shared" si="28"/>
        <v>BM3D</v>
      </c>
      <c r="Q396">
        <f t="shared" si="29"/>
        <v>29.201799999999999</v>
      </c>
      <c r="R396">
        <f>VLOOKUP(P396,'Color codes'!$A:$B,2,FALSE)</f>
        <v>1</v>
      </c>
      <c r="S396">
        <f>TRUNC(VLOOKUP(P396,'Color codes'!$A:$E,3,FALSE)*(0.25 + 0.75*Q396/40))</f>
        <v>203</v>
      </c>
      <c r="T396">
        <f>TRUNC(VLOOKUP(P396,'Color codes'!$A:$E,4,FALSE)*(0.25 + 0.75*Q396/40))</f>
        <v>85</v>
      </c>
      <c r="U396">
        <f>TRUNC(VLOOKUP(P396,'Color codes'!$A:$E,5,FALSE)*(0.25 + 0.75*Q396/40))</f>
        <v>82</v>
      </c>
      <c r="V396" t="b">
        <f t="shared" si="26"/>
        <v>1</v>
      </c>
    </row>
    <row r="397" spans="1:22" x14ac:dyDescent="0.25">
      <c r="A397" t="s">
        <v>21</v>
      </c>
      <c r="B397" t="s">
        <v>15</v>
      </c>
      <c r="C397">
        <v>7</v>
      </c>
      <c r="D397">
        <v>100</v>
      </c>
      <c r="E397">
        <v>1600</v>
      </c>
      <c r="F397" t="str">
        <f t="shared" si="27"/>
        <v>castle256_blurkernel7_7_100_1600</v>
      </c>
      <c r="G397">
        <f>IFERROR(VLOOKUP(F397,SROU03!$F:$H,2,FALSE),0)</f>
        <v>22.727979000000001</v>
      </c>
      <c r="H397">
        <f>IFERROR(VLOOKUP(F397,SROU03!$F:$H,3,FALSE),0)</f>
        <v>8.6950310000000002</v>
      </c>
      <c r="I397">
        <v>1.6633899999999999E-4</v>
      </c>
      <c r="J397">
        <v>8.6850000000000007E-6</v>
      </c>
      <c r="K397">
        <v>23.1815</v>
      </c>
      <c r="L397">
        <v>10.9269</v>
      </c>
      <c r="M397">
        <f>IFERROR(VLOOKUP(F397,TICO09!$F:$O,8,FALSE),0)</f>
        <v>18.704599999999999</v>
      </c>
      <c r="N397">
        <f>IFERROR(VLOOKUP(F397,SROU03!$F:$O,9,FALSE),0)</f>
        <v>25.232700000000001</v>
      </c>
      <c r="O397">
        <v>26.627400000000002</v>
      </c>
      <c r="P397" t="str">
        <f t="shared" si="28"/>
        <v>BM3D</v>
      </c>
      <c r="Q397">
        <f t="shared" si="29"/>
        <v>26.627400000000002</v>
      </c>
      <c r="R397">
        <f>VLOOKUP(P397,'Color codes'!$A:$B,2,FALSE)</f>
        <v>1</v>
      </c>
      <c r="S397">
        <f>TRUNC(VLOOKUP(P397,'Color codes'!$A:$E,3,FALSE)*(0.25 + 0.75*Q397/40))</f>
        <v>191</v>
      </c>
      <c r="T397">
        <f>TRUNC(VLOOKUP(P397,'Color codes'!$A:$E,4,FALSE)*(0.25 + 0.75*Q397/40))</f>
        <v>80</v>
      </c>
      <c r="U397">
        <f>TRUNC(VLOOKUP(P397,'Color codes'!$A:$E,5,FALSE)*(0.25 + 0.75*Q397/40))</f>
        <v>77</v>
      </c>
      <c r="V397" t="b">
        <f t="shared" si="26"/>
        <v>1</v>
      </c>
    </row>
    <row r="398" spans="1:22" x14ac:dyDescent="0.25">
      <c r="A398" t="s">
        <v>21</v>
      </c>
      <c r="B398" t="s">
        <v>15</v>
      </c>
      <c r="C398">
        <v>7</v>
      </c>
      <c r="D398">
        <v>100</v>
      </c>
      <c r="E398">
        <v>3200</v>
      </c>
      <c r="F398" t="str">
        <f t="shared" si="27"/>
        <v>castle256_blurkernel7_7_100_3200</v>
      </c>
      <c r="G398">
        <f>IFERROR(VLOOKUP(F398,SROU03!$F:$H,2,FALSE),0)</f>
        <v>19.025276999999999</v>
      </c>
      <c r="H398">
        <f>IFERROR(VLOOKUP(F398,SROU03!$F:$H,3,FALSE),0)</f>
        <v>8.5932099999999991</v>
      </c>
      <c r="I398">
        <v>3.37265E-4</v>
      </c>
      <c r="J398">
        <v>8.6850000000000007E-6</v>
      </c>
      <c r="K398">
        <v>20.129899999999999</v>
      </c>
      <c r="L398">
        <v>10.9269</v>
      </c>
      <c r="M398">
        <f>IFERROR(VLOOKUP(F398,TICO09!$F:$O,8,FALSE),0)</f>
        <v>18.251200000000001</v>
      </c>
      <c r="N398">
        <f>IFERROR(VLOOKUP(F398,SROU03!$F:$O,9,FALSE),0)</f>
        <v>22.796099999999999</v>
      </c>
      <c r="O398">
        <v>24.013999999999999</v>
      </c>
      <c r="P398" t="str">
        <f t="shared" si="28"/>
        <v>BM3D</v>
      </c>
      <c r="Q398">
        <f t="shared" si="29"/>
        <v>24.013999999999999</v>
      </c>
      <c r="R398">
        <f>VLOOKUP(P398,'Color codes'!$A:$B,2,FALSE)</f>
        <v>1</v>
      </c>
      <c r="S398">
        <f>TRUNC(VLOOKUP(P398,'Color codes'!$A:$E,3,FALSE)*(0.25 + 0.75*Q398/40))</f>
        <v>178</v>
      </c>
      <c r="T398">
        <f>TRUNC(VLOOKUP(P398,'Color codes'!$A:$E,4,FALSE)*(0.25 + 0.75*Q398/40))</f>
        <v>74</v>
      </c>
      <c r="U398">
        <f>TRUNC(VLOOKUP(P398,'Color codes'!$A:$E,5,FALSE)*(0.25 + 0.75*Q398/40))</f>
        <v>72</v>
      </c>
      <c r="V398" t="b">
        <f t="shared" si="26"/>
        <v>1</v>
      </c>
    </row>
    <row r="399" spans="1:22" x14ac:dyDescent="0.25">
      <c r="A399" t="s">
        <v>21</v>
      </c>
      <c r="B399" t="s">
        <v>15</v>
      </c>
      <c r="C399">
        <v>7</v>
      </c>
      <c r="D399">
        <v>100</v>
      </c>
      <c r="E399">
        <v>6400</v>
      </c>
      <c r="F399" t="str">
        <f t="shared" si="27"/>
        <v>castle256_blurkernel7_7_100_6400</v>
      </c>
      <c r="G399">
        <f>IFERROR(VLOOKUP(F399,SROU03!$F:$H,2,FALSE),0)</f>
        <v>16.799166</v>
      </c>
      <c r="H399">
        <f>IFERROR(VLOOKUP(F399,SROU03!$F:$H,3,FALSE),0)</f>
        <v>8.5533330000000003</v>
      </c>
      <c r="I399">
        <v>7.0306899999999996E-4</v>
      </c>
      <c r="J399">
        <v>8.6850000000000007E-6</v>
      </c>
      <c r="K399">
        <v>16.982700000000001</v>
      </c>
      <c r="L399">
        <v>10.9269</v>
      </c>
      <c r="M399">
        <f>IFERROR(VLOOKUP(F399,TICO09!$F:$O,8,FALSE),0)</f>
        <v>17.590699999999998</v>
      </c>
      <c r="N399">
        <f>IFERROR(VLOOKUP(F399,SROU03!$F:$O,9,FALSE),0)</f>
        <v>20.754799999999999</v>
      </c>
      <c r="O399">
        <v>21.400200000000002</v>
      </c>
      <c r="P399" t="str">
        <f t="shared" si="28"/>
        <v>BM3D</v>
      </c>
      <c r="Q399">
        <f t="shared" si="29"/>
        <v>21.400200000000002</v>
      </c>
      <c r="R399">
        <f>VLOOKUP(P399,'Color codes'!$A:$B,2,FALSE)</f>
        <v>1</v>
      </c>
      <c r="S399">
        <f>TRUNC(VLOOKUP(P399,'Color codes'!$A:$E,3,FALSE)*(0.25 + 0.75*Q399/40))</f>
        <v>166</v>
      </c>
      <c r="T399">
        <f>TRUNC(VLOOKUP(P399,'Color codes'!$A:$E,4,FALSE)*(0.25 + 0.75*Q399/40))</f>
        <v>69</v>
      </c>
      <c r="U399">
        <f>TRUNC(VLOOKUP(P399,'Color codes'!$A:$E,5,FALSE)*(0.25 + 0.75*Q399/40))</f>
        <v>67</v>
      </c>
      <c r="V399" t="b">
        <f t="shared" si="26"/>
        <v>0</v>
      </c>
    </row>
    <row r="400" spans="1:22" x14ac:dyDescent="0.25">
      <c r="A400" t="s">
        <v>21</v>
      </c>
      <c r="B400" t="s">
        <v>15</v>
      </c>
      <c r="C400">
        <v>7</v>
      </c>
      <c r="D400">
        <v>100</v>
      </c>
      <c r="E400">
        <v>12800</v>
      </c>
      <c r="F400" t="str">
        <f t="shared" si="27"/>
        <v>castle256_blurkernel7_7_100_12800</v>
      </c>
      <c r="G400">
        <f>IFERROR(VLOOKUP(F400,SROU03!$F:$H,2,FALSE),0)</f>
        <v>15.195826</v>
      </c>
      <c r="H400">
        <f>IFERROR(VLOOKUP(F400,SROU03!$F:$H,3,FALSE),0)</f>
        <v>8.5487660000000005</v>
      </c>
      <c r="I400">
        <v>1.463223E-3</v>
      </c>
      <c r="J400">
        <v>8.6850000000000007E-6</v>
      </c>
      <c r="K400">
        <v>13.8866</v>
      </c>
      <c r="L400">
        <v>10.9269</v>
      </c>
      <c r="M400">
        <f>IFERROR(VLOOKUP(F400,TICO09!$F:$O,8,FALSE),0)</f>
        <v>16.657699999999998</v>
      </c>
      <c r="N400">
        <f>IFERROR(VLOOKUP(F400,SROU03!$F:$O,9,FALSE),0)</f>
        <v>18.562200000000001</v>
      </c>
      <c r="O400">
        <v>18.985499999999998</v>
      </c>
      <c r="P400" t="str">
        <f t="shared" si="28"/>
        <v>BM3D</v>
      </c>
      <c r="Q400">
        <f t="shared" si="29"/>
        <v>18.985499999999998</v>
      </c>
      <c r="R400">
        <f>VLOOKUP(P400,'Color codes'!$A:$B,2,FALSE)</f>
        <v>1</v>
      </c>
      <c r="S400">
        <f>TRUNC(VLOOKUP(P400,'Color codes'!$A:$E,3,FALSE)*(0.25 + 0.75*Q400/40))</f>
        <v>154</v>
      </c>
      <c r="T400">
        <f>TRUNC(VLOOKUP(P400,'Color codes'!$A:$E,4,FALSE)*(0.25 + 0.75*Q400/40))</f>
        <v>64</v>
      </c>
      <c r="U400">
        <f>TRUNC(VLOOKUP(P400,'Color codes'!$A:$E,5,FALSE)*(0.25 + 0.75*Q400/40))</f>
        <v>63</v>
      </c>
      <c r="V400" t="b">
        <f t="shared" si="26"/>
        <v>0</v>
      </c>
    </row>
    <row r="401" spans="1:22" x14ac:dyDescent="0.25">
      <c r="A401" t="s">
        <v>21</v>
      </c>
      <c r="B401" t="s">
        <v>15</v>
      </c>
      <c r="C401">
        <v>7</v>
      </c>
      <c r="D401">
        <v>100</v>
      </c>
      <c r="E401">
        <v>25600</v>
      </c>
      <c r="F401" t="str">
        <f t="shared" si="27"/>
        <v>castle256_blurkernel7_7_100_25600</v>
      </c>
      <c r="G401">
        <f>IFERROR(VLOOKUP(F401,SROU03!$F:$H,2,FALSE),0)</f>
        <v>13.906903</v>
      </c>
      <c r="H401">
        <f>IFERROR(VLOOKUP(F401,SROU03!$F:$H,3,FALSE),0)</f>
        <v>8.5656680000000005</v>
      </c>
      <c r="I401">
        <v>3.2392459999999999E-3</v>
      </c>
      <c r="J401">
        <v>8.6850000000000007E-6</v>
      </c>
      <c r="K401">
        <v>10.5969</v>
      </c>
      <c r="L401">
        <v>10.9269</v>
      </c>
      <c r="M401">
        <f>IFERROR(VLOOKUP(F401,TICO09!$F:$O,8,FALSE),0)</f>
        <v>15.415100000000001</v>
      </c>
      <c r="N401">
        <f>IFERROR(VLOOKUP(F401,SROU03!$F:$O,9,FALSE),0)</f>
        <v>17.258800000000001</v>
      </c>
      <c r="O401">
        <v>16.6754</v>
      </c>
      <c r="P401" t="str">
        <f t="shared" si="28"/>
        <v>SROU03</v>
      </c>
      <c r="Q401">
        <f t="shared" si="29"/>
        <v>17.258800000000001</v>
      </c>
      <c r="R401">
        <f>VLOOKUP(P401,'Color codes'!$A:$B,2,FALSE)</f>
        <v>3</v>
      </c>
      <c r="S401">
        <f>TRUNC(VLOOKUP(P401,'Color codes'!$A:$E,3,FALSE)*(0.25 + 0.75*Q401/40))</f>
        <v>61</v>
      </c>
      <c r="T401">
        <f>TRUNC(VLOOKUP(P401,'Color codes'!$A:$E,4,FALSE)*(0.25 + 0.75*Q401/40))</f>
        <v>100</v>
      </c>
      <c r="U401">
        <f>TRUNC(VLOOKUP(P401,'Color codes'!$A:$E,5,FALSE)*(0.25 + 0.75*Q401/40))</f>
        <v>146</v>
      </c>
      <c r="V401" t="b">
        <f t="shared" si="26"/>
        <v>0</v>
      </c>
    </row>
    <row r="402" spans="1:22" x14ac:dyDescent="0.25">
      <c r="A402" t="s">
        <v>21</v>
      </c>
      <c r="B402" t="s">
        <v>15</v>
      </c>
      <c r="C402">
        <v>15</v>
      </c>
      <c r="D402">
        <v>100</v>
      </c>
      <c r="E402">
        <v>200</v>
      </c>
      <c r="F402" t="str">
        <f t="shared" si="27"/>
        <v>castle256_blurkernel7_15_100_200</v>
      </c>
      <c r="G402">
        <f>IFERROR(VLOOKUP(F402,SROU03!$F:$H,2,FALSE),0)</f>
        <v>50.194268999999998</v>
      </c>
      <c r="H402">
        <f>IFERROR(VLOOKUP(F402,SROU03!$F:$H,3,FALSE),0)</f>
        <v>22.572825999999999</v>
      </c>
      <c r="I402">
        <v>1.9235000000000001E-5</v>
      </c>
      <c r="J402">
        <v>8.7830000000000004E-6</v>
      </c>
      <c r="K402">
        <v>32.534199999999998</v>
      </c>
      <c r="L402">
        <v>8.5862999999999996</v>
      </c>
      <c r="M402">
        <f>IFERROR(VLOOKUP(F402,TICO09!$F:$O,8,FALSE),0)</f>
        <v>20.034500000000001</v>
      </c>
      <c r="N402">
        <f>IFERROR(VLOOKUP(F402,SROU03!$F:$O,9,FALSE),0)</f>
        <v>32.578899999999997</v>
      </c>
      <c r="O402">
        <v>34.437199999999997</v>
      </c>
      <c r="P402" t="str">
        <f t="shared" si="28"/>
        <v>BM3D</v>
      </c>
      <c r="Q402">
        <f t="shared" si="29"/>
        <v>34.437199999999997</v>
      </c>
      <c r="R402">
        <f>VLOOKUP(P402,'Color codes'!$A:$B,2,FALSE)</f>
        <v>1</v>
      </c>
      <c r="S402">
        <f>TRUNC(VLOOKUP(P402,'Color codes'!$A:$E,3,FALSE)*(0.25 + 0.75*Q402/40))</f>
        <v>228</v>
      </c>
      <c r="T402">
        <f>TRUNC(VLOOKUP(P402,'Color codes'!$A:$E,4,FALSE)*(0.25 + 0.75*Q402/40))</f>
        <v>95</v>
      </c>
      <c r="U402">
        <f>TRUNC(VLOOKUP(P402,'Color codes'!$A:$E,5,FALSE)*(0.25 + 0.75*Q402/40))</f>
        <v>93</v>
      </c>
      <c r="V402" t="b">
        <f t="shared" si="26"/>
        <v>1</v>
      </c>
    </row>
    <row r="403" spans="1:22" x14ac:dyDescent="0.25">
      <c r="A403" t="s">
        <v>21</v>
      </c>
      <c r="B403" t="s">
        <v>15</v>
      </c>
      <c r="C403">
        <v>15</v>
      </c>
      <c r="D403">
        <v>100</v>
      </c>
      <c r="E403">
        <v>400</v>
      </c>
      <c r="F403" t="str">
        <f t="shared" si="27"/>
        <v>castle256_blurkernel7_15_100_400</v>
      </c>
      <c r="G403">
        <f>IFERROR(VLOOKUP(F403,SROU03!$F:$H,2,FALSE),0)</f>
        <v>35.177840000000003</v>
      </c>
      <c r="H403">
        <f>IFERROR(VLOOKUP(F403,SROU03!$F:$H,3,FALSE),0)</f>
        <v>20.633057000000001</v>
      </c>
      <c r="I403">
        <v>3.9471000000000002E-5</v>
      </c>
      <c r="J403">
        <v>8.7830000000000004E-6</v>
      </c>
      <c r="K403">
        <v>29.415700000000001</v>
      </c>
      <c r="L403">
        <v>8.5862999999999996</v>
      </c>
      <c r="M403">
        <f>IFERROR(VLOOKUP(F403,TICO09!$F:$O,8,FALSE),0)</f>
        <v>19.887699999999999</v>
      </c>
      <c r="N403">
        <f>IFERROR(VLOOKUP(F403,SROU03!$F:$O,9,FALSE),0)</f>
        <v>29.8414</v>
      </c>
      <c r="O403">
        <v>31.877400000000002</v>
      </c>
      <c r="P403" t="str">
        <f t="shared" si="28"/>
        <v>BM3D</v>
      </c>
      <c r="Q403">
        <f t="shared" si="29"/>
        <v>31.877400000000002</v>
      </c>
      <c r="R403">
        <f>VLOOKUP(P403,'Color codes'!$A:$B,2,FALSE)</f>
        <v>1</v>
      </c>
      <c r="S403">
        <f>TRUNC(VLOOKUP(P403,'Color codes'!$A:$E,3,FALSE)*(0.25 + 0.75*Q403/40))</f>
        <v>216</v>
      </c>
      <c r="T403">
        <f>TRUNC(VLOOKUP(P403,'Color codes'!$A:$E,4,FALSE)*(0.25 + 0.75*Q403/40))</f>
        <v>90</v>
      </c>
      <c r="U403">
        <f>TRUNC(VLOOKUP(P403,'Color codes'!$A:$E,5,FALSE)*(0.25 + 0.75*Q403/40))</f>
        <v>88</v>
      </c>
      <c r="V403" t="b">
        <f t="shared" si="26"/>
        <v>1</v>
      </c>
    </row>
    <row r="404" spans="1:22" x14ac:dyDescent="0.25">
      <c r="A404" t="s">
        <v>21</v>
      </c>
      <c r="B404" t="s">
        <v>15</v>
      </c>
      <c r="C404">
        <v>15</v>
      </c>
      <c r="D404">
        <v>100</v>
      </c>
      <c r="E404">
        <v>800</v>
      </c>
      <c r="F404" t="str">
        <f t="shared" si="27"/>
        <v>castle256_blurkernel7_15_100_800</v>
      </c>
      <c r="G404">
        <f>IFERROR(VLOOKUP(F404,SROU03!$F:$H,2,FALSE),0)</f>
        <v>25.433373</v>
      </c>
      <c r="H404">
        <f>IFERROR(VLOOKUP(F404,SROU03!$F:$H,3,FALSE),0)</f>
        <v>19.620615000000001</v>
      </c>
      <c r="I404">
        <v>8.2117E-5</v>
      </c>
      <c r="J404">
        <v>8.7830000000000004E-6</v>
      </c>
      <c r="K404">
        <v>26.235900000000001</v>
      </c>
      <c r="L404">
        <v>8.5862999999999996</v>
      </c>
      <c r="M404">
        <f>IFERROR(VLOOKUP(F404,TICO09!$F:$O,8,FALSE),0)</f>
        <v>19.663599999999999</v>
      </c>
      <c r="N404">
        <f>IFERROR(VLOOKUP(F404,SROU03!$F:$O,9,FALSE),0)</f>
        <v>27.315100000000001</v>
      </c>
      <c r="O404">
        <v>29.135999999999999</v>
      </c>
      <c r="P404" t="str">
        <f t="shared" si="28"/>
        <v>BM3D</v>
      </c>
      <c r="Q404">
        <f t="shared" si="29"/>
        <v>29.135999999999999</v>
      </c>
      <c r="R404">
        <f>VLOOKUP(P404,'Color codes'!$A:$B,2,FALSE)</f>
        <v>1</v>
      </c>
      <c r="S404">
        <f>TRUNC(VLOOKUP(P404,'Color codes'!$A:$E,3,FALSE)*(0.25 + 0.75*Q404/40))</f>
        <v>203</v>
      </c>
      <c r="T404">
        <f>TRUNC(VLOOKUP(P404,'Color codes'!$A:$E,4,FALSE)*(0.25 + 0.75*Q404/40))</f>
        <v>85</v>
      </c>
      <c r="U404">
        <f>TRUNC(VLOOKUP(P404,'Color codes'!$A:$E,5,FALSE)*(0.25 + 0.75*Q404/40))</f>
        <v>82</v>
      </c>
      <c r="V404" t="b">
        <f t="shared" si="26"/>
        <v>1</v>
      </c>
    </row>
    <row r="405" spans="1:22" x14ac:dyDescent="0.25">
      <c r="A405" t="s">
        <v>21</v>
      </c>
      <c r="B405" t="s">
        <v>15</v>
      </c>
      <c r="C405">
        <v>15</v>
      </c>
      <c r="D405">
        <v>100</v>
      </c>
      <c r="E405">
        <v>1600</v>
      </c>
      <c r="F405" t="str">
        <f t="shared" si="27"/>
        <v>castle256_blurkernel7_15_100_1600</v>
      </c>
      <c r="G405">
        <f>IFERROR(VLOOKUP(F405,SROU03!$F:$H,2,FALSE),0)</f>
        <v>18.859919999999999</v>
      </c>
      <c r="H405">
        <f>IFERROR(VLOOKUP(F405,SROU03!$F:$H,3,FALSE),0)</f>
        <v>19.175419999999999</v>
      </c>
      <c r="I405">
        <v>1.6630900000000001E-4</v>
      </c>
      <c r="J405">
        <v>8.7830000000000004E-6</v>
      </c>
      <c r="K405">
        <v>23.183599999999998</v>
      </c>
      <c r="L405">
        <v>8.5862999999999996</v>
      </c>
      <c r="M405">
        <f>IFERROR(VLOOKUP(F405,TICO09!$F:$O,8,FALSE),0)</f>
        <v>19.353000000000002</v>
      </c>
      <c r="N405">
        <f>IFERROR(VLOOKUP(F405,SROU03!$F:$O,9,FALSE),0)</f>
        <v>24.951000000000001</v>
      </c>
      <c r="O405">
        <v>26.576599999999999</v>
      </c>
      <c r="P405" t="str">
        <f t="shared" si="28"/>
        <v>BM3D</v>
      </c>
      <c r="Q405">
        <f t="shared" si="29"/>
        <v>26.576599999999999</v>
      </c>
      <c r="R405">
        <f>VLOOKUP(P405,'Color codes'!$A:$B,2,FALSE)</f>
        <v>1</v>
      </c>
      <c r="S405">
        <f>TRUNC(VLOOKUP(P405,'Color codes'!$A:$E,3,FALSE)*(0.25 + 0.75*Q405/40))</f>
        <v>190</v>
      </c>
      <c r="T405">
        <f>TRUNC(VLOOKUP(P405,'Color codes'!$A:$E,4,FALSE)*(0.25 + 0.75*Q405/40))</f>
        <v>80</v>
      </c>
      <c r="U405">
        <f>TRUNC(VLOOKUP(P405,'Color codes'!$A:$E,5,FALSE)*(0.25 + 0.75*Q405/40))</f>
        <v>77</v>
      </c>
      <c r="V405" t="b">
        <f t="shared" si="26"/>
        <v>1</v>
      </c>
    </row>
    <row r="406" spans="1:22" x14ac:dyDescent="0.25">
      <c r="A406" t="s">
        <v>21</v>
      </c>
      <c r="B406" t="s">
        <v>15</v>
      </c>
      <c r="C406">
        <v>15</v>
      </c>
      <c r="D406">
        <v>100</v>
      </c>
      <c r="E406">
        <v>3200</v>
      </c>
      <c r="F406" t="str">
        <f t="shared" si="27"/>
        <v>castle256_blurkernel7_15_100_3200</v>
      </c>
      <c r="G406">
        <f>IFERROR(VLOOKUP(F406,SROU03!$F:$H,2,FALSE),0)</f>
        <v>14.414433000000001</v>
      </c>
      <c r="H406">
        <f>IFERROR(VLOOKUP(F406,SROU03!$F:$H,3,FALSE),0)</f>
        <v>18.893248</v>
      </c>
      <c r="I406">
        <v>3.3734500000000002E-4</v>
      </c>
      <c r="J406">
        <v>8.7830000000000004E-6</v>
      </c>
      <c r="K406">
        <v>20.1236</v>
      </c>
      <c r="L406">
        <v>8.5862999999999996</v>
      </c>
      <c r="M406">
        <f>IFERROR(VLOOKUP(F406,TICO09!$F:$O,8,FALSE),0)</f>
        <v>18.780999999999999</v>
      </c>
      <c r="N406">
        <f>IFERROR(VLOOKUP(F406,SROU03!$F:$O,9,FALSE),0)</f>
        <v>22.645199999999999</v>
      </c>
      <c r="O406">
        <v>23.9907</v>
      </c>
      <c r="P406" t="str">
        <f t="shared" si="28"/>
        <v>BM3D</v>
      </c>
      <c r="Q406">
        <f t="shared" si="29"/>
        <v>23.9907</v>
      </c>
      <c r="R406">
        <f>VLOOKUP(P406,'Color codes'!$A:$B,2,FALSE)</f>
        <v>1</v>
      </c>
      <c r="S406">
        <f>TRUNC(VLOOKUP(P406,'Color codes'!$A:$E,3,FALSE)*(0.25 + 0.75*Q406/40))</f>
        <v>178</v>
      </c>
      <c r="T406">
        <f>TRUNC(VLOOKUP(P406,'Color codes'!$A:$E,4,FALSE)*(0.25 + 0.75*Q406/40))</f>
        <v>74</v>
      </c>
      <c r="U406">
        <f>TRUNC(VLOOKUP(P406,'Color codes'!$A:$E,5,FALSE)*(0.25 + 0.75*Q406/40))</f>
        <v>72</v>
      </c>
      <c r="V406" t="b">
        <f t="shared" si="26"/>
        <v>1</v>
      </c>
    </row>
    <row r="407" spans="1:22" x14ac:dyDescent="0.25">
      <c r="A407" t="s">
        <v>21</v>
      </c>
      <c r="B407" t="s">
        <v>15</v>
      </c>
      <c r="C407">
        <v>15</v>
      </c>
      <c r="D407">
        <v>100</v>
      </c>
      <c r="E407">
        <v>6400</v>
      </c>
      <c r="F407" t="str">
        <f t="shared" si="27"/>
        <v>castle256_blurkernel7_15_100_6400</v>
      </c>
      <c r="G407">
        <f>IFERROR(VLOOKUP(F407,SROU03!$F:$H,2,FALSE),0)</f>
        <v>11.485324</v>
      </c>
      <c r="H407">
        <f>IFERROR(VLOOKUP(F407,SROU03!$F:$H,3,FALSE),0)</f>
        <v>18.826799000000001</v>
      </c>
      <c r="I407">
        <v>6.9138200000000004E-4</v>
      </c>
      <c r="J407">
        <v>8.7830000000000004E-6</v>
      </c>
      <c r="K407">
        <v>17.060099999999998</v>
      </c>
      <c r="L407">
        <v>8.5862999999999996</v>
      </c>
      <c r="M407">
        <f>IFERROR(VLOOKUP(F407,TICO09!$F:$O,8,FALSE),0)</f>
        <v>17.889700000000001</v>
      </c>
      <c r="N407">
        <f>IFERROR(VLOOKUP(F407,SROU03!$F:$O,9,FALSE),0)</f>
        <v>20.7638</v>
      </c>
      <c r="O407">
        <v>21.430700000000002</v>
      </c>
      <c r="P407" t="str">
        <f t="shared" si="28"/>
        <v>BM3D</v>
      </c>
      <c r="Q407">
        <f t="shared" si="29"/>
        <v>21.430700000000002</v>
      </c>
      <c r="R407">
        <f>VLOOKUP(P407,'Color codes'!$A:$B,2,FALSE)</f>
        <v>1</v>
      </c>
      <c r="S407">
        <f>TRUNC(VLOOKUP(P407,'Color codes'!$A:$E,3,FALSE)*(0.25 + 0.75*Q407/40))</f>
        <v>166</v>
      </c>
      <c r="T407">
        <f>TRUNC(VLOOKUP(P407,'Color codes'!$A:$E,4,FALSE)*(0.25 + 0.75*Q407/40))</f>
        <v>69</v>
      </c>
      <c r="U407">
        <f>TRUNC(VLOOKUP(P407,'Color codes'!$A:$E,5,FALSE)*(0.25 + 0.75*Q407/40))</f>
        <v>67</v>
      </c>
      <c r="V407" t="b">
        <f t="shared" si="26"/>
        <v>0</v>
      </c>
    </row>
    <row r="408" spans="1:22" x14ac:dyDescent="0.25">
      <c r="A408" t="s">
        <v>21</v>
      </c>
      <c r="B408" t="s">
        <v>15</v>
      </c>
      <c r="C408">
        <v>15</v>
      </c>
      <c r="D408">
        <v>100</v>
      </c>
      <c r="E408">
        <v>12800</v>
      </c>
      <c r="F408" t="str">
        <f t="shared" si="27"/>
        <v>castle256_blurkernel7_15_100_12800</v>
      </c>
      <c r="G408">
        <f>IFERROR(VLOOKUP(F408,SROU03!$F:$H,2,FALSE),0)</f>
        <v>9.5369460000000004</v>
      </c>
      <c r="H408">
        <f>IFERROR(VLOOKUP(F408,SROU03!$F:$H,3,FALSE),0)</f>
        <v>18.735861</v>
      </c>
      <c r="I408">
        <v>1.4603540000000001E-3</v>
      </c>
      <c r="J408">
        <v>8.7830000000000004E-6</v>
      </c>
      <c r="K408">
        <v>13.892799999999999</v>
      </c>
      <c r="L408">
        <v>8.5862999999999996</v>
      </c>
      <c r="M408">
        <f>IFERROR(VLOOKUP(F408,TICO09!$F:$O,8,FALSE),0)</f>
        <v>16.8081</v>
      </c>
      <c r="N408">
        <f>IFERROR(VLOOKUP(F408,SROU03!$F:$O,9,FALSE),0)</f>
        <v>18.940999999999999</v>
      </c>
      <c r="O408">
        <v>19.0351</v>
      </c>
      <c r="P408" t="str">
        <f t="shared" si="28"/>
        <v>BM3D</v>
      </c>
      <c r="Q408">
        <f t="shared" si="29"/>
        <v>19.0351</v>
      </c>
      <c r="R408">
        <f>VLOOKUP(P408,'Color codes'!$A:$B,2,FALSE)</f>
        <v>1</v>
      </c>
      <c r="S408">
        <f>TRUNC(VLOOKUP(P408,'Color codes'!$A:$E,3,FALSE)*(0.25 + 0.75*Q408/40))</f>
        <v>154</v>
      </c>
      <c r="T408">
        <f>TRUNC(VLOOKUP(P408,'Color codes'!$A:$E,4,FALSE)*(0.25 + 0.75*Q408/40))</f>
        <v>64</v>
      </c>
      <c r="U408">
        <f>TRUNC(VLOOKUP(P408,'Color codes'!$A:$E,5,FALSE)*(0.25 + 0.75*Q408/40))</f>
        <v>63</v>
      </c>
      <c r="V408" t="b">
        <f t="shared" si="26"/>
        <v>0</v>
      </c>
    </row>
    <row r="409" spans="1:22" x14ac:dyDescent="0.25">
      <c r="A409" t="s">
        <v>21</v>
      </c>
      <c r="B409" t="s">
        <v>15</v>
      </c>
      <c r="C409">
        <v>15</v>
      </c>
      <c r="D409">
        <v>100</v>
      </c>
      <c r="E409">
        <v>25600</v>
      </c>
      <c r="F409" t="str">
        <f t="shared" si="27"/>
        <v>castle256_blurkernel7_15_100_25600</v>
      </c>
      <c r="G409">
        <f>IFERROR(VLOOKUP(F409,SROU03!$F:$H,2,FALSE),0)</f>
        <v>8.2969010000000001</v>
      </c>
      <c r="H409">
        <f>IFERROR(VLOOKUP(F409,SROU03!$F:$H,3,FALSE),0)</f>
        <v>18.765882000000001</v>
      </c>
      <c r="I409">
        <v>3.2239159999999998E-3</v>
      </c>
      <c r="J409">
        <v>8.7830000000000004E-6</v>
      </c>
      <c r="K409">
        <v>10.6374</v>
      </c>
      <c r="L409">
        <v>8.5862999999999996</v>
      </c>
      <c r="M409">
        <f>IFERROR(VLOOKUP(F409,TICO09!$F:$O,8,FALSE),0)</f>
        <v>15.384600000000001</v>
      </c>
      <c r="N409">
        <f>IFERROR(VLOOKUP(F409,SROU03!$F:$O,9,FALSE),0)</f>
        <v>17.597200000000001</v>
      </c>
      <c r="O409">
        <v>16.6968</v>
      </c>
      <c r="P409" t="str">
        <f t="shared" si="28"/>
        <v>SROU03</v>
      </c>
      <c r="Q409">
        <f t="shared" si="29"/>
        <v>17.597200000000001</v>
      </c>
      <c r="R409">
        <f>VLOOKUP(P409,'Color codes'!$A:$B,2,FALSE)</f>
        <v>3</v>
      </c>
      <c r="S409">
        <f>TRUNC(VLOOKUP(P409,'Color codes'!$A:$E,3,FALSE)*(0.25 + 0.75*Q409/40))</f>
        <v>62</v>
      </c>
      <c r="T409">
        <f>TRUNC(VLOOKUP(P409,'Color codes'!$A:$E,4,FALSE)*(0.25 + 0.75*Q409/40))</f>
        <v>102</v>
      </c>
      <c r="U409">
        <f>TRUNC(VLOOKUP(P409,'Color codes'!$A:$E,5,FALSE)*(0.25 + 0.75*Q409/40))</f>
        <v>147</v>
      </c>
      <c r="V409" t="b">
        <f t="shared" si="26"/>
        <v>0</v>
      </c>
    </row>
    <row r="410" spans="1:22" x14ac:dyDescent="0.25">
      <c r="A410" t="s">
        <v>21</v>
      </c>
      <c r="B410" t="s">
        <v>15</v>
      </c>
      <c r="C410">
        <v>31</v>
      </c>
      <c r="D410">
        <v>100</v>
      </c>
      <c r="E410">
        <v>200</v>
      </c>
      <c r="F410" t="str">
        <f t="shared" si="27"/>
        <v>castle256_blurkernel7_31_100_200</v>
      </c>
      <c r="G410">
        <f>IFERROR(VLOOKUP(F410,SROU03!$F:$H,2,FALSE),0)</f>
        <v>49.864960000000004</v>
      </c>
      <c r="H410">
        <f>IFERROR(VLOOKUP(F410,SROU03!$F:$H,3,FALSE),0)</f>
        <v>46.876707000000003</v>
      </c>
      <c r="I410">
        <v>1.8981999999999999E-5</v>
      </c>
      <c r="J410">
        <v>8.7490000000000004E-6</v>
      </c>
      <c r="K410">
        <v>32.5931</v>
      </c>
      <c r="L410">
        <v>6.6753999999999998</v>
      </c>
      <c r="M410">
        <f>IFERROR(VLOOKUP(F410,TICO09!$F:$O,8,FALSE),0)</f>
        <v>20.332000000000001</v>
      </c>
      <c r="N410">
        <f>IFERROR(VLOOKUP(F410,SROU03!$F:$O,9,FALSE),0)</f>
        <v>32.4634</v>
      </c>
      <c r="O410">
        <v>34.503</v>
      </c>
      <c r="P410" t="str">
        <f t="shared" si="28"/>
        <v>BM3D</v>
      </c>
      <c r="Q410">
        <f t="shared" si="29"/>
        <v>34.503</v>
      </c>
      <c r="R410">
        <f>VLOOKUP(P410,'Color codes'!$A:$B,2,FALSE)</f>
        <v>1</v>
      </c>
      <c r="S410">
        <f>TRUNC(VLOOKUP(P410,'Color codes'!$A:$E,3,FALSE)*(0.25 + 0.75*Q410/40))</f>
        <v>228</v>
      </c>
      <c r="T410">
        <f>TRUNC(VLOOKUP(P410,'Color codes'!$A:$E,4,FALSE)*(0.25 + 0.75*Q410/40))</f>
        <v>95</v>
      </c>
      <c r="U410">
        <f>TRUNC(VLOOKUP(P410,'Color codes'!$A:$E,5,FALSE)*(0.25 + 0.75*Q410/40))</f>
        <v>93</v>
      </c>
      <c r="V410" t="b">
        <f t="shared" si="26"/>
        <v>1</v>
      </c>
    </row>
    <row r="411" spans="1:22" x14ac:dyDescent="0.25">
      <c r="A411" t="s">
        <v>21</v>
      </c>
      <c r="B411" t="s">
        <v>15</v>
      </c>
      <c r="C411">
        <v>31</v>
      </c>
      <c r="D411">
        <v>100</v>
      </c>
      <c r="E411">
        <v>400</v>
      </c>
      <c r="F411" t="str">
        <f t="shared" si="27"/>
        <v>castle256_blurkernel7_31_100_400</v>
      </c>
      <c r="G411">
        <f>IFERROR(VLOOKUP(F411,SROU03!$F:$H,2,FALSE),0)</f>
        <v>34.676282999999998</v>
      </c>
      <c r="H411">
        <f>IFERROR(VLOOKUP(F411,SROU03!$F:$H,3,FALSE),0)</f>
        <v>42.948805</v>
      </c>
      <c r="I411">
        <v>3.9539999999999998E-5</v>
      </c>
      <c r="J411">
        <v>8.7490000000000004E-6</v>
      </c>
      <c r="K411">
        <v>29.408000000000001</v>
      </c>
      <c r="L411">
        <v>6.6753999999999998</v>
      </c>
      <c r="M411">
        <f>IFERROR(VLOOKUP(F411,TICO09!$F:$O,8,FALSE),0)</f>
        <v>20.215199999999999</v>
      </c>
      <c r="N411">
        <f>IFERROR(VLOOKUP(F411,SROU03!$F:$O,9,FALSE),0)</f>
        <v>29.6357</v>
      </c>
      <c r="O411">
        <v>31.798100000000002</v>
      </c>
      <c r="P411" t="str">
        <f t="shared" si="28"/>
        <v>BM3D</v>
      </c>
      <c r="Q411">
        <f t="shared" si="29"/>
        <v>31.798100000000002</v>
      </c>
      <c r="R411">
        <f>VLOOKUP(P411,'Color codes'!$A:$B,2,FALSE)</f>
        <v>1</v>
      </c>
      <c r="S411">
        <f>TRUNC(VLOOKUP(P411,'Color codes'!$A:$E,3,FALSE)*(0.25 + 0.75*Q411/40))</f>
        <v>215</v>
      </c>
      <c r="T411">
        <f>TRUNC(VLOOKUP(P411,'Color codes'!$A:$E,4,FALSE)*(0.25 + 0.75*Q411/40))</f>
        <v>90</v>
      </c>
      <c r="U411">
        <f>TRUNC(VLOOKUP(P411,'Color codes'!$A:$E,5,FALSE)*(0.25 + 0.75*Q411/40))</f>
        <v>88</v>
      </c>
      <c r="V411" t="b">
        <f t="shared" si="26"/>
        <v>1</v>
      </c>
    </row>
    <row r="412" spans="1:22" x14ac:dyDescent="0.25">
      <c r="A412" t="s">
        <v>21</v>
      </c>
      <c r="B412" t="s">
        <v>15</v>
      </c>
      <c r="C412">
        <v>31</v>
      </c>
      <c r="D412">
        <v>100</v>
      </c>
      <c r="E412">
        <v>800</v>
      </c>
      <c r="F412" t="str">
        <f t="shared" si="27"/>
        <v>castle256_blurkernel7_31_100_800</v>
      </c>
      <c r="G412">
        <f>IFERROR(VLOOKUP(F412,SROU03!$F:$H,2,FALSE),0)</f>
        <v>24.494287</v>
      </c>
      <c r="H412">
        <f>IFERROR(VLOOKUP(F412,SROU03!$F:$H,3,FALSE),0)</f>
        <v>40.672789999999999</v>
      </c>
      <c r="I412">
        <v>8.1637999999999993E-5</v>
      </c>
      <c r="J412">
        <v>8.7490000000000004E-6</v>
      </c>
      <c r="K412">
        <v>26.263000000000002</v>
      </c>
      <c r="L412">
        <v>6.6753999999999998</v>
      </c>
      <c r="M412">
        <f>IFERROR(VLOOKUP(F412,TICO09!$F:$O,8,FALSE),0)</f>
        <v>19.925000000000001</v>
      </c>
      <c r="N412">
        <f>IFERROR(VLOOKUP(F412,SROU03!$F:$O,9,FALSE),0)</f>
        <v>27.044599999999999</v>
      </c>
      <c r="O412">
        <v>29.164100000000001</v>
      </c>
      <c r="P412" t="str">
        <f t="shared" si="28"/>
        <v>BM3D</v>
      </c>
      <c r="Q412">
        <f t="shared" si="29"/>
        <v>29.164100000000001</v>
      </c>
      <c r="R412">
        <f>VLOOKUP(P412,'Color codes'!$A:$B,2,FALSE)</f>
        <v>1</v>
      </c>
      <c r="S412">
        <f>TRUNC(VLOOKUP(P412,'Color codes'!$A:$E,3,FALSE)*(0.25 + 0.75*Q412/40))</f>
        <v>203</v>
      </c>
      <c r="T412">
        <f>TRUNC(VLOOKUP(P412,'Color codes'!$A:$E,4,FALSE)*(0.25 + 0.75*Q412/40))</f>
        <v>85</v>
      </c>
      <c r="U412">
        <f>TRUNC(VLOOKUP(P412,'Color codes'!$A:$E,5,FALSE)*(0.25 + 0.75*Q412/40))</f>
        <v>82</v>
      </c>
      <c r="V412" t="b">
        <f t="shared" si="26"/>
        <v>1</v>
      </c>
    </row>
    <row r="413" spans="1:22" x14ac:dyDescent="0.25">
      <c r="A413" t="s">
        <v>21</v>
      </c>
      <c r="B413" t="s">
        <v>15</v>
      </c>
      <c r="C413">
        <v>31</v>
      </c>
      <c r="D413">
        <v>100</v>
      </c>
      <c r="E413">
        <v>1600</v>
      </c>
      <c r="F413" t="str">
        <f t="shared" si="27"/>
        <v>castle256_blurkernel7_31_100_1600</v>
      </c>
      <c r="G413">
        <f>IFERROR(VLOOKUP(F413,SROU03!$F:$H,2,FALSE),0)</f>
        <v>17.654292000000002</v>
      </c>
      <c r="H413">
        <f>IFERROR(VLOOKUP(F413,SROU03!$F:$H,3,FALSE),0)</f>
        <v>39.850101000000002</v>
      </c>
      <c r="I413">
        <v>1.66348E-4</v>
      </c>
      <c r="J413">
        <v>8.7490000000000004E-6</v>
      </c>
      <c r="K413">
        <v>23.1831</v>
      </c>
      <c r="L413">
        <v>6.6753999999999998</v>
      </c>
      <c r="M413">
        <f>IFERROR(VLOOKUP(F413,TICO09!$F:$O,8,FALSE),0)</f>
        <v>19.6127</v>
      </c>
      <c r="N413">
        <f>IFERROR(VLOOKUP(F413,SROU03!$F:$O,9,FALSE),0)</f>
        <v>24.610499999999998</v>
      </c>
      <c r="O413">
        <v>26.610600000000002</v>
      </c>
      <c r="P413" t="str">
        <f t="shared" si="28"/>
        <v>BM3D</v>
      </c>
      <c r="Q413">
        <f t="shared" si="29"/>
        <v>26.610600000000002</v>
      </c>
      <c r="R413">
        <f>VLOOKUP(P413,'Color codes'!$A:$B,2,FALSE)</f>
        <v>1</v>
      </c>
      <c r="S413">
        <f>TRUNC(VLOOKUP(P413,'Color codes'!$A:$E,3,FALSE)*(0.25 + 0.75*Q413/40))</f>
        <v>190</v>
      </c>
      <c r="T413">
        <f>TRUNC(VLOOKUP(P413,'Color codes'!$A:$E,4,FALSE)*(0.25 + 0.75*Q413/40))</f>
        <v>80</v>
      </c>
      <c r="U413">
        <f>TRUNC(VLOOKUP(P413,'Color codes'!$A:$E,5,FALSE)*(0.25 + 0.75*Q413/40))</f>
        <v>77</v>
      </c>
      <c r="V413" t="b">
        <f t="shared" si="26"/>
        <v>1</v>
      </c>
    </row>
    <row r="414" spans="1:22" x14ac:dyDescent="0.25">
      <c r="A414" t="s">
        <v>21</v>
      </c>
      <c r="B414" t="s">
        <v>15</v>
      </c>
      <c r="C414">
        <v>31</v>
      </c>
      <c r="D414">
        <v>100</v>
      </c>
      <c r="E414">
        <v>3200</v>
      </c>
      <c r="F414" t="str">
        <f t="shared" si="27"/>
        <v>castle256_blurkernel7_31_100_3200</v>
      </c>
      <c r="G414">
        <f>IFERROR(VLOOKUP(F414,SROU03!$F:$H,2,FALSE),0)</f>
        <v>12.85031</v>
      </c>
      <c r="H414">
        <f>IFERROR(VLOOKUP(F414,SROU03!$F:$H,3,FALSE),0)</f>
        <v>39.108874</v>
      </c>
      <c r="I414">
        <v>3.3897700000000002E-4</v>
      </c>
      <c r="J414">
        <v>8.7490000000000004E-6</v>
      </c>
      <c r="K414">
        <v>20.106100000000001</v>
      </c>
      <c r="L414">
        <v>6.6753999999999998</v>
      </c>
      <c r="M414">
        <f>IFERROR(VLOOKUP(F414,TICO09!$F:$O,8,FALSE),0)</f>
        <v>18.9543</v>
      </c>
      <c r="N414">
        <f>IFERROR(VLOOKUP(F414,SROU03!$F:$O,9,FALSE),0)</f>
        <v>22.291599999999999</v>
      </c>
      <c r="O414">
        <v>23.985900000000001</v>
      </c>
      <c r="P414" t="str">
        <f t="shared" si="28"/>
        <v>BM3D</v>
      </c>
      <c r="Q414">
        <f t="shared" si="29"/>
        <v>23.985900000000001</v>
      </c>
      <c r="R414">
        <f>VLOOKUP(P414,'Color codes'!$A:$B,2,FALSE)</f>
        <v>1</v>
      </c>
      <c r="S414">
        <f>TRUNC(VLOOKUP(P414,'Color codes'!$A:$E,3,FALSE)*(0.25 + 0.75*Q414/40))</f>
        <v>178</v>
      </c>
      <c r="T414">
        <f>TRUNC(VLOOKUP(P414,'Color codes'!$A:$E,4,FALSE)*(0.25 + 0.75*Q414/40))</f>
        <v>74</v>
      </c>
      <c r="U414">
        <f>TRUNC(VLOOKUP(P414,'Color codes'!$A:$E,5,FALSE)*(0.25 + 0.75*Q414/40))</f>
        <v>72</v>
      </c>
      <c r="V414" t="b">
        <f t="shared" si="26"/>
        <v>1</v>
      </c>
    </row>
    <row r="415" spans="1:22" x14ac:dyDescent="0.25">
      <c r="A415" t="s">
        <v>21</v>
      </c>
      <c r="B415" t="s">
        <v>15</v>
      </c>
      <c r="C415">
        <v>31</v>
      </c>
      <c r="D415">
        <v>100</v>
      </c>
      <c r="E415">
        <v>6400</v>
      </c>
      <c r="F415" t="str">
        <f t="shared" si="27"/>
        <v>castle256_blurkernel7_31_100_6400</v>
      </c>
      <c r="G415">
        <f>IFERROR(VLOOKUP(F415,SROU03!$F:$H,2,FALSE),0)</f>
        <v>9.5687599999999993</v>
      </c>
      <c r="H415">
        <f>IFERROR(VLOOKUP(F415,SROU03!$F:$H,3,FALSE),0)</f>
        <v>39.077392000000003</v>
      </c>
      <c r="I415">
        <v>7.0002200000000001E-4</v>
      </c>
      <c r="J415">
        <v>8.7490000000000004E-6</v>
      </c>
      <c r="K415">
        <v>17.011299999999999</v>
      </c>
      <c r="L415">
        <v>6.6753999999999998</v>
      </c>
      <c r="M415">
        <f>IFERROR(VLOOKUP(F415,TICO09!$F:$O,8,FALSE),0)</f>
        <v>18.085000000000001</v>
      </c>
      <c r="N415">
        <f>IFERROR(VLOOKUP(F415,SROU03!$F:$O,9,FALSE),0)</f>
        <v>20.241700000000002</v>
      </c>
      <c r="O415">
        <v>21.409500000000001</v>
      </c>
      <c r="P415" t="str">
        <f t="shared" si="28"/>
        <v>BM3D</v>
      </c>
      <c r="Q415">
        <f t="shared" si="29"/>
        <v>21.409500000000001</v>
      </c>
      <c r="R415">
        <f>VLOOKUP(P415,'Color codes'!$A:$B,2,FALSE)</f>
        <v>1</v>
      </c>
      <c r="S415">
        <f>TRUNC(VLOOKUP(P415,'Color codes'!$A:$E,3,FALSE)*(0.25 + 0.75*Q415/40))</f>
        <v>166</v>
      </c>
      <c r="T415">
        <f>TRUNC(VLOOKUP(P415,'Color codes'!$A:$E,4,FALSE)*(0.25 + 0.75*Q415/40))</f>
        <v>69</v>
      </c>
      <c r="U415">
        <f>TRUNC(VLOOKUP(P415,'Color codes'!$A:$E,5,FALSE)*(0.25 + 0.75*Q415/40))</f>
        <v>67</v>
      </c>
      <c r="V415" t="b">
        <f t="shared" si="26"/>
        <v>1</v>
      </c>
    </row>
    <row r="416" spans="1:22" x14ac:dyDescent="0.25">
      <c r="A416" t="s">
        <v>21</v>
      </c>
      <c r="B416" t="s">
        <v>15</v>
      </c>
      <c r="C416">
        <v>31</v>
      </c>
      <c r="D416">
        <v>100</v>
      </c>
      <c r="E416">
        <v>12800</v>
      </c>
      <c r="F416" t="str">
        <f t="shared" si="27"/>
        <v>castle256_blurkernel7_31_100_12800</v>
      </c>
      <c r="G416">
        <f>IFERROR(VLOOKUP(F416,SROU03!$F:$H,2,FALSE),0)</f>
        <v>7.3995449999999998</v>
      </c>
      <c r="H416">
        <f>IFERROR(VLOOKUP(F416,SROU03!$F:$H,3,FALSE),0)</f>
        <v>38.741107999999997</v>
      </c>
      <c r="I416">
        <v>1.4766919999999999E-3</v>
      </c>
      <c r="J416">
        <v>8.7490000000000004E-6</v>
      </c>
      <c r="K416">
        <v>13.833399999999999</v>
      </c>
      <c r="L416">
        <v>6.6753999999999998</v>
      </c>
      <c r="M416">
        <f>IFERROR(VLOOKUP(F416,TICO09!$F:$O,8,FALSE),0)</f>
        <v>16.8689</v>
      </c>
      <c r="N416">
        <f>IFERROR(VLOOKUP(F416,SROU03!$F:$O,9,FALSE),0)</f>
        <v>18.348299999999998</v>
      </c>
      <c r="O416">
        <v>18.9468</v>
      </c>
      <c r="P416" t="str">
        <f t="shared" si="28"/>
        <v>BM3D</v>
      </c>
      <c r="Q416">
        <f t="shared" si="29"/>
        <v>18.9468</v>
      </c>
      <c r="R416">
        <f>VLOOKUP(P416,'Color codes'!$A:$B,2,FALSE)</f>
        <v>1</v>
      </c>
      <c r="S416">
        <f>TRUNC(VLOOKUP(P416,'Color codes'!$A:$E,3,FALSE)*(0.25 + 0.75*Q416/40))</f>
        <v>154</v>
      </c>
      <c r="T416">
        <f>TRUNC(VLOOKUP(P416,'Color codes'!$A:$E,4,FALSE)*(0.25 + 0.75*Q416/40))</f>
        <v>64</v>
      </c>
      <c r="U416">
        <f>TRUNC(VLOOKUP(P416,'Color codes'!$A:$E,5,FALSE)*(0.25 + 0.75*Q416/40))</f>
        <v>62</v>
      </c>
      <c r="V416" t="b">
        <f t="shared" si="26"/>
        <v>0</v>
      </c>
    </row>
    <row r="417" spans="1:22" x14ac:dyDescent="0.25">
      <c r="A417" t="s">
        <v>21</v>
      </c>
      <c r="B417" t="s">
        <v>15</v>
      </c>
      <c r="C417">
        <v>31</v>
      </c>
      <c r="D417">
        <v>100</v>
      </c>
      <c r="E417">
        <v>25600</v>
      </c>
      <c r="F417" t="str">
        <f t="shared" si="27"/>
        <v>castle256_blurkernel7_31_100_25600</v>
      </c>
      <c r="G417">
        <f>IFERROR(VLOOKUP(F417,SROU03!$F:$H,2,FALSE),0)</f>
        <v>5.8904540000000001</v>
      </c>
      <c r="H417">
        <f>IFERROR(VLOOKUP(F417,SROU03!$F:$H,3,FALSE),0)</f>
        <v>38.916375000000002</v>
      </c>
      <c r="I417">
        <v>3.2137860000000002E-3</v>
      </c>
      <c r="J417">
        <v>8.7490000000000004E-6</v>
      </c>
      <c r="K417">
        <v>10.6389</v>
      </c>
      <c r="L417">
        <v>6.6753999999999998</v>
      </c>
      <c r="M417">
        <f>IFERROR(VLOOKUP(F417,TICO09!$F:$O,8,FALSE),0)</f>
        <v>15.3893</v>
      </c>
      <c r="N417">
        <f>IFERROR(VLOOKUP(F417,SROU03!$F:$O,9,FALSE),0)</f>
        <v>16.725999999999999</v>
      </c>
      <c r="O417">
        <v>16.708600000000001</v>
      </c>
      <c r="P417" t="str">
        <f t="shared" si="28"/>
        <v>SROU03</v>
      </c>
      <c r="Q417">
        <f t="shared" si="29"/>
        <v>16.725999999999999</v>
      </c>
      <c r="R417">
        <f>VLOOKUP(P417,'Color codes'!$A:$B,2,FALSE)</f>
        <v>3</v>
      </c>
      <c r="S417">
        <f>TRUNC(VLOOKUP(P417,'Color codes'!$A:$E,3,FALSE)*(0.25 + 0.75*Q417/40))</f>
        <v>60</v>
      </c>
      <c r="T417">
        <f>TRUNC(VLOOKUP(P417,'Color codes'!$A:$E,4,FALSE)*(0.25 + 0.75*Q417/40))</f>
        <v>99</v>
      </c>
      <c r="U417">
        <f>TRUNC(VLOOKUP(P417,'Color codes'!$A:$E,5,FALSE)*(0.25 + 0.75*Q417/40))</f>
        <v>143</v>
      </c>
      <c r="V417" t="b">
        <f t="shared" si="26"/>
        <v>0</v>
      </c>
    </row>
    <row r="418" spans="1:22" x14ac:dyDescent="0.25">
      <c r="A418" t="s">
        <v>21</v>
      </c>
      <c r="B418" t="s">
        <v>16</v>
      </c>
      <c r="C418">
        <v>3</v>
      </c>
      <c r="D418">
        <v>100</v>
      </c>
      <c r="E418">
        <v>200</v>
      </c>
      <c r="F418" t="str">
        <f t="shared" ref="F418:F466" si="30">A418&amp;"_"&amp;B418&amp;"_"&amp;C418&amp;"_"&amp;D418&amp;"_"&amp;E418</f>
        <v>castle256_blurkernel8_3_100_200</v>
      </c>
      <c r="G418">
        <f>IFERROR(VLOOKUP(F418,SROU03!$F:$H,2,FALSE),0)</f>
        <v>59.286051999999998</v>
      </c>
      <c r="H418">
        <f>IFERROR(VLOOKUP(F418,SROU03!$F:$H,3,FALSE),0)</f>
        <v>3.823264</v>
      </c>
      <c r="I418">
        <v>1.9194E-5</v>
      </c>
      <c r="J418">
        <v>8.6819999999999992E-6</v>
      </c>
      <c r="K418">
        <v>32.543999999999997</v>
      </c>
      <c r="L418">
        <v>15.3127</v>
      </c>
      <c r="M418">
        <f>IFERROR(VLOOKUP(F418,TICO09!$F:$O,8,FALSE),0)</f>
        <v>19.354600000000001</v>
      </c>
      <c r="N418">
        <f>IFERROR(VLOOKUP(F418,SROU03!$F:$O,9,FALSE),0)</f>
        <v>33.662700000000001</v>
      </c>
      <c r="O418">
        <v>34.472700000000003</v>
      </c>
      <c r="P418" t="str">
        <f t="shared" ref="P418:P466" si="31">IF((O418&gt;(MAX(M418,N418))),"BM3D",IF(N418&gt;(MAX(M418,O418)),"SROU03","TICO09"))</f>
        <v>BM3D</v>
      </c>
      <c r="Q418">
        <f t="shared" si="29"/>
        <v>34.472700000000003</v>
      </c>
      <c r="R418">
        <f>VLOOKUP(P418,'Color codes'!$A:$B,2,FALSE)</f>
        <v>1</v>
      </c>
      <c r="S418">
        <f>TRUNC(VLOOKUP(P418,'Color codes'!$A:$E,3,FALSE)*(0.25 + 0.75*Q418/40))</f>
        <v>228</v>
      </c>
      <c r="T418">
        <f>TRUNC(VLOOKUP(P418,'Color codes'!$A:$E,4,FALSE)*(0.25 + 0.75*Q418/40))</f>
        <v>95</v>
      </c>
      <c r="U418">
        <f>TRUNC(VLOOKUP(P418,'Color codes'!$A:$E,5,FALSE)*(0.25 + 0.75*Q418/40))</f>
        <v>93</v>
      </c>
      <c r="V418" t="b">
        <f t="shared" si="26"/>
        <v>0</v>
      </c>
    </row>
    <row r="419" spans="1:22" x14ac:dyDescent="0.25">
      <c r="A419" t="s">
        <v>21</v>
      </c>
      <c r="B419" t="s">
        <v>16</v>
      </c>
      <c r="C419">
        <v>3</v>
      </c>
      <c r="D419">
        <v>100</v>
      </c>
      <c r="E419">
        <v>400</v>
      </c>
      <c r="F419" t="str">
        <f t="shared" si="30"/>
        <v>castle256_blurkernel8_3_100_400</v>
      </c>
      <c r="G419">
        <f>IFERROR(VLOOKUP(F419,SROU03!$F:$H,2,FALSE),0)</f>
        <v>47.327181000000003</v>
      </c>
      <c r="H419">
        <f>IFERROR(VLOOKUP(F419,SROU03!$F:$H,3,FALSE),0)</f>
        <v>3.500645</v>
      </c>
      <c r="I419">
        <v>4.0052999999999998E-5</v>
      </c>
      <c r="J419">
        <v>8.6819999999999992E-6</v>
      </c>
      <c r="K419">
        <v>29.350300000000001</v>
      </c>
      <c r="L419">
        <v>15.3127</v>
      </c>
      <c r="M419">
        <f>IFERROR(VLOOKUP(F419,TICO09!$F:$O,8,FALSE),0)</f>
        <v>19.299399999999999</v>
      </c>
      <c r="N419">
        <f>IFERROR(VLOOKUP(F419,SROU03!$F:$O,9,FALSE),0)</f>
        <v>31.3446</v>
      </c>
      <c r="O419">
        <v>31.803599999999999</v>
      </c>
      <c r="P419" t="str">
        <f t="shared" si="31"/>
        <v>BM3D</v>
      </c>
      <c r="Q419">
        <f t="shared" si="29"/>
        <v>31.803599999999999</v>
      </c>
      <c r="R419">
        <f>VLOOKUP(P419,'Color codes'!$A:$B,2,FALSE)</f>
        <v>1</v>
      </c>
      <c r="S419">
        <f>TRUNC(VLOOKUP(P419,'Color codes'!$A:$E,3,FALSE)*(0.25 + 0.75*Q419/40))</f>
        <v>215</v>
      </c>
      <c r="T419">
        <f>TRUNC(VLOOKUP(P419,'Color codes'!$A:$E,4,FALSE)*(0.25 + 0.75*Q419/40))</f>
        <v>90</v>
      </c>
      <c r="U419">
        <f>TRUNC(VLOOKUP(P419,'Color codes'!$A:$E,5,FALSE)*(0.25 + 0.75*Q419/40))</f>
        <v>88</v>
      </c>
      <c r="V419" t="b">
        <f t="shared" si="26"/>
        <v>0</v>
      </c>
    </row>
    <row r="420" spans="1:22" x14ac:dyDescent="0.25">
      <c r="A420" t="s">
        <v>21</v>
      </c>
      <c r="B420" t="s">
        <v>16</v>
      </c>
      <c r="C420">
        <v>3</v>
      </c>
      <c r="D420">
        <v>100</v>
      </c>
      <c r="E420">
        <v>800</v>
      </c>
      <c r="F420" t="str">
        <f t="shared" si="30"/>
        <v>castle256_blurkernel8_3_100_800</v>
      </c>
      <c r="G420">
        <f>IFERROR(VLOOKUP(F420,SROU03!$F:$H,2,FALSE),0)</f>
        <v>40.302596999999999</v>
      </c>
      <c r="H420">
        <f>IFERROR(VLOOKUP(F420,SROU03!$F:$H,3,FALSE),0)</f>
        <v>3.3454820000000001</v>
      </c>
      <c r="I420">
        <v>8.1264E-5</v>
      </c>
      <c r="J420">
        <v>8.6819999999999992E-6</v>
      </c>
      <c r="K420">
        <v>26.284199999999998</v>
      </c>
      <c r="L420">
        <v>15.3127</v>
      </c>
      <c r="M420">
        <f>IFERROR(VLOOKUP(F420,TICO09!$F:$O,8,FALSE),0)</f>
        <v>19.1968</v>
      </c>
      <c r="N420">
        <f>IFERROR(VLOOKUP(F420,SROU03!$F:$O,9,FALSE),0)</f>
        <v>29.2333</v>
      </c>
      <c r="O420">
        <v>29.177900000000001</v>
      </c>
      <c r="P420" t="str">
        <f t="shared" si="31"/>
        <v>SROU03</v>
      </c>
      <c r="Q420">
        <f t="shared" si="29"/>
        <v>29.2333</v>
      </c>
      <c r="R420">
        <f>VLOOKUP(P420,'Color codes'!$A:$B,2,FALSE)</f>
        <v>3</v>
      </c>
      <c r="S420">
        <f>TRUNC(VLOOKUP(P420,'Color codes'!$A:$E,3,FALSE)*(0.25 + 0.75*Q420/40))</f>
        <v>85</v>
      </c>
      <c r="T420">
        <f>TRUNC(VLOOKUP(P420,'Color codes'!$A:$E,4,FALSE)*(0.25 + 0.75*Q420/40))</f>
        <v>140</v>
      </c>
      <c r="U420">
        <f>TRUNC(VLOOKUP(P420,'Color codes'!$A:$E,5,FALSE)*(0.25 + 0.75*Q420/40))</f>
        <v>203</v>
      </c>
      <c r="V420" t="b">
        <f t="shared" si="26"/>
        <v>0</v>
      </c>
    </row>
    <row r="421" spans="1:22" x14ac:dyDescent="0.25">
      <c r="A421" t="s">
        <v>21</v>
      </c>
      <c r="B421" t="s">
        <v>16</v>
      </c>
      <c r="C421">
        <v>3</v>
      </c>
      <c r="D421">
        <v>100</v>
      </c>
      <c r="E421">
        <v>1600</v>
      </c>
      <c r="F421" t="str">
        <f t="shared" si="30"/>
        <v>castle256_blurkernel8_3_100_1600</v>
      </c>
      <c r="G421">
        <f>IFERROR(VLOOKUP(F421,SROU03!$F:$H,2,FALSE),0)</f>
        <v>35.966093999999998</v>
      </c>
      <c r="H421">
        <f>IFERROR(VLOOKUP(F421,SROU03!$F:$H,3,FALSE),0)</f>
        <v>3.2830499999999998</v>
      </c>
      <c r="I421">
        <v>1.6618700000000001E-4</v>
      </c>
      <c r="J421">
        <v>8.6819999999999992E-6</v>
      </c>
      <c r="K421">
        <v>23.187100000000001</v>
      </c>
      <c r="L421">
        <v>15.3127</v>
      </c>
      <c r="M421">
        <f>IFERROR(VLOOKUP(F421,TICO09!$F:$O,8,FALSE),0)</f>
        <v>19.042300000000001</v>
      </c>
      <c r="N421">
        <f>IFERROR(VLOOKUP(F421,SROU03!$F:$O,9,FALSE),0)</f>
        <v>27.2348</v>
      </c>
      <c r="O421">
        <v>26.598600000000001</v>
      </c>
      <c r="P421" t="str">
        <f t="shared" si="31"/>
        <v>SROU03</v>
      </c>
      <c r="Q421">
        <f t="shared" si="29"/>
        <v>27.2348</v>
      </c>
      <c r="R421">
        <f>VLOOKUP(P421,'Color codes'!$A:$B,2,FALSE)</f>
        <v>3</v>
      </c>
      <c r="S421">
        <f>TRUNC(VLOOKUP(P421,'Color codes'!$A:$E,3,FALSE)*(0.25 + 0.75*Q421/40))</f>
        <v>81</v>
      </c>
      <c r="T421">
        <f>TRUNC(VLOOKUP(P421,'Color codes'!$A:$E,4,FALSE)*(0.25 + 0.75*Q421/40))</f>
        <v>133</v>
      </c>
      <c r="U421">
        <f>TRUNC(VLOOKUP(P421,'Color codes'!$A:$E,5,FALSE)*(0.25 + 0.75*Q421/40))</f>
        <v>193</v>
      </c>
      <c r="V421" t="b">
        <f t="shared" si="26"/>
        <v>0</v>
      </c>
    </row>
    <row r="422" spans="1:22" x14ac:dyDescent="0.25">
      <c r="A422" t="s">
        <v>21</v>
      </c>
      <c r="B422" t="s">
        <v>16</v>
      </c>
      <c r="C422">
        <v>3</v>
      </c>
      <c r="D422">
        <v>100</v>
      </c>
      <c r="E422">
        <v>3200</v>
      </c>
      <c r="F422" t="str">
        <f t="shared" si="30"/>
        <v>castle256_blurkernel8_3_100_3200</v>
      </c>
      <c r="G422">
        <f>IFERROR(VLOOKUP(F422,SROU03!$F:$H,2,FALSE),0)</f>
        <v>32.995826000000001</v>
      </c>
      <c r="H422">
        <f>IFERROR(VLOOKUP(F422,SROU03!$F:$H,3,FALSE),0)</f>
        <v>3.2727400000000002</v>
      </c>
      <c r="I422">
        <v>3.3984899999999998E-4</v>
      </c>
      <c r="J422">
        <v>8.6819999999999992E-6</v>
      </c>
      <c r="K422">
        <v>20.103400000000001</v>
      </c>
      <c r="L422">
        <v>15.3127</v>
      </c>
      <c r="M422">
        <f>IFERROR(VLOOKUP(F422,TICO09!$F:$O,8,FALSE),0)</f>
        <v>18.7409</v>
      </c>
      <c r="N422">
        <f>IFERROR(VLOOKUP(F422,SROU03!$F:$O,9,FALSE),0)</f>
        <v>25.3247</v>
      </c>
      <c r="O422">
        <v>23.974499999999999</v>
      </c>
      <c r="P422" t="str">
        <f t="shared" si="31"/>
        <v>SROU03</v>
      </c>
      <c r="Q422">
        <f t="shared" si="29"/>
        <v>25.3247</v>
      </c>
      <c r="R422">
        <f>VLOOKUP(P422,'Color codes'!$A:$B,2,FALSE)</f>
        <v>3</v>
      </c>
      <c r="S422">
        <f>TRUNC(VLOOKUP(P422,'Color codes'!$A:$E,3,FALSE)*(0.25 + 0.75*Q422/40))</f>
        <v>77</v>
      </c>
      <c r="T422">
        <f>TRUNC(VLOOKUP(P422,'Color codes'!$A:$E,4,FALSE)*(0.25 + 0.75*Q422/40))</f>
        <v>127</v>
      </c>
      <c r="U422">
        <f>TRUNC(VLOOKUP(P422,'Color codes'!$A:$E,5,FALSE)*(0.25 + 0.75*Q422/40))</f>
        <v>184</v>
      </c>
      <c r="V422" t="b">
        <f t="shared" ref="V422:V485" si="32">(ABS(N422-O422)  &gt; 1)</f>
        <v>1</v>
      </c>
    </row>
    <row r="423" spans="1:22" x14ac:dyDescent="0.25">
      <c r="A423" t="s">
        <v>21</v>
      </c>
      <c r="B423" t="s">
        <v>16</v>
      </c>
      <c r="C423">
        <v>3</v>
      </c>
      <c r="D423">
        <v>100</v>
      </c>
      <c r="E423">
        <v>6400</v>
      </c>
      <c r="F423" t="str">
        <f t="shared" si="30"/>
        <v>castle256_blurkernel8_3_100_6400</v>
      </c>
      <c r="G423">
        <f>IFERROR(VLOOKUP(F423,SROU03!$F:$H,2,FALSE),0)</f>
        <v>30.595081</v>
      </c>
      <c r="H423">
        <f>IFERROR(VLOOKUP(F423,SROU03!$F:$H,3,FALSE),0)</f>
        <v>3.2954289999999999</v>
      </c>
      <c r="I423">
        <v>6.8910800000000002E-4</v>
      </c>
      <c r="J423">
        <v>8.6819999999999992E-6</v>
      </c>
      <c r="K423">
        <v>17.0656</v>
      </c>
      <c r="L423">
        <v>15.3127</v>
      </c>
      <c r="M423">
        <f>IFERROR(VLOOKUP(F423,TICO09!$F:$O,8,FALSE),0)</f>
        <v>18.331399999999999</v>
      </c>
      <c r="N423">
        <f>IFERROR(VLOOKUP(F423,SROU03!$F:$O,9,FALSE),0)</f>
        <v>23.706199999999999</v>
      </c>
      <c r="O423">
        <v>21.445499999999999</v>
      </c>
      <c r="P423" t="str">
        <f t="shared" si="31"/>
        <v>SROU03</v>
      </c>
      <c r="Q423">
        <f t="shared" si="29"/>
        <v>23.706199999999999</v>
      </c>
      <c r="R423">
        <f>VLOOKUP(P423,'Color codes'!$A:$B,2,FALSE)</f>
        <v>3</v>
      </c>
      <c r="S423">
        <f>TRUNC(VLOOKUP(P423,'Color codes'!$A:$E,3,FALSE)*(0.25 + 0.75*Q423/40))</f>
        <v>74</v>
      </c>
      <c r="T423">
        <f>TRUNC(VLOOKUP(P423,'Color codes'!$A:$E,4,FALSE)*(0.25 + 0.75*Q423/40))</f>
        <v>122</v>
      </c>
      <c r="U423">
        <f>TRUNC(VLOOKUP(P423,'Color codes'!$A:$E,5,FALSE)*(0.25 + 0.75*Q423/40))</f>
        <v>177</v>
      </c>
      <c r="V423" t="b">
        <f t="shared" si="32"/>
        <v>1</v>
      </c>
    </row>
    <row r="424" spans="1:22" x14ac:dyDescent="0.25">
      <c r="A424" t="s">
        <v>21</v>
      </c>
      <c r="B424" t="s">
        <v>16</v>
      </c>
      <c r="C424">
        <v>3</v>
      </c>
      <c r="D424">
        <v>100</v>
      </c>
      <c r="E424">
        <v>12800</v>
      </c>
      <c r="F424" t="str">
        <f t="shared" si="30"/>
        <v>castle256_blurkernel8_3_100_12800</v>
      </c>
      <c r="G424">
        <f>IFERROR(VLOOKUP(F424,SROU03!$F:$H,2,FALSE),0)</f>
        <v>28.372720999999999</v>
      </c>
      <c r="H424">
        <f>IFERROR(VLOOKUP(F424,SROU03!$F:$H,3,FALSE),0)</f>
        <v>3.3362059999999998</v>
      </c>
      <c r="I424">
        <v>1.4734170000000001E-3</v>
      </c>
      <c r="J424">
        <v>8.6819999999999992E-6</v>
      </c>
      <c r="K424">
        <v>13.845499999999999</v>
      </c>
      <c r="L424">
        <v>15.3127</v>
      </c>
      <c r="M424">
        <f>IFERROR(VLOOKUP(F424,TICO09!$F:$O,8,FALSE),0)</f>
        <v>17.8751</v>
      </c>
      <c r="N424">
        <f>IFERROR(VLOOKUP(F424,SROU03!$F:$O,9,FALSE),0)</f>
        <v>22.844000000000001</v>
      </c>
      <c r="O424">
        <v>18.942</v>
      </c>
      <c r="P424" t="str">
        <f t="shared" si="31"/>
        <v>SROU03</v>
      </c>
      <c r="Q424">
        <f t="shared" si="29"/>
        <v>22.844000000000001</v>
      </c>
      <c r="R424">
        <f>VLOOKUP(P424,'Color codes'!$A:$B,2,FALSE)</f>
        <v>3</v>
      </c>
      <c r="S424">
        <f>TRUNC(VLOOKUP(P424,'Color codes'!$A:$E,3,FALSE)*(0.25 + 0.75*Q424/40))</f>
        <v>72</v>
      </c>
      <c r="T424">
        <f>TRUNC(VLOOKUP(P424,'Color codes'!$A:$E,4,FALSE)*(0.25 + 0.75*Q424/40))</f>
        <v>119</v>
      </c>
      <c r="U424">
        <f>TRUNC(VLOOKUP(P424,'Color codes'!$A:$E,5,FALSE)*(0.25 + 0.75*Q424/40))</f>
        <v>172</v>
      </c>
      <c r="V424" t="b">
        <f t="shared" si="32"/>
        <v>1</v>
      </c>
    </row>
    <row r="425" spans="1:22" x14ac:dyDescent="0.25">
      <c r="A425" t="s">
        <v>21</v>
      </c>
      <c r="B425" t="s">
        <v>16</v>
      </c>
      <c r="C425">
        <v>3</v>
      </c>
      <c r="D425">
        <v>100</v>
      </c>
      <c r="E425">
        <v>25600</v>
      </c>
      <c r="F425" t="str">
        <f t="shared" si="30"/>
        <v>castle256_blurkernel8_3_100_25600</v>
      </c>
      <c r="G425">
        <f>IFERROR(VLOOKUP(F425,SROU03!$F:$H,2,FALSE),0)</f>
        <v>26.426777999999999</v>
      </c>
      <c r="H425">
        <f>IFERROR(VLOOKUP(F425,SROU03!$F:$H,3,FALSE),0)</f>
        <v>3.3795639999999998</v>
      </c>
      <c r="I425">
        <v>3.2190600000000002E-3</v>
      </c>
      <c r="J425">
        <v>8.6819999999999992E-6</v>
      </c>
      <c r="K425">
        <v>10.626200000000001</v>
      </c>
      <c r="L425">
        <v>15.3127</v>
      </c>
      <c r="M425">
        <f>IFERROR(VLOOKUP(F425,TICO09!$F:$O,8,FALSE),0)</f>
        <v>17.015999999999998</v>
      </c>
      <c r="N425">
        <f>IFERROR(VLOOKUP(F425,SROU03!$F:$O,9,FALSE),0)</f>
        <v>22.749400000000001</v>
      </c>
      <c r="O425">
        <v>16.639900000000001</v>
      </c>
      <c r="P425" t="str">
        <f t="shared" si="31"/>
        <v>SROU03</v>
      </c>
      <c r="Q425">
        <f t="shared" si="29"/>
        <v>22.749400000000001</v>
      </c>
      <c r="R425">
        <f>VLOOKUP(P425,'Color codes'!$A:$B,2,FALSE)</f>
        <v>3</v>
      </c>
      <c r="S425">
        <f>TRUNC(VLOOKUP(P425,'Color codes'!$A:$E,3,FALSE)*(0.25 + 0.75*Q425/40))</f>
        <v>72</v>
      </c>
      <c r="T425">
        <f>TRUNC(VLOOKUP(P425,'Color codes'!$A:$E,4,FALSE)*(0.25 + 0.75*Q425/40))</f>
        <v>119</v>
      </c>
      <c r="U425">
        <f>TRUNC(VLOOKUP(P425,'Color codes'!$A:$E,5,FALSE)*(0.25 + 0.75*Q425/40))</f>
        <v>172</v>
      </c>
      <c r="V425" t="b">
        <f t="shared" si="32"/>
        <v>1</v>
      </c>
    </row>
    <row r="426" spans="1:22" x14ac:dyDescent="0.25">
      <c r="A426" t="s">
        <v>21</v>
      </c>
      <c r="B426" t="s">
        <v>16</v>
      </c>
      <c r="C426">
        <v>7</v>
      </c>
      <c r="D426">
        <v>100</v>
      </c>
      <c r="E426">
        <v>200</v>
      </c>
      <c r="F426" t="str">
        <f t="shared" si="30"/>
        <v>castle256_blurkernel8_7_100_200</v>
      </c>
      <c r="G426">
        <f>IFERROR(VLOOKUP(F426,SROU03!$F:$H,2,FALSE),0)</f>
        <v>52.55677</v>
      </c>
      <c r="H426">
        <f>IFERROR(VLOOKUP(F426,SROU03!$F:$H,3,FALSE),0)</f>
        <v>10.138617999999999</v>
      </c>
      <c r="I426">
        <v>1.9225999999999999E-5</v>
      </c>
      <c r="J426">
        <v>8.7669999999999992E-6</v>
      </c>
      <c r="K426">
        <v>32.5364</v>
      </c>
      <c r="L426">
        <v>10.736800000000001</v>
      </c>
      <c r="M426">
        <f>IFERROR(VLOOKUP(F426,TICO09!$F:$O,8,FALSE),0)</f>
        <v>19.2148</v>
      </c>
      <c r="N426">
        <f>IFERROR(VLOOKUP(F426,SROU03!$F:$O,9,FALSE),0)</f>
        <v>32.889000000000003</v>
      </c>
      <c r="O426">
        <v>34.477499999999999</v>
      </c>
      <c r="P426" t="str">
        <f t="shared" si="31"/>
        <v>BM3D</v>
      </c>
      <c r="Q426">
        <f t="shared" si="29"/>
        <v>34.477499999999999</v>
      </c>
      <c r="R426">
        <f>VLOOKUP(P426,'Color codes'!$A:$B,2,FALSE)</f>
        <v>1</v>
      </c>
      <c r="S426">
        <f>TRUNC(VLOOKUP(P426,'Color codes'!$A:$E,3,FALSE)*(0.25 + 0.75*Q426/40))</f>
        <v>228</v>
      </c>
      <c r="T426">
        <f>TRUNC(VLOOKUP(P426,'Color codes'!$A:$E,4,FALSE)*(0.25 + 0.75*Q426/40))</f>
        <v>95</v>
      </c>
      <c r="U426">
        <f>TRUNC(VLOOKUP(P426,'Color codes'!$A:$E,5,FALSE)*(0.25 + 0.75*Q426/40))</f>
        <v>93</v>
      </c>
      <c r="V426" t="b">
        <f t="shared" si="32"/>
        <v>1</v>
      </c>
    </row>
    <row r="427" spans="1:22" x14ac:dyDescent="0.25">
      <c r="A427" t="s">
        <v>21</v>
      </c>
      <c r="B427" t="s">
        <v>16</v>
      </c>
      <c r="C427">
        <v>7</v>
      </c>
      <c r="D427">
        <v>100</v>
      </c>
      <c r="E427">
        <v>400</v>
      </c>
      <c r="F427" t="str">
        <f t="shared" si="30"/>
        <v>castle256_blurkernel8_7_100_400</v>
      </c>
      <c r="G427">
        <f>IFERROR(VLOOKUP(F427,SROU03!$F:$H,2,FALSE),0)</f>
        <v>38.532268999999999</v>
      </c>
      <c r="H427">
        <f>IFERROR(VLOOKUP(F427,SROU03!$F:$H,3,FALSE),0)</f>
        <v>9.2691470000000002</v>
      </c>
      <c r="I427">
        <v>3.9922000000000002E-5</v>
      </c>
      <c r="J427">
        <v>8.7669999999999992E-6</v>
      </c>
      <c r="K427">
        <v>29.363299999999999</v>
      </c>
      <c r="L427">
        <v>10.736800000000001</v>
      </c>
      <c r="M427">
        <f>IFERROR(VLOOKUP(F427,TICO09!$F:$O,8,FALSE),0)</f>
        <v>19.135300000000001</v>
      </c>
      <c r="N427">
        <f>IFERROR(VLOOKUP(F427,SROU03!$F:$O,9,FALSE),0)</f>
        <v>30.174399999999999</v>
      </c>
      <c r="O427">
        <v>31.812999999999999</v>
      </c>
      <c r="P427" t="str">
        <f t="shared" si="31"/>
        <v>BM3D</v>
      </c>
      <c r="Q427">
        <f t="shared" si="29"/>
        <v>31.812999999999999</v>
      </c>
      <c r="R427">
        <f>VLOOKUP(P427,'Color codes'!$A:$B,2,FALSE)</f>
        <v>1</v>
      </c>
      <c r="S427">
        <f>TRUNC(VLOOKUP(P427,'Color codes'!$A:$E,3,FALSE)*(0.25 + 0.75*Q427/40))</f>
        <v>215</v>
      </c>
      <c r="T427">
        <f>TRUNC(VLOOKUP(P427,'Color codes'!$A:$E,4,FALSE)*(0.25 + 0.75*Q427/40))</f>
        <v>90</v>
      </c>
      <c r="U427">
        <f>TRUNC(VLOOKUP(P427,'Color codes'!$A:$E,5,FALSE)*(0.25 + 0.75*Q427/40))</f>
        <v>88</v>
      </c>
      <c r="V427" t="b">
        <f t="shared" si="32"/>
        <v>1</v>
      </c>
    </row>
    <row r="428" spans="1:22" x14ac:dyDescent="0.25">
      <c r="A428" t="s">
        <v>21</v>
      </c>
      <c r="B428" t="s">
        <v>16</v>
      </c>
      <c r="C428">
        <v>7</v>
      </c>
      <c r="D428">
        <v>100</v>
      </c>
      <c r="E428">
        <v>800</v>
      </c>
      <c r="F428" t="str">
        <f t="shared" si="30"/>
        <v>castle256_blurkernel8_7_100_800</v>
      </c>
      <c r="G428">
        <f>IFERROR(VLOOKUP(F428,SROU03!$F:$H,2,FALSE),0)</f>
        <v>29.719777000000001</v>
      </c>
      <c r="H428">
        <f>IFERROR(VLOOKUP(F428,SROU03!$F:$H,3,FALSE),0)</f>
        <v>8.8421029999999998</v>
      </c>
      <c r="I428">
        <v>8.1505E-5</v>
      </c>
      <c r="J428">
        <v>8.7669999999999992E-6</v>
      </c>
      <c r="K428">
        <v>26.271599999999999</v>
      </c>
      <c r="L428">
        <v>10.736800000000001</v>
      </c>
      <c r="M428">
        <f>IFERROR(VLOOKUP(F428,TICO09!$F:$O,8,FALSE),0)</f>
        <v>18.9742</v>
      </c>
      <c r="N428">
        <f>IFERROR(VLOOKUP(F428,SROU03!$F:$O,9,FALSE),0)</f>
        <v>27.897300000000001</v>
      </c>
      <c r="O428">
        <v>29.2089</v>
      </c>
      <c r="P428" t="str">
        <f t="shared" si="31"/>
        <v>BM3D</v>
      </c>
      <c r="Q428">
        <f t="shared" si="29"/>
        <v>29.2089</v>
      </c>
      <c r="R428">
        <f>VLOOKUP(P428,'Color codes'!$A:$B,2,FALSE)</f>
        <v>1</v>
      </c>
      <c r="S428">
        <f>TRUNC(VLOOKUP(P428,'Color codes'!$A:$E,3,FALSE)*(0.25 + 0.75*Q428/40))</f>
        <v>203</v>
      </c>
      <c r="T428">
        <f>TRUNC(VLOOKUP(P428,'Color codes'!$A:$E,4,FALSE)*(0.25 + 0.75*Q428/40))</f>
        <v>85</v>
      </c>
      <c r="U428">
        <f>TRUNC(VLOOKUP(P428,'Color codes'!$A:$E,5,FALSE)*(0.25 + 0.75*Q428/40))</f>
        <v>82</v>
      </c>
      <c r="V428" t="b">
        <f t="shared" si="32"/>
        <v>1</v>
      </c>
    </row>
    <row r="429" spans="1:22" x14ac:dyDescent="0.25">
      <c r="A429" t="s">
        <v>21</v>
      </c>
      <c r="B429" t="s">
        <v>16</v>
      </c>
      <c r="C429">
        <v>7</v>
      </c>
      <c r="D429">
        <v>100</v>
      </c>
      <c r="E429">
        <v>1600</v>
      </c>
      <c r="F429" t="str">
        <f t="shared" si="30"/>
        <v>castle256_blurkernel8_7_100_1600</v>
      </c>
      <c r="G429">
        <f>IFERROR(VLOOKUP(F429,SROU03!$F:$H,2,FALSE),0)</f>
        <v>24.104683000000001</v>
      </c>
      <c r="H429">
        <f>IFERROR(VLOOKUP(F429,SROU03!$F:$H,3,FALSE),0)</f>
        <v>8.6417389999999994</v>
      </c>
      <c r="I429">
        <v>1.6566500000000001E-4</v>
      </c>
      <c r="J429">
        <v>8.7669999999999992E-6</v>
      </c>
      <c r="K429">
        <v>23.199000000000002</v>
      </c>
      <c r="L429">
        <v>10.736800000000001</v>
      </c>
      <c r="M429">
        <f>IFERROR(VLOOKUP(F429,TICO09!$F:$O,8,FALSE),0)</f>
        <v>18.723500000000001</v>
      </c>
      <c r="N429">
        <f>IFERROR(VLOOKUP(F429,SROU03!$F:$O,9,FALSE),0)</f>
        <v>25.7302</v>
      </c>
      <c r="O429">
        <v>26.5837</v>
      </c>
      <c r="P429" t="str">
        <f t="shared" si="31"/>
        <v>BM3D</v>
      </c>
      <c r="Q429">
        <f t="shared" si="29"/>
        <v>26.5837</v>
      </c>
      <c r="R429">
        <f>VLOOKUP(P429,'Color codes'!$A:$B,2,FALSE)</f>
        <v>1</v>
      </c>
      <c r="S429">
        <f>TRUNC(VLOOKUP(P429,'Color codes'!$A:$E,3,FALSE)*(0.25 + 0.75*Q429/40))</f>
        <v>190</v>
      </c>
      <c r="T429">
        <f>TRUNC(VLOOKUP(P429,'Color codes'!$A:$E,4,FALSE)*(0.25 + 0.75*Q429/40))</f>
        <v>80</v>
      </c>
      <c r="U429">
        <f>TRUNC(VLOOKUP(P429,'Color codes'!$A:$E,5,FALSE)*(0.25 + 0.75*Q429/40))</f>
        <v>77</v>
      </c>
      <c r="V429" t="b">
        <f t="shared" si="32"/>
        <v>0</v>
      </c>
    </row>
    <row r="430" spans="1:22" x14ac:dyDescent="0.25">
      <c r="A430" t="s">
        <v>21</v>
      </c>
      <c r="B430" t="s">
        <v>16</v>
      </c>
      <c r="C430">
        <v>7</v>
      </c>
      <c r="D430">
        <v>100</v>
      </c>
      <c r="E430">
        <v>3200</v>
      </c>
      <c r="F430" t="str">
        <f t="shared" si="30"/>
        <v>castle256_blurkernel8_7_100_3200</v>
      </c>
      <c r="G430">
        <f>IFERROR(VLOOKUP(F430,SROU03!$F:$H,2,FALSE),0)</f>
        <v>20.502299000000001</v>
      </c>
      <c r="H430">
        <f>IFERROR(VLOOKUP(F430,SROU03!$F:$H,3,FALSE),0)</f>
        <v>8.5561799999999995</v>
      </c>
      <c r="I430">
        <v>3.3746500000000001E-4</v>
      </c>
      <c r="J430">
        <v>8.7669999999999992E-6</v>
      </c>
      <c r="K430">
        <v>20.1266</v>
      </c>
      <c r="L430">
        <v>10.736800000000001</v>
      </c>
      <c r="M430">
        <f>IFERROR(VLOOKUP(F430,TICO09!$F:$O,8,FALSE),0)</f>
        <v>18.249300000000002</v>
      </c>
      <c r="N430">
        <f>IFERROR(VLOOKUP(F430,SROU03!$F:$O,9,FALSE),0)</f>
        <v>23.521999999999998</v>
      </c>
      <c r="O430">
        <v>23.947900000000001</v>
      </c>
      <c r="P430" t="str">
        <f t="shared" si="31"/>
        <v>BM3D</v>
      </c>
      <c r="Q430">
        <f t="shared" si="29"/>
        <v>23.947900000000001</v>
      </c>
      <c r="R430">
        <f>VLOOKUP(P430,'Color codes'!$A:$B,2,FALSE)</f>
        <v>1</v>
      </c>
      <c r="S430">
        <f>TRUNC(VLOOKUP(P430,'Color codes'!$A:$E,3,FALSE)*(0.25 + 0.75*Q430/40))</f>
        <v>178</v>
      </c>
      <c r="T430">
        <f>TRUNC(VLOOKUP(P430,'Color codes'!$A:$E,4,FALSE)*(0.25 + 0.75*Q430/40))</f>
        <v>74</v>
      </c>
      <c r="U430">
        <f>TRUNC(VLOOKUP(P430,'Color codes'!$A:$E,5,FALSE)*(0.25 + 0.75*Q430/40))</f>
        <v>72</v>
      </c>
      <c r="V430" t="b">
        <f t="shared" si="32"/>
        <v>0</v>
      </c>
    </row>
    <row r="431" spans="1:22" x14ac:dyDescent="0.25">
      <c r="A431" t="s">
        <v>21</v>
      </c>
      <c r="B431" t="s">
        <v>16</v>
      </c>
      <c r="C431">
        <v>7</v>
      </c>
      <c r="D431">
        <v>100</v>
      </c>
      <c r="E431">
        <v>6400</v>
      </c>
      <c r="F431" t="str">
        <f t="shared" si="30"/>
        <v>castle256_blurkernel8_7_100_6400</v>
      </c>
      <c r="G431">
        <f>IFERROR(VLOOKUP(F431,SROU03!$F:$H,2,FALSE),0)</f>
        <v>18.013715999999999</v>
      </c>
      <c r="H431">
        <f>IFERROR(VLOOKUP(F431,SROU03!$F:$H,3,FALSE),0)</f>
        <v>8.536581</v>
      </c>
      <c r="I431">
        <v>6.9519999999999998E-4</v>
      </c>
      <c r="J431">
        <v>8.7669999999999992E-6</v>
      </c>
      <c r="K431">
        <v>17.025500000000001</v>
      </c>
      <c r="L431">
        <v>10.736800000000001</v>
      </c>
      <c r="M431">
        <f>IFERROR(VLOOKUP(F431,TICO09!$F:$O,8,FALSE),0)</f>
        <v>17.5944</v>
      </c>
      <c r="N431">
        <f>IFERROR(VLOOKUP(F431,SROU03!$F:$O,9,FALSE),0)</f>
        <v>21.346399999999999</v>
      </c>
      <c r="O431">
        <v>21.414200000000001</v>
      </c>
      <c r="P431" t="str">
        <f t="shared" si="31"/>
        <v>BM3D</v>
      </c>
      <c r="Q431">
        <f t="shared" si="29"/>
        <v>21.414200000000001</v>
      </c>
      <c r="R431">
        <f>VLOOKUP(P431,'Color codes'!$A:$B,2,FALSE)</f>
        <v>1</v>
      </c>
      <c r="S431">
        <f>TRUNC(VLOOKUP(P431,'Color codes'!$A:$E,3,FALSE)*(0.25 + 0.75*Q431/40))</f>
        <v>166</v>
      </c>
      <c r="T431">
        <f>TRUNC(VLOOKUP(P431,'Color codes'!$A:$E,4,FALSE)*(0.25 + 0.75*Q431/40))</f>
        <v>69</v>
      </c>
      <c r="U431">
        <f>TRUNC(VLOOKUP(P431,'Color codes'!$A:$E,5,FALSE)*(0.25 + 0.75*Q431/40))</f>
        <v>67</v>
      </c>
      <c r="V431" t="b">
        <f t="shared" si="32"/>
        <v>0</v>
      </c>
    </row>
    <row r="432" spans="1:22" x14ac:dyDescent="0.25">
      <c r="A432" t="s">
        <v>21</v>
      </c>
      <c r="B432" t="s">
        <v>16</v>
      </c>
      <c r="C432">
        <v>7</v>
      </c>
      <c r="D432">
        <v>100</v>
      </c>
      <c r="E432">
        <v>12800</v>
      </c>
      <c r="F432" t="str">
        <f t="shared" si="30"/>
        <v>castle256_blurkernel8_7_100_12800</v>
      </c>
      <c r="G432">
        <f>IFERROR(VLOOKUP(F432,SROU03!$F:$H,2,FALSE),0)</f>
        <v>16.161368</v>
      </c>
      <c r="H432">
        <f>IFERROR(VLOOKUP(F432,SROU03!$F:$H,3,FALSE),0)</f>
        <v>8.5519680000000005</v>
      </c>
      <c r="I432">
        <v>1.4698140000000001E-3</v>
      </c>
      <c r="J432">
        <v>8.7669999999999992E-6</v>
      </c>
      <c r="K432">
        <v>13.8568</v>
      </c>
      <c r="L432">
        <v>10.736800000000001</v>
      </c>
      <c r="M432">
        <f>IFERROR(VLOOKUP(F432,TICO09!$F:$O,8,FALSE),0)</f>
        <v>16.715599999999998</v>
      </c>
      <c r="N432">
        <f>IFERROR(VLOOKUP(F432,SROU03!$F:$O,9,FALSE),0)</f>
        <v>19.788900000000002</v>
      </c>
      <c r="O432">
        <v>19.034099999999999</v>
      </c>
      <c r="P432" t="str">
        <f t="shared" si="31"/>
        <v>SROU03</v>
      </c>
      <c r="Q432">
        <f t="shared" si="29"/>
        <v>19.788900000000002</v>
      </c>
      <c r="R432">
        <f>VLOOKUP(P432,'Color codes'!$A:$B,2,FALSE)</f>
        <v>3</v>
      </c>
      <c r="S432">
        <f>TRUNC(VLOOKUP(P432,'Color codes'!$A:$E,3,FALSE)*(0.25 + 0.75*Q432/40))</f>
        <v>66</v>
      </c>
      <c r="T432">
        <f>TRUNC(VLOOKUP(P432,'Color codes'!$A:$E,4,FALSE)*(0.25 + 0.75*Q432/40))</f>
        <v>109</v>
      </c>
      <c r="U432">
        <f>TRUNC(VLOOKUP(P432,'Color codes'!$A:$E,5,FALSE)*(0.25 + 0.75*Q432/40))</f>
        <v>158</v>
      </c>
      <c r="V432" t="b">
        <f t="shared" si="32"/>
        <v>0</v>
      </c>
    </row>
    <row r="433" spans="1:22" x14ac:dyDescent="0.25">
      <c r="A433" t="s">
        <v>21</v>
      </c>
      <c r="B433" t="s">
        <v>16</v>
      </c>
      <c r="C433">
        <v>7</v>
      </c>
      <c r="D433">
        <v>100</v>
      </c>
      <c r="E433">
        <v>25600</v>
      </c>
      <c r="F433" t="str">
        <f t="shared" si="30"/>
        <v>castle256_blurkernel8_7_100_25600</v>
      </c>
      <c r="G433">
        <f>IFERROR(VLOOKUP(F433,SROU03!$F:$H,2,FALSE),0)</f>
        <v>14.481889000000001</v>
      </c>
      <c r="H433">
        <f>IFERROR(VLOOKUP(F433,SROU03!$F:$H,3,FALSE),0)</f>
        <v>8.5897400000000008</v>
      </c>
      <c r="I433">
        <v>3.228599E-3</v>
      </c>
      <c r="J433">
        <v>8.7669999999999992E-6</v>
      </c>
      <c r="K433">
        <v>10.617000000000001</v>
      </c>
      <c r="L433">
        <v>10.736800000000001</v>
      </c>
      <c r="M433">
        <f>IFERROR(VLOOKUP(F433,TICO09!$F:$O,8,FALSE),0)</f>
        <v>15.4864</v>
      </c>
      <c r="N433">
        <f>IFERROR(VLOOKUP(F433,SROU03!$F:$O,9,FALSE),0)</f>
        <v>18.514500000000002</v>
      </c>
      <c r="O433">
        <v>16.720400000000001</v>
      </c>
      <c r="P433" t="str">
        <f t="shared" si="31"/>
        <v>SROU03</v>
      </c>
      <c r="Q433">
        <f t="shared" si="29"/>
        <v>18.514500000000002</v>
      </c>
      <c r="R433">
        <f>VLOOKUP(P433,'Color codes'!$A:$B,2,FALSE)</f>
        <v>3</v>
      </c>
      <c r="S433">
        <f>TRUNC(VLOOKUP(P433,'Color codes'!$A:$E,3,FALSE)*(0.25 + 0.75*Q433/40))</f>
        <v>63</v>
      </c>
      <c r="T433">
        <f>TRUNC(VLOOKUP(P433,'Color codes'!$A:$E,4,FALSE)*(0.25 + 0.75*Q433/40))</f>
        <v>105</v>
      </c>
      <c r="U433">
        <f>TRUNC(VLOOKUP(P433,'Color codes'!$A:$E,5,FALSE)*(0.25 + 0.75*Q433/40))</f>
        <v>152</v>
      </c>
      <c r="V433" t="b">
        <f t="shared" si="32"/>
        <v>1</v>
      </c>
    </row>
    <row r="434" spans="1:22" x14ac:dyDescent="0.25">
      <c r="A434" t="s">
        <v>21</v>
      </c>
      <c r="B434" t="s">
        <v>16</v>
      </c>
      <c r="C434">
        <v>15</v>
      </c>
      <c r="D434">
        <v>100</v>
      </c>
      <c r="E434">
        <v>200</v>
      </c>
      <c r="F434" t="str">
        <f t="shared" si="30"/>
        <v>castle256_blurkernel8_15_100_200</v>
      </c>
      <c r="G434">
        <f>IFERROR(VLOOKUP(F434,SROU03!$F:$H,2,FALSE),0)</f>
        <v>50.620596999999997</v>
      </c>
      <c r="H434">
        <f>IFERROR(VLOOKUP(F434,SROU03!$F:$H,3,FALSE),0)</f>
        <v>22.376985000000001</v>
      </c>
      <c r="I434">
        <v>1.8936E-5</v>
      </c>
      <c r="J434">
        <v>8.7080000000000003E-6</v>
      </c>
      <c r="K434">
        <v>32.603299999999997</v>
      </c>
      <c r="L434">
        <v>8.5755999999999997</v>
      </c>
      <c r="M434">
        <f>IFERROR(VLOOKUP(F434,TICO09!$F:$O,8,FALSE),0)</f>
        <v>19.994</v>
      </c>
      <c r="N434">
        <f>IFERROR(VLOOKUP(F434,SROU03!$F:$O,9,FALSE),0)</f>
        <v>32.671399999999998</v>
      </c>
      <c r="O434">
        <v>34.520800000000001</v>
      </c>
      <c r="P434" t="str">
        <f t="shared" si="31"/>
        <v>BM3D</v>
      </c>
      <c r="Q434">
        <f t="shared" si="29"/>
        <v>34.520800000000001</v>
      </c>
      <c r="R434">
        <f>VLOOKUP(P434,'Color codes'!$A:$B,2,FALSE)</f>
        <v>1</v>
      </c>
      <c r="S434">
        <f>TRUNC(VLOOKUP(P434,'Color codes'!$A:$E,3,FALSE)*(0.25 + 0.75*Q434/40))</f>
        <v>228</v>
      </c>
      <c r="T434">
        <f>TRUNC(VLOOKUP(P434,'Color codes'!$A:$E,4,FALSE)*(0.25 + 0.75*Q434/40))</f>
        <v>96</v>
      </c>
      <c r="U434">
        <f>TRUNC(VLOOKUP(P434,'Color codes'!$A:$E,5,FALSE)*(0.25 + 0.75*Q434/40))</f>
        <v>93</v>
      </c>
      <c r="V434" t="b">
        <f t="shared" si="32"/>
        <v>1</v>
      </c>
    </row>
    <row r="435" spans="1:22" x14ac:dyDescent="0.25">
      <c r="A435" t="s">
        <v>21</v>
      </c>
      <c r="B435" t="s">
        <v>16</v>
      </c>
      <c r="C435">
        <v>15</v>
      </c>
      <c r="D435">
        <v>100</v>
      </c>
      <c r="E435">
        <v>400</v>
      </c>
      <c r="F435" t="str">
        <f t="shared" si="30"/>
        <v>castle256_blurkernel8_15_100_400</v>
      </c>
      <c r="G435">
        <f>IFERROR(VLOOKUP(F435,SROU03!$F:$H,2,FALSE),0)</f>
        <v>35.856096999999998</v>
      </c>
      <c r="H435">
        <f>IFERROR(VLOOKUP(F435,SROU03!$F:$H,3,FALSE),0)</f>
        <v>20.471954</v>
      </c>
      <c r="I435">
        <v>3.9656000000000001E-5</v>
      </c>
      <c r="J435">
        <v>8.7080000000000003E-6</v>
      </c>
      <c r="K435">
        <v>29.394500000000001</v>
      </c>
      <c r="L435">
        <v>8.5755999999999997</v>
      </c>
      <c r="M435">
        <f>IFERROR(VLOOKUP(F435,TICO09!$F:$O,8,FALSE),0)</f>
        <v>19.846900000000002</v>
      </c>
      <c r="N435">
        <f>IFERROR(VLOOKUP(F435,SROU03!$F:$O,9,FALSE),0)</f>
        <v>29.9009</v>
      </c>
      <c r="O435">
        <v>31.8248</v>
      </c>
      <c r="P435" t="str">
        <f t="shared" si="31"/>
        <v>BM3D</v>
      </c>
      <c r="Q435">
        <f t="shared" si="29"/>
        <v>31.8248</v>
      </c>
      <c r="R435">
        <f>VLOOKUP(P435,'Color codes'!$A:$B,2,FALSE)</f>
        <v>1</v>
      </c>
      <c r="S435">
        <f>TRUNC(VLOOKUP(P435,'Color codes'!$A:$E,3,FALSE)*(0.25 + 0.75*Q435/40))</f>
        <v>215</v>
      </c>
      <c r="T435">
        <f>TRUNC(VLOOKUP(P435,'Color codes'!$A:$E,4,FALSE)*(0.25 + 0.75*Q435/40))</f>
        <v>90</v>
      </c>
      <c r="U435">
        <f>TRUNC(VLOOKUP(P435,'Color codes'!$A:$E,5,FALSE)*(0.25 + 0.75*Q435/40))</f>
        <v>88</v>
      </c>
      <c r="V435" t="b">
        <f t="shared" si="32"/>
        <v>1</v>
      </c>
    </row>
    <row r="436" spans="1:22" x14ac:dyDescent="0.25">
      <c r="A436" t="s">
        <v>21</v>
      </c>
      <c r="B436" t="s">
        <v>16</v>
      </c>
      <c r="C436">
        <v>15</v>
      </c>
      <c r="D436">
        <v>100</v>
      </c>
      <c r="E436">
        <v>800</v>
      </c>
      <c r="F436" t="str">
        <f t="shared" si="30"/>
        <v>castle256_blurkernel8_15_100_800</v>
      </c>
      <c r="G436">
        <f>IFERROR(VLOOKUP(F436,SROU03!$F:$H,2,FALSE),0)</f>
        <v>26.290420000000001</v>
      </c>
      <c r="H436">
        <f>IFERROR(VLOOKUP(F436,SROU03!$F:$H,3,FALSE),0)</f>
        <v>19.434346000000001</v>
      </c>
      <c r="I436">
        <v>8.1489999999999994E-5</v>
      </c>
      <c r="J436">
        <v>8.7080000000000003E-6</v>
      </c>
      <c r="K436">
        <v>26.270399999999999</v>
      </c>
      <c r="L436">
        <v>8.5755999999999997</v>
      </c>
      <c r="M436">
        <f>IFERROR(VLOOKUP(F436,TICO09!$F:$O,8,FALSE),0)</f>
        <v>19.640999999999998</v>
      </c>
      <c r="N436">
        <f>IFERROR(VLOOKUP(F436,SROU03!$F:$O,9,FALSE),0)</f>
        <v>27.410599999999999</v>
      </c>
      <c r="O436">
        <v>29.1951</v>
      </c>
      <c r="P436" t="str">
        <f t="shared" si="31"/>
        <v>BM3D</v>
      </c>
      <c r="Q436">
        <f t="shared" si="29"/>
        <v>29.1951</v>
      </c>
      <c r="R436">
        <f>VLOOKUP(P436,'Color codes'!$A:$B,2,FALSE)</f>
        <v>1</v>
      </c>
      <c r="S436">
        <f>TRUNC(VLOOKUP(P436,'Color codes'!$A:$E,3,FALSE)*(0.25 + 0.75*Q436/40))</f>
        <v>203</v>
      </c>
      <c r="T436">
        <f>TRUNC(VLOOKUP(P436,'Color codes'!$A:$E,4,FALSE)*(0.25 + 0.75*Q436/40))</f>
        <v>85</v>
      </c>
      <c r="U436">
        <f>TRUNC(VLOOKUP(P436,'Color codes'!$A:$E,5,FALSE)*(0.25 + 0.75*Q436/40))</f>
        <v>82</v>
      </c>
      <c r="V436" t="b">
        <f t="shared" si="32"/>
        <v>1</v>
      </c>
    </row>
    <row r="437" spans="1:22" x14ac:dyDescent="0.25">
      <c r="A437" t="s">
        <v>21</v>
      </c>
      <c r="B437" t="s">
        <v>16</v>
      </c>
      <c r="C437">
        <v>15</v>
      </c>
      <c r="D437">
        <v>100</v>
      </c>
      <c r="E437">
        <v>1600</v>
      </c>
      <c r="F437" t="str">
        <f t="shared" si="30"/>
        <v>castle256_blurkernel8_15_100_1600</v>
      </c>
      <c r="G437">
        <f>IFERROR(VLOOKUP(F437,SROU03!$F:$H,2,FALSE),0)</f>
        <v>19.798500000000001</v>
      </c>
      <c r="H437">
        <f>IFERROR(VLOOKUP(F437,SROU03!$F:$H,3,FALSE),0)</f>
        <v>19.010573000000001</v>
      </c>
      <c r="I437">
        <v>1.66169E-4</v>
      </c>
      <c r="J437">
        <v>8.7080000000000003E-6</v>
      </c>
      <c r="K437">
        <v>23.185199999999998</v>
      </c>
      <c r="L437">
        <v>8.5755999999999997</v>
      </c>
      <c r="M437">
        <f>IFERROR(VLOOKUP(F437,TICO09!$F:$O,8,FALSE),0)</f>
        <v>19.2685</v>
      </c>
      <c r="N437">
        <f>IFERROR(VLOOKUP(F437,SROU03!$F:$O,9,FALSE),0)</f>
        <v>24.976400000000002</v>
      </c>
      <c r="O437">
        <v>26.575399999999998</v>
      </c>
      <c r="P437" t="str">
        <f t="shared" si="31"/>
        <v>BM3D</v>
      </c>
      <c r="Q437">
        <f t="shared" si="29"/>
        <v>26.575399999999998</v>
      </c>
      <c r="R437">
        <f>VLOOKUP(P437,'Color codes'!$A:$B,2,FALSE)</f>
        <v>1</v>
      </c>
      <c r="S437">
        <f>TRUNC(VLOOKUP(P437,'Color codes'!$A:$E,3,FALSE)*(0.25 + 0.75*Q437/40))</f>
        <v>190</v>
      </c>
      <c r="T437">
        <f>TRUNC(VLOOKUP(P437,'Color codes'!$A:$E,4,FALSE)*(0.25 + 0.75*Q437/40))</f>
        <v>80</v>
      </c>
      <c r="U437">
        <f>TRUNC(VLOOKUP(P437,'Color codes'!$A:$E,5,FALSE)*(0.25 + 0.75*Q437/40))</f>
        <v>77</v>
      </c>
      <c r="V437" t="b">
        <f t="shared" si="32"/>
        <v>1</v>
      </c>
    </row>
    <row r="438" spans="1:22" x14ac:dyDescent="0.25">
      <c r="A438" t="s">
        <v>21</v>
      </c>
      <c r="B438" t="s">
        <v>16</v>
      </c>
      <c r="C438">
        <v>15</v>
      </c>
      <c r="D438">
        <v>100</v>
      </c>
      <c r="E438">
        <v>3200</v>
      </c>
      <c r="F438" t="str">
        <f t="shared" si="30"/>
        <v>castle256_blurkernel8_15_100_3200</v>
      </c>
      <c r="G438">
        <f>IFERROR(VLOOKUP(F438,SROU03!$F:$H,2,FALSE),0)</f>
        <v>15.644565999999999</v>
      </c>
      <c r="H438">
        <f>IFERROR(VLOOKUP(F438,SROU03!$F:$H,3,FALSE),0)</f>
        <v>18.719248</v>
      </c>
      <c r="I438">
        <v>3.3734500000000002E-4</v>
      </c>
      <c r="J438">
        <v>8.7080000000000003E-6</v>
      </c>
      <c r="K438">
        <v>20.130700000000001</v>
      </c>
      <c r="L438">
        <v>8.5755999999999997</v>
      </c>
      <c r="M438">
        <f>IFERROR(VLOOKUP(F438,TICO09!$F:$O,8,FALSE),0)</f>
        <v>18.7041</v>
      </c>
      <c r="N438">
        <f>IFERROR(VLOOKUP(F438,SROU03!$F:$O,9,FALSE),0)</f>
        <v>22.950500000000002</v>
      </c>
      <c r="O438">
        <v>24.034199999999998</v>
      </c>
      <c r="P438" t="str">
        <f t="shared" si="31"/>
        <v>BM3D</v>
      </c>
      <c r="Q438">
        <f t="shared" si="29"/>
        <v>24.034199999999998</v>
      </c>
      <c r="R438">
        <f>VLOOKUP(P438,'Color codes'!$A:$B,2,FALSE)</f>
        <v>1</v>
      </c>
      <c r="S438">
        <f>TRUNC(VLOOKUP(P438,'Color codes'!$A:$E,3,FALSE)*(0.25 + 0.75*Q438/40))</f>
        <v>178</v>
      </c>
      <c r="T438">
        <f>TRUNC(VLOOKUP(P438,'Color codes'!$A:$E,4,FALSE)*(0.25 + 0.75*Q438/40))</f>
        <v>74</v>
      </c>
      <c r="U438">
        <f>TRUNC(VLOOKUP(P438,'Color codes'!$A:$E,5,FALSE)*(0.25 + 0.75*Q438/40))</f>
        <v>72</v>
      </c>
      <c r="V438" t="b">
        <f t="shared" si="32"/>
        <v>1</v>
      </c>
    </row>
    <row r="439" spans="1:22" x14ac:dyDescent="0.25">
      <c r="A439" t="s">
        <v>21</v>
      </c>
      <c r="B439" t="s">
        <v>16</v>
      </c>
      <c r="C439">
        <v>15</v>
      </c>
      <c r="D439">
        <v>100</v>
      </c>
      <c r="E439">
        <v>6400</v>
      </c>
      <c r="F439" t="str">
        <f t="shared" si="30"/>
        <v>castle256_blurkernel8_15_100_6400</v>
      </c>
      <c r="G439">
        <f>IFERROR(VLOOKUP(F439,SROU03!$F:$H,2,FALSE),0)</f>
        <v>12.807529000000001</v>
      </c>
      <c r="H439">
        <f>IFERROR(VLOOKUP(F439,SROU03!$F:$H,3,FALSE),0)</f>
        <v>18.685808999999999</v>
      </c>
      <c r="I439">
        <v>6.9201699999999996E-4</v>
      </c>
      <c r="J439">
        <v>8.7080000000000003E-6</v>
      </c>
      <c r="K439">
        <v>17.043299999999999</v>
      </c>
      <c r="L439">
        <v>8.5755999999999997</v>
      </c>
      <c r="M439">
        <f>IFERROR(VLOOKUP(F439,TICO09!$F:$O,8,FALSE),0)</f>
        <v>17.894600000000001</v>
      </c>
      <c r="N439">
        <f>IFERROR(VLOOKUP(F439,SROU03!$F:$O,9,FALSE),0)</f>
        <v>21.261299999999999</v>
      </c>
      <c r="O439">
        <v>21.4495</v>
      </c>
      <c r="P439" t="str">
        <f t="shared" si="31"/>
        <v>BM3D</v>
      </c>
      <c r="Q439">
        <f t="shared" si="29"/>
        <v>21.4495</v>
      </c>
      <c r="R439">
        <f>VLOOKUP(P439,'Color codes'!$A:$B,2,FALSE)</f>
        <v>1</v>
      </c>
      <c r="S439">
        <f>TRUNC(VLOOKUP(P439,'Color codes'!$A:$E,3,FALSE)*(0.25 + 0.75*Q439/40))</f>
        <v>166</v>
      </c>
      <c r="T439">
        <f>TRUNC(VLOOKUP(P439,'Color codes'!$A:$E,4,FALSE)*(0.25 + 0.75*Q439/40))</f>
        <v>69</v>
      </c>
      <c r="U439">
        <f>TRUNC(VLOOKUP(P439,'Color codes'!$A:$E,5,FALSE)*(0.25 + 0.75*Q439/40))</f>
        <v>67</v>
      </c>
      <c r="V439" t="b">
        <f t="shared" si="32"/>
        <v>0</v>
      </c>
    </row>
    <row r="440" spans="1:22" x14ac:dyDescent="0.25">
      <c r="A440" t="s">
        <v>21</v>
      </c>
      <c r="B440" t="s">
        <v>16</v>
      </c>
      <c r="C440">
        <v>15</v>
      </c>
      <c r="D440">
        <v>100</v>
      </c>
      <c r="E440">
        <v>12800</v>
      </c>
      <c r="F440" t="str">
        <f t="shared" si="30"/>
        <v>castle256_blurkernel8_15_100_12800</v>
      </c>
      <c r="G440">
        <f>IFERROR(VLOOKUP(F440,SROU03!$F:$H,2,FALSE),0)</f>
        <v>10.863424</v>
      </c>
      <c r="H440">
        <f>IFERROR(VLOOKUP(F440,SROU03!$F:$H,3,FALSE),0)</f>
        <v>18.596067999999999</v>
      </c>
      <c r="I440">
        <v>1.4587249999999999E-3</v>
      </c>
      <c r="J440">
        <v>8.7080000000000003E-6</v>
      </c>
      <c r="K440">
        <v>13.888500000000001</v>
      </c>
      <c r="L440">
        <v>8.5755999999999997</v>
      </c>
      <c r="M440">
        <f>IFERROR(VLOOKUP(F440,TICO09!$F:$O,8,FALSE),0)</f>
        <v>16.7227</v>
      </c>
      <c r="N440">
        <f>IFERROR(VLOOKUP(F440,SROU03!$F:$O,9,FALSE),0)</f>
        <v>19.644300000000001</v>
      </c>
      <c r="O440">
        <v>19.0562</v>
      </c>
      <c r="P440" t="str">
        <f t="shared" si="31"/>
        <v>SROU03</v>
      </c>
      <c r="Q440">
        <f t="shared" si="29"/>
        <v>19.644300000000001</v>
      </c>
      <c r="R440">
        <f>VLOOKUP(P440,'Color codes'!$A:$B,2,FALSE)</f>
        <v>3</v>
      </c>
      <c r="S440">
        <f>TRUNC(VLOOKUP(P440,'Color codes'!$A:$E,3,FALSE)*(0.25 + 0.75*Q440/40))</f>
        <v>66</v>
      </c>
      <c r="T440">
        <f>TRUNC(VLOOKUP(P440,'Color codes'!$A:$E,4,FALSE)*(0.25 + 0.75*Q440/40))</f>
        <v>108</v>
      </c>
      <c r="U440">
        <f>TRUNC(VLOOKUP(P440,'Color codes'!$A:$E,5,FALSE)*(0.25 + 0.75*Q440/40))</f>
        <v>157</v>
      </c>
      <c r="V440" t="b">
        <f t="shared" si="32"/>
        <v>0</v>
      </c>
    </row>
    <row r="441" spans="1:22" x14ac:dyDescent="0.25">
      <c r="A441" t="s">
        <v>21</v>
      </c>
      <c r="B441" t="s">
        <v>16</v>
      </c>
      <c r="C441">
        <v>15</v>
      </c>
      <c r="D441">
        <v>100</v>
      </c>
      <c r="E441">
        <v>25600</v>
      </c>
      <c r="F441" t="str">
        <f t="shared" si="30"/>
        <v>castle256_blurkernel8_15_100_25600</v>
      </c>
      <c r="G441">
        <f>IFERROR(VLOOKUP(F441,SROU03!$F:$H,2,FALSE),0)</f>
        <v>9.3862559999999995</v>
      </c>
      <c r="H441">
        <f>IFERROR(VLOOKUP(F441,SROU03!$F:$H,3,FALSE),0)</f>
        <v>18.674220999999999</v>
      </c>
      <c r="I441">
        <v>3.2483070000000002E-3</v>
      </c>
      <c r="J441">
        <v>8.7080000000000003E-6</v>
      </c>
      <c r="K441">
        <v>10.5953</v>
      </c>
      <c r="L441">
        <v>8.5755999999999997</v>
      </c>
      <c r="M441">
        <f>IFERROR(VLOOKUP(F441,TICO09!$F:$O,8,FALSE),0)</f>
        <v>15.3194</v>
      </c>
      <c r="N441">
        <f>IFERROR(VLOOKUP(F441,SROU03!$F:$O,9,FALSE),0)</f>
        <v>18.277000000000001</v>
      </c>
      <c r="O441">
        <v>16.615100000000002</v>
      </c>
      <c r="P441" t="str">
        <f t="shared" si="31"/>
        <v>SROU03</v>
      </c>
      <c r="Q441">
        <f t="shared" si="29"/>
        <v>18.277000000000001</v>
      </c>
      <c r="R441">
        <f>VLOOKUP(P441,'Color codes'!$A:$B,2,FALSE)</f>
        <v>3</v>
      </c>
      <c r="S441">
        <f>TRUNC(VLOOKUP(P441,'Color codes'!$A:$E,3,FALSE)*(0.25 + 0.75*Q441/40))</f>
        <v>63</v>
      </c>
      <c r="T441">
        <f>TRUNC(VLOOKUP(P441,'Color codes'!$A:$E,4,FALSE)*(0.25 + 0.75*Q441/40))</f>
        <v>104</v>
      </c>
      <c r="U441">
        <f>TRUNC(VLOOKUP(P441,'Color codes'!$A:$E,5,FALSE)*(0.25 + 0.75*Q441/40))</f>
        <v>151</v>
      </c>
      <c r="V441" t="b">
        <f t="shared" si="32"/>
        <v>1</v>
      </c>
    </row>
    <row r="442" spans="1:22" x14ac:dyDescent="0.25">
      <c r="A442" t="s">
        <v>21</v>
      </c>
      <c r="B442" t="s">
        <v>16</v>
      </c>
      <c r="C442">
        <v>31</v>
      </c>
      <c r="D442">
        <v>100</v>
      </c>
      <c r="E442">
        <v>200</v>
      </c>
      <c r="F442" t="str">
        <f t="shared" si="30"/>
        <v>castle256_blurkernel8_31_100_200</v>
      </c>
      <c r="G442">
        <f>IFERROR(VLOOKUP(F442,SROU03!$F:$H,2,FALSE),0)</f>
        <v>49.896054999999997</v>
      </c>
      <c r="H442">
        <f>IFERROR(VLOOKUP(F442,SROU03!$F:$H,3,FALSE),0)</f>
        <v>46.775427000000001</v>
      </c>
      <c r="I442">
        <v>1.9272000000000001E-5</v>
      </c>
      <c r="J442">
        <v>8.7199999999999995E-6</v>
      </c>
      <c r="K442">
        <v>32.524799999999999</v>
      </c>
      <c r="L442">
        <v>6.6200999999999999</v>
      </c>
      <c r="M442">
        <f>IFERROR(VLOOKUP(F442,TICO09!$F:$O,8,FALSE),0)</f>
        <v>20.358899999999998</v>
      </c>
      <c r="N442">
        <f>IFERROR(VLOOKUP(F442,SROU03!$F:$O,9,FALSE),0)</f>
        <v>32.3964</v>
      </c>
      <c r="O442">
        <v>34.452399999999997</v>
      </c>
      <c r="P442" t="str">
        <f t="shared" si="31"/>
        <v>BM3D</v>
      </c>
      <c r="Q442">
        <f t="shared" si="29"/>
        <v>34.452399999999997</v>
      </c>
      <c r="R442">
        <f>VLOOKUP(P442,'Color codes'!$A:$B,2,FALSE)</f>
        <v>1</v>
      </c>
      <c r="S442">
        <f>TRUNC(VLOOKUP(P442,'Color codes'!$A:$E,3,FALSE)*(0.25 + 0.75*Q442/40))</f>
        <v>228</v>
      </c>
      <c r="T442">
        <f>TRUNC(VLOOKUP(P442,'Color codes'!$A:$E,4,FALSE)*(0.25 + 0.75*Q442/40))</f>
        <v>95</v>
      </c>
      <c r="U442">
        <f>TRUNC(VLOOKUP(P442,'Color codes'!$A:$E,5,FALSE)*(0.25 + 0.75*Q442/40))</f>
        <v>93</v>
      </c>
      <c r="V442" t="b">
        <f t="shared" si="32"/>
        <v>1</v>
      </c>
    </row>
    <row r="443" spans="1:22" x14ac:dyDescent="0.25">
      <c r="A443" t="s">
        <v>21</v>
      </c>
      <c r="B443" t="s">
        <v>16</v>
      </c>
      <c r="C443">
        <v>31</v>
      </c>
      <c r="D443">
        <v>100</v>
      </c>
      <c r="E443">
        <v>400</v>
      </c>
      <c r="F443" t="str">
        <f t="shared" si="30"/>
        <v>castle256_blurkernel8_31_100_400</v>
      </c>
      <c r="G443">
        <f>IFERROR(VLOOKUP(F443,SROU03!$F:$H,2,FALSE),0)</f>
        <v>35.124501000000002</v>
      </c>
      <c r="H443">
        <f>IFERROR(VLOOKUP(F443,SROU03!$F:$H,3,FALSE),0)</f>
        <v>42.711334999999998</v>
      </c>
      <c r="I443">
        <v>3.9716999999999999E-5</v>
      </c>
      <c r="J443">
        <v>8.7199999999999995E-6</v>
      </c>
      <c r="K443">
        <v>29.385300000000001</v>
      </c>
      <c r="L443">
        <v>6.6200999999999999</v>
      </c>
      <c r="M443">
        <f>IFERROR(VLOOKUP(F443,TICO09!$F:$O,8,FALSE),0)</f>
        <v>20.245899999999999</v>
      </c>
      <c r="N443">
        <f>IFERROR(VLOOKUP(F443,SROU03!$F:$O,9,FALSE),0)</f>
        <v>29.588200000000001</v>
      </c>
      <c r="O443">
        <v>31.838699999999999</v>
      </c>
      <c r="P443" t="str">
        <f t="shared" si="31"/>
        <v>BM3D</v>
      </c>
      <c r="Q443">
        <f t="shared" si="29"/>
        <v>31.838699999999999</v>
      </c>
      <c r="R443">
        <f>VLOOKUP(P443,'Color codes'!$A:$B,2,FALSE)</f>
        <v>1</v>
      </c>
      <c r="S443">
        <f>TRUNC(VLOOKUP(P443,'Color codes'!$A:$E,3,FALSE)*(0.25 + 0.75*Q443/40))</f>
        <v>215</v>
      </c>
      <c r="T443">
        <f>TRUNC(VLOOKUP(P443,'Color codes'!$A:$E,4,FALSE)*(0.25 + 0.75*Q443/40))</f>
        <v>90</v>
      </c>
      <c r="U443">
        <f>TRUNC(VLOOKUP(P443,'Color codes'!$A:$E,5,FALSE)*(0.25 + 0.75*Q443/40))</f>
        <v>88</v>
      </c>
      <c r="V443" t="b">
        <f t="shared" si="32"/>
        <v>1</v>
      </c>
    </row>
    <row r="444" spans="1:22" x14ac:dyDescent="0.25">
      <c r="A444" t="s">
        <v>21</v>
      </c>
      <c r="B444" t="s">
        <v>16</v>
      </c>
      <c r="C444">
        <v>31</v>
      </c>
      <c r="D444">
        <v>100</v>
      </c>
      <c r="E444">
        <v>800</v>
      </c>
      <c r="F444" t="str">
        <f t="shared" si="30"/>
        <v>castle256_blurkernel8_31_100_800</v>
      </c>
      <c r="G444">
        <f>IFERROR(VLOOKUP(F444,SROU03!$F:$H,2,FALSE),0)</f>
        <v>24.825607000000002</v>
      </c>
      <c r="H444">
        <f>IFERROR(VLOOKUP(F444,SROU03!$F:$H,3,FALSE),0)</f>
        <v>40.622315999999998</v>
      </c>
      <c r="I444">
        <v>8.1611000000000002E-5</v>
      </c>
      <c r="J444">
        <v>8.7199999999999995E-6</v>
      </c>
      <c r="K444">
        <v>26.265599999999999</v>
      </c>
      <c r="L444">
        <v>6.6200999999999999</v>
      </c>
      <c r="M444">
        <f>IFERROR(VLOOKUP(F444,TICO09!$F:$O,8,FALSE),0)</f>
        <v>20.0199</v>
      </c>
      <c r="N444">
        <f>IFERROR(VLOOKUP(F444,SROU03!$F:$O,9,FALSE),0)</f>
        <v>26.950399999999998</v>
      </c>
      <c r="O444">
        <v>29.186900000000001</v>
      </c>
      <c r="P444" t="str">
        <f t="shared" si="31"/>
        <v>BM3D</v>
      </c>
      <c r="Q444">
        <f t="shared" si="29"/>
        <v>29.186900000000001</v>
      </c>
      <c r="R444">
        <f>VLOOKUP(P444,'Color codes'!$A:$B,2,FALSE)</f>
        <v>1</v>
      </c>
      <c r="S444">
        <f>TRUNC(VLOOKUP(P444,'Color codes'!$A:$E,3,FALSE)*(0.25 + 0.75*Q444/40))</f>
        <v>203</v>
      </c>
      <c r="T444">
        <f>TRUNC(VLOOKUP(P444,'Color codes'!$A:$E,4,FALSE)*(0.25 + 0.75*Q444/40))</f>
        <v>85</v>
      </c>
      <c r="U444">
        <f>TRUNC(VLOOKUP(P444,'Color codes'!$A:$E,5,FALSE)*(0.25 + 0.75*Q444/40))</f>
        <v>82</v>
      </c>
      <c r="V444" t="b">
        <f t="shared" si="32"/>
        <v>1</v>
      </c>
    </row>
    <row r="445" spans="1:22" x14ac:dyDescent="0.25">
      <c r="A445" t="s">
        <v>21</v>
      </c>
      <c r="B445" t="s">
        <v>16</v>
      </c>
      <c r="C445">
        <v>31</v>
      </c>
      <c r="D445">
        <v>100</v>
      </c>
      <c r="E445">
        <v>1600</v>
      </c>
      <c r="F445" t="str">
        <f t="shared" si="30"/>
        <v>castle256_blurkernel8_31_100_1600</v>
      </c>
      <c r="G445">
        <f>IFERROR(VLOOKUP(F445,SROU03!$F:$H,2,FALSE),0)</f>
        <v>18.003516999999999</v>
      </c>
      <c r="H445">
        <f>IFERROR(VLOOKUP(F445,SROU03!$F:$H,3,FALSE),0)</f>
        <v>39.546300000000002</v>
      </c>
      <c r="I445">
        <v>1.66226E-4</v>
      </c>
      <c r="J445">
        <v>8.7199999999999995E-6</v>
      </c>
      <c r="K445">
        <v>23.192699999999999</v>
      </c>
      <c r="L445">
        <v>6.6200999999999999</v>
      </c>
      <c r="M445">
        <f>IFERROR(VLOOKUP(F445,TICO09!$F:$O,8,FALSE),0)</f>
        <v>19.601299999999998</v>
      </c>
      <c r="N445">
        <f>IFERROR(VLOOKUP(F445,SROU03!$F:$O,9,FALSE),0)</f>
        <v>24.528400000000001</v>
      </c>
      <c r="O445">
        <v>26.555700000000002</v>
      </c>
      <c r="P445" t="str">
        <f t="shared" si="31"/>
        <v>BM3D</v>
      </c>
      <c r="Q445">
        <f t="shared" si="29"/>
        <v>26.555700000000002</v>
      </c>
      <c r="R445">
        <f>VLOOKUP(P445,'Color codes'!$A:$B,2,FALSE)</f>
        <v>1</v>
      </c>
      <c r="S445">
        <f>TRUNC(VLOOKUP(P445,'Color codes'!$A:$E,3,FALSE)*(0.25 + 0.75*Q445/40))</f>
        <v>190</v>
      </c>
      <c r="T445">
        <f>TRUNC(VLOOKUP(P445,'Color codes'!$A:$E,4,FALSE)*(0.25 + 0.75*Q445/40))</f>
        <v>80</v>
      </c>
      <c r="U445">
        <f>TRUNC(VLOOKUP(P445,'Color codes'!$A:$E,5,FALSE)*(0.25 + 0.75*Q445/40))</f>
        <v>77</v>
      </c>
      <c r="V445" t="b">
        <f t="shared" si="32"/>
        <v>1</v>
      </c>
    </row>
    <row r="446" spans="1:22" x14ac:dyDescent="0.25">
      <c r="A446" t="s">
        <v>21</v>
      </c>
      <c r="B446" t="s">
        <v>16</v>
      </c>
      <c r="C446">
        <v>31</v>
      </c>
      <c r="D446">
        <v>100</v>
      </c>
      <c r="E446">
        <v>3200</v>
      </c>
      <c r="F446" t="str">
        <f t="shared" si="30"/>
        <v>castle256_blurkernel8_31_100_3200</v>
      </c>
      <c r="G446">
        <f>IFERROR(VLOOKUP(F446,SROU03!$F:$H,2,FALSE),0)</f>
        <v>13.305266</v>
      </c>
      <c r="H446">
        <f>IFERROR(VLOOKUP(F446,SROU03!$F:$H,3,FALSE),0)</f>
        <v>39.071821999999997</v>
      </c>
      <c r="I446">
        <v>3.3409100000000001E-4</v>
      </c>
      <c r="J446">
        <v>8.7199999999999995E-6</v>
      </c>
      <c r="K446">
        <v>20.173300000000001</v>
      </c>
      <c r="L446">
        <v>6.6200999999999999</v>
      </c>
      <c r="M446">
        <f>IFERROR(VLOOKUP(F446,TICO09!$F:$O,8,FALSE),0)</f>
        <v>18.950099999999999</v>
      </c>
      <c r="N446">
        <f>IFERROR(VLOOKUP(F446,SROU03!$F:$O,9,FALSE),0)</f>
        <v>22.279599999999999</v>
      </c>
      <c r="O446">
        <v>24.052</v>
      </c>
      <c r="P446" t="str">
        <f t="shared" si="31"/>
        <v>BM3D</v>
      </c>
      <c r="Q446">
        <f t="shared" si="29"/>
        <v>24.052</v>
      </c>
      <c r="R446">
        <f>VLOOKUP(P446,'Color codes'!$A:$B,2,FALSE)</f>
        <v>1</v>
      </c>
      <c r="S446">
        <f>TRUNC(VLOOKUP(P446,'Color codes'!$A:$E,3,FALSE)*(0.25 + 0.75*Q446/40))</f>
        <v>178</v>
      </c>
      <c r="T446">
        <f>TRUNC(VLOOKUP(P446,'Color codes'!$A:$E,4,FALSE)*(0.25 + 0.75*Q446/40))</f>
        <v>75</v>
      </c>
      <c r="U446">
        <f>TRUNC(VLOOKUP(P446,'Color codes'!$A:$E,5,FALSE)*(0.25 + 0.75*Q446/40))</f>
        <v>72</v>
      </c>
      <c r="V446" t="b">
        <f t="shared" si="32"/>
        <v>1</v>
      </c>
    </row>
    <row r="447" spans="1:22" x14ac:dyDescent="0.25">
      <c r="A447" t="s">
        <v>21</v>
      </c>
      <c r="B447" t="s">
        <v>16</v>
      </c>
      <c r="C447">
        <v>31</v>
      </c>
      <c r="D447">
        <v>100</v>
      </c>
      <c r="E447">
        <v>6400</v>
      </c>
      <c r="F447" t="str">
        <f t="shared" si="30"/>
        <v>castle256_blurkernel8_31_100_6400</v>
      </c>
      <c r="G447">
        <f>IFERROR(VLOOKUP(F447,SROU03!$F:$H,2,FALSE),0)</f>
        <v>10.259353000000001</v>
      </c>
      <c r="H447">
        <f>IFERROR(VLOOKUP(F447,SROU03!$F:$H,3,FALSE),0)</f>
        <v>38.786524999999997</v>
      </c>
      <c r="I447">
        <v>6.9055699999999995E-4</v>
      </c>
      <c r="J447">
        <v>8.7199999999999995E-6</v>
      </c>
      <c r="K447">
        <v>17.0718</v>
      </c>
      <c r="L447">
        <v>6.6200999999999999</v>
      </c>
      <c r="M447">
        <f>IFERROR(VLOOKUP(F447,TICO09!$F:$O,8,FALSE),0)</f>
        <v>18.049499999999998</v>
      </c>
      <c r="N447">
        <f>IFERROR(VLOOKUP(F447,SROU03!$F:$O,9,FALSE),0)</f>
        <v>20.245699999999999</v>
      </c>
      <c r="O447">
        <v>21.554300000000001</v>
      </c>
      <c r="P447" t="str">
        <f t="shared" si="31"/>
        <v>BM3D</v>
      </c>
      <c r="Q447">
        <f t="shared" si="29"/>
        <v>21.554300000000001</v>
      </c>
      <c r="R447">
        <f>VLOOKUP(P447,'Color codes'!$A:$B,2,FALSE)</f>
        <v>1</v>
      </c>
      <c r="S447">
        <f>TRUNC(VLOOKUP(P447,'Color codes'!$A:$E,3,FALSE)*(0.25 + 0.75*Q447/40))</f>
        <v>166</v>
      </c>
      <c r="T447">
        <f>TRUNC(VLOOKUP(P447,'Color codes'!$A:$E,4,FALSE)*(0.25 + 0.75*Q447/40))</f>
        <v>69</v>
      </c>
      <c r="U447">
        <f>TRUNC(VLOOKUP(P447,'Color codes'!$A:$E,5,FALSE)*(0.25 + 0.75*Q447/40))</f>
        <v>68</v>
      </c>
      <c r="V447" t="b">
        <f t="shared" si="32"/>
        <v>1</v>
      </c>
    </row>
    <row r="448" spans="1:22" x14ac:dyDescent="0.25">
      <c r="A448" t="s">
        <v>21</v>
      </c>
      <c r="B448" t="s">
        <v>16</v>
      </c>
      <c r="C448">
        <v>31</v>
      </c>
      <c r="D448">
        <v>100</v>
      </c>
      <c r="E448">
        <v>12800</v>
      </c>
      <c r="F448" t="str">
        <f t="shared" si="30"/>
        <v>castle256_blurkernel8_31_100_12800</v>
      </c>
      <c r="G448">
        <f>IFERROR(VLOOKUP(F448,SROU03!$F:$H,2,FALSE),0)</f>
        <v>8.1533239999999996</v>
      </c>
      <c r="H448">
        <f>IFERROR(VLOOKUP(F448,SROU03!$F:$H,3,FALSE),0)</f>
        <v>38.719757999999999</v>
      </c>
      <c r="I448">
        <v>1.4593760000000001E-3</v>
      </c>
      <c r="J448">
        <v>8.7199999999999995E-6</v>
      </c>
      <c r="K448">
        <v>13.8956</v>
      </c>
      <c r="L448">
        <v>6.6200999999999999</v>
      </c>
      <c r="M448">
        <f>IFERROR(VLOOKUP(F448,TICO09!$F:$O,8,FALSE),0)</f>
        <v>16.894200000000001</v>
      </c>
      <c r="N448">
        <f>IFERROR(VLOOKUP(F448,SROU03!$F:$O,9,FALSE),0)</f>
        <v>18.6236</v>
      </c>
      <c r="O448">
        <v>19.024899999999999</v>
      </c>
      <c r="P448" t="str">
        <f t="shared" si="31"/>
        <v>BM3D</v>
      </c>
      <c r="Q448">
        <f t="shared" si="29"/>
        <v>19.024899999999999</v>
      </c>
      <c r="R448">
        <f>VLOOKUP(P448,'Color codes'!$A:$B,2,FALSE)</f>
        <v>1</v>
      </c>
      <c r="S448">
        <f>TRUNC(VLOOKUP(P448,'Color codes'!$A:$E,3,FALSE)*(0.25 + 0.75*Q448/40))</f>
        <v>154</v>
      </c>
      <c r="T448">
        <f>TRUNC(VLOOKUP(P448,'Color codes'!$A:$E,4,FALSE)*(0.25 + 0.75*Q448/40))</f>
        <v>64</v>
      </c>
      <c r="U448">
        <f>TRUNC(VLOOKUP(P448,'Color codes'!$A:$E,5,FALSE)*(0.25 + 0.75*Q448/40))</f>
        <v>63</v>
      </c>
      <c r="V448" t="b">
        <f t="shared" si="32"/>
        <v>0</v>
      </c>
    </row>
    <row r="449" spans="1:22" x14ac:dyDescent="0.25">
      <c r="A449" t="s">
        <v>21</v>
      </c>
      <c r="B449" t="s">
        <v>16</v>
      </c>
      <c r="C449">
        <v>31</v>
      </c>
      <c r="D449">
        <v>100</v>
      </c>
      <c r="E449">
        <v>25600</v>
      </c>
      <c r="F449" t="str">
        <f t="shared" si="30"/>
        <v>castle256_blurkernel8_31_100_25600</v>
      </c>
      <c r="G449">
        <f>IFERROR(VLOOKUP(F449,SROU03!$F:$H,2,FALSE),0)</f>
        <v>6.6587519999999998</v>
      </c>
      <c r="H449">
        <f>IFERROR(VLOOKUP(F449,SROU03!$F:$H,3,FALSE),0)</f>
        <v>38.645460999999997</v>
      </c>
      <c r="I449">
        <v>3.2120540000000002E-3</v>
      </c>
      <c r="J449">
        <v>8.7199999999999995E-6</v>
      </c>
      <c r="K449">
        <v>10.6546</v>
      </c>
      <c r="L449">
        <v>6.6200999999999999</v>
      </c>
      <c r="M449">
        <f>IFERROR(VLOOKUP(F449,TICO09!$F:$O,8,FALSE),0)</f>
        <v>15.334199999999999</v>
      </c>
      <c r="N449">
        <f>IFERROR(VLOOKUP(F449,SROU03!$F:$O,9,FALSE),0)</f>
        <v>16.902699999999999</v>
      </c>
      <c r="O449">
        <v>16.744700000000002</v>
      </c>
      <c r="P449" t="str">
        <f t="shared" si="31"/>
        <v>SROU03</v>
      </c>
      <c r="Q449">
        <f t="shared" si="29"/>
        <v>16.902699999999999</v>
      </c>
      <c r="R449">
        <f>VLOOKUP(P449,'Color codes'!$A:$B,2,FALSE)</f>
        <v>3</v>
      </c>
      <c r="S449">
        <f>TRUNC(VLOOKUP(P449,'Color codes'!$A:$E,3,FALSE)*(0.25 + 0.75*Q449/40))</f>
        <v>60</v>
      </c>
      <c r="T449">
        <f>TRUNC(VLOOKUP(P449,'Color codes'!$A:$E,4,FALSE)*(0.25 + 0.75*Q449/40))</f>
        <v>99</v>
      </c>
      <c r="U449">
        <f>TRUNC(VLOOKUP(P449,'Color codes'!$A:$E,5,FALSE)*(0.25 + 0.75*Q449/40))</f>
        <v>144</v>
      </c>
      <c r="V449" t="b">
        <f t="shared" si="32"/>
        <v>0</v>
      </c>
    </row>
    <row r="450" spans="1:22" x14ac:dyDescent="0.25">
      <c r="A450" t="s">
        <v>21</v>
      </c>
      <c r="B450" t="s">
        <v>17</v>
      </c>
      <c r="C450">
        <v>3</v>
      </c>
      <c r="D450">
        <v>100</v>
      </c>
      <c r="E450">
        <v>200</v>
      </c>
      <c r="F450" t="str">
        <f t="shared" si="30"/>
        <v>castle256_line_3_100_200</v>
      </c>
      <c r="G450">
        <f>IFERROR(VLOOKUP(F450,SROU03!$F:$H,2,FALSE),0)</f>
        <v>64.280952999999997</v>
      </c>
      <c r="H450">
        <f>IFERROR(VLOOKUP(F450,SROU03!$F:$H,3,FALSE),0)</f>
        <v>3.4967570000000001</v>
      </c>
      <c r="I450">
        <v>1.8943000000000001E-5</v>
      </c>
      <c r="J450">
        <v>8.6440000000000006E-6</v>
      </c>
      <c r="K450">
        <v>32.600700000000003</v>
      </c>
      <c r="L450">
        <v>13.130699999999999</v>
      </c>
      <c r="M450">
        <f>IFERROR(VLOOKUP(F450,TICO09!$F:$O,8,FALSE),0)</f>
        <v>19.353999999999999</v>
      </c>
      <c r="N450">
        <f>IFERROR(VLOOKUP(F450,SROU03!$F:$O,9,FALSE),0)</f>
        <v>33.8035</v>
      </c>
      <c r="O450">
        <v>34.525599999999997</v>
      </c>
      <c r="P450" t="str">
        <f t="shared" si="31"/>
        <v>BM3D</v>
      </c>
      <c r="Q450">
        <f t="shared" si="29"/>
        <v>34.525599999999997</v>
      </c>
      <c r="R450">
        <f>VLOOKUP(P450,'Color codes'!$A:$B,2,FALSE)</f>
        <v>1</v>
      </c>
      <c r="S450">
        <f>TRUNC(VLOOKUP(P450,'Color codes'!$A:$E,3,FALSE)*(0.25 + 0.75*Q450/40))</f>
        <v>228</v>
      </c>
      <c r="T450">
        <f>TRUNC(VLOOKUP(P450,'Color codes'!$A:$E,4,FALSE)*(0.25 + 0.75*Q450/40))</f>
        <v>96</v>
      </c>
      <c r="U450">
        <f>TRUNC(VLOOKUP(P450,'Color codes'!$A:$E,5,FALSE)*(0.25 + 0.75*Q450/40))</f>
        <v>93</v>
      </c>
      <c r="V450" t="b">
        <f t="shared" si="32"/>
        <v>0</v>
      </c>
    </row>
    <row r="451" spans="1:22" x14ac:dyDescent="0.25">
      <c r="A451" t="s">
        <v>21</v>
      </c>
      <c r="B451" t="s">
        <v>17</v>
      </c>
      <c r="C451">
        <v>3</v>
      </c>
      <c r="D451">
        <v>100</v>
      </c>
      <c r="E451">
        <v>400</v>
      </c>
      <c r="F451" t="str">
        <f t="shared" si="30"/>
        <v>castle256_line_3_100_400</v>
      </c>
      <c r="G451">
        <f>IFERROR(VLOOKUP(F451,SROU03!$F:$H,2,FALSE),0)</f>
        <v>53.067234999999997</v>
      </c>
      <c r="H451">
        <f>IFERROR(VLOOKUP(F451,SROU03!$F:$H,3,FALSE),0)</f>
        <v>3.2185389999999998</v>
      </c>
      <c r="I451">
        <v>3.9650000000000002E-5</v>
      </c>
      <c r="J451">
        <v>8.6440000000000006E-6</v>
      </c>
      <c r="K451">
        <v>29.393899999999999</v>
      </c>
      <c r="L451">
        <v>13.130699999999999</v>
      </c>
      <c r="M451">
        <f>IFERROR(VLOOKUP(F451,TICO09!$F:$O,8,FALSE),0)</f>
        <v>19.2624</v>
      </c>
      <c r="N451">
        <f>IFERROR(VLOOKUP(F451,SROU03!$F:$O,9,FALSE),0)</f>
        <v>31.4359</v>
      </c>
      <c r="O451">
        <v>31.846800000000002</v>
      </c>
      <c r="P451" t="str">
        <f t="shared" si="31"/>
        <v>BM3D</v>
      </c>
      <c r="Q451">
        <f t="shared" ref="Q451:Q514" si="33">MAX(M451:O451)</f>
        <v>31.846800000000002</v>
      </c>
      <c r="R451">
        <f>VLOOKUP(P451,'Color codes'!$A:$B,2,FALSE)</f>
        <v>1</v>
      </c>
      <c r="S451">
        <f>TRUNC(VLOOKUP(P451,'Color codes'!$A:$E,3,FALSE)*(0.25 + 0.75*Q451/40))</f>
        <v>216</v>
      </c>
      <c r="T451">
        <f>TRUNC(VLOOKUP(P451,'Color codes'!$A:$E,4,FALSE)*(0.25 + 0.75*Q451/40))</f>
        <v>90</v>
      </c>
      <c r="U451">
        <f>TRUNC(VLOOKUP(P451,'Color codes'!$A:$E,5,FALSE)*(0.25 + 0.75*Q451/40))</f>
        <v>88</v>
      </c>
      <c r="V451" t="b">
        <f t="shared" si="32"/>
        <v>0</v>
      </c>
    </row>
    <row r="452" spans="1:22" x14ac:dyDescent="0.25">
      <c r="A452" t="s">
        <v>21</v>
      </c>
      <c r="B452" t="s">
        <v>17</v>
      </c>
      <c r="C452">
        <v>3</v>
      </c>
      <c r="D452">
        <v>100</v>
      </c>
      <c r="E452">
        <v>800</v>
      </c>
      <c r="F452" t="str">
        <f t="shared" si="30"/>
        <v>castle256_line_3_100_800</v>
      </c>
      <c r="G452">
        <f>IFERROR(VLOOKUP(F452,SROU03!$F:$H,2,FALSE),0)</f>
        <v>46.249951000000003</v>
      </c>
      <c r="H452">
        <f>IFERROR(VLOOKUP(F452,SROU03!$F:$H,3,FALSE),0)</f>
        <v>3.1099009999999998</v>
      </c>
      <c r="I452">
        <v>8.2233999999999999E-5</v>
      </c>
      <c r="J452">
        <v>8.6440000000000006E-6</v>
      </c>
      <c r="K452">
        <v>26.229800000000001</v>
      </c>
      <c r="L452">
        <v>13.130699999999999</v>
      </c>
      <c r="M452">
        <f>IFERROR(VLOOKUP(F452,TICO09!$F:$O,8,FALSE),0)</f>
        <v>19.1129</v>
      </c>
      <c r="N452">
        <f>IFERROR(VLOOKUP(F452,SROU03!$F:$O,9,FALSE),0)</f>
        <v>29.321899999999999</v>
      </c>
      <c r="O452">
        <v>29.172699999999999</v>
      </c>
      <c r="P452" t="str">
        <f t="shared" si="31"/>
        <v>SROU03</v>
      </c>
      <c r="Q452">
        <f t="shared" si="33"/>
        <v>29.321899999999999</v>
      </c>
      <c r="R452">
        <f>VLOOKUP(P452,'Color codes'!$A:$B,2,FALSE)</f>
        <v>3</v>
      </c>
      <c r="S452">
        <f>TRUNC(VLOOKUP(P452,'Color codes'!$A:$E,3,FALSE)*(0.25 + 0.75*Q452/40))</f>
        <v>85</v>
      </c>
      <c r="T452">
        <f>TRUNC(VLOOKUP(P452,'Color codes'!$A:$E,4,FALSE)*(0.25 + 0.75*Q452/40))</f>
        <v>140</v>
      </c>
      <c r="U452">
        <f>TRUNC(VLOOKUP(P452,'Color codes'!$A:$E,5,FALSE)*(0.25 + 0.75*Q452/40))</f>
        <v>203</v>
      </c>
      <c r="V452" t="b">
        <f t="shared" si="32"/>
        <v>0</v>
      </c>
    </row>
    <row r="453" spans="1:22" x14ac:dyDescent="0.25">
      <c r="A453" t="s">
        <v>21</v>
      </c>
      <c r="B453" t="s">
        <v>17</v>
      </c>
      <c r="C453">
        <v>3</v>
      </c>
      <c r="D453">
        <v>100</v>
      </c>
      <c r="E453">
        <v>1600</v>
      </c>
      <c r="F453" t="str">
        <f t="shared" si="30"/>
        <v>castle256_line_3_100_1600</v>
      </c>
      <c r="G453">
        <f>IFERROR(VLOOKUP(F453,SROU03!$F:$H,2,FALSE),0)</f>
        <v>40.993192000000001</v>
      </c>
      <c r="H453">
        <f>IFERROR(VLOOKUP(F453,SROU03!$F:$H,3,FALSE),0)</f>
        <v>3.1051440000000001</v>
      </c>
      <c r="I453">
        <v>1.6649899999999999E-4</v>
      </c>
      <c r="J453">
        <v>8.6440000000000006E-6</v>
      </c>
      <c r="K453">
        <v>23.178599999999999</v>
      </c>
      <c r="L453">
        <v>13.130699999999999</v>
      </c>
      <c r="M453">
        <f>IFERROR(VLOOKUP(F453,TICO09!$F:$O,8,FALSE),0)</f>
        <v>18.9129</v>
      </c>
      <c r="N453">
        <f>IFERROR(VLOOKUP(F453,SROU03!$F:$O,9,FALSE),0)</f>
        <v>27.374600000000001</v>
      </c>
      <c r="O453">
        <v>26.6037</v>
      </c>
      <c r="P453" t="str">
        <f t="shared" si="31"/>
        <v>SROU03</v>
      </c>
      <c r="Q453">
        <f t="shared" si="33"/>
        <v>27.374600000000001</v>
      </c>
      <c r="R453">
        <f>VLOOKUP(P453,'Color codes'!$A:$B,2,FALSE)</f>
        <v>3</v>
      </c>
      <c r="S453">
        <f>TRUNC(VLOOKUP(P453,'Color codes'!$A:$E,3,FALSE)*(0.25 + 0.75*Q453/40))</f>
        <v>81</v>
      </c>
      <c r="T453">
        <f>TRUNC(VLOOKUP(P453,'Color codes'!$A:$E,4,FALSE)*(0.25 + 0.75*Q453/40))</f>
        <v>134</v>
      </c>
      <c r="U453">
        <f>TRUNC(VLOOKUP(P453,'Color codes'!$A:$E,5,FALSE)*(0.25 + 0.75*Q453/40))</f>
        <v>194</v>
      </c>
      <c r="V453" t="b">
        <f t="shared" si="32"/>
        <v>0</v>
      </c>
    </row>
    <row r="454" spans="1:22" x14ac:dyDescent="0.25">
      <c r="A454" t="s">
        <v>21</v>
      </c>
      <c r="B454" t="s">
        <v>17</v>
      </c>
      <c r="C454">
        <v>3</v>
      </c>
      <c r="D454">
        <v>100</v>
      </c>
      <c r="E454">
        <v>3200</v>
      </c>
      <c r="F454" t="str">
        <f t="shared" si="30"/>
        <v>castle256_line_3_100_3200</v>
      </c>
      <c r="G454">
        <f>IFERROR(VLOOKUP(F454,SROU03!$F:$H,2,FALSE),0)</f>
        <v>36.615577000000002</v>
      </c>
      <c r="H454">
        <f>IFERROR(VLOOKUP(F454,SROU03!$F:$H,3,FALSE),0)</f>
        <v>3.1573530000000001</v>
      </c>
      <c r="I454">
        <v>3.3738099999999999E-4</v>
      </c>
      <c r="J454">
        <v>8.6440000000000006E-6</v>
      </c>
      <c r="K454">
        <v>20.135899999999999</v>
      </c>
      <c r="L454">
        <v>13.130699999999999</v>
      </c>
      <c r="M454">
        <f>IFERROR(VLOOKUP(F454,TICO09!$F:$O,8,FALSE),0)</f>
        <v>18.522600000000001</v>
      </c>
      <c r="N454">
        <f>IFERROR(VLOOKUP(F454,SROU03!$F:$O,9,FALSE),0)</f>
        <v>25.605599999999999</v>
      </c>
      <c r="O454">
        <v>23.9816</v>
      </c>
      <c r="P454" t="str">
        <f t="shared" si="31"/>
        <v>SROU03</v>
      </c>
      <c r="Q454">
        <f t="shared" si="33"/>
        <v>25.605599999999999</v>
      </c>
      <c r="R454">
        <f>VLOOKUP(P454,'Color codes'!$A:$B,2,FALSE)</f>
        <v>3</v>
      </c>
      <c r="S454">
        <f>TRUNC(VLOOKUP(P454,'Color codes'!$A:$E,3,FALSE)*(0.25 + 0.75*Q454/40))</f>
        <v>78</v>
      </c>
      <c r="T454">
        <f>TRUNC(VLOOKUP(P454,'Color codes'!$A:$E,4,FALSE)*(0.25 + 0.75*Q454/40))</f>
        <v>128</v>
      </c>
      <c r="U454">
        <f>TRUNC(VLOOKUP(P454,'Color codes'!$A:$E,5,FALSE)*(0.25 + 0.75*Q454/40))</f>
        <v>186</v>
      </c>
      <c r="V454" t="b">
        <f t="shared" si="32"/>
        <v>1</v>
      </c>
    </row>
    <row r="455" spans="1:22" x14ac:dyDescent="0.25">
      <c r="A455" t="s">
        <v>21</v>
      </c>
      <c r="B455" t="s">
        <v>17</v>
      </c>
      <c r="C455">
        <v>3</v>
      </c>
      <c r="D455">
        <v>100</v>
      </c>
      <c r="E455">
        <v>6400</v>
      </c>
      <c r="F455" t="str">
        <f t="shared" si="30"/>
        <v>castle256_line_3_100_6400</v>
      </c>
      <c r="G455">
        <f>IFERROR(VLOOKUP(F455,SROU03!$F:$H,2,FALSE),0)</f>
        <v>32.676551000000003</v>
      </c>
      <c r="H455">
        <f>IFERROR(VLOOKUP(F455,SROU03!$F:$H,3,FALSE),0)</f>
        <v>3.2371889999999999</v>
      </c>
      <c r="I455">
        <v>6.9166699999999998E-4</v>
      </c>
      <c r="J455">
        <v>8.6440000000000006E-6</v>
      </c>
      <c r="K455">
        <v>17.058700000000002</v>
      </c>
      <c r="L455">
        <v>13.130699999999999</v>
      </c>
      <c r="M455">
        <f>IFERROR(VLOOKUP(F455,TICO09!$F:$O,8,FALSE),0)</f>
        <v>17.968599999999999</v>
      </c>
      <c r="N455">
        <f>IFERROR(VLOOKUP(F455,SROU03!$F:$O,9,FALSE),0)</f>
        <v>23.970099999999999</v>
      </c>
      <c r="O455">
        <v>21.465399999999999</v>
      </c>
      <c r="P455" t="str">
        <f t="shared" si="31"/>
        <v>SROU03</v>
      </c>
      <c r="Q455">
        <f t="shared" si="33"/>
        <v>23.970099999999999</v>
      </c>
      <c r="R455">
        <f>VLOOKUP(P455,'Color codes'!$A:$B,2,FALSE)</f>
        <v>3</v>
      </c>
      <c r="S455">
        <f>TRUNC(VLOOKUP(P455,'Color codes'!$A:$E,3,FALSE)*(0.25 + 0.75*Q455/40))</f>
        <v>74</v>
      </c>
      <c r="T455">
        <f>TRUNC(VLOOKUP(P455,'Color codes'!$A:$E,4,FALSE)*(0.25 + 0.75*Q455/40))</f>
        <v>123</v>
      </c>
      <c r="U455">
        <f>TRUNC(VLOOKUP(P455,'Color codes'!$A:$E,5,FALSE)*(0.25 + 0.75*Q455/40))</f>
        <v>178</v>
      </c>
      <c r="V455" t="b">
        <f t="shared" si="32"/>
        <v>1</v>
      </c>
    </row>
    <row r="456" spans="1:22" x14ac:dyDescent="0.25">
      <c r="A456" t="s">
        <v>21</v>
      </c>
      <c r="B456" t="s">
        <v>17</v>
      </c>
      <c r="C456">
        <v>3</v>
      </c>
      <c r="D456">
        <v>100</v>
      </c>
      <c r="E456">
        <v>12800</v>
      </c>
      <c r="F456" t="str">
        <f t="shared" si="30"/>
        <v>castle256_line_3_100_12800</v>
      </c>
      <c r="G456">
        <f>IFERROR(VLOOKUP(F456,SROU03!$F:$H,2,FALSE),0)</f>
        <v>29.005210999999999</v>
      </c>
      <c r="H456">
        <f>IFERROR(VLOOKUP(F456,SROU03!$F:$H,3,FALSE),0)</f>
        <v>3.3264070000000001</v>
      </c>
      <c r="I456">
        <v>1.4548339999999999E-3</v>
      </c>
      <c r="J456">
        <v>8.6440000000000006E-6</v>
      </c>
      <c r="K456">
        <v>13.9031</v>
      </c>
      <c r="L456">
        <v>13.130699999999999</v>
      </c>
      <c r="M456">
        <f>IFERROR(VLOOKUP(F456,TICO09!$F:$O,8,FALSE),0)</f>
        <v>17.199300000000001</v>
      </c>
      <c r="N456">
        <f>IFERROR(VLOOKUP(F456,SROU03!$F:$O,9,FALSE),0)</f>
        <v>23.535399999999999</v>
      </c>
      <c r="O456">
        <v>18.9803</v>
      </c>
      <c r="P456" t="str">
        <f t="shared" si="31"/>
        <v>SROU03</v>
      </c>
      <c r="Q456">
        <f t="shared" si="33"/>
        <v>23.535399999999999</v>
      </c>
      <c r="R456">
        <f>VLOOKUP(P456,'Color codes'!$A:$B,2,FALSE)</f>
        <v>3</v>
      </c>
      <c r="S456">
        <f>TRUNC(VLOOKUP(P456,'Color codes'!$A:$E,3,FALSE)*(0.25 + 0.75*Q456/40))</f>
        <v>73</v>
      </c>
      <c r="T456">
        <f>TRUNC(VLOOKUP(P456,'Color codes'!$A:$E,4,FALSE)*(0.25 + 0.75*Q456/40))</f>
        <v>121</v>
      </c>
      <c r="U456">
        <f>TRUNC(VLOOKUP(P456,'Color codes'!$A:$E,5,FALSE)*(0.25 + 0.75*Q456/40))</f>
        <v>176</v>
      </c>
      <c r="V456" t="b">
        <f t="shared" si="32"/>
        <v>1</v>
      </c>
    </row>
    <row r="457" spans="1:22" x14ac:dyDescent="0.25">
      <c r="A457" t="s">
        <v>21</v>
      </c>
      <c r="B457" t="s">
        <v>17</v>
      </c>
      <c r="C457">
        <v>3</v>
      </c>
      <c r="D457">
        <v>100</v>
      </c>
      <c r="E457">
        <v>25600</v>
      </c>
      <c r="F457" t="str">
        <f t="shared" si="30"/>
        <v>castle256_line_3_100_25600</v>
      </c>
      <c r="G457">
        <f>IFERROR(VLOOKUP(F457,SROU03!$F:$H,2,FALSE),0)</f>
        <v>26.218024</v>
      </c>
      <c r="H457">
        <f>IFERROR(VLOOKUP(F457,SROU03!$F:$H,3,FALSE),0)</f>
        <v>3.3953570000000002</v>
      </c>
      <c r="I457">
        <v>3.1953609999999999E-3</v>
      </c>
      <c r="J457">
        <v>8.6440000000000006E-6</v>
      </c>
      <c r="K457">
        <v>10.6617</v>
      </c>
      <c r="L457">
        <v>13.130699999999999</v>
      </c>
      <c r="M457">
        <f>IFERROR(VLOOKUP(F457,TICO09!$F:$O,8,FALSE),0)</f>
        <v>16.060300000000002</v>
      </c>
      <c r="N457">
        <f>IFERROR(VLOOKUP(F457,SROU03!$F:$O,9,FALSE),0)</f>
        <v>22.5365</v>
      </c>
      <c r="O457">
        <v>16.7394</v>
      </c>
      <c r="P457" t="str">
        <f t="shared" si="31"/>
        <v>SROU03</v>
      </c>
      <c r="Q457">
        <f t="shared" si="33"/>
        <v>22.5365</v>
      </c>
      <c r="R457">
        <f>VLOOKUP(P457,'Color codes'!$A:$B,2,FALSE)</f>
        <v>3</v>
      </c>
      <c r="S457">
        <f>TRUNC(VLOOKUP(P457,'Color codes'!$A:$E,3,FALSE)*(0.25 + 0.75*Q457/40))</f>
        <v>71</v>
      </c>
      <c r="T457">
        <f>TRUNC(VLOOKUP(P457,'Color codes'!$A:$E,4,FALSE)*(0.25 + 0.75*Q457/40))</f>
        <v>118</v>
      </c>
      <c r="U457">
        <f>TRUNC(VLOOKUP(P457,'Color codes'!$A:$E,5,FALSE)*(0.25 + 0.75*Q457/40))</f>
        <v>171</v>
      </c>
      <c r="V457" t="b">
        <f t="shared" si="32"/>
        <v>1</v>
      </c>
    </row>
    <row r="458" spans="1:22" x14ac:dyDescent="0.25">
      <c r="A458" t="s">
        <v>21</v>
      </c>
      <c r="B458" t="s">
        <v>17</v>
      </c>
      <c r="C458">
        <v>7</v>
      </c>
      <c r="D458">
        <v>100</v>
      </c>
      <c r="E458">
        <v>200</v>
      </c>
      <c r="F458" t="str">
        <f t="shared" si="30"/>
        <v>castle256_line_7_100_200</v>
      </c>
      <c r="G458">
        <f>IFERROR(VLOOKUP(F458,SROU03!$F:$H,2,FALSE),0)</f>
        <v>56.374496999999998</v>
      </c>
      <c r="H458">
        <f>IFERROR(VLOOKUP(F458,SROU03!$F:$H,3,FALSE),0)</f>
        <v>9.425179</v>
      </c>
      <c r="I458">
        <v>1.9072999999999998E-5</v>
      </c>
      <c r="J458">
        <v>8.6330000000000002E-6</v>
      </c>
      <c r="K458">
        <v>32.571199999999997</v>
      </c>
      <c r="L458">
        <v>9.6591000000000005</v>
      </c>
      <c r="M458">
        <f>IFERROR(VLOOKUP(F458,TICO09!$F:$O,8,FALSE),0)</f>
        <v>19.933199999999999</v>
      </c>
      <c r="N458">
        <f>IFERROR(VLOOKUP(F458,SROU03!$F:$O,9,FALSE),0)</f>
        <v>33.045900000000003</v>
      </c>
      <c r="O458">
        <v>34.463799999999999</v>
      </c>
      <c r="P458" t="str">
        <f t="shared" si="31"/>
        <v>BM3D</v>
      </c>
      <c r="Q458">
        <f t="shared" si="33"/>
        <v>34.463799999999999</v>
      </c>
      <c r="R458">
        <f>VLOOKUP(P458,'Color codes'!$A:$B,2,FALSE)</f>
        <v>1</v>
      </c>
      <c r="S458">
        <f>TRUNC(VLOOKUP(P458,'Color codes'!$A:$E,3,FALSE)*(0.25 + 0.75*Q458/40))</f>
        <v>228</v>
      </c>
      <c r="T458">
        <f>TRUNC(VLOOKUP(P458,'Color codes'!$A:$E,4,FALSE)*(0.25 + 0.75*Q458/40))</f>
        <v>95</v>
      </c>
      <c r="U458">
        <f>TRUNC(VLOOKUP(P458,'Color codes'!$A:$E,5,FALSE)*(0.25 + 0.75*Q458/40))</f>
        <v>93</v>
      </c>
      <c r="V458" t="b">
        <f t="shared" si="32"/>
        <v>1</v>
      </c>
    </row>
    <row r="459" spans="1:22" x14ac:dyDescent="0.25">
      <c r="A459" t="s">
        <v>21</v>
      </c>
      <c r="B459" t="s">
        <v>17</v>
      </c>
      <c r="C459">
        <v>7</v>
      </c>
      <c r="D459">
        <v>100</v>
      </c>
      <c r="E459">
        <v>400</v>
      </c>
      <c r="F459" t="str">
        <f t="shared" si="30"/>
        <v>castle256_line_7_100_400</v>
      </c>
      <c r="G459">
        <f>IFERROR(VLOOKUP(F459,SROU03!$F:$H,2,FALSE),0)</f>
        <v>43.129447999999996</v>
      </c>
      <c r="H459">
        <f>IFERROR(VLOOKUP(F459,SROU03!$F:$H,3,FALSE),0)</f>
        <v>8.6330039999999997</v>
      </c>
      <c r="I459">
        <v>3.9650000000000002E-5</v>
      </c>
      <c r="J459">
        <v>8.6330000000000002E-6</v>
      </c>
      <c r="K459">
        <v>29.395299999999999</v>
      </c>
      <c r="L459">
        <v>9.6591000000000005</v>
      </c>
      <c r="M459">
        <f>IFERROR(VLOOKUP(F459,TICO09!$F:$O,8,FALSE),0)</f>
        <v>19.790099999999999</v>
      </c>
      <c r="N459">
        <f>IFERROR(VLOOKUP(F459,SROU03!$F:$O,9,FALSE),0)</f>
        <v>30.354099999999999</v>
      </c>
      <c r="O459">
        <v>31.830500000000001</v>
      </c>
      <c r="P459" t="str">
        <f t="shared" si="31"/>
        <v>BM3D</v>
      </c>
      <c r="Q459">
        <f t="shared" si="33"/>
        <v>31.830500000000001</v>
      </c>
      <c r="R459">
        <f>VLOOKUP(P459,'Color codes'!$A:$B,2,FALSE)</f>
        <v>1</v>
      </c>
      <c r="S459">
        <f>TRUNC(VLOOKUP(P459,'Color codes'!$A:$E,3,FALSE)*(0.25 + 0.75*Q459/40))</f>
        <v>215</v>
      </c>
      <c r="T459">
        <f>TRUNC(VLOOKUP(P459,'Color codes'!$A:$E,4,FALSE)*(0.25 + 0.75*Q459/40))</f>
        <v>90</v>
      </c>
      <c r="U459">
        <f>TRUNC(VLOOKUP(P459,'Color codes'!$A:$E,5,FALSE)*(0.25 + 0.75*Q459/40))</f>
        <v>88</v>
      </c>
      <c r="V459" t="b">
        <f t="shared" si="32"/>
        <v>1</v>
      </c>
    </row>
    <row r="460" spans="1:22" x14ac:dyDescent="0.25">
      <c r="A460" t="s">
        <v>21</v>
      </c>
      <c r="B460" t="s">
        <v>17</v>
      </c>
      <c r="C460">
        <v>7</v>
      </c>
      <c r="D460">
        <v>100</v>
      </c>
      <c r="E460">
        <v>800</v>
      </c>
      <c r="F460" t="str">
        <f t="shared" si="30"/>
        <v>castle256_line_7_100_800</v>
      </c>
      <c r="G460">
        <f>IFERROR(VLOOKUP(F460,SROU03!$F:$H,2,FALSE),0)</f>
        <v>34.959902</v>
      </c>
      <c r="H460">
        <f>IFERROR(VLOOKUP(F460,SROU03!$F:$H,3,FALSE),0)</f>
        <v>8.2904590000000002</v>
      </c>
      <c r="I460">
        <v>8.1578999999999999E-5</v>
      </c>
      <c r="J460">
        <v>8.6330000000000002E-6</v>
      </c>
      <c r="K460">
        <v>26.266400000000001</v>
      </c>
      <c r="L460">
        <v>9.6591000000000005</v>
      </c>
      <c r="M460">
        <f>IFERROR(VLOOKUP(F460,TICO09!$F:$O,8,FALSE),0)</f>
        <v>19.694400000000002</v>
      </c>
      <c r="N460">
        <f>IFERROR(VLOOKUP(F460,SROU03!$F:$O,9,FALSE),0)</f>
        <v>27.8794</v>
      </c>
      <c r="O460">
        <v>29.178799999999999</v>
      </c>
      <c r="P460" t="str">
        <f t="shared" si="31"/>
        <v>BM3D</v>
      </c>
      <c r="Q460">
        <f t="shared" si="33"/>
        <v>29.178799999999999</v>
      </c>
      <c r="R460">
        <f>VLOOKUP(P460,'Color codes'!$A:$B,2,FALSE)</f>
        <v>1</v>
      </c>
      <c r="S460">
        <f>TRUNC(VLOOKUP(P460,'Color codes'!$A:$E,3,FALSE)*(0.25 + 0.75*Q460/40))</f>
        <v>203</v>
      </c>
      <c r="T460">
        <f>TRUNC(VLOOKUP(P460,'Color codes'!$A:$E,4,FALSE)*(0.25 + 0.75*Q460/40))</f>
        <v>85</v>
      </c>
      <c r="U460">
        <f>TRUNC(VLOOKUP(P460,'Color codes'!$A:$E,5,FALSE)*(0.25 + 0.75*Q460/40))</f>
        <v>82</v>
      </c>
      <c r="V460" t="b">
        <f t="shared" si="32"/>
        <v>1</v>
      </c>
    </row>
    <row r="461" spans="1:22" x14ac:dyDescent="0.25">
      <c r="A461" t="s">
        <v>21</v>
      </c>
      <c r="B461" t="s">
        <v>17</v>
      </c>
      <c r="C461">
        <v>7</v>
      </c>
      <c r="D461">
        <v>100</v>
      </c>
      <c r="E461">
        <v>1600</v>
      </c>
      <c r="F461" t="str">
        <f t="shared" si="30"/>
        <v>castle256_line_7_100_1600</v>
      </c>
      <c r="G461">
        <f>IFERROR(VLOOKUP(F461,SROU03!$F:$H,2,FALSE),0)</f>
        <v>29.169241</v>
      </c>
      <c r="H461">
        <f>IFERROR(VLOOKUP(F461,SROU03!$F:$H,3,FALSE),0)</f>
        <v>8.1831189999999996</v>
      </c>
      <c r="I461">
        <v>1.6563E-4</v>
      </c>
      <c r="J461">
        <v>8.6330000000000002E-6</v>
      </c>
      <c r="K461">
        <v>23.200900000000001</v>
      </c>
      <c r="L461">
        <v>9.6591000000000005</v>
      </c>
      <c r="M461">
        <f>IFERROR(VLOOKUP(F461,TICO09!$F:$O,8,FALSE),0)</f>
        <v>19.276499999999999</v>
      </c>
      <c r="N461">
        <f>IFERROR(VLOOKUP(F461,SROU03!$F:$O,9,FALSE),0)</f>
        <v>25.4969</v>
      </c>
      <c r="O461">
        <v>26.662600000000001</v>
      </c>
      <c r="P461" t="str">
        <f t="shared" si="31"/>
        <v>BM3D</v>
      </c>
      <c r="Q461">
        <f t="shared" si="33"/>
        <v>26.662600000000001</v>
      </c>
      <c r="R461">
        <f>VLOOKUP(P461,'Color codes'!$A:$B,2,FALSE)</f>
        <v>1</v>
      </c>
      <c r="S461">
        <f>TRUNC(VLOOKUP(P461,'Color codes'!$A:$E,3,FALSE)*(0.25 + 0.75*Q461/40))</f>
        <v>191</v>
      </c>
      <c r="T461">
        <f>TRUNC(VLOOKUP(P461,'Color codes'!$A:$E,4,FALSE)*(0.25 + 0.75*Q461/40))</f>
        <v>80</v>
      </c>
      <c r="U461">
        <f>TRUNC(VLOOKUP(P461,'Color codes'!$A:$E,5,FALSE)*(0.25 + 0.75*Q461/40))</f>
        <v>77</v>
      </c>
      <c r="V461" t="b">
        <f t="shared" si="32"/>
        <v>1</v>
      </c>
    </row>
    <row r="462" spans="1:22" x14ac:dyDescent="0.25">
      <c r="A462" t="s">
        <v>21</v>
      </c>
      <c r="B462" t="s">
        <v>17</v>
      </c>
      <c r="C462">
        <v>7</v>
      </c>
      <c r="D462">
        <v>100</v>
      </c>
      <c r="E462">
        <v>3200</v>
      </c>
      <c r="F462" t="str">
        <f t="shared" si="30"/>
        <v>castle256_line_7_100_3200</v>
      </c>
      <c r="G462">
        <f>IFERROR(VLOOKUP(F462,SROU03!$F:$H,2,FALSE),0)</f>
        <v>24.787051000000002</v>
      </c>
      <c r="H462">
        <f>IFERROR(VLOOKUP(F462,SROU03!$F:$H,3,FALSE),0)</f>
        <v>8.2148520000000005</v>
      </c>
      <c r="I462">
        <v>3.3704399999999999E-4</v>
      </c>
      <c r="J462">
        <v>8.6330000000000002E-6</v>
      </c>
      <c r="K462">
        <v>20.1358</v>
      </c>
      <c r="L462">
        <v>9.6591000000000005</v>
      </c>
      <c r="M462">
        <f>IFERROR(VLOOKUP(F462,TICO09!$F:$O,8,FALSE),0)</f>
        <v>18.7775</v>
      </c>
      <c r="N462">
        <f>IFERROR(VLOOKUP(F462,SROU03!$F:$O,9,FALSE),0)</f>
        <v>23.447399999999998</v>
      </c>
      <c r="O462">
        <v>24.006799999999998</v>
      </c>
      <c r="P462" t="str">
        <f t="shared" si="31"/>
        <v>BM3D</v>
      </c>
      <c r="Q462">
        <f t="shared" si="33"/>
        <v>24.006799999999998</v>
      </c>
      <c r="R462">
        <f>VLOOKUP(P462,'Color codes'!$A:$B,2,FALSE)</f>
        <v>1</v>
      </c>
      <c r="S462">
        <f>TRUNC(VLOOKUP(P462,'Color codes'!$A:$E,3,FALSE)*(0.25 + 0.75*Q462/40))</f>
        <v>178</v>
      </c>
      <c r="T462">
        <f>TRUNC(VLOOKUP(P462,'Color codes'!$A:$E,4,FALSE)*(0.25 + 0.75*Q462/40))</f>
        <v>74</v>
      </c>
      <c r="U462">
        <f>TRUNC(VLOOKUP(P462,'Color codes'!$A:$E,5,FALSE)*(0.25 + 0.75*Q462/40))</f>
        <v>72</v>
      </c>
      <c r="V462" t="b">
        <f t="shared" si="32"/>
        <v>0</v>
      </c>
    </row>
    <row r="463" spans="1:22" x14ac:dyDescent="0.25">
      <c r="A463" t="s">
        <v>21</v>
      </c>
      <c r="B463" t="s">
        <v>17</v>
      </c>
      <c r="C463">
        <v>7</v>
      </c>
      <c r="D463">
        <v>100</v>
      </c>
      <c r="E463">
        <v>6400</v>
      </c>
      <c r="F463" t="str">
        <f t="shared" si="30"/>
        <v>castle256_line_7_100_6400</v>
      </c>
      <c r="G463">
        <f>IFERROR(VLOOKUP(F463,SROU03!$F:$H,2,FALSE),0)</f>
        <v>21.344087999999999</v>
      </c>
      <c r="H463">
        <f>IFERROR(VLOOKUP(F463,SROU03!$F:$H,3,FALSE),0)</f>
        <v>8.2869790000000005</v>
      </c>
      <c r="I463">
        <v>6.96585E-4</v>
      </c>
      <c r="J463">
        <v>8.6330000000000002E-6</v>
      </c>
      <c r="K463">
        <v>17.022200000000002</v>
      </c>
      <c r="L463">
        <v>9.6591000000000005</v>
      </c>
      <c r="M463">
        <f>IFERROR(VLOOKUP(F463,TICO09!$F:$O,8,FALSE),0)</f>
        <v>18.0639</v>
      </c>
      <c r="N463">
        <f>IFERROR(VLOOKUP(F463,SROU03!$F:$O,9,FALSE),0)</f>
        <v>21.125399999999999</v>
      </c>
      <c r="O463">
        <v>21.428000000000001</v>
      </c>
      <c r="P463" t="str">
        <f t="shared" si="31"/>
        <v>BM3D</v>
      </c>
      <c r="Q463">
        <f t="shared" si="33"/>
        <v>21.428000000000001</v>
      </c>
      <c r="R463">
        <f>VLOOKUP(P463,'Color codes'!$A:$B,2,FALSE)</f>
        <v>1</v>
      </c>
      <c r="S463">
        <f>TRUNC(VLOOKUP(P463,'Color codes'!$A:$E,3,FALSE)*(0.25 + 0.75*Q463/40))</f>
        <v>166</v>
      </c>
      <c r="T463">
        <f>TRUNC(VLOOKUP(P463,'Color codes'!$A:$E,4,FALSE)*(0.25 + 0.75*Q463/40))</f>
        <v>69</v>
      </c>
      <c r="U463">
        <f>TRUNC(VLOOKUP(P463,'Color codes'!$A:$E,5,FALSE)*(0.25 + 0.75*Q463/40))</f>
        <v>67</v>
      </c>
      <c r="V463" t="b">
        <f t="shared" si="32"/>
        <v>0</v>
      </c>
    </row>
    <row r="464" spans="1:22" x14ac:dyDescent="0.25">
      <c r="A464" t="s">
        <v>21</v>
      </c>
      <c r="B464" t="s">
        <v>17</v>
      </c>
      <c r="C464">
        <v>7</v>
      </c>
      <c r="D464">
        <v>100</v>
      </c>
      <c r="E464">
        <v>12800</v>
      </c>
      <c r="F464" t="str">
        <f t="shared" si="30"/>
        <v>castle256_line_7_100_12800</v>
      </c>
      <c r="G464">
        <f>IFERROR(VLOOKUP(F464,SROU03!$F:$H,2,FALSE),0)</f>
        <v>18.388459999999998</v>
      </c>
      <c r="H464">
        <f>IFERROR(VLOOKUP(F464,SROU03!$F:$H,3,FALSE),0)</f>
        <v>8.3807460000000003</v>
      </c>
      <c r="I464">
        <v>1.477237E-3</v>
      </c>
      <c r="J464">
        <v>8.6330000000000002E-6</v>
      </c>
      <c r="K464">
        <v>13.8437</v>
      </c>
      <c r="L464">
        <v>9.6591000000000005</v>
      </c>
      <c r="M464">
        <f>IFERROR(VLOOKUP(F464,TICO09!$F:$O,8,FALSE),0)</f>
        <v>17.0044</v>
      </c>
      <c r="N464">
        <f>IFERROR(VLOOKUP(F464,SROU03!$F:$O,9,FALSE),0)</f>
        <v>20.046900000000001</v>
      </c>
      <c r="O464">
        <v>18.999500000000001</v>
      </c>
      <c r="P464" t="str">
        <f t="shared" si="31"/>
        <v>SROU03</v>
      </c>
      <c r="Q464">
        <f t="shared" si="33"/>
        <v>20.046900000000001</v>
      </c>
      <c r="R464">
        <f>VLOOKUP(P464,'Color codes'!$A:$B,2,FALSE)</f>
        <v>3</v>
      </c>
      <c r="S464">
        <f>TRUNC(VLOOKUP(P464,'Color codes'!$A:$E,3,FALSE)*(0.25 + 0.75*Q464/40))</f>
        <v>66</v>
      </c>
      <c r="T464">
        <f>TRUNC(VLOOKUP(P464,'Color codes'!$A:$E,4,FALSE)*(0.25 + 0.75*Q464/40))</f>
        <v>110</v>
      </c>
      <c r="U464">
        <f>TRUNC(VLOOKUP(P464,'Color codes'!$A:$E,5,FALSE)*(0.25 + 0.75*Q464/40))</f>
        <v>159</v>
      </c>
      <c r="V464" t="b">
        <f t="shared" si="32"/>
        <v>1</v>
      </c>
    </row>
    <row r="465" spans="1:22" x14ac:dyDescent="0.25">
      <c r="A465" t="s">
        <v>21</v>
      </c>
      <c r="B465" t="s">
        <v>17</v>
      </c>
      <c r="C465">
        <v>7</v>
      </c>
      <c r="D465">
        <v>100</v>
      </c>
      <c r="E465">
        <v>25600</v>
      </c>
      <c r="F465" t="str">
        <f t="shared" si="30"/>
        <v>castle256_line_7_100_25600</v>
      </c>
      <c r="G465">
        <f>IFERROR(VLOOKUP(F465,SROU03!$F:$H,2,FALSE),0)</f>
        <v>15.664337</v>
      </c>
      <c r="H465">
        <f>IFERROR(VLOOKUP(F465,SROU03!$F:$H,3,FALSE),0)</f>
        <v>8.4793990000000008</v>
      </c>
      <c r="I465">
        <v>3.2109769999999998E-3</v>
      </c>
      <c r="J465">
        <v>8.6330000000000002E-6</v>
      </c>
      <c r="K465">
        <v>10.652200000000001</v>
      </c>
      <c r="L465">
        <v>9.6591000000000005</v>
      </c>
      <c r="M465">
        <f>IFERROR(VLOOKUP(F465,TICO09!$F:$O,8,FALSE),0)</f>
        <v>15.661</v>
      </c>
      <c r="N465">
        <f>IFERROR(VLOOKUP(F465,SROU03!$F:$O,9,FALSE),0)</f>
        <v>18.080100000000002</v>
      </c>
      <c r="O465">
        <v>16.665800000000001</v>
      </c>
      <c r="P465" t="str">
        <f t="shared" si="31"/>
        <v>SROU03</v>
      </c>
      <c r="Q465">
        <f t="shared" si="33"/>
        <v>18.080100000000002</v>
      </c>
      <c r="R465">
        <f>VLOOKUP(P465,'Color codes'!$A:$B,2,FALSE)</f>
        <v>3</v>
      </c>
      <c r="S465">
        <f>TRUNC(VLOOKUP(P465,'Color codes'!$A:$E,3,FALSE)*(0.25 + 0.75*Q465/40))</f>
        <v>63</v>
      </c>
      <c r="T465">
        <f>TRUNC(VLOOKUP(P465,'Color codes'!$A:$E,4,FALSE)*(0.25 + 0.75*Q465/40))</f>
        <v>103</v>
      </c>
      <c r="U465">
        <f>TRUNC(VLOOKUP(P465,'Color codes'!$A:$E,5,FALSE)*(0.25 + 0.75*Q465/40))</f>
        <v>150</v>
      </c>
      <c r="V465" t="b">
        <f t="shared" si="32"/>
        <v>1</v>
      </c>
    </row>
    <row r="466" spans="1:22" x14ac:dyDescent="0.25">
      <c r="A466" t="s">
        <v>21</v>
      </c>
      <c r="B466" t="s">
        <v>17</v>
      </c>
      <c r="C466">
        <v>15</v>
      </c>
      <c r="D466">
        <v>100</v>
      </c>
      <c r="E466">
        <v>200</v>
      </c>
      <c r="F466" t="str">
        <f t="shared" si="30"/>
        <v>castle256_line_15_100_200</v>
      </c>
      <c r="G466">
        <f>IFERROR(VLOOKUP(F466,SROU03!$F:$H,2,FALSE),0)</f>
        <v>52.615065000000001</v>
      </c>
      <c r="H466">
        <f>IFERROR(VLOOKUP(F466,SROU03!$F:$H,3,FALSE),0)</f>
        <v>21.454370999999998</v>
      </c>
      <c r="I466">
        <v>1.9168999999999999E-5</v>
      </c>
      <c r="J466">
        <v>8.67E-6</v>
      </c>
      <c r="K466">
        <v>32.548999999999999</v>
      </c>
      <c r="L466">
        <v>7.5205000000000002</v>
      </c>
      <c r="M466">
        <f>IFERROR(VLOOKUP(F466,TICO09!$F:$O,8,FALSE),0)</f>
        <v>20.1402</v>
      </c>
      <c r="N466">
        <f>IFERROR(VLOOKUP(F466,SROU03!$F:$O,9,FALSE),0)</f>
        <v>32.6706</v>
      </c>
      <c r="O466">
        <v>34.461799999999997</v>
      </c>
      <c r="P466" t="str">
        <f t="shared" si="31"/>
        <v>BM3D</v>
      </c>
      <c r="Q466">
        <f t="shared" si="33"/>
        <v>34.461799999999997</v>
      </c>
      <c r="R466">
        <f>VLOOKUP(P466,'Color codes'!$A:$B,2,FALSE)</f>
        <v>1</v>
      </c>
      <c r="S466">
        <f>TRUNC(VLOOKUP(P466,'Color codes'!$A:$E,3,FALSE)*(0.25 + 0.75*Q466/40))</f>
        <v>228</v>
      </c>
      <c r="T466">
        <f>TRUNC(VLOOKUP(P466,'Color codes'!$A:$E,4,FALSE)*(0.25 + 0.75*Q466/40))</f>
        <v>95</v>
      </c>
      <c r="U466">
        <f>TRUNC(VLOOKUP(P466,'Color codes'!$A:$E,5,FALSE)*(0.25 + 0.75*Q466/40))</f>
        <v>93</v>
      </c>
      <c r="V466" t="b">
        <f t="shared" si="32"/>
        <v>1</v>
      </c>
    </row>
    <row r="467" spans="1:22" x14ac:dyDescent="0.25">
      <c r="A467" t="s">
        <v>21</v>
      </c>
      <c r="B467" t="s">
        <v>17</v>
      </c>
      <c r="C467">
        <v>15</v>
      </c>
      <c r="D467">
        <v>100</v>
      </c>
      <c r="E467">
        <v>400</v>
      </c>
      <c r="F467" t="str">
        <f t="shared" ref="F467:F530" si="34">A467&amp;"_"&amp;B467&amp;"_"&amp;C467&amp;"_"&amp;D467&amp;"_"&amp;E467</f>
        <v>castle256_line_15_100_400</v>
      </c>
      <c r="G467">
        <f>IFERROR(VLOOKUP(F467,SROU03!$F:$H,2,FALSE),0)</f>
        <v>38.641277000000002</v>
      </c>
      <c r="H467">
        <f>IFERROR(VLOOKUP(F467,SROU03!$F:$H,3,FALSE),0)</f>
        <v>19.648754</v>
      </c>
      <c r="I467">
        <v>3.9894999999999997E-5</v>
      </c>
      <c r="J467">
        <v>8.67E-6</v>
      </c>
      <c r="K467">
        <v>29.366900000000001</v>
      </c>
      <c r="L467">
        <v>7.5205000000000002</v>
      </c>
      <c r="M467">
        <f>IFERROR(VLOOKUP(F467,TICO09!$F:$O,8,FALSE),0)</f>
        <v>20.021100000000001</v>
      </c>
      <c r="N467">
        <f>IFERROR(VLOOKUP(F467,SROU03!$F:$O,9,FALSE),0)</f>
        <v>29.9436</v>
      </c>
      <c r="O467">
        <v>31.779199999999999</v>
      </c>
      <c r="P467" t="str">
        <f t="shared" ref="P467:P513" si="35">IF((O467&gt;(MAX(M467,N467))),"BM3D",IF(N467&gt;(MAX(M467,O467)),"SROU03","TICO09"))</f>
        <v>BM3D</v>
      </c>
      <c r="Q467">
        <f t="shared" si="33"/>
        <v>31.779199999999999</v>
      </c>
      <c r="R467">
        <f>VLOOKUP(P467,'Color codes'!$A:$B,2,FALSE)</f>
        <v>1</v>
      </c>
      <c r="S467">
        <f>TRUNC(VLOOKUP(P467,'Color codes'!$A:$E,3,FALSE)*(0.25 + 0.75*Q467/40))</f>
        <v>215</v>
      </c>
      <c r="T467">
        <f>TRUNC(VLOOKUP(P467,'Color codes'!$A:$E,4,FALSE)*(0.25 + 0.75*Q467/40))</f>
        <v>90</v>
      </c>
      <c r="U467">
        <f>TRUNC(VLOOKUP(P467,'Color codes'!$A:$E,5,FALSE)*(0.25 + 0.75*Q467/40))</f>
        <v>87</v>
      </c>
      <c r="V467" t="b">
        <f t="shared" si="32"/>
        <v>1</v>
      </c>
    </row>
    <row r="468" spans="1:22" x14ac:dyDescent="0.25">
      <c r="A468" t="s">
        <v>21</v>
      </c>
      <c r="B468" t="s">
        <v>17</v>
      </c>
      <c r="C468">
        <v>15</v>
      </c>
      <c r="D468">
        <v>100</v>
      </c>
      <c r="E468">
        <v>800</v>
      </c>
      <c r="F468" t="str">
        <f t="shared" si="34"/>
        <v>castle256_line_15_100_800</v>
      </c>
      <c r="G468">
        <f>IFERROR(VLOOKUP(F468,SROU03!$F:$H,2,FALSE),0)</f>
        <v>29.557469999999999</v>
      </c>
      <c r="H468">
        <f>IFERROR(VLOOKUP(F468,SROU03!$F:$H,3,FALSE),0)</f>
        <v>18.755303000000001</v>
      </c>
      <c r="I468">
        <v>8.0935999999999999E-5</v>
      </c>
      <c r="J468">
        <v>8.67E-6</v>
      </c>
      <c r="K468">
        <v>26.302700000000002</v>
      </c>
      <c r="L468">
        <v>7.5205000000000002</v>
      </c>
      <c r="M468">
        <f>IFERROR(VLOOKUP(F468,TICO09!$F:$O,8,FALSE),0)</f>
        <v>19.838899999999999</v>
      </c>
      <c r="N468">
        <f>IFERROR(VLOOKUP(F468,SROU03!$F:$O,9,FALSE),0)</f>
        <v>27.319800000000001</v>
      </c>
      <c r="O468">
        <v>29.244499999999999</v>
      </c>
      <c r="P468" t="str">
        <f t="shared" si="35"/>
        <v>BM3D</v>
      </c>
      <c r="Q468">
        <f t="shared" si="33"/>
        <v>29.244499999999999</v>
      </c>
      <c r="R468">
        <f>VLOOKUP(P468,'Color codes'!$A:$B,2,FALSE)</f>
        <v>1</v>
      </c>
      <c r="S468">
        <f>TRUNC(VLOOKUP(P468,'Color codes'!$A:$E,3,FALSE)*(0.25 + 0.75*Q468/40))</f>
        <v>203</v>
      </c>
      <c r="T468">
        <f>TRUNC(VLOOKUP(P468,'Color codes'!$A:$E,4,FALSE)*(0.25 + 0.75*Q468/40))</f>
        <v>85</v>
      </c>
      <c r="U468">
        <f>TRUNC(VLOOKUP(P468,'Color codes'!$A:$E,5,FALSE)*(0.25 + 0.75*Q468/40))</f>
        <v>83</v>
      </c>
      <c r="V468" t="b">
        <f t="shared" si="32"/>
        <v>1</v>
      </c>
    </row>
    <row r="469" spans="1:22" x14ac:dyDescent="0.25">
      <c r="A469" t="s">
        <v>21</v>
      </c>
      <c r="B469" t="s">
        <v>17</v>
      </c>
      <c r="C469">
        <v>15</v>
      </c>
      <c r="D469">
        <v>100</v>
      </c>
      <c r="E469">
        <v>1600</v>
      </c>
      <c r="F469" t="str">
        <f t="shared" si="34"/>
        <v>castle256_line_15_100_1600</v>
      </c>
      <c r="G469">
        <f>IFERROR(VLOOKUP(F469,SROU03!$F:$H,2,FALSE),0)</f>
        <v>23.485052</v>
      </c>
      <c r="H469">
        <f>IFERROR(VLOOKUP(F469,SROU03!$F:$H,3,FALSE),0)</f>
        <v>18.429946000000001</v>
      </c>
      <c r="I469">
        <v>1.66942E-4</v>
      </c>
      <c r="J469">
        <v>8.67E-6</v>
      </c>
      <c r="K469">
        <v>23.166399999999999</v>
      </c>
      <c r="L469">
        <v>7.5205000000000002</v>
      </c>
      <c r="M469">
        <f>IFERROR(VLOOKUP(F469,TICO09!$F:$O,8,FALSE),0)</f>
        <v>19.425699999999999</v>
      </c>
      <c r="N469">
        <f>IFERROR(VLOOKUP(F469,SROU03!$F:$O,9,FALSE),0)</f>
        <v>24.931999999999999</v>
      </c>
      <c r="O469">
        <v>26.523900000000001</v>
      </c>
      <c r="P469" t="str">
        <f t="shared" si="35"/>
        <v>BM3D</v>
      </c>
      <c r="Q469">
        <f t="shared" si="33"/>
        <v>26.523900000000001</v>
      </c>
      <c r="R469">
        <f>VLOOKUP(P469,'Color codes'!$A:$B,2,FALSE)</f>
        <v>1</v>
      </c>
      <c r="S469">
        <f>TRUNC(VLOOKUP(P469,'Color codes'!$A:$E,3,FALSE)*(0.25 + 0.75*Q469/40))</f>
        <v>190</v>
      </c>
      <c r="T469">
        <f>TRUNC(VLOOKUP(P469,'Color codes'!$A:$E,4,FALSE)*(0.25 + 0.75*Q469/40))</f>
        <v>79</v>
      </c>
      <c r="U469">
        <f>TRUNC(VLOOKUP(P469,'Color codes'!$A:$E,5,FALSE)*(0.25 + 0.75*Q469/40))</f>
        <v>77</v>
      </c>
      <c r="V469" t="b">
        <f t="shared" si="32"/>
        <v>1</v>
      </c>
    </row>
    <row r="470" spans="1:22" x14ac:dyDescent="0.25">
      <c r="A470" t="s">
        <v>21</v>
      </c>
      <c r="B470" t="s">
        <v>17</v>
      </c>
      <c r="C470">
        <v>15</v>
      </c>
      <c r="D470">
        <v>100</v>
      </c>
      <c r="E470">
        <v>3200</v>
      </c>
      <c r="F470" t="str">
        <f t="shared" si="34"/>
        <v>castle256_line_15_100_3200</v>
      </c>
      <c r="G470">
        <f>IFERROR(VLOOKUP(F470,SROU03!$F:$H,2,FALSE),0)</f>
        <v>19.008768</v>
      </c>
      <c r="H470">
        <f>IFERROR(VLOOKUP(F470,SROU03!$F:$H,3,FALSE),0)</f>
        <v>18.319977999999999</v>
      </c>
      <c r="I470">
        <v>3.3732100000000002E-4</v>
      </c>
      <c r="J470">
        <v>8.67E-6</v>
      </c>
      <c r="K470">
        <v>20.1313</v>
      </c>
      <c r="L470">
        <v>7.5205000000000002</v>
      </c>
      <c r="M470">
        <f>IFERROR(VLOOKUP(F470,TICO09!$F:$O,8,FALSE),0)</f>
        <v>18.859000000000002</v>
      </c>
      <c r="N470">
        <f>IFERROR(VLOOKUP(F470,SROU03!$F:$O,9,FALSE),0)</f>
        <v>22.6585</v>
      </c>
      <c r="O470">
        <v>23.978999999999999</v>
      </c>
      <c r="P470" t="str">
        <f t="shared" si="35"/>
        <v>BM3D</v>
      </c>
      <c r="Q470">
        <f t="shared" si="33"/>
        <v>23.978999999999999</v>
      </c>
      <c r="R470">
        <f>VLOOKUP(P470,'Color codes'!$A:$B,2,FALSE)</f>
        <v>1</v>
      </c>
      <c r="S470">
        <f>TRUNC(VLOOKUP(P470,'Color codes'!$A:$E,3,FALSE)*(0.25 + 0.75*Q470/40))</f>
        <v>178</v>
      </c>
      <c r="T470">
        <f>TRUNC(VLOOKUP(P470,'Color codes'!$A:$E,4,FALSE)*(0.25 + 0.75*Q470/40))</f>
        <v>74</v>
      </c>
      <c r="U470">
        <f>TRUNC(VLOOKUP(P470,'Color codes'!$A:$E,5,FALSE)*(0.25 + 0.75*Q470/40))</f>
        <v>72</v>
      </c>
      <c r="V470" t="b">
        <f t="shared" si="32"/>
        <v>1</v>
      </c>
    </row>
    <row r="471" spans="1:22" x14ac:dyDescent="0.25">
      <c r="A471" t="s">
        <v>21</v>
      </c>
      <c r="B471" t="s">
        <v>17</v>
      </c>
      <c r="C471">
        <v>15</v>
      </c>
      <c r="D471">
        <v>100</v>
      </c>
      <c r="E471">
        <v>6400</v>
      </c>
      <c r="F471" t="str">
        <f t="shared" si="34"/>
        <v>castle256_line_15_100_6400</v>
      </c>
      <c r="G471">
        <f>IFERROR(VLOOKUP(F471,SROU03!$F:$H,2,FALSE),0)</f>
        <v>15.751003000000001</v>
      </c>
      <c r="H471">
        <f>IFERROR(VLOOKUP(F471,SROU03!$F:$H,3,FALSE),0)</f>
        <v>18.353798999999999</v>
      </c>
      <c r="I471">
        <v>6.87771E-4</v>
      </c>
      <c r="J471">
        <v>8.67E-6</v>
      </c>
      <c r="K471">
        <v>17.071300000000001</v>
      </c>
      <c r="L471">
        <v>7.5205000000000002</v>
      </c>
      <c r="M471">
        <f>IFERROR(VLOOKUP(F471,TICO09!$F:$O,8,FALSE),0)</f>
        <v>18.068000000000001</v>
      </c>
      <c r="N471">
        <f>IFERROR(VLOOKUP(F471,SROU03!$F:$O,9,FALSE),0)</f>
        <v>20.485299999999999</v>
      </c>
      <c r="O471">
        <v>21.442599999999999</v>
      </c>
      <c r="P471" t="str">
        <f t="shared" si="35"/>
        <v>BM3D</v>
      </c>
      <c r="Q471">
        <f t="shared" si="33"/>
        <v>21.442599999999999</v>
      </c>
      <c r="R471">
        <f>VLOOKUP(P471,'Color codes'!$A:$B,2,FALSE)</f>
        <v>1</v>
      </c>
      <c r="S471">
        <f>TRUNC(VLOOKUP(P471,'Color codes'!$A:$E,3,FALSE)*(0.25 + 0.75*Q471/40))</f>
        <v>166</v>
      </c>
      <c r="T471">
        <f>TRUNC(VLOOKUP(P471,'Color codes'!$A:$E,4,FALSE)*(0.25 + 0.75*Q471/40))</f>
        <v>69</v>
      </c>
      <c r="U471">
        <f>TRUNC(VLOOKUP(P471,'Color codes'!$A:$E,5,FALSE)*(0.25 + 0.75*Q471/40))</f>
        <v>67</v>
      </c>
      <c r="V471" t="b">
        <f t="shared" si="32"/>
        <v>0</v>
      </c>
    </row>
    <row r="472" spans="1:22" x14ac:dyDescent="0.25">
      <c r="A472" t="s">
        <v>21</v>
      </c>
      <c r="B472" t="s">
        <v>17</v>
      </c>
      <c r="C472">
        <v>15</v>
      </c>
      <c r="D472">
        <v>100</v>
      </c>
      <c r="E472">
        <v>12800</v>
      </c>
      <c r="F472" t="str">
        <f t="shared" si="34"/>
        <v>castle256_line_15_100_12800</v>
      </c>
      <c r="G472">
        <f>IFERROR(VLOOKUP(F472,SROU03!$F:$H,2,FALSE),0)</f>
        <v>13.057817</v>
      </c>
      <c r="H472">
        <f>IFERROR(VLOOKUP(F472,SROU03!$F:$H,3,FALSE),0)</f>
        <v>18.410126000000002</v>
      </c>
      <c r="I472">
        <v>1.434154E-3</v>
      </c>
      <c r="J472">
        <v>8.67E-6</v>
      </c>
      <c r="K472">
        <v>13.9673</v>
      </c>
      <c r="L472">
        <v>7.5205000000000002</v>
      </c>
      <c r="M472">
        <f>IFERROR(VLOOKUP(F472,TICO09!$F:$O,8,FALSE),0)</f>
        <v>16.956900000000001</v>
      </c>
      <c r="N472">
        <f>IFERROR(VLOOKUP(F472,SROU03!$F:$O,9,FALSE),0)</f>
        <v>18.4739</v>
      </c>
      <c r="O472">
        <v>19.029399999999999</v>
      </c>
      <c r="P472" t="str">
        <f t="shared" si="35"/>
        <v>BM3D</v>
      </c>
      <c r="Q472">
        <f t="shared" si="33"/>
        <v>19.029399999999999</v>
      </c>
      <c r="R472">
        <f>VLOOKUP(P472,'Color codes'!$A:$B,2,FALSE)</f>
        <v>1</v>
      </c>
      <c r="S472">
        <f>TRUNC(VLOOKUP(P472,'Color codes'!$A:$E,3,FALSE)*(0.25 + 0.75*Q472/40))</f>
        <v>154</v>
      </c>
      <c r="T472">
        <f>TRUNC(VLOOKUP(P472,'Color codes'!$A:$E,4,FALSE)*(0.25 + 0.75*Q472/40))</f>
        <v>64</v>
      </c>
      <c r="U472">
        <f>TRUNC(VLOOKUP(P472,'Color codes'!$A:$E,5,FALSE)*(0.25 + 0.75*Q472/40))</f>
        <v>63</v>
      </c>
      <c r="V472" t="b">
        <f t="shared" si="32"/>
        <v>0</v>
      </c>
    </row>
    <row r="473" spans="1:22" x14ac:dyDescent="0.25">
      <c r="A473" t="s">
        <v>21</v>
      </c>
      <c r="B473" t="s">
        <v>17</v>
      </c>
      <c r="C473">
        <v>15</v>
      </c>
      <c r="D473">
        <v>100</v>
      </c>
      <c r="E473">
        <v>25600</v>
      </c>
      <c r="F473" t="str">
        <f t="shared" si="34"/>
        <v>castle256_line_15_100_25600</v>
      </c>
      <c r="G473">
        <f>IFERROR(VLOOKUP(F473,SROU03!$F:$H,2,FALSE),0)</f>
        <v>10.793685999999999</v>
      </c>
      <c r="H473">
        <f>IFERROR(VLOOKUP(F473,SROU03!$F:$H,3,FALSE),0)</f>
        <v>18.519687000000001</v>
      </c>
      <c r="I473">
        <v>3.2283300000000002E-3</v>
      </c>
      <c r="J473">
        <v>8.67E-6</v>
      </c>
      <c r="K473">
        <v>10.6348</v>
      </c>
      <c r="L473">
        <v>7.5205000000000002</v>
      </c>
      <c r="M473">
        <f>IFERROR(VLOOKUP(F473,TICO09!$F:$O,8,FALSE),0)</f>
        <v>15.4053</v>
      </c>
      <c r="N473">
        <f>IFERROR(VLOOKUP(F473,SROU03!$F:$O,9,FALSE),0)</f>
        <v>16.465499999999999</v>
      </c>
      <c r="O473">
        <v>16.631599999999999</v>
      </c>
      <c r="P473" t="str">
        <f t="shared" si="35"/>
        <v>BM3D</v>
      </c>
      <c r="Q473">
        <f t="shared" si="33"/>
        <v>16.631599999999999</v>
      </c>
      <c r="R473">
        <f>VLOOKUP(P473,'Color codes'!$A:$B,2,FALSE)</f>
        <v>1</v>
      </c>
      <c r="S473">
        <f>TRUNC(VLOOKUP(P473,'Color codes'!$A:$E,3,FALSE)*(0.25 + 0.75*Q473/40))</f>
        <v>143</v>
      </c>
      <c r="T473">
        <f>TRUNC(VLOOKUP(P473,'Color codes'!$A:$E,4,FALSE)*(0.25 + 0.75*Q473/40))</f>
        <v>60</v>
      </c>
      <c r="U473">
        <f>TRUNC(VLOOKUP(P473,'Color codes'!$A:$E,5,FALSE)*(0.25 + 0.75*Q473/40))</f>
        <v>58</v>
      </c>
      <c r="V473" t="b">
        <f t="shared" si="32"/>
        <v>0</v>
      </c>
    </row>
    <row r="474" spans="1:22" x14ac:dyDescent="0.25">
      <c r="A474" t="s">
        <v>21</v>
      </c>
      <c r="B474" t="s">
        <v>17</v>
      </c>
      <c r="C474">
        <v>31</v>
      </c>
      <c r="D474">
        <v>100</v>
      </c>
      <c r="E474">
        <v>200</v>
      </c>
      <c r="F474" t="str">
        <f t="shared" si="34"/>
        <v>castle256_line_31_100_200</v>
      </c>
      <c r="G474">
        <f>IFERROR(VLOOKUP(F474,SROU03!$F:$H,2,FALSE),0)</f>
        <v>51.313836000000002</v>
      </c>
      <c r="H474">
        <f>IFERROR(VLOOKUP(F474,SROU03!$F:$H,3,FALSE),0)</f>
        <v>45.615465999999998</v>
      </c>
      <c r="I474">
        <v>1.8836999999999999E-5</v>
      </c>
      <c r="J474">
        <v>8.7930000000000003E-6</v>
      </c>
      <c r="K474">
        <v>32.623699999999999</v>
      </c>
      <c r="L474">
        <v>5.7603999999999997</v>
      </c>
      <c r="M474">
        <f>IFERROR(VLOOKUP(F474,TICO09!$F:$O,8,FALSE),0)</f>
        <v>20.319199999999999</v>
      </c>
      <c r="N474">
        <f>IFERROR(VLOOKUP(F474,SROU03!$F:$O,9,FALSE),0)</f>
        <v>32.6267</v>
      </c>
      <c r="O474">
        <v>34.541200000000003</v>
      </c>
      <c r="P474" t="str">
        <f t="shared" si="35"/>
        <v>BM3D</v>
      </c>
      <c r="Q474">
        <f t="shared" si="33"/>
        <v>34.541200000000003</v>
      </c>
      <c r="R474">
        <f>VLOOKUP(P474,'Color codes'!$A:$B,2,FALSE)</f>
        <v>1</v>
      </c>
      <c r="S474">
        <f>TRUNC(VLOOKUP(P474,'Color codes'!$A:$E,3,FALSE)*(0.25 + 0.75*Q474/40))</f>
        <v>228</v>
      </c>
      <c r="T474">
        <f>TRUNC(VLOOKUP(P474,'Color codes'!$A:$E,4,FALSE)*(0.25 + 0.75*Q474/40))</f>
        <v>96</v>
      </c>
      <c r="U474">
        <f>TRUNC(VLOOKUP(P474,'Color codes'!$A:$E,5,FALSE)*(0.25 + 0.75*Q474/40))</f>
        <v>93</v>
      </c>
      <c r="V474" t="b">
        <f t="shared" si="32"/>
        <v>1</v>
      </c>
    </row>
    <row r="475" spans="1:22" x14ac:dyDescent="0.25">
      <c r="A475" t="s">
        <v>21</v>
      </c>
      <c r="B475" t="s">
        <v>17</v>
      </c>
      <c r="C475">
        <v>31</v>
      </c>
      <c r="D475">
        <v>100</v>
      </c>
      <c r="E475">
        <v>400</v>
      </c>
      <c r="F475" t="str">
        <f t="shared" si="34"/>
        <v>castle256_line_31_100_400</v>
      </c>
      <c r="G475">
        <f>IFERROR(VLOOKUP(F475,SROU03!$F:$H,2,FALSE),0)</f>
        <v>36.669060000000002</v>
      </c>
      <c r="H475">
        <f>IFERROR(VLOOKUP(F475,SROU03!$F:$H,3,FALSE),0)</f>
        <v>41.666400000000003</v>
      </c>
      <c r="I475">
        <v>3.9681999999999997E-5</v>
      </c>
      <c r="J475">
        <v>8.7930000000000003E-6</v>
      </c>
      <c r="K475">
        <v>29.390699999999999</v>
      </c>
      <c r="L475">
        <v>5.7603999999999997</v>
      </c>
      <c r="M475">
        <f>IFERROR(VLOOKUP(F475,TICO09!$F:$O,8,FALSE),0)</f>
        <v>20.1753</v>
      </c>
      <c r="N475">
        <f>IFERROR(VLOOKUP(F475,SROU03!$F:$O,9,FALSE),0)</f>
        <v>29.7682</v>
      </c>
      <c r="O475">
        <v>31.864100000000001</v>
      </c>
      <c r="P475" t="str">
        <f t="shared" si="35"/>
        <v>BM3D</v>
      </c>
      <c r="Q475">
        <f t="shared" si="33"/>
        <v>31.864100000000001</v>
      </c>
      <c r="R475">
        <f>VLOOKUP(P475,'Color codes'!$A:$B,2,FALSE)</f>
        <v>1</v>
      </c>
      <c r="S475">
        <f>TRUNC(VLOOKUP(P475,'Color codes'!$A:$E,3,FALSE)*(0.25 + 0.75*Q475/40))</f>
        <v>216</v>
      </c>
      <c r="T475">
        <f>TRUNC(VLOOKUP(P475,'Color codes'!$A:$E,4,FALSE)*(0.25 + 0.75*Q475/40))</f>
        <v>90</v>
      </c>
      <c r="U475">
        <f>TRUNC(VLOOKUP(P475,'Color codes'!$A:$E,5,FALSE)*(0.25 + 0.75*Q475/40))</f>
        <v>88</v>
      </c>
      <c r="V475" t="b">
        <f t="shared" si="32"/>
        <v>1</v>
      </c>
    </row>
    <row r="476" spans="1:22" x14ac:dyDescent="0.25">
      <c r="A476" t="s">
        <v>21</v>
      </c>
      <c r="B476" t="s">
        <v>17</v>
      </c>
      <c r="C476">
        <v>31</v>
      </c>
      <c r="D476">
        <v>100</v>
      </c>
      <c r="E476">
        <v>800</v>
      </c>
      <c r="F476" t="str">
        <f t="shared" si="34"/>
        <v>castle256_line_31_100_800</v>
      </c>
      <c r="G476">
        <f>IFERROR(VLOOKUP(F476,SROU03!$F:$H,2,FALSE),0)</f>
        <v>26.917619999999999</v>
      </c>
      <c r="H476">
        <f>IFERROR(VLOOKUP(F476,SROU03!$F:$H,3,FALSE),0)</f>
        <v>39.622790000000002</v>
      </c>
      <c r="I476">
        <v>8.1261999999999995E-5</v>
      </c>
      <c r="J476">
        <v>8.7930000000000003E-6</v>
      </c>
      <c r="K476">
        <v>26.284500000000001</v>
      </c>
      <c r="L476">
        <v>5.7603999999999997</v>
      </c>
      <c r="M476">
        <f>IFERROR(VLOOKUP(F476,TICO09!$F:$O,8,FALSE),0)</f>
        <v>19.9742</v>
      </c>
      <c r="N476">
        <f>IFERROR(VLOOKUP(F476,SROU03!$F:$O,9,FALSE),0)</f>
        <v>27.149799999999999</v>
      </c>
      <c r="O476">
        <v>29.208100000000002</v>
      </c>
      <c r="P476" t="str">
        <f t="shared" si="35"/>
        <v>BM3D</v>
      </c>
      <c r="Q476">
        <f t="shared" si="33"/>
        <v>29.208100000000002</v>
      </c>
      <c r="R476">
        <f>VLOOKUP(P476,'Color codes'!$A:$B,2,FALSE)</f>
        <v>1</v>
      </c>
      <c r="S476">
        <f>TRUNC(VLOOKUP(P476,'Color codes'!$A:$E,3,FALSE)*(0.25 + 0.75*Q476/40))</f>
        <v>203</v>
      </c>
      <c r="T476">
        <f>TRUNC(VLOOKUP(P476,'Color codes'!$A:$E,4,FALSE)*(0.25 + 0.75*Q476/40))</f>
        <v>85</v>
      </c>
      <c r="U476">
        <f>TRUNC(VLOOKUP(P476,'Color codes'!$A:$E,5,FALSE)*(0.25 + 0.75*Q476/40))</f>
        <v>82</v>
      </c>
      <c r="V476" t="b">
        <f t="shared" si="32"/>
        <v>1</v>
      </c>
    </row>
    <row r="477" spans="1:22" x14ac:dyDescent="0.25">
      <c r="A477" t="s">
        <v>21</v>
      </c>
      <c r="B477" t="s">
        <v>17</v>
      </c>
      <c r="C477">
        <v>31</v>
      </c>
      <c r="D477">
        <v>100</v>
      </c>
      <c r="E477">
        <v>1600</v>
      </c>
      <c r="F477" t="str">
        <f t="shared" si="34"/>
        <v>castle256_line_31_100_1600</v>
      </c>
      <c r="G477">
        <f>IFERROR(VLOOKUP(F477,SROU03!$F:$H,2,FALSE),0)</f>
        <v>20.432663999999999</v>
      </c>
      <c r="H477">
        <f>IFERROR(VLOOKUP(F477,SROU03!$F:$H,3,FALSE),0)</f>
        <v>38.816569999999999</v>
      </c>
      <c r="I477">
        <v>1.6606600000000001E-4</v>
      </c>
      <c r="J477">
        <v>8.7930000000000003E-6</v>
      </c>
      <c r="K477">
        <v>23.185400000000001</v>
      </c>
      <c r="L477">
        <v>5.7603999999999997</v>
      </c>
      <c r="M477">
        <f>IFERROR(VLOOKUP(F477,TICO09!$F:$O,8,FALSE),0)</f>
        <v>19.587700000000002</v>
      </c>
      <c r="N477">
        <f>IFERROR(VLOOKUP(F477,SROU03!$F:$O,9,FALSE),0)</f>
        <v>24.648700000000002</v>
      </c>
      <c r="O477">
        <v>26.538399999999999</v>
      </c>
      <c r="P477" t="str">
        <f t="shared" si="35"/>
        <v>BM3D</v>
      </c>
      <c r="Q477">
        <f t="shared" si="33"/>
        <v>26.538399999999999</v>
      </c>
      <c r="R477">
        <f>VLOOKUP(P477,'Color codes'!$A:$B,2,FALSE)</f>
        <v>1</v>
      </c>
      <c r="S477">
        <f>TRUNC(VLOOKUP(P477,'Color codes'!$A:$E,3,FALSE)*(0.25 + 0.75*Q477/40))</f>
        <v>190</v>
      </c>
      <c r="T477">
        <f>TRUNC(VLOOKUP(P477,'Color codes'!$A:$E,4,FALSE)*(0.25 + 0.75*Q477/40))</f>
        <v>79</v>
      </c>
      <c r="U477">
        <f>TRUNC(VLOOKUP(P477,'Color codes'!$A:$E,5,FALSE)*(0.25 + 0.75*Q477/40))</f>
        <v>77</v>
      </c>
      <c r="V477" t="b">
        <f t="shared" si="32"/>
        <v>1</v>
      </c>
    </row>
    <row r="478" spans="1:22" x14ac:dyDescent="0.25">
      <c r="A478" t="s">
        <v>21</v>
      </c>
      <c r="B478" t="s">
        <v>17</v>
      </c>
      <c r="C478">
        <v>31</v>
      </c>
      <c r="D478">
        <v>100</v>
      </c>
      <c r="E478">
        <v>3200</v>
      </c>
      <c r="F478" t="str">
        <f t="shared" si="34"/>
        <v>castle256_line_31_100_3200</v>
      </c>
      <c r="G478">
        <f>IFERROR(VLOOKUP(F478,SROU03!$F:$H,2,FALSE),0)</f>
        <v>15.70505</v>
      </c>
      <c r="H478">
        <f>IFERROR(VLOOKUP(F478,SROU03!$F:$H,3,FALSE),0)</f>
        <v>38.358643999999998</v>
      </c>
      <c r="I478">
        <v>3.3756600000000003E-4</v>
      </c>
      <c r="J478">
        <v>8.7930000000000003E-6</v>
      </c>
      <c r="K478">
        <v>20.128</v>
      </c>
      <c r="L478">
        <v>5.7603999999999997</v>
      </c>
      <c r="M478">
        <f>IFERROR(VLOOKUP(F478,TICO09!$F:$O,8,FALSE),0)</f>
        <v>18.976099999999999</v>
      </c>
      <c r="N478">
        <f>IFERROR(VLOOKUP(F478,SROU03!$F:$O,9,FALSE),0)</f>
        <v>22.254000000000001</v>
      </c>
      <c r="O478">
        <v>24.008299999999998</v>
      </c>
      <c r="P478" t="str">
        <f t="shared" si="35"/>
        <v>BM3D</v>
      </c>
      <c r="Q478">
        <f t="shared" si="33"/>
        <v>24.008299999999998</v>
      </c>
      <c r="R478">
        <f>VLOOKUP(P478,'Color codes'!$A:$B,2,FALSE)</f>
        <v>1</v>
      </c>
      <c r="S478">
        <f>TRUNC(VLOOKUP(P478,'Color codes'!$A:$E,3,FALSE)*(0.25 + 0.75*Q478/40))</f>
        <v>178</v>
      </c>
      <c r="T478">
        <f>TRUNC(VLOOKUP(P478,'Color codes'!$A:$E,4,FALSE)*(0.25 + 0.75*Q478/40))</f>
        <v>74</v>
      </c>
      <c r="U478">
        <f>TRUNC(VLOOKUP(P478,'Color codes'!$A:$E,5,FALSE)*(0.25 + 0.75*Q478/40))</f>
        <v>72</v>
      </c>
      <c r="V478" t="b">
        <f t="shared" si="32"/>
        <v>1</v>
      </c>
    </row>
    <row r="479" spans="1:22" x14ac:dyDescent="0.25">
      <c r="A479" t="s">
        <v>21</v>
      </c>
      <c r="B479" t="s">
        <v>17</v>
      </c>
      <c r="C479">
        <v>31</v>
      </c>
      <c r="D479">
        <v>100</v>
      </c>
      <c r="E479">
        <v>6400</v>
      </c>
      <c r="F479" t="str">
        <f t="shared" si="34"/>
        <v>castle256_line_31_100_6400</v>
      </c>
      <c r="G479">
        <f>IFERROR(VLOOKUP(F479,SROU03!$F:$H,2,FALSE),0)</f>
        <v>12.460997000000001</v>
      </c>
      <c r="H479">
        <f>IFERROR(VLOOKUP(F479,SROU03!$F:$H,3,FALSE),0)</f>
        <v>38.352846</v>
      </c>
      <c r="I479">
        <v>6.98768E-4</v>
      </c>
      <c r="J479">
        <v>8.7930000000000003E-6</v>
      </c>
      <c r="K479">
        <v>17.0032</v>
      </c>
      <c r="L479">
        <v>5.7603999999999997</v>
      </c>
      <c r="M479">
        <f>IFERROR(VLOOKUP(F479,TICO09!$F:$O,8,FALSE),0)</f>
        <v>18.083400000000001</v>
      </c>
      <c r="N479">
        <f>IFERROR(VLOOKUP(F479,SROU03!$F:$O,9,FALSE),0)</f>
        <v>20.042400000000001</v>
      </c>
      <c r="O479">
        <v>21.377099999999999</v>
      </c>
      <c r="P479" t="str">
        <f t="shared" si="35"/>
        <v>BM3D</v>
      </c>
      <c r="Q479">
        <f t="shared" si="33"/>
        <v>21.377099999999999</v>
      </c>
      <c r="R479">
        <f>VLOOKUP(P479,'Color codes'!$A:$B,2,FALSE)</f>
        <v>1</v>
      </c>
      <c r="S479">
        <f>TRUNC(VLOOKUP(P479,'Color codes'!$A:$E,3,FALSE)*(0.25 + 0.75*Q479/40))</f>
        <v>165</v>
      </c>
      <c r="T479">
        <f>TRUNC(VLOOKUP(P479,'Color codes'!$A:$E,4,FALSE)*(0.25 + 0.75*Q479/40))</f>
        <v>69</v>
      </c>
      <c r="U479">
        <f>TRUNC(VLOOKUP(P479,'Color codes'!$A:$E,5,FALSE)*(0.25 + 0.75*Q479/40))</f>
        <v>67</v>
      </c>
      <c r="V479" t="b">
        <f t="shared" si="32"/>
        <v>1</v>
      </c>
    </row>
    <row r="480" spans="1:22" x14ac:dyDescent="0.25">
      <c r="A480" t="s">
        <v>21</v>
      </c>
      <c r="B480" t="s">
        <v>17</v>
      </c>
      <c r="C480">
        <v>31</v>
      </c>
      <c r="D480">
        <v>100</v>
      </c>
      <c r="E480">
        <v>12800</v>
      </c>
      <c r="F480" t="str">
        <f t="shared" si="34"/>
        <v>castle256_line_31_100_12800</v>
      </c>
      <c r="G480">
        <f>IFERROR(VLOOKUP(F480,SROU03!$F:$H,2,FALSE),0)</f>
        <v>10.008023</v>
      </c>
      <c r="H480">
        <f>IFERROR(VLOOKUP(F480,SROU03!$F:$H,3,FALSE),0)</f>
        <v>38.238717999999999</v>
      </c>
      <c r="I480">
        <v>1.469489E-3</v>
      </c>
      <c r="J480">
        <v>8.7930000000000003E-6</v>
      </c>
      <c r="K480">
        <v>13.8672</v>
      </c>
      <c r="L480">
        <v>5.7603999999999997</v>
      </c>
      <c r="M480">
        <f>IFERROR(VLOOKUP(F480,TICO09!$F:$O,8,FALSE),0)</f>
        <v>16.791399999999999</v>
      </c>
      <c r="N480">
        <f>IFERROR(VLOOKUP(F480,SROU03!$F:$O,9,FALSE),0)</f>
        <v>17.869800000000001</v>
      </c>
      <c r="O480">
        <v>19.0062</v>
      </c>
      <c r="P480" t="str">
        <f t="shared" si="35"/>
        <v>BM3D</v>
      </c>
      <c r="Q480">
        <f t="shared" si="33"/>
        <v>19.0062</v>
      </c>
      <c r="R480">
        <f>VLOOKUP(P480,'Color codes'!$A:$B,2,FALSE)</f>
        <v>1</v>
      </c>
      <c r="S480">
        <f>TRUNC(VLOOKUP(P480,'Color codes'!$A:$E,3,FALSE)*(0.25 + 0.75*Q480/40))</f>
        <v>154</v>
      </c>
      <c r="T480">
        <f>TRUNC(VLOOKUP(P480,'Color codes'!$A:$E,4,FALSE)*(0.25 + 0.75*Q480/40))</f>
        <v>64</v>
      </c>
      <c r="U480">
        <f>TRUNC(VLOOKUP(P480,'Color codes'!$A:$E,5,FALSE)*(0.25 + 0.75*Q480/40))</f>
        <v>63</v>
      </c>
      <c r="V480" t="b">
        <f t="shared" si="32"/>
        <v>1</v>
      </c>
    </row>
    <row r="481" spans="1:22" x14ac:dyDescent="0.25">
      <c r="A481" t="s">
        <v>21</v>
      </c>
      <c r="B481" t="s">
        <v>17</v>
      </c>
      <c r="C481">
        <v>31</v>
      </c>
      <c r="D481">
        <v>100</v>
      </c>
      <c r="E481">
        <v>25600</v>
      </c>
      <c r="F481" t="str">
        <f t="shared" si="34"/>
        <v>castle256_line_31_100_25600</v>
      </c>
      <c r="G481">
        <f>IFERROR(VLOOKUP(F481,SROU03!$F:$H,2,FALSE),0)</f>
        <v>8.1066439999999993</v>
      </c>
      <c r="H481">
        <f>IFERROR(VLOOKUP(F481,SROU03!$F:$H,3,FALSE),0)</f>
        <v>38.402180999999999</v>
      </c>
      <c r="I481">
        <v>3.2417520000000001E-3</v>
      </c>
      <c r="J481">
        <v>8.7930000000000003E-6</v>
      </c>
      <c r="K481">
        <v>10.6082</v>
      </c>
      <c r="L481">
        <v>5.7603999999999997</v>
      </c>
      <c r="M481">
        <f>IFERROR(VLOOKUP(F481,TICO09!$F:$O,8,FALSE),0)</f>
        <v>15.4053</v>
      </c>
      <c r="N481">
        <f>IFERROR(VLOOKUP(F481,SROU03!$F:$O,9,FALSE),0)</f>
        <v>15.838200000000001</v>
      </c>
      <c r="O481">
        <v>16.7333</v>
      </c>
      <c r="P481" t="str">
        <f t="shared" si="35"/>
        <v>BM3D</v>
      </c>
      <c r="Q481">
        <f t="shared" si="33"/>
        <v>16.7333</v>
      </c>
      <c r="R481">
        <f>VLOOKUP(P481,'Color codes'!$A:$B,2,FALSE)</f>
        <v>1</v>
      </c>
      <c r="S481">
        <f>TRUNC(VLOOKUP(P481,'Color codes'!$A:$E,3,FALSE)*(0.25 + 0.75*Q481/40))</f>
        <v>143</v>
      </c>
      <c r="T481">
        <f>TRUNC(VLOOKUP(P481,'Color codes'!$A:$E,4,FALSE)*(0.25 + 0.75*Q481/40))</f>
        <v>60</v>
      </c>
      <c r="U481">
        <f>TRUNC(VLOOKUP(P481,'Color codes'!$A:$E,5,FALSE)*(0.25 + 0.75*Q481/40))</f>
        <v>58</v>
      </c>
      <c r="V481" t="b">
        <f t="shared" si="32"/>
        <v>0</v>
      </c>
    </row>
    <row r="482" spans="1:22" x14ac:dyDescent="0.25">
      <c r="A482" t="s">
        <v>21</v>
      </c>
      <c r="B482" t="s">
        <v>18</v>
      </c>
      <c r="C482">
        <v>3</v>
      </c>
      <c r="D482">
        <v>100</v>
      </c>
      <c r="E482">
        <v>200</v>
      </c>
      <c r="F482" t="str">
        <f t="shared" si="34"/>
        <v>castle256_blurkernel10_3_100_200</v>
      </c>
      <c r="G482">
        <f>IFERROR(VLOOKUP(F482,SROU03!$F:$H,2,FALSE),0)</f>
        <v>58.038921000000002</v>
      </c>
      <c r="H482">
        <f>IFERROR(VLOOKUP(F482,SROU03!$F:$H,3,FALSE),0)</f>
        <v>3.9097870000000001</v>
      </c>
      <c r="I482">
        <v>1.9043999999999999E-5</v>
      </c>
      <c r="J482">
        <v>8.7139999999999999E-6</v>
      </c>
      <c r="K482">
        <v>32.5762</v>
      </c>
      <c r="L482">
        <v>14.472899999999999</v>
      </c>
      <c r="M482">
        <f>IFERROR(VLOOKUP(F482,TICO09!$F:$O,8,FALSE),0)</f>
        <v>18.865200000000002</v>
      </c>
      <c r="N482">
        <f>IFERROR(VLOOKUP(F482,SROU03!$F:$O,9,FALSE),0)</f>
        <v>33.475900000000003</v>
      </c>
      <c r="O482">
        <v>34.527200000000001</v>
      </c>
      <c r="P482" t="str">
        <f t="shared" si="35"/>
        <v>BM3D</v>
      </c>
      <c r="Q482">
        <f t="shared" si="33"/>
        <v>34.527200000000001</v>
      </c>
      <c r="R482">
        <f>VLOOKUP(P482,'Color codes'!$A:$B,2,FALSE)</f>
        <v>1</v>
      </c>
      <c r="S482">
        <f>TRUNC(VLOOKUP(P482,'Color codes'!$A:$E,3,FALSE)*(0.25 + 0.75*Q482/40))</f>
        <v>228</v>
      </c>
      <c r="T482">
        <f>TRUNC(VLOOKUP(P482,'Color codes'!$A:$E,4,FALSE)*(0.25 + 0.75*Q482/40))</f>
        <v>96</v>
      </c>
      <c r="U482">
        <f>TRUNC(VLOOKUP(P482,'Color codes'!$A:$E,5,FALSE)*(0.25 + 0.75*Q482/40))</f>
        <v>93</v>
      </c>
      <c r="V482" t="b">
        <f t="shared" si="32"/>
        <v>1</v>
      </c>
    </row>
    <row r="483" spans="1:22" x14ac:dyDescent="0.25">
      <c r="A483" t="s">
        <v>21</v>
      </c>
      <c r="B483" t="s">
        <v>18</v>
      </c>
      <c r="C483">
        <v>3</v>
      </c>
      <c r="D483">
        <v>100</v>
      </c>
      <c r="E483">
        <v>400</v>
      </c>
      <c r="F483" t="str">
        <f t="shared" si="34"/>
        <v>castle256_blurkernel10_3_100_400</v>
      </c>
      <c r="G483">
        <f>IFERROR(VLOOKUP(F483,SROU03!$F:$H,2,FALSE),0)</f>
        <v>45.921123999999999</v>
      </c>
      <c r="H483">
        <f>IFERROR(VLOOKUP(F483,SROU03!$F:$H,3,FALSE),0)</f>
        <v>3.5839590000000001</v>
      </c>
      <c r="I483">
        <v>3.9737000000000003E-5</v>
      </c>
      <c r="J483">
        <v>8.7139999999999999E-6</v>
      </c>
      <c r="K483">
        <v>29.383299999999998</v>
      </c>
      <c r="L483">
        <v>14.472899999999999</v>
      </c>
      <c r="M483">
        <f>IFERROR(VLOOKUP(F483,TICO09!$F:$O,8,FALSE),0)</f>
        <v>18.8094</v>
      </c>
      <c r="N483">
        <f>IFERROR(VLOOKUP(F483,SROU03!$F:$O,9,FALSE),0)</f>
        <v>31.113700000000001</v>
      </c>
      <c r="O483">
        <v>31.8597</v>
      </c>
      <c r="P483" t="str">
        <f t="shared" si="35"/>
        <v>BM3D</v>
      </c>
      <c r="Q483">
        <f t="shared" si="33"/>
        <v>31.8597</v>
      </c>
      <c r="R483">
        <f>VLOOKUP(P483,'Color codes'!$A:$B,2,FALSE)</f>
        <v>1</v>
      </c>
      <c r="S483">
        <f>TRUNC(VLOOKUP(P483,'Color codes'!$A:$E,3,FALSE)*(0.25 + 0.75*Q483/40))</f>
        <v>216</v>
      </c>
      <c r="T483">
        <f>TRUNC(VLOOKUP(P483,'Color codes'!$A:$E,4,FALSE)*(0.25 + 0.75*Q483/40))</f>
        <v>90</v>
      </c>
      <c r="U483">
        <f>TRUNC(VLOOKUP(P483,'Color codes'!$A:$E,5,FALSE)*(0.25 + 0.75*Q483/40))</f>
        <v>88</v>
      </c>
      <c r="V483" t="b">
        <f t="shared" si="32"/>
        <v>0</v>
      </c>
    </row>
    <row r="484" spans="1:22" x14ac:dyDescent="0.25">
      <c r="A484" t="s">
        <v>21</v>
      </c>
      <c r="B484" t="s">
        <v>18</v>
      </c>
      <c r="C484">
        <v>3</v>
      </c>
      <c r="D484">
        <v>100</v>
      </c>
      <c r="E484">
        <v>800</v>
      </c>
      <c r="F484" t="str">
        <f t="shared" si="34"/>
        <v>castle256_blurkernel10_3_100_800</v>
      </c>
      <c r="G484">
        <f>IFERROR(VLOOKUP(F484,SROU03!$F:$H,2,FALSE),0)</f>
        <v>38.746290999999999</v>
      </c>
      <c r="H484">
        <f>IFERROR(VLOOKUP(F484,SROU03!$F:$H,3,FALSE),0)</f>
        <v>3.4257049999999998</v>
      </c>
      <c r="I484">
        <v>8.2016999999999998E-5</v>
      </c>
      <c r="J484">
        <v>8.7139999999999999E-6</v>
      </c>
      <c r="K484">
        <v>26.244900000000001</v>
      </c>
      <c r="L484">
        <v>14.472899999999999</v>
      </c>
      <c r="M484">
        <f>IFERROR(VLOOKUP(F484,TICO09!$F:$O,8,FALSE),0)</f>
        <v>18.7027</v>
      </c>
      <c r="N484">
        <f>IFERROR(VLOOKUP(F484,SROU03!$F:$O,9,FALSE),0)</f>
        <v>28.912500000000001</v>
      </c>
      <c r="O484">
        <v>29.154499999999999</v>
      </c>
      <c r="P484" t="str">
        <f t="shared" si="35"/>
        <v>BM3D</v>
      </c>
      <c r="Q484">
        <f t="shared" si="33"/>
        <v>29.154499999999999</v>
      </c>
      <c r="R484">
        <f>VLOOKUP(P484,'Color codes'!$A:$B,2,FALSE)</f>
        <v>1</v>
      </c>
      <c r="S484">
        <f>TRUNC(VLOOKUP(P484,'Color codes'!$A:$E,3,FALSE)*(0.25 + 0.75*Q484/40))</f>
        <v>203</v>
      </c>
      <c r="T484">
        <f>TRUNC(VLOOKUP(P484,'Color codes'!$A:$E,4,FALSE)*(0.25 + 0.75*Q484/40))</f>
        <v>85</v>
      </c>
      <c r="U484">
        <f>TRUNC(VLOOKUP(P484,'Color codes'!$A:$E,5,FALSE)*(0.25 + 0.75*Q484/40))</f>
        <v>82</v>
      </c>
      <c r="V484" t="b">
        <f t="shared" si="32"/>
        <v>0</v>
      </c>
    </row>
    <row r="485" spans="1:22" x14ac:dyDescent="0.25">
      <c r="A485" t="s">
        <v>21</v>
      </c>
      <c r="B485" t="s">
        <v>18</v>
      </c>
      <c r="C485">
        <v>3</v>
      </c>
      <c r="D485">
        <v>100</v>
      </c>
      <c r="E485">
        <v>1600</v>
      </c>
      <c r="F485" t="str">
        <f t="shared" si="34"/>
        <v>castle256_blurkernel10_3_100_1600</v>
      </c>
      <c r="G485">
        <f>IFERROR(VLOOKUP(F485,SROU03!$F:$H,2,FALSE),0)</f>
        <v>34.391260000000003</v>
      </c>
      <c r="H485">
        <f>IFERROR(VLOOKUP(F485,SROU03!$F:$H,3,FALSE),0)</f>
        <v>3.3568530000000001</v>
      </c>
      <c r="I485">
        <v>1.66467E-4</v>
      </c>
      <c r="J485">
        <v>8.7139999999999999E-6</v>
      </c>
      <c r="K485">
        <v>23.177299999999999</v>
      </c>
      <c r="L485">
        <v>14.472899999999999</v>
      </c>
      <c r="M485">
        <f>IFERROR(VLOOKUP(F485,TICO09!$F:$O,8,FALSE),0)</f>
        <v>18.4695</v>
      </c>
      <c r="N485">
        <f>IFERROR(VLOOKUP(F485,SROU03!$F:$O,9,FALSE),0)</f>
        <v>26.916799999999999</v>
      </c>
      <c r="O485">
        <v>26.581800000000001</v>
      </c>
      <c r="P485" t="str">
        <f t="shared" si="35"/>
        <v>SROU03</v>
      </c>
      <c r="Q485">
        <f t="shared" si="33"/>
        <v>26.916799999999999</v>
      </c>
      <c r="R485">
        <f>VLOOKUP(P485,'Color codes'!$A:$B,2,FALSE)</f>
        <v>3</v>
      </c>
      <c r="S485">
        <f>TRUNC(VLOOKUP(P485,'Color codes'!$A:$E,3,FALSE)*(0.25 + 0.75*Q485/40))</f>
        <v>80</v>
      </c>
      <c r="T485">
        <f>TRUNC(VLOOKUP(P485,'Color codes'!$A:$E,4,FALSE)*(0.25 + 0.75*Q485/40))</f>
        <v>132</v>
      </c>
      <c r="U485">
        <f>TRUNC(VLOOKUP(P485,'Color codes'!$A:$E,5,FALSE)*(0.25 + 0.75*Q485/40))</f>
        <v>192</v>
      </c>
      <c r="V485" t="b">
        <f t="shared" si="32"/>
        <v>0</v>
      </c>
    </row>
    <row r="486" spans="1:22" x14ac:dyDescent="0.25">
      <c r="A486" t="s">
        <v>21</v>
      </c>
      <c r="B486" t="s">
        <v>18</v>
      </c>
      <c r="C486">
        <v>3</v>
      </c>
      <c r="D486">
        <v>100</v>
      </c>
      <c r="E486">
        <v>3200</v>
      </c>
      <c r="F486" t="str">
        <f t="shared" si="34"/>
        <v>castle256_blurkernel10_3_100_3200</v>
      </c>
      <c r="G486">
        <f>IFERROR(VLOOKUP(F486,SROU03!$F:$H,2,FALSE),0)</f>
        <v>31.565629999999999</v>
      </c>
      <c r="H486">
        <f>IFERROR(VLOOKUP(F486,SROU03!$F:$H,3,FALSE),0)</f>
        <v>3.337799</v>
      </c>
      <c r="I486">
        <v>3.3874000000000003E-4</v>
      </c>
      <c r="J486">
        <v>8.7139999999999999E-6</v>
      </c>
      <c r="K486">
        <v>20.115200000000002</v>
      </c>
      <c r="L486">
        <v>14.472899999999999</v>
      </c>
      <c r="M486">
        <f>IFERROR(VLOOKUP(F486,TICO09!$F:$O,8,FALSE),0)</f>
        <v>18.143899999999999</v>
      </c>
      <c r="N486">
        <f>IFERROR(VLOOKUP(F486,SROU03!$F:$O,9,FALSE),0)</f>
        <v>24.860099999999999</v>
      </c>
      <c r="O486">
        <v>23.992599999999999</v>
      </c>
      <c r="P486" t="str">
        <f t="shared" si="35"/>
        <v>SROU03</v>
      </c>
      <c r="Q486">
        <f t="shared" si="33"/>
        <v>24.860099999999999</v>
      </c>
      <c r="R486">
        <f>VLOOKUP(P486,'Color codes'!$A:$B,2,FALSE)</f>
        <v>3</v>
      </c>
      <c r="S486">
        <f>TRUNC(VLOOKUP(P486,'Color codes'!$A:$E,3,FALSE)*(0.25 + 0.75*Q486/40))</f>
        <v>76</v>
      </c>
      <c r="T486">
        <f>TRUNC(VLOOKUP(P486,'Color codes'!$A:$E,4,FALSE)*(0.25 + 0.75*Q486/40))</f>
        <v>126</v>
      </c>
      <c r="U486">
        <f>TRUNC(VLOOKUP(P486,'Color codes'!$A:$E,5,FALSE)*(0.25 + 0.75*Q486/40))</f>
        <v>182</v>
      </c>
      <c r="V486" t="b">
        <f t="shared" ref="V486:V513" si="36">(ABS(N486-O486)  &gt; 1)</f>
        <v>0</v>
      </c>
    </row>
    <row r="487" spans="1:22" x14ac:dyDescent="0.25">
      <c r="A487" t="s">
        <v>21</v>
      </c>
      <c r="B487" t="s">
        <v>18</v>
      </c>
      <c r="C487">
        <v>3</v>
      </c>
      <c r="D487">
        <v>100</v>
      </c>
      <c r="E487">
        <v>6400</v>
      </c>
      <c r="F487" t="str">
        <f t="shared" si="34"/>
        <v>castle256_blurkernel10_3_100_6400</v>
      </c>
      <c r="G487">
        <f>IFERROR(VLOOKUP(F487,SROU03!$F:$H,2,FALSE),0)</f>
        <v>29.451678000000001</v>
      </c>
      <c r="H487">
        <f>IFERROR(VLOOKUP(F487,SROU03!$F:$H,3,FALSE),0)</f>
        <v>3.3474650000000001</v>
      </c>
      <c r="I487">
        <v>6.9459899999999995E-4</v>
      </c>
      <c r="J487">
        <v>8.7139999999999999E-6</v>
      </c>
      <c r="K487">
        <v>17.031400000000001</v>
      </c>
      <c r="L487">
        <v>14.472899999999999</v>
      </c>
      <c r="M487">
        <f>IFERROR(VLOOKUP(F487,TICO09!$F:$O,8,FALSE),0)</f>
        <v>17.605</v>
      </c>
      <c r="N487">
        <f>IFERROR(VLOOKUP(F487,SROU03!$F:$O,9,FALSE),0)</f>
        <v>23.062000000000001</v>
      </c>
      <c r="O487">
        <v>21.403199999999998</v>
      </c>
      <c r="P487" t="str">
        <f t="shared" si="35"/>
        <v>SROU03</v>
      </c>
      <c r="Q487">
        <f t="shared" si="33"/>
        <v>23.062000000000001</v>
      </c>
      <c r="R487">
        <f>VLOOKUP(P487,'Color codes'!$A:$B,2,FALSE)</f>
        <v>3</v>
      </c>
      <c r="S487">
        <f>TRUNC(VLOOKUP(P487,'Color codes'!$A:$E,3,FALSE)*(0.25 + 0.75*Q487/40))</f>
        <v>73</v>
      </c>
      <c r="T487">
        <f>TRUNC(VLOOKUP(P487,'Color codes'!$A:$E,4,FALSE)*(0.25 + 0.75*Q487/40))</f>
        <v>120</v>
      </c>
      <c r="U487">
        <f>TRUNC(VLOOKUP(P487,'Color codes'!$A:$E,5,FALSE)*(0.25 + 0.75*Q487/40))</f>
        <v>174</v>
      </c>
      <c r="V487" t="b">
        <f t="shared" si="36"/>
        <v>1</v>
      </c>
    </row>
    <row r="488" spans="1:22" x14ac:dyDescent="0.25">
      <c r="A488" t="s">
        <v>21</v>
      </c>
      <c r="B488" t="s">
        <v>18</v>
      </c>
      <c r="C488">
        <v>3</v>
      </c>
      <c r="D488">
        <v>100</v>
      </c>
      <c r="E488">
        <v>12800</v>
      </c>
      <c r="F488" t="str">
        <f t="shared" si="34"/>
        <v>castle256_blurkernel10_3_100_12800</v>
      </c>
      <c r="G488">
        <f>IFERROR(VLOOKUP(F488,SROU03!$F:$H,2,FALSE),0)</f>
        <v>27.608505999999998</v>
      </c>
      <c r="H488">
        <f>IFERROR(VLOOKUP(F488,SROU03!$F:$H,3,FALSE),0)</f>
        <v>3.3742160000000001</v>
      </c>
      <c r="I488">
        <v>1.470028E-3</v>
      </c>
      <c r="J488">
        <v>8.7139999999999999E-6</v>
      </c>
      <c r="K488">
        <v>13.8607</v>
      </c>
      <c r="L488">
        <v>14.472899999999999</v>
      </c>
      <c r="M488">
        <f>IFERROR(VLOOKUP(F488,TICO09!$F:$O,8,FALSE),0)</f>
        <v>17.0608</v>
      </c>
      <c r="N488">
        <f>IFERROR(VLOOKUP(F488,SROU03!$F:$O,9,FALSE),0)</f>
        <v>21.8584</v>
      </c>
      <c r="O488">
        <v>18.962499999999999</v>
      </c>
      <c r="P488" t="str">
        <f t="shared" si="35"/>
        <v>SROU03</v>
      </c>
      <c r="Q488">
        <f t="shared" si="33"/>
        <v>21.8584</v>
      </c>
      <c r="R488">
        <f>VLOOKUP(P488,'Color codes'!$A:$B,2,FALSE)</f>
        <v>3</v>
      </c>
      <c r="S488">
        <f>TRUNC(VLOOKUP(P488,'Color codes'!$A:$E,3,FALSE)*(0.25 + 0.75*Q488/40))</f>
        <v>70</v>
      </c>
      <c r="T488">
        <f>TRUNC(VLOOKUP(P488,'Color codes'!$A:$E,4,FALSE)*(0.25 + 0.75*Q488/40))</f>
        <v>116</v>
      </c>
      <c r="U488">
        <f>TRUNC(VLOOKUP(P488,'Color codes'!$A:$E,5,FALSE)*(0.25 + 0.75*Q488/40))</f>
        <v>168</v>
      </c>
      <c r="V488" t="b">
        <f t="shared" si="36"/>
        <v>1</v>
      </c>
    </row>
    <row r="489" spans="1:22" x14ac:dyDescent="0.25">
      <c r="A489" t="s">
        <v>21</v>
      </c>
      <c r="B489" t="s">
        <v>18</v>
      </c>
      <c r="C489">
        <v>3</v>
      </c>
      <c r="D489">
        <v>100</v>
      </c>
      <c r="E489">
        <v>25600</v>
      </c>
      <c r="F489" t="str">
        <f t="shared" si="34"/>
        <v>castle256_blurkernel10_3_100_25600</v>
      </c>
      <c r="G489">
        <f>IFERROR(VLOOKUP(F489,SROU03!$F:$H,2,FALSE),0)</f>
        <v>26.060853000000002</v>
      </c>
      <c r="H489">
        <f>IFERROR(VLOOKUP(F489,SROU03!$F:$H,3,FALSE),0)</f>
        <v>3.4045519999999998</v>
      </c>
      <c r="I489">
        <v>3.2156569999999998E-3</v>
      </c>
      <c r="J489">
        <v>8.7139999999999999E-6</v>
      </c>
      <c r="K489">
        <v>10.646100000000001</v>
      </c>
      <c r="L489">
        <v>14.472899999999999</v>
      </c>
      <c r="M489">
        <f>IFERROR(VLOOKUP(F489,TICO09!$F:$O,8,FALSE),0)</f>
        <v>16.083200000000001</v>
      </c>
      <c r="N489">
        <f>IFERROR(VLOOKUP(F489,SROU03!$F:$O,9,FALSE),0)</f>
        <v>21.388200000000001</v>
      </c>
      <c r="O489">
        <v>16.812100000000001</v>
      </c>
      <c r="P489" t="str">
        <f t="shared" si="35"/>
        <v>SROU03</v>
      </c>
      <c r="Q489">
        <f t="shared" si="33"/>
        <v>21.388200000000001</v>
      </c>
      <c r="R489">
        <f>VLOOKUP(P489,'Color codes'!$A:$B,2,FALSE)</f>
        <v>3</v>
      </c>
      <c r="S489">
        <f>TRUNC(VLOOKUP(P489,'Color codes'!$A:$E,3,FALSE)*(0.25 + 0.75*Q489/40))</f>
        <v>69</v>
      </c>
      <c r="T489">
        <f>TRUNC(VLOOKUP(P489,'Color codes'!$A:$E,4,FALSE)*(0.25 + 0.75*Q489/40))</f>
        <v>114</v>
      </c>
      <c r="U489">
        <f>TRUNC(VLOOKUP(P489,'Color codes'!$A:$E,5,FALSE)*(0.25 + 0.75*Q489/40))</f>
        <v>166</v>
      </c>
      <c r="V489" t="b">
        <f t="shared" si="36"/>
        <v>1</v>
      </c>
    </row>
    <row r="490" spans="1:22" x14ac:dyDescent="0.25">
      <c r="A490" t="s">
        <v>21</v>
      </c>
      <c r="B490" t="s">
        <v>18</v>
      </c>
      <c r="C490">
        <v>7</v>
      </c>
      <c r="D490">
        <v>100</v>
      </c>
      <c r="E490">
        <v>200</v>
      </c>
      <c r="F490" t="str">
        <f t="shared" si="34"/>
        <v>castle256_blurkernel10_7_100_200</v>
      </c>
      <c r="G490">
        <f>IFERROR(VLOOKUP(F490,SROU03!$F:$H,2,FALSE),0)</f>
        <v>52.017189000000002</v>
      </c>
      <c r="H490">
        <f>IFERROR(VLOOKUP(F490,SROU03!$F:$H,3,FALSE),0)</f>
        <v>10.233231999999999</v>
      </c>
      <c r="I490">
        <v>1.9177999999999998E-5</v>
      </c>
      <c r="J490">
        <v>8.7439999999999996E-6</v>
      </c>
      <c r="K490">
        <v>32.5473</v>
      </c>
      <c r="L490">
        <v>10.286799999999999</v>
      </c>
      <c r="M490">
        <f>IFERROR(VLOOKUP(F490,TICO09!$F:$O,8,FALSE),0)</f>
        <v>19.775500000000001</v>
      </c>
      <c r="N490">
        <f>IFERROR(VLOOKUP(F490,SROU03!$F:$O,9,FALSE),0)</f>
        <v>32.852899999999998</v>
      </c>
      <c r="O490">
        <v>34.469099999999997</v>
      </c>
      <c r="P490" t="str">
        <f t="shared" si="35"/>
        <v>BM3D</v>
      </c>
      <c r="Q490">
        <f t="shared" si="33"/>
        <v>34.469099999999997</v>
      </c>
      <c r="R490">
        <f>VLOOKUP(P490,'Color codes'!$A:$B,2,FALSE)</f>
        <v>1</v>
      </c>
      <c r="S490">
        <f>TRUNC(VLOOKUP(P490,'Color codes'!$A:$E,3,FALSE)*(0.25 + 0.75*Q490/40))</f>
        <v>228</v>
      </c>
      <c r="T490">
        <f>TRUNC(VLOOKUP(P490,'Color codes'!$A:$E,4,FALSE)*(0.25 + 0.75*Q490/40))</f>
        <v>95</v>
      </c>
      <c r="U490">
        <f>TRUNC(VLOOKUP(P490,'Color codes'!$A:$E,5,FALSE)*(0.25 + 0.75*Q490/40))</f>
        <v>93</v>
      </c>
      <c r="V490" t="b">
        <f t="shared" si="36"/>
        <v>1</v>
      </c>
    </row>
    <row r="491" spans="1:22" x14ac:dyDescent="0.25">
      <c r="A491" t="s">
        <v>21</v>
      </c>
      <c r="B491" t="s">
        <v>18</v>
      </c>
      <c r="C491">
        <v>7</v>
      </c>
      <c r="D491">
        <v>100</v>
      </c>
      <c r="E491">
        <v>400</v>
      </c>
      <c r="F491" t="str">
        <f t="shared" si="34"/>
        <v>castle256_blurkernel10_7_100_400</v>
      </c>
      <c r="G491">
        <f>IFERROR(VLOOKUP(F491,SROU03!$F:$H,2,FALSE),0)</f>
        <v>37.884152999999998</v>
      </c>
      <c r="H491">
        <f>IFERROR(VLOOKUP(F491,SROU03!$F:$H,3,FALSE),0)</f>
        <v>9.3558319999999995</v>
      </c>
      <c r="I491">
        <v>3.9909E-5</v>
      </c>
      <c r="J491">
        <v>8.7439999999999996E-6</v>
      </c>
      <c r="K491">
        <v>29.3674</v>
      </c>
      <c r="L491">
        <v>10.286799999999999</v>
      </c>
      <c r="M491">
        <f>IFERROR(VLOOKUP(F491,TICO09!$F:$O,8,FALSE),0)</f>
        <v>19.687000000000001</v>
      </c>
      <c r="N491">
        <f>IFERROR(VLOOKUP(F491,SROU03!$F:$O,9,FALSE),0)</f>
        <v>30.187100000000001</v>
      </c>
      <c r="O491">
        <v>31.831099999999999</v>
      </c>
      <c r="P491" t="str">
        <f t="shared" si="35"/>
        <v>BM3D</v>
      </c>
      <c r="Q491">
        <f t="shared" si="33"/>
        <v>31.831099999999999</v>
      </c>
      <c r="R491">
        <f>VLOOKUP(P491,'Color codes'!$A:$B,2,FALSE)</f>
        <v>1</v>
      </c>
      <c r="S491">
        <f>TRUNC(VLOOKUP(P491,'Color codes'!$A:$E,3,FALSE)*(0.25 + 0.75*Q491/40))</f>
        <v>215</v>
      </c>
      <c r="T491">
        <f>TRUNC(VLOOKUP(P491,'Color codes'!$A:$E,4,FALSE)*(0.25 + 0.75*Q491/40))</f>
        <v>90</v>
      </c>
      <c r="U491">
        <f>TRUNC(VLOOKUP(P491,'Color codes'!$A:$E,5,FALSE)*(0.25 + 0.75*Q491/40))</f>
        <v>88</v>
      </c>
      <c r="V491" t="b">
        <f t="shared" si="36"/>
        <v>1</v>
      </c>
    </row>
    <row r="492" spans="1:22" x14ac:dyDescent="0.25">
      <c r="A492" t="s">
        <v>21</v>
      </c>
      <c r="B492" t="s">
        <v>18</v>
      </c>
      <c r="C492">
        <v>7</v>
      </c>
      <c r="D492">
        <v>100</v>
      </c>
      <c r="E492">
        <v>800</v>
      </c>
      <c r="F492" t="str">
        <f t="shared" si="34"/>
        <v>castle256_blurkernel10_7_100_800</v>
      </c>
      <c r="G492">
        <f>IFERROR(VLOOKUP(F492,SROU03!$F:$H,2,FALSE),0)</f>
        <v>28.868124000000002</v>
      </c>
      <c r="H492">
        <f>IFERROR(VLOOKUP(F492,SROU03!$F:$H,3,FALSE),0)</f>
        <v>8.9155440000000006</v>
      </c>
      <c r="I492">
        <v>8.2049E-5</v>
      </c>
      <c r="J492">
        <v>8.7439999999999996E-6</v>
      </c>
      <c r="K492">
        <v>26.239000000000001</v>
      </c>
      <c r="L492">
        <v>10.286799999999999</v>
      </c>
      <c r="M492">
        <f>IFERROR(VLOOKUP(F492,TICO09!$F:$O,8,FALSE),0)</f>
        <v>19.518899999999999</v>
      </c>
      <c r="N492">
        <f>IFERROR(VLOOKUP(F492,SROU03!$F:$O,9,FALSE),0)</f>
        <v>27.730599999999999</v>
      </c>
      <c r="O492">
        <v>29.184100000000001</v>
      </c>
      <c r="P492" t="str">
        <f t="shared" si="35"/>
        <v>BM3D</v>
      </c>
      <c r="Q492">
        <f t="shared" si="33"/>
        <v>29.184100000000001</v>
      </c>
      <c r="R492">
        <f>VLOOKUP(P492,'Color codes'!$A:$B,2,FALSE)</f>
        <v>1</v>
      </c>
      <c r="S492">
        <f>TRUNC(VLOOKUP(P492,'Color codes'!$A:$E,3,FALSE)*(0.25 + 0.75*Q492/40))</f>
        <v>203</v>
      </c>
      <c r="T492">
        <f>TRUNC(VLOOKUP(P492,'Color codes'!$A:$E,4,FALSE)*(0.25 + 0.75*Q492/40))</f>
        <v>85</v>
      </c>
      <c r="U492">
        <f>TRUNC(VLOOKUP(P492,'Color codes'!$A:$E,5,FALSE)*(0.25 + 0.75*Q492/40))</f>
        <v>82</v>
      </c>
      <c r="V492" t="b">
        <f t="shared" si="36"/>
        <v>1</v>
      </c>
    </row>
    <row r="493" spans="1:22" x14ac:dyDescent="0.25">
      <c r="A493" t="s">
        <v>21</v>
      </c>
      <c r="B493" t="s">
        <v>18</v>
      </c>
      <c r="C493">
        <v>7</v>
      </c>
      <c r="D493">
        <v>100</v>
      </c>
      <c r="E493">
        <v>1600</v>
      </c>
      <c r="F493" t="str">
        <f t="shared" si="34"/>
        <v>castle256_blurkernel10_7_100_1600</v>
      </c>
      <c r="G493">
        <f>IFERROR(VLOOKUP(F493,SROU03!$F:$H,2,FALSE),0)</f>
        <v>23.133517000000001</v>
      </c>
      <c r="H493">
        <f>IFERROR(VLOOKUP(F493,SROU03!$F:$H,3,FALSE),0)</f>
        <v>8.6999060000000004</v>
      </c>
      <c r="I493">
        <v>1.6607300000000001E-4</v>
      </c>
      <c r="J493">
        <v>8.7439999999999996E-6</v>
      </c>
      <c r="K493">
        <v>23.192299999999999</v>
      </c>
      <c r="L493">
        <v>10.286799999999999</v>
      </c>
      <c r="M493">
        <f>IFERROR(VLOOKUP(F493,TICO09!$F:$O,8,FALSE),0)</f>
        <v>19.163599999999999</v>
      </c>
      <c r="N493">
        <f>IFERROR(VLOOKUP(F493,SROU03!$F:$O,9,FALSE),0)</f>
        <v>25.5442</v>
      </c>
      <c r="O493">
        <v>26.5519</v>
      </c>
      <c r="P493" t="str">
        <f t="shared" si="35"/>
        <v>BM3D</v>
      </c>
      <c r="Q493">
        <f t="shared" si="33"/>
        <v>26.5519</v>
      </c>
      <c r="R493">
        <f>VLOOKUP(P493,'Color codes'!$A:$B,2,FALSE)</f>
        <v>1</v>
      </c>
      <c r="S493">
        <f>TRUNC(VLOOKUP(P493,'Color codes'!$A:$E,3,FALSE)*(0.25 + 0.75*Q493/40))</f>
        <v>190</v>
      </c>
      <c r="T493">
        <f>TRUNC(VLOOKUP(P493,'Color codes'!$A:$E,4,FALSE)*(0.25 + 0.75*Q493/40))</f>
        <v>80</v>
      </c>
      <c r="U493">
        <f>TRUNC(VLOOKUP(P493,'Color codes'!$A:$E,5,FALSE)*(0.25 + 0.75*Q493/40))</f>
        <v>77</v>
      </c>
      <c r="V493" t="b">
        <f t="shared" si="36"/>
        <v>1</v>
      </c>
    </row>
    <row r="494" spans="1:22" x14ac:dyDescent="0.25">
      <c r="A494" t="s">
        <v>21</v>
      </c>
      <c r="B494" t="s">
        <v>18</v>
      </c>
      <c r="C494">
        <v>7</v>
      </c>
      <c r="D494">
        <v>100</v>
      </c>
      <c r="E494">
        <v>3200</v>
      </c>
      <c r="F494" t="str">
        <f t="shared" si="34"/>
        <v>castle256_blurkernel10_7_100_3200</v>
      </c>
      <c r="G494">
        <f>IFERROR(VLOOKUP(F494,SROU03!$F:$H,2,FALSE),0)</f>
        <v>19.519368</v>
      </c>
      <c r="H494">
        <f>IFERROR(VLOOKUP(F494,SROU03!$F:$H,3,FALSE),0)</f>
        <v>8.6040120000000009</v>
      </c>
      <c r="I494">
        <v>3.3571399999999998E-4</v>
      </c>
      <c r="J494">
        <v>8.7439999999999996E-6</v>
      </c>
      <c r="K494">
        <v>20.1494</v>
      </c>
      <c r="L494">
        <v>10.286799999999999</v>
      </c>
      <c r="M494">
        <f>IFERROR(VLOOKUP(F494,TICO09!$F:$O,8,FALSE),0)</f>
        <v>18.713000000000001</v>
      </c>
      <c r="N494">
        <f>IFERROR(VLOOKUP(F494,SROU03!$F:$O,9,FALSE),0)</f>
        <v>23.357399999999998</v>
      </c>
      <c r="O494">
        <v>24.052900000000001</v>
      </c>
      <c r="P494" t="str">
        <f t="shared" si="35"/>
        <v>BM3D</v>
      </c>
      <c r="Q494">
        <f t="shared" si="33"/>
        <v>24.052900000000001</v>
      </c>
      <c r="R494">
        <f>VLOOKUP(P494,'Color codes'!$A:$B,2,FALSE)</f>
        <v>1</v>
      </c>
      <c r="S494">
        <f>TRUNC(VLOOKUP(P494,'Color codes'!$A:$E,3,FALSE)*(0.25 + 0.75*Q494/40))</f>
        <v>178</v>
      </c>
      <c r="T494">
        <f>TRUNC(VLOOKUP(P494,'Color codes'!$A:$E,4,FALSE)*(0.25 + 0.75*Q494/40))</f>
        <v>75</v>
      </c>
      <c r="U494">
        <f>TRUNC(VLOOKUP(P494,'Color codes'!$A:$E,5,FALSE)*(0.25 + 0.75*Q494/40))</f>
        <v>72</v>
      </c>
      <c r="V494" t="b">
        <f t="shared" si="36"/>
        <v>0</v>
      </c>
    </row>
    <row r="495" spans="1:22" x14ac:dyDescent="0.25">
      <c r="A495" t="s">
        <v>21</v>
      </c>
      <c r="B495" t="s">
        <v>18</v>
      </c>
      <c r="C495">
        <v>7</v>
      </c>
      <c r="D495">
        <v>100</v>
      </c>
      <c r="E495">
        <v>6400</v>
      </c>
      <c r="F495" t="str">
        <f t="shared" si="34"/>
        <v>castle256_blurkernel10_7_100_6400</v>
      </c>
      <c r="G495">
        <f>IFERROR(VLOOKUP(F495,SROU03!$F:$H,2,FALSE),0)</f>
        <v>17.255538999999999</v>
      </c>
      <c r="H495">
        <f>IFERROR(VLOOKUP(F495,SROU03!$F:$H,3,FALSE),0)</f>
        <v>8.5703340000000008</v>
      </c>
      <c r="I495">
        <v>6.9375199999999995E-4</v>
      </c>
      <c r="J495">
        <v>8.7439999999999996E-6</v>
      </c>
      <c r="K495">
        <v>17.0381</v>
      </c>
      <c r="L495">
        <v>10.286799999999999</v>
      </c>
      <c r="M495">
        <f>IFERROR(VLOOKUP(F495,TICO09!$F:$O,8,FALSE),0)</f>
        <v>17.976600000000001</v>
      </c>
      <c r="N495">
        <f>IFERROR(VLOOKUP(F495,SROU03!$F:$O,9,FALSE),0)</f>
        <v>21.299499999999998</v>
      </c>
      <c r="O495">
        <v>21.4026</v>
      </c>
      <c r="P495" t="str">
        <f t="shared" si="35"/>
        <v>BM3D</v>
      </c>
      <c r="Q495">
        <f t="shared" si="33"/>
        <v>21.4026</v>
      </c>
      <c r="R495">
        <f>VLOOKUP(P495,'Color codes'!$A:$B,2,FALSE)</f>
        <v>1</v>
      </c>
      <c r="S495">
        <f>TRUNC(VLOOKUP(P495,'Color codes'!$A:$E,3,FALSE)*(0.25 + 0.75*Q495/40))</f>
        <v>166</v>
      </c>
      <c r="T495">
        <f>TRUNC(VLOOKUP(P495,'Color codes'!$A:$E,4,FALSE)*(0.25 + 0.75*Q495/40))</f>
        <v>69</v>
      </c>
      <c r="U495">
        <f>TRUNC(VLOOKUP(P495,'Color codes'!$A:$E,5,FALSE)*(0.25 + 0.75*Q495/40))</f>
        <v>67</v>
      </c>
      <c r="V495" t="b">
        <f t="shared" si="36"/>
        <v>0</v>
      </c>
    </row>
    <row r="496" spans="1:22" x14ac:dyDescent="0.25">
      <c r="A496" t="s">
        <v>21</v>
      </c>
      <c r="B496" t="s">
        <v>18</v>
      </c>
      <c r="C496">
        <v>7</v>
      </c>
      <c r="D496">
        <v>100</v>
      </c>
      <c r="E496">
        <v>12800</v>
      </c>
      <c r="F496" t="str">
        <f t="shared" si="34"/>
        <v>castle256_blurkernel10_7_100_12800</v>
      </c>
      <c r="G496">
        <f>IFERROR(VLOOKUP(F496,SROU03!$F:$H,2,FALSE),0)</f>
        <v>15.574833</v>
      </c>
      <c r="H496">
        <f>IFERROR(VLOOKUP(F496,SROU03!$F:$H,3,FALSE),0)</f>
        <v>8.5720120000000009</v>
      </c>
      <c r="I496">
        <v>1.4465750000000001E-3</v>
      </c>
      <c r="J496">
        <v>8.7439999999999996E-6</v>
      </c>
      <c r="K496">
        <v>13.932</v>
      </c>
      <c r="L496">
        <v>10.286799999999999</v>
      </c>
      <c r="M496">
        <f>IFERROR(VLOOKUP(F496,TICO09!$F:$O,8,FALSE),0)</f>
        <v>17.015499999999999</v>
      </c>
      <c r="N496">
        <f>IFERROR(VLOOKUP(F496,SROU03!$F:$O,9,FALSE),0)</f>
        <v>19.675799999999999</v>
      </c>
      <c r="O496">
        <v>18.983899999999998</v>
      </c>
      <c r="P496" t="str">
        <f t="shared" si="35"/>
        <v>SROU03</v>
      </c>
      <c r="Q496">
        <f t="shared" si="33"/>
        <v>19.675799999999999</v>
      </c>
      <c r="R496">
        <f>VLOOKUP(P496,'Color codes'!$A:$B,2,FALSE)</f>
        <v>3</v>
      </c>
      <c r="S496">
        <f>TRUNC(VLOOKUP(P496,'Color codes'!$A:$E,3,FALSE)*(0.25 + 0.75*Q496/40))</f>
        <v>66</v>
      </c>
      <c r="T496">
        <f>TRUNC(VLOOKUP(P496,'Color codes'!$A:$E,4,FALSE)*(0.25 + 0.75*Q496/40))</f>
        <v>108</v>
      </c>
      <c r="U496">
        <f>TRUNC(VLOOKUP(P496,'Color codes'!$A:$E,5,FALSE)*(0.25 + 0.75*Q496/40))</f>
        <v>157</v>
      </c>
      <c r="V496" t="b">
        <f t="shared" si="36"/>
        <v>0</v>
      </c>
    </row>
    <row r="497" spans="1:22" x14ac:dyDescent="0.25">
      <c r="A497" t="s">
        <v>21</v>
      </c>
      <c r="B497" t="s">
        <v>18</v>
      </c>
      <c r="C497">
        <v>7</v>
      </c>
      <c r="D497">
        <v>100</v>
      </c>
      <c r="E497">
        <v>25600</v>
      </c>
      <c r="F497" t="str">
        <f t="shared" si="34"/>
        <v>castle256_blurkernel10_7_100_25600</v>
      </c>
      <c r="G497">
        <f>IFERROR(VLOOKUP(F497,SROU03!$F:$H,2,FALSE),0)</f>
        <v>14.177572</v>
      </c>
      <c r="H497">
        <f>IFERROR(VLOOKUP(F497,SROU03!$F:$H,3,FALSE),0)</f>
        <v>8.5941969999999994</v>
      </c>
      <c r="I497">
        <v>3.2141180000000002E-3</v>
      </c>
      <c r="J497">
        <v>8.7439999999999996E-6</v>
      </c>
      <c r="K497">
        <v>10.6454</v>
      </c>
      <c r="L497">
        <v>10.286799999999999</v>
      </c>
      <c r="M497">
        <f>IFERROR(VLOOKUP(F497,TICO09!$F:$O,8,FALSE),0)</f>
        <v>15.6007</v>
      </c>
      <c r="N497">
        <f>IFERROR(VLOOKUP(F497,SROU03!$F:$O,9,FALSE),0)</f>
        <v>18.4556</v>
      </c>
      <c r="O497">
        <v>16.708400000000001</v>
      </c>
      <c r="P497" t="str">
        <f t="shared" si="35"/>
        <v>SROU03</v>
      </c>
      <c r="Q497">
        <f t="shared" si="33"/>
        <v>18.4556</v>
      </c>
      <c r="R497">
        <f>VLOOKUP(P497,'Color codes'!$A:$B,2,FALSE)</f>
        <v>3</v>
      </c>
      <c r="S497">
        <f>TRUNC(VLOOKUP(P497,'Color codes'!$A:$E,3,FALSE)*(0.25 + 0.75*Q497/40))</f>
        <v>63</v>
      </c>
      <c r="T497">
        <f>TRUNC(VLOOKUP(P497,'Color codes'!$A:$E,4,FALSE)*(0.25 + 0.75*Q497/40))</f>
        <v>104</v>
      </c>
      <c r="U497">
        <f>TRUNC(VLOOKUP(P497,'Color codes'!$A:$E,5,FALSE)*(0.25 + 0.75*Q497/40))</f>
        <v>151</v>
      </c>
      <c r="V497" t="b">
        <f t="shared" si="36"/>
        <v>1</v>
      </c>
    </row>
    <row r="498" spans="1:22" x14ac:dyDescent="0.25">
      <c r="A498" t="s">
        <v>21</v>
      </c>
      <c r="B498" t="s">
        <v>18</v>
      </c>
      <c r="C498">
        <v>15</v>
      </c>
      <c r="D498">
        <v>100</v>
      </c>
      <c r="E498">
        <v>200</v>
      </c>
      <c r="F498" t="str">
        <f t="shared" si="34"/>
        <v>castle256_blurkernel10_15_100_200</v>
      </c>
      <c r="G498">
        <f>IFERROR(VLOOKUP(F498,SROU03!$F:$H,2,FALSE),0)</f>
        <v>50.528947000000002</v>
      </c>
      <c r="H498">
        <f>IFERROR(VLOOKUP(F498,SROU03!$F:$H,3,FALSE),0)</f>
        <v>22.437251</v>
      </c>
      <c r="I498">
        <v>1.8957000000000002E-5</v>
      </c>
      <c r="J498">
        <v>8.7069999999999998E-6</v>
      </c>
      <c r="K498">
        <v>32.5974</v>
      </c>
      <c r="L498">
        <v>8.1893999999999991</v>
      </c>
      <c r="M498">
        <f>IFERROR(VLOOKUP(F498,TICO09!$F:$O,8,FALSE),0)</f>
        <v>20.025400000000001</v>
      </c>
      <c r="N498">
        <f>IFERROR(VLOOKUP(F498,SROU03!$F:$O,9,FALSE),0)</f>
        <v>32.686100000000003</v>
      </c>
      <c r="O498">
        <v>34.492899999999999</v>
      </c>
      <c r="P498" t="str">
        <f t="shared" si="35"/>
        <v>BM3D</v>
      </c>
      <c r="Q498">
        <f t="shared" si="33"/>
        <v>34.492899999999999</v>
      </c>
      <c r="R498">
        <f>VLOOKUP(P498,'Color codes'!$A:$B,2,FALSE)</f>
        <v>1</v>
      </c>
      <c r="S498">
        <f>TRUNC(VLOOKUP(P498,'Color codes'!$A:$E,3,FALSE)*(0.25 + 0.75*Q498/40))</f>
        <v>228</v>
      </c>
      <c r="T498">
        <f>TRUNC(VLOOKUP(P498,'Color codes'!$A:$E,4,FALSE)*(0.25 + 0.75*Q498/40))</f>
        <v>95</v>
      </c>
      <c r="U498">
        <f>TRUNC(VLOOKUP(P498,'Color codes'!$A:$E,5,FALSE)*(0.25 + 0.75*Q498/40))</f>
        <v>93</v>
      </c>
      <c r="V498" t="b">
        <f t="shared" si="36"/>
        <v>1</v>
      </c>
    </row>
    <row r="499" spans="1:22" x14ac:dyDescent="0.25">
      <c r="A499" t="s">
        <v>21</v>
      </c>
      <c r="B499" t="s">
        <v>18</v>
      </c>
      <c r="C499">
        <v>15</v>
      </c>
      <c r="D499">
        <v>100</v>
      </c>
      <c r="E499">
        <v>400</v>
      </c>
      <c r="F499" t="str">
        <f t="shared" si="34"/>
        <v>castle256_blurkernel10_15_100_400</v>
      </c>
      <c r="G499">
        <f>IFERROR(VLOOKUP(F499,SROU03!$F:$H,2,FALSE),0)</f>
        <v>35.873654999999999</v>
      </c>
      <c r="H499">
        <f>IFERROR(VLOOKUP(F499,SROU03!$F:$H,3,FALSE),0)</f>
        <v>20.555052</v>
      </c>
      <c r="I499">
        <v>3.9839000000000003E-5</v>
      </c>
      <c r="J499">
        <v>8.7069999999999998E-6</v>
      </c>
      <c r="K499">
        <v>29.372599999999998</v>
      </c>
      <c r="L499">
        <v>8.1893999999999991</v>
      </c>
      <c r="M499">
        <f>IFERROR(VLOOKUP(F499,TICO09!$F:$O,8,FALSE),0)</f>
        <v>19.9223</v>
      </c>
      <c r="N499">
        <f>IFERROR(VLOOKUP(F499,SROU03!$F:$O,9,FALSE),0)</f>
        <v>29.9602</v>
      </c>
      <c r="O499">
        <v>31.820499999999999</v>
      </c>
      <c r="P499" t="str">
        <f t="shared" si="35"/>
        <v>BM3D</v>
      </c>
      <c r="Q499">
        <f t="shared" si="33"/>
        <v>31.820499999999999</v>
      </c>
      <c r="R499">
        <f>VLOOKUP(P499,'Color codes'!$A:$B,2,FALSE)</f>
        <v>1</v>
      </c>
      <c r="S499">
        <f>TRUNC(VLOOKUP(P499,'Color codes'!$A:$E,3,FALSE)*(0.25 + 0.75*Q499/40))</f>
        <v>215</v>
      </c>
      <c r="T499">
        <f>TRUNC(VLOOKUP(P499,'Color codes'!$A:$E,4,FALSE)*(0.25 + 0.75*Q499/40))</f>
        <v>90</v>
      </c>
      <c r="U499">
        <f>TRUNC(VLOOKUP(P499,'Color codes'!$A:$E,5,FALSE)*(0.25 + 0.75*Q499/40))</f>
        <v>88</v>
      </c>
      <c r="V499" t="b">
        <f t="shared" si="36"/>
        <v>1</v>
      </c>
    </row>
    <row r="500" spans="1:22" x14ac:dyDescent="0.25">
      <c r="A500" t="s">
        <v>21</v>
      </c>
      <c r="B500" t="s">
        <v>18</v>
      </c>
      <c r="C500">
        <v>15</v>
      </c>
      <c r="D500">
        <v>100</v>
      </c>
      <c r="E500">
        <v>800</v>
      </c>
      <c r="F500" t="str">
        <f t="shared" si="34"/>
        <v>castle256_blurkernel10_15_100_800</v>
      </c>
      <c r="G500">
        <f>IFERROR(VLOOKUP(F500,SROU03!$F:$H,2,FALSE),0)</f>
        <v>25.93553</v>
      </c>
      <c r="H500">
        <f>IFERROR(VLOOKUP(F500,SROU03!$F:$H,3,FALSE),0)</f>
        <v>19.483529999999998</v>
      </c>
      <c r="I500">
        <v>8.2078999999999998E-5</v>
      </c>
      <c r="J500">
        <v>8.7069999999999998E-6</v>
      </c>
      <c r="K500">
        <v>26.24</v>
      </c>
      <c r="L500">
        <v>8.1893999999999991</v>
      </c>
      <c r="M500">
        <f>IFERROR(VLOOKUP(F500,TICO09!$F:$O,8,FALSE),0)</f>
        <v>19.744299999999999</v>
      </c>
      <c r="N500">
        <f>IFERROR(VLOOKUP(F500,SROU03!$F:$O,9,FALSE),0)</f>
        <v>27.507100000000001</v>
      </c>
      <c r="O500">
        <v>29.170200000000001</v>
      </c>
      <c r="P500" t="str">
        <f t="shared" si="35"/>
        <v>BM3D</v>
      </c>
      <c r="Q500">
        <f t="shared" si="33"/>
        <v>29.170200000000001</v>
      </c>
      <c r="R500">
        <f>VLOOKUP(P500,'Color codes'!$A:$B,2,FALSE)</f>
        <v>1</v>
      </c>
      <c r="S500">
        <f>TRUNC(VLOOKUP(P500,'Color codes'!$A:$E,3,FALSE)*(0.25 + 0.75*Q500/40))</f>
        <v>203</v>
      </c>
      <c r="T500">
        <f>TRUNC(VLOOKUP(P500,'Color codes'!$A:$E,4,FALSE)*(0.25 + 0.75*Q500/40))</f>
        <v>85</v>
      </c>
      <c r="U500">
        <f>TRUNC(VLOOKUP(P500,'Color codes'!$A:$E,5,FALSE)*(0.25 + 0.75*Q500/40))</f>
        <v>82</v>
      </c>
      <c r="V500" t="b">
        <f t="shared" si="36"/>
        <v>1</v>
      </c>
    </row>
    <row r="501" spans="1:22" x14ac:dyDescent="0.25">
      <c r="A501" t="s">
        <v>21</v>
      </c>
      <c r="B501" t="s">
        <v>18</v>
      </c>
      <c r="C501">
        <v>15</v>
      </c>
      <c r="D501">
        <v>100</v>
      </c>
      <c r="E501">
        <v>1600</v>
      </c>
      <c r="F501" t="str">
        <f t="shared" si="34"/>
        <v>castle256_blurkernel10_15_100_1600</v>
      </c>
      <c r="G501">
        <f>IFERROR(VLOOKUP(F501,SROU03!$F:$H,2,FALSE),0)</f>
        <v>19.537088000000001</v>
      </c>
      <c r="H501">
        <f>IFERROR(VLOOKUP(F501,SROU03!$F:$H,3,FALSE),0)</f>
        <v>19.081523000000001</v>
      </c>
      <c r="I501">
        <v>1.6590299999999999E-4</v>
      </c>
      <c r="J501">
        <v>8.7069999999999998E-6</v>
      </c>
      <c r="K501">
        <v>23.1953</v>
      </c>
      <c r="L501">
        <v>8.1893999999999991</v>
      </c>
      <c r="M501">
        <f>IFERROR(VLOOKUP(F501,TICO09!$F:$O,8,FALSE),0)</f>
        <v>19.369499999999999</v>
      </c>
      <c r="N501">
        <f>IFERROR(VLOOKUP(F501,SROU03!$F:$O,9,FALSE),0)</f>
        <v>25.0718</v>
      </c>
      <c r="O501">
        <v>26.609100000000002</v>
      </c>
      <c r="P501" t="str">
        <f t="shared" si="35"/>
        <v>BM3D</v>
      </c>
      <c r="Q501">
        <f t="shared" si="33"/>
        <v>26.609100000000002</v>
      </c>
      <c r="R501">
        <f>VLOOKUP(P501,'Color codes'!$A:$B,2,FALSE)</f>
        <v>1</v>
      </c>
      <c r="S501">
        <f>TRUNC(VLOOKUP(P501,'Color codes'!$A:$E,3,FALSE)*(0.25 + 0.75*Q501/40))</f>
        <v>190</v>
      </c>
      <c r="T501">
        <f>TRUNC(VLOOKUP(P501,'Color codes'!$A:$E,4,FALSE)*(0.25 + 0.75*Q501/40))</f>
        <v>80</v>
      </c>
      <c r="U501">
        <f>TRUNC(VLOOKUP(P501,'Color codes'!$A:$E,5,FALSE)*(0.25 + 0.75*Q501/40))</f>
        <v>77</v>
      </c>
      <c r="V501" t="b">
        <f t="shared" si="36"/>
        <v>1</v>
      </c>
    </row>
    <row r="502" spans="1:22" x14ac:dyDescent="0.25">
      <c r="A502" t="s">
        <v>21</v>
      </c>
      <c r="B502" t="s">
        <v>18</v>
      </c>
      <c r="C502">
        <v>15</v>
      </c>
      <c r="D502">
        <v>100</v>
      </c>
      <c r="E502">
        <v>3200</v>
      </c>
      <c r="F502" t="str">
        <f t="shared" si="34"/>
        <v>castle256_blurkernel10_15_100_3200</v>
      </c>
      <c r="G502">
        <f>IFERROR(VLOOKUP(F502,SROU03!$F:$H,2,FALSE),0)</f>
        <v>15.306013999999999</v>
      </c>
      <c r="H502">
        <f>IFERROR(VLOOKUP(F502,SROU03!$F:$H,3,FALSE),0)</f>
        <v>18.767543</v>
      </c>
      <c r="I502">
        <v>3.3925300000000003E-4</v>
      </c>
      <c r="J502">
        <v>8.7069999999999998E-6</v>
      </c>
      <c r="K502">
        <v>20.105899999999998</v>
      </c>
      <c r="L502">
        <v>8.1893999999999991</v>
      </c>
      <c r="M502">
        <f>IFERROR(VLOOKUP(F502,TICO09!$F:$O,8,FALSE),0)</f>
        <v>18.841000000000001</v>
      </c>
      <c r="N502">
        <f>IFERROR(VLOOKUP(F502,SROU03!$F:$O,9,FALSE),0)</f>
        <v>22.895199999999999</v>
      </c>
      <c r="O502">
        <v>24.012899999999998</v>
      </c>
      <c r="P502" t="str">
        <f t="shared" si="35"/>
        <v>BM3D</v>
      </c>
      <c r="Q502">
        <f t="shared" si="33"/>
        <v>24.012899999999998</v>
      </c>
      <c r="R502">
        <f>VLOOKUP(P502,'Color codes'!$A:$B,2,FALSE)</f>
        <v>1</v>
      </c>
      <c r="S502">
        <f>TRUNC(VLOOKUP(P502,'Color codes'!$A:$E,3,FALSE)*(0.25 + 0.75*Q502/40))</f>
        <v>178</v>
      </c>
      <c r="T502">
        <f>TRUNC(VLOOKUP(P502,'Color codes'!$A:$E,4,FALSE)*(0.25 + 0.75*Q502/40))</f>
        <v>74</v>
      </c>
      <c r="U502">
        <f>TRUNC(VLOOKUP(P502,'Color codes'!$A:$E,5,FALSE)*(0.25 + 0.75*Q502/40))</f>
        <v>72</v>
      </c>
      <c r="V502" t="b">
        <f t="shared" si="36"/>
        <v>1</v>
      </c>
    </row>
    <row r="503" spans="1:22" x14ac:dyDescent="0.25">
      <c r="A503" t="s">
        <v>21</v>
      </c>
      <c r="B503" t="s">
        <v>18</v>
      </c>
      <c r="C503">
        <v>15</v>
      </c>
      <c r="D503">
        <v>100</v>
      </c>
      <c r="E503">
        <v>6400</v>
      </c>
      <c r="F503" t="str">
        <f t="shared" si="34"/>
        <v>castle256_blurkernel10_15_100_6400</v>
      </c>
      <c r="G503">
        <f>IFERROR(VLOOKUP(F503,SROU03!$F:$H,2,FALSE),0)</f>
        <v>12.60707</v>
      </c>
      <c r="H503">
        <f>IFERROR(VLOOKUP(F503,SROU03!$F:$H,3,FALSE),0)</f>
        <v>18.745664999999999</v>
      </c>
      <c r="I503">
        <v>6.9562699999999999E-4</v>
      </c>
      <c r="J503">
        <v>8.7069999999999998E-6</v>
      </c>
      <c r="K503">
        <v>17.0304</v>
      </c>
      <c r="L503">
        <v>8.1893999999999991</v>
      </c>
      <c r="M503">
        <f>IFERROR(VLOOKUP(F503,TICO09!$F:$O,8,FALSE),0)</f>
        <v>18.0151</v>
      </c>
      <c r="N503">
        <f>IFERROR(VLOOKUP(F503,SROU03!$F:$O,9,FALSE),0)</f>
        <v>21.116800000000001</v>
      </c>
      <c r="O503">
        <v>21.464099999999998</v>
      </c>
      <c r="P503" t="str">
        <f t="shared" si="35"/>
        <v>BM3D</v>
      </c>
      <c r="Q503">
        <f t="shared" si="33"/>
        <v>21.464099999999998</v>
      </c>
      <c r="R503">
        <f>VLOOKUP(P503,'Color codes'!$A:$B,2,FALSE)</f>
        <v>1</v>
      </c>
      <c r="S503">
        <f>TRUNC(VLOOKUP(P503,'Color codes'!$A:$E,3,FALSE)*(0.25 + 0.75*Q503/40))</f>
        <v>166</v>
      </c>
      <c r="T503">
        <f>TRUNC(VLOOKUP(P503,'Color codes'!$A:$E,4,FALSE)*(0.25 + 0.75*Q503/40))</f>
        <v>69</v>
      </c>
      <c r="U503">
        <f>TRUNC(VLOOKUP(P503,'Color codes'!$A:$E,5,FALSE)*(0.25 + 0.75*Q503/40))</f>
        <v>67</v>
      </c>
      <c r="V503" t="b">
        <f t="shared" si="36"/>
        <v>0</v>
      </c>
    </row>
    <row r="504" spans="1:22" x14ac:dyDescent="0.25">
      <c r="A504" t="s">
        <v>21</v>
      </c>
      <c r="B504" t="s">
        <v>18</v>
      </c>
      <c r="C504">
        <v>15</v>
      </c>
      <c r="D504">
        <v>100</v>
      </c>
      <c r="E504">
        <v>12800</v>
      </c>
      <c r="F504" t="str">
        <f t="shared" si="34"/>
        <v>castle256_blurkernel10_15_100_12800</v>
      </c>
      <c r="G504">
        <f>IFERROR(VLOOKUP(F504,SROU03!$F:$H,2,FALSE),0)</f>
        <v>10.667234000000001</v>
      </c>
      <c r="H504">
        <f>IFERROR(VLOOKUP(F504,SROU03!$F:$H,3,FALSE),0)</f>
        <v>18.631302999999999</v>
      </c>
      <c r="I504">
        <v>1.451964E-3</v>
      </c>
      <c r="J504">
        <v>8.7069999999999998E-6</v>
      </c>
      <c r="K504">
        <v>13.9193</v>
      </c>
      <c r="L504">
        <v>8.1893999999999991</v>
      </c>
      <c r="M504">
        <f>IFERROR(VLOOKUP(F504,TICO09!$F:$O,8,FALSE),0)</f>
        <v>16.833500000000001</v>
      </c>
      <c r="N504">
        <f>IFERROR(VLOOKUP(F504,SROU03!$F:$O,9,FALSE),0)</f>
        <v>19.709900000000001</v>
      </c>
      <c r="O504">
        <v>19.0047</v>
      </c>
      <c r="P504" t="str">
        <f t="shared" si="35"/>
        <v>SROU03</v>
      </c>
      <c r="Q504">
        <f t="shared" si="33"/>
        <v>19.709900000000001</v>
      </c>
      <c r="R504">
        <f>VLOOKUP(P504,'Color codes'!$A:$B,2,FALSE)</f>
        <v>3</v>
      </c>
      <c r="S504">
        <f>TRUNC(VLOOKUP(P504,'Color codes'!$A:$E,3,FALSE)*(0.25 + 0.75*Q504/40))</f>
        <v>66</v>
      </c>
      <c r="T504">
        <f>TRUNC(VLOOKUP(P504,'Color codes'!$A:$E,4,FALSE)*(0.25 + 0.75*Q504/40))</f>
        <v>109</v>
      </c>
      <c r="U504">
        <f>TRUNC(VLOOKUP(P504,'Color codes'!$A:$E,5,FALSE)*(0.25 + 0.75*Q504/40))</f>
        <v>157</v>
      </c>
      <c r="V504" t="b">
        <f t="shared" si="36"/>
        <v>0</v>
      </c>
    </row>
    <row r="505" spans="1:22" x14ac:dyDescent="0.25">
      <c r="A505" t="s">
        <v>21</v>
      </c>
      <c r="B505" t="s">
        <v>18</v>
      </c>
      <c r="C505">
        <v>15</v>
      </c>
      <c r="D505">
        <v>100</v>
      </c>
      <c r="E505">
        <v>25600</v>
      </c>
      <c r="F505" t="str">
        <f t="shared" si="34"/>
        <v>castle256_blurkernel10_15_100_25600</v>
      </c>
      <c r="G505">
        <f>IFERROR(VLOOKUP(F505,SROU03!$F:$H,2,FALSE),0)</f>
        <v>9.3682090000000002</v>
      </c>
      <c r="H505">
        <f>IFERROR(VLOOKUP(F505,SROU03!$F:$H,3,FALSE),0)</f>
        <v>18.710592999999999</v>
      </c>
      <c r="I505">
        <v>3.2160909999999999E-3</v>
      </c>
      <c r="J505">
        <v>8.7069999999999998E-6</v>
      </c>
      <c r="K505">
        <v>10.6404</v>
      </c>
      <c r="L505">
        <v>8.1893999999999991</v>
      </c>
      <c r="M505">
        <f>IFERROR(VLOOKUP(F505,TICO09!$F:$O,8,FALSE),0)</f>
        <v>15.5869</v>
      </c>
      <c r="N505">
        <f>IFERROR(VLOOKUP(F505,SROU03!$F:$O,9,FALSE),0)</f>
        <v>18.253599999999999</v>
      </c>
      <c r="O505">
        <v>16.7804</v>
      </c>
      <c r="P505" t="str">
        <f t="shared" si="35"/>
        <v>SROU03</v>
      </c>
      <c r="Q505">
        <f t="shared" si="33"/>
        <v>18.253599999999999</v>
      </c>
      <c r="R505">
        <f>VLOOKUP(P505,'Color codes'!$A:$B,2,FALSE)</f>
        <v>3</v>
      </c>
      <c r="S505">
        <f>TRUNC(VLOOKUP(P505,'Color codes'!$A:$E,3,FALSE)*(0.25 + 0.75*Q505/40))</f>
        <v>63</v>
      </c>
      <c r="T505">
        <f>TRUNC(VLOOKUP(P505,'Color codes'!$A:$E,4,FALSE)*(0.25 + 0.75*Q505/40))</f>
        <v>104</v>
      </c>
      <c r="U505">
        <f>TRUNC(VLOOKUP(P505,'Color codes'!$A:$E,5,FALSE)*(0.25 + 0.75*Q505/40))</f>
        <v>151</v>
      </c>
      <c r="V505" t="b">
        <f t="shared" si="36"/>
        <v>1</v>
      </c>
    </row>
    <row r="506" spans="1:22" x14ac:dyDescent="0.25">
      <c r="A506" t="s">
        <v>21</v>
      </c>
      <c r="B506" t="s">
        <v>18</v>
      </c>
      <c r="C506">
        <v>31</v>
      </c>
      <c r="D506">
        <v>100</v>
      </c>
      <c r="E506">
        <v>200</v>
      </c>
      <c r="F506" t="str">
        <f t="shared" si="34"/>
        <v>castle256_blurkernel10_31_100_200</v>
      </c>
      <c r="G506">
        <f>IFERROR(VLOOKUP(F506,SROU03!$F:$H,2,FALSE),0)</f>
        <v>49.777388999999999</v>
      </c>
      <c r="H506">
        <f>IFERROR(VLOOKUP(F506,SROU03!$F:$H,3,FALSE),0)</f>
        <v>46.848140999999998</v>
      </c>
      <c r="I506">
        <v>1.9125000000000001E-5</v>
      </c>
      <c r="J506">
        <v>8.7360000000000007E-6</v>
      </c>
      <c r="K506">
        <v>32.558</v>
      </c>
      <c r="L506">
        <v>6.2159000000000004</v>
      </c>
      <c r="M506">
        <f>IFERROR(VLOOKUP(F506,TICO09!$F:$O,8,FALSE),0)</f>
        <v>20.2972</v>
      </c>
      <c r="N506">
        <f>IFERROR(VLOOKUP(F506,SROU03!$F:$O,9,FALSE),0)</f>
        <v>25.2286</v>
      </c>
      <c r="O506">
        <v>34.463900000000002</v>
      </c>
      <c r="P506" t="str">
        <f t="shared" si="35"/>
        <v>BM3D</v>
      </c>
      <c r="Q506">
        <f t="shared" si="33"/>
        <v>34.463900000000002</v>
      </c>
      <c r="R506">
        <f>VLOOKUP(P506,'Color codes'!$A:$B,2,FALSE)</f>
        <v>1</v>
      </c>
      <c r="S506">
        <f>TRUNC(VLOOKUP(P506,'Color codes'!$A:$E,3,FALSE)*(0.25 + 0.75*Q506/40))</f>
        <v>228</v>
      </c>
      <c r="T506">
        <f>TRUNC(VLOOKUP(P506,'Color codes'!$A:$E,4,FALSE)*(0.25 + 0.75*Q506/40))</f>
        <v>95</v>
      </c>
      <c r="U506">
        <f>TRUNC(VLOOKUP(P506,'Color codes'!$A:$E,5,FALSE)*(0.25 + 0.75*Q506/40))</f>
        <v>93</v>
      </c>
      <c r="V506" t="b">
        <f t="shared" si="36"/>
        <v>1</v>
      </c>
    </row>
    <row r="507" spans="1:22" x14ac:dyDescent="0.25">
      <c r="A507" t="s">
        <v>21</v>
      </c>
      <c r="B507" t="s">
        <v>18</v>
      </c>
      <c r="C507">
        <v>31</v>
      </c>
      <c r="D507">
        <v>100</v>
      </c>
      <c r="E507">
        <v>400</v>
      </c>
      <c r="F507" t="str">
        <f t="shared" si="34"/>
        <v>castle256_blurkernel10_31_100_400</v>
      </c>
      <c r="G507">
        <f>IFERROR(VLOOKUP(F507,SROU03!$F:$H,2,FALSE),0)</f>
        <v>34.944125</v>
      </c>
      <c r="H507">
        <f>IFERROR(VLOOKUP(F507,SROU03!$F:$H,3,FALSE),0)</f>
        <v>42.539783999999997</v>
      </c>
      <c r="I507">
        <v>4.0188000000000002E-5</v>
      </c>
      <c r="J507">
        <v>8.7360000000000007E-6</v>
      </c>
      <c r="K507">
        <v>29.337</v>
      </c>
      <c r="L507">
        <v>6.2159000000000004</v>
      </c>
      <c r="M507">
        <f>IFERROR(VLOOKUP(F507,TICO09!$F:$O,8,FALSE),0)</f>
        <v>20.211200000000002</v>
      </c>
      <c r="N507">
        <f>IFERROR(VLOOKUP(F507,SROU03!$F:$O,9,FALSE),0)</f>
        <v>29.521699999999999</v>
      </c>
      <c r="O507">
        <v>31.7713</v>
      </c>
      <c r="P507" t="str">
        <f t="shared" si="35"/>
        <v>BM3D</v>
      </c>
      <c r="Q507">
        <f t="shared" si="33"/>
        <v>31.7713</v>
      </c>
      <c r="R507">
        <f>VLOOKUP(P507,'Color codes'!$A:$B,2,FALSE)</f>
        <v>1</v>
      </c>
      <c r="S507">
        <f>TRUNC(VLOOKUP(P507,'Color codes'!$A:$E,3,FALSE)*(0.25 + 0.75*Q507/40))</f>
        <v>215</v>
      </c>
      <c r="T507">
        <f>TRUNC(VLOOKUP(P507,'Color codes'!$A:$E,4,FALSE)*(0.25 + 0.75*Q507/40))</f>
        <v>90</v>
      </c>
      <c r="U507">
        <f>TRUNC(VLOOKUP(P507,'Color codes'!$A:$E,5,FALSE)*(0.25 + 0.75*Q507/40))</f>
        <v>87</v>
      </c>
      <c r="V507" t="b">
        <f t="shared" si="36"/>
        <v>1</v>
      </c>
    </row>
    <row r="508" spans="1:22" x14ac:dyDescent="0.25">
      <c r="A508" t="s">
        <v>21</v>
      </c>
      <c r="B508" t="s">
        <v>18</v>
      </c>
      <c r="C508">
        <v>31</v>
      </c>
      <c r="D508">
        <v>100</v>
      </c>
      <c r="E508">
        <v>800</v>
      </c>
      <c r="F508" t="str">
        <f t="shared" si="34"/>
        <v>castle256_blurkernel10_31_100_800</v>
      </c>
      <c r="G508">
        <f>IFERROR(VLOOKUP(F508,SROU03!$F:$H,2,FALSE),0)</f>
        <v>24.482066</v>
      </c>
      <c r="H508">
        <f>IFERROR(VLOOKUP(F508,SROU03!$F:$H,3,FALSE),0)</f>
        <v>40.612039000000003</v>
      </c>
      <c r="I508">
        <v>8.1919E-5</v>
      </c>
      <c r="J508">
        <v>8.7360000000000007E-6</v>
      </c>
      <c r="K508">
        <v>26.251000000000001</v>
      </c>
      <c r="L508">
        <v>6.2159000000000004</v>
      </c>
      <c r="M508">
        <f>IFERROR(VLOOKUP(F508,TICO09!$F:$O,8,FALSE),0)</f>
        <v>19.911200000000001</v>
      </c>
      <c r="N508">
        <f>IFERROR(VLOOKUP(F508,SROU03!$F:$O,9,FALSE),0)</f>
        <v>22.330400000000001</v>
      </c>
      <c r="O508">
        <v>29.2332</v>
      </c>
      <c r="P508" t="str">
        <f t="shared" si="35"/>
        <v>BM3D</v>
      </c>
      <c r="Q508">
        <f t="shared" si="33"/>
        <v>29.2332</v>
      </c>
      <c r="R508">
        <f>VLOOKUP(P508,'Color codes'!$A:$B,2,FALSE)</f>
        <v>1</v>
      </c>
      <c r="S508">
        <f>TRUNC(VLOOKUP(P508,'Color codes'!$A:$E,3,FALSE)*(0.25 + 0.75*Q508/40))</f>
        <v>203</v>
      </c>
      <c r="T508">
        <f>TRUNC(VLOOKUP(P508,'Color codes'!$A:$E,4,FALSE)*(0.25 + 0.75*Q508/40))</f>
        <v>85</v>
      </c>
      <c r="U508">
        <f>TRUNC(VLOOKUP(P508,'Color codes'!$A:$E,5,FALSE)*(0.25 + 0.75*Q508/40))</f>
        <v>83</v>
      </c>
      <c r="V508" t="b">
        <f t="shared" si="36"/>
        <v>1</v>
      </c>
    </row>
    <row r="509" spans="1:22" x14ac:dyDescent="0.25">
      <c r="A509" t="s">
        <v>21</v>
      </c>
      <c r="B509" t="s">
        <v>18</v>
      </c>
      <c r="C509">
        <v>31</v>
      </c>
      <c r="D509">
        <v>100</v>
      </c>
      <c r="E509">
        <v>1600</v>
      </c>
      <c r="F509" t="str">
        <f t="shared" si="34"/>
        <v>castle256_blurkernel10_31_100_1600</v>
      </c>
      <c r="G509">
        <f>IFERROR(VLOOKUP(F509,SROU03!$F:$H,2,FALSE),0)</f>
        <v>18.177247999999999</v>
      </c>
      <c r="H509">
        <f>IFERROR(VLOOKUP(F509,SROU03!$F:$H,3,FALSE),0)</f>
        <v>39.449390000000001</v>
      </c>
      <c r="I509">
        <v>1.6661099999999999E-4</v>
      </c>
      <c r="J509">
        <v>8.7360000000000007E-6</v>
      </c>
      <c r="K509">
        <v>23.1769</v>
      </c>
      <c r="L509">
        <v>6.2159000000000004</v>
      </c>
      <c r="M509">
        <f>IFERROR(VLOOKUP(F509,TICO09!$F:$O,8,FALSE),0)</f>
        <v>19.515599999999999</v>
      </c>
      <c r="N509">
        <f>IFERROR(VLOOKUP(F509,SROU03!$F:$O,9,FALSE),0)</f>
        <v>24.671800000000001</v>
      </c>
      <c r="O509">
        <v>26.586300000000001</v>
      </c>
      <c r="P509" t="str">
        <f t="shared" si="35"/>
        <v>BM3D</v>
      </c>
      <c r="Q509">
        <f t="shared" si="33"/>
        <v>26.586300000000001</v>
      </c>
      <c r="R509">
        <f>VLOOKUP(P509,'Color codes'!$A:$B,2,FALSE)</f>
        <v>1</v>
      </c>
      <c r="S509">
        <f>TRUNC(VLOOKUP(P509,'Color codes'!$A:$E,3,FALSE)*(0.25 + 0.75*Q509/40))</f>
        <v>190</v>
      </c>
      <c r="T509">
        <f>TRUNC(VLOOKUP(P509,'Color codes'!$A:$E,4,FALSE)*(0.25 + 0.75*Q509/40))</f>
        <v>80</v>
      </c>
      <c r="U509">
        <f>TRUNC(VLOOKUP(P509,'Color codes'!$A:$E,5,FALSE)*(0.25 + 0.75*Q509/40))</f>
        <v>77</v>
      </c>
      <c r="V509" t="b">
        <f t="shared" si="36"/>
        <v>1</v>
      </c>
    </row>
    <row r="510" spans="1:22" x14ac:dyDescent="0.25">
      <c r="A510" t="s">
        <v>21</v>
      </c>
      <c r="B510" t="s">
        <v>18</v>
      </c>
      <c r="C510">
        <v>31</v>
      </c>
      <c r="D510">
        <v>100</v>
      </c>
      <c r="E510">
        <v>3200</v>
      </c>
      <c r="F510" t="str">
        <f t="shared" si="34"/>
        <v>castle256_blurkernel10_31_100_3200</v>
      </c>
      <c r="G510">
        <f>IFERROR(VLOOKUP(F510,SROU03!$F:$H,2,FALSE),0)</f>
        <v>12.980487</v>
      </c>
      <c r="H510">
        <f>IFERROR(VLOOKUP(F510,SROU03!$F:$H,3,FALSE),0)</f>
        <v>38.994278000000001</v>
      </c>
      <c r="I510">
        <v>3.3563100000000003E-4</v>
      </c>
      <c r="J510">
        <v>8.7360000000000007E-6</v>
      </c>
      <c r="K510">
        <v>20.1556</v>
      </c>
      <c r="L510">
        <v>6.2159000000000004</v>
      </c>
      <c r="M510">
        <f>IFERROR(VLOOKUP(F510,TICO09!$F:$O,8,FALSE),0)</f>
        <v>18.916899999999998</v>
      </c>
      <c r="N510">
        <f>IFERROR(VLOOKUP(F510,SROU03!$F:$O,9,FALSE),0)</f>
        <v>21.0639</v>
      </c>
      <c r="O510">
        <v>24.049299999999999</v>
      </c>
      <c r="P510" t="str">
        <f t="shared" si="35"/>
        <v>BM3D</v>
      </c>
      <c r="Q510">
        <f t="shared" si="33"/>
        <v>24.049299999999999</v>
      </c>
      <c r="R510">
        <f>VLOOKUP(P510,'Color codes'!$A:$B,2,FALSE)</f>
        <v>1</v>
      </c>
      <c r="S510">
        <f>TRUNC(VLOOKUP(P510,'Color codes'!$A:$E,3,FALSE)*(0.25 + 0.75*Q510/40))</f>
        <v>178</v>
      </c>
      <c r="T510">
        <f>TRUNC(VLOOKUP(P510,'Color codes'!$A:$E,4,FALSE)*(0.25 + 0.75*Q510/40))</f>
        <v>74</v>
      </c>
      <c r="U510">
        <f>TRUNC(VLOOKUP(P510,'Color codes'!$A:$E,5,FALSE)*(0.25 + 0.75*Q510/40))</f>
        <v>72</v>
      </c>
      <c r="V510" t="b">
        <f t="shared" si="36"/>
        <v>1</v>
      </c>
    </row>
    <row r="511" spans="1:22" x14ac:dyDescent="0.25">
      <c r="A511" t="s">
        <v>21</v>
      </c>
      <c r="B511" t="s">
        <v>18</v>
      </c>
      <c r="C511">
        <v>31</v>
      </c>
      <c r="D511">
        <v>100</v>
      </c>
      <c r="E511">
        <v>6400</v>
      </c>
      <c r="F511" t="str">
        <f t="shared" si="34"/>
        <v>castle256_blurkernel10_31_100_6400</v>
      </c>
      <c r="G511">
        <f>IFERROR(VLOOKUP(F511,SROU03!$F:$H,2,FALSE),0)</f>
        <v>10.547666</v>
      </c>
      <c r="H511">
        <f>IFERROR(VLOOKUP(F511,SROU03!$F:$H,3,FALSE),0)</f>
        <v>38.669840999999998</v>
      </c>
      <c r="I511">
        <v>6.9764200000000005E-4</v>
      </c>
      <c r="J511">
        <v>8.7360000000000007E-6</v>
      </c>
      <c r="K511">
        <v>17.020299999999999</v>
      </c>
      <c r="L511">
        <v>6.2159000000000004</v>
      </c>
      <c r="M511">
        <f>IFERROR(VLOOKUP(F511,TICO09!$F:$O,8,FALSE),0)</f>
        <v>18.0685</v>
      </c>
      <c r="N511">
        <f>IFERROR(VLOOKUP(F511,SROU03!$F:$O,9,FALSE),0)</f>
        <v>20.65</v>
      </c>
      <c r="O511">
        <v>21.491299999999999</v>
      </c>
      <c r="P511" t="str">
        <f t="shared" si="35"/>
        <v>BM3D</v>
      </c>
      <c r="Q511">
        <f t="shared" si="33"/>
        <v>21.491299999999999</v>
      </c>
      <c r="R511">
        <f>VLOOKUP(P511,'Color codes'!$A:$B,2,FALSE)</f>
        <v>1</v>
      </c>
      <c r="S511">
        <f>TRUNC(VLOOKUP(P511,'Color codes'!$A:$E,3,FALSE)*(0.25 + 0.75*Q511/40))</f>
        <v>166</v>
      </c>
      <c r="T511">
        <f>TRUNC(VLOOKUP(P511,'Color codes'!$A:$E,4,FALSE)*(0.25 + 0.75*Q511/40))</f>
        <v>69</v>
      </c>
      <c r="U511">
        <f>TRUNC(VLOOKUP(P511,'Color codes'!$A:$E,5,FALSE)*(0.25 + 0.75*Q511/40))</f>
        <v>67</v>
      </c>
      <c r="V511" t="b">
        <f t="shared" si="36"/>
        <v>0</v>
      </c>
    </row>
    <row r="512" spans="1:22" x14ac:dyDescent="0.25">
      <c r="A512" t="s">
        <v>21</v>
      </c>
      <c r="B512" t="s">
        <v>18</v>
      </c>
      <c r="C512">
        <v>31</v>
      </c>
      <c r="D512">
        <v>100</v>
      </c>
      <c r="E512">
        <v>12800</v>
      </c>
      <c r="F512" t="str">
        <f t="shared" si="34"/>
        <v>castle256_blurkernel10_31_100_12800</v>
      </c>
      <c r="G512">
        <f>IFERROR(VLOOKUP(F512,SROU03!$F:$H,2,FALSE),0)</f>
        <v>8.4317349999999998</v>
      </c>
      <c r="H512">
        <f>IFERROR(VLOOKUP(F512,SROU03!$F:$H,3,FALSE),0)</f>
        <v>38.507548</v>
      </c>
      <c r="I512">
        <v>1.4798529999999999E-3</v>
      </c>
      <c r="J512">
        <v>8.7360000000000007E-6</v>
      </c>
      <c r="K512">
        <v>13.8324</v>
      </c>
      <c r="L512">
        <v>6.2159000000000004</v>
      </c>
      <c r="M512">
        <f>IFERROR(VLOOKUP(F512,TICO09!$F:$O,8,FALSE),0)</f>
        <v>16.828099999999999</v>
      </c>
      <c r="N512">
        <f>IFERROR(VLOOKUP(F512,SROU03!$F:$O,9,FALSE),0)</f>
        <v>18.875499999999999</v>
      </c>
      <c r="O512">
        <v>18.977</v>
      </c>
      <c r="P512" t="str">
        <f t="shared" si="35"/>
        <v>BM3D</v>
      </c>
      <c r="Q512">
        <f t="shared" si="33"/>
        <v>18.977</v>
      </c>
      <c r="R512">
        <f>VLOOKUP(P512,'Color codes'!$A:$B,2,FALSE)</f>
        <v>1</v>
      </c>
      <c r="S512">
        <f>TRUNC(VLOOKUP(P512,'Color codes'!$A:$E,3,FALSE)*(0.25 + 0.75*Q512/40))</f>
        <v>154</v>
      </c>
      <c r="T512">
        <f>TRUNC(VLOOKUP(P512,'Color codes'!$A:$E,4,FALSE)*(0.25 + 0.75*Q512/40))</f>
        <v>64</v>
      </c>
      <c r="U512">
        <f>TRUNC(VLOOKUP(P512,'Color codes'!$A:$E,5,FALSE)*(0.25 + 0.75*Q512/40))</f>
        <v>63</v>
      </c>
      <c r="V512" t="b">
        <f t="shared" si="36"/>
        <v>0</v>
      </c>
    </row>
    <row r="513" spans="1:22" x14ac:dyDescent="0.25">
      <c r="A513" t="s">
        <v>21</v>
      </c>
      <c r="B513" t="s">
        <v>18</v>
      </c>
      <c r="C513">
        <v>31</v>
      </c>
      <c r="D513">
        <v>100</v>
      </c>
      <c r="E513">
        <v>25600</v>
      </c>
      <c r="F513" t="str">
        <f t="shared" si="34"/>
        <v>castle256_blurkernel10_31_100_25600</v>
      </c>
      <c r="G513">
        <f>IFERROR(VLOOKUP(F513,SROU03!$F:$H,2,FALSE),0)</f>
        <v>6.9985010000000001</v>
      </c>
      <c r="H513">
        <f>IFERROR(VLOOKUP(F513,SROU03!$F:$H,3,FALSE),0)</f>
        <v>38.540239</v>
      </c>
      <c r="I513">
        <v>3.2509330000000001E-3</v>
      </c>
      <c r="J513">
        <v>8.7360000000000007E-6</v>
      </c>
      <c r="K513">
        <v>10.5975</v>
      </c>
      <c r="L513">
        <v>6.2159000000000004</v>
      </c>
      <c r="M513">
        <f>IFERROR(VLOOKUP(F513,TICO09!$F:$O,8,FALSE),0)</f>
        <v>15.3987</v>
      </c>
      <c r="N513">
        <f>IFERROR(VLOOKUP(F513,SROU03!$F:$O,9,FALSE),0)</f>
        <v>17.453700000000001</v>
      </c>
      <c r="O513">
        <v>16.698399999999999</v>
      </c>
      <c r="P513" t="str">
        <f t="shared" si="35"/>
        <v>SROU03</v>
      </c>
      <c r="Q513">
        <f t="shared" si="33"/>
        <v>17.453700000000001</v>
      </c>
      <c r="R513">
        <f>VLOOKUP(P513,'Color codes'!$A:$B,2,FALSE)</f>
        <v>3</v>
      </c>
      <c r="S513">
        <f>TRUNC(VLOOKUP(P513,'Color codes'!$A:$E,3,FALSE)*(0.25 + 0.75*Q513/40))</f>
        <v>61</v>
      </c>
      <c r="T513">
        <f>TRUNC(VLOOKUP(P513,'Color codes'!$A:$E,4,FALSE)*(0.25 + 0.75*Q513/40))</f>
        <v>101</v>
      </c>
      <c r="U513">
        <f>TRUNC(VLOOKUP(P513,'Color codes'!$A:$E,5,FALSE)*(0.25 + 0.75*Q513/40))</f>
        <v>147</v>
      </c>
      <c r="V513" t="b">
        <f t="shared" si="36"/>
        <v>0</v>
      </c>
    </row>
    <row r="514" spans="1:22" x14ac:dyDescent="0.25">
      <c r="A514" t="s">
        <v>21</v>
      </c>
      <c r="B514" t="s">
        <v>18</v>
      </c>
      <c r="C514">
        <v>3</v>
      </c>
      <c r="D514">
        <v>100</v>
      </c>
      <c r="E514">
        <v>102400</v>
      </c>
      <c r="F514" t="str">
        <f t="shared" si="34"/>
        <v>castle256_blurkernel10_3_100_102400</v>
      </c>
      <c r="G514">
        <f>IFERROR(VLOOKUP(F514,SROU03!$F:$H,2,FALSE),0)</f>
        <v>24.011403999999999</v>
      </c>
      <c r="H514">
        <f>IFERROR(VLOOKUP(F514,SROU03!$F:$H,3,FALSE),0)</f>
        <v>3.430555</v>
      </c>
      <c r="I514">
        <v>1.9950213000000001E-2</v>
      </c>
      <c r="J514">
        <v>8.7579999999999998E-6</v>
      </c>
      <c r="K514">
        <v>4.1448</v>
      </c>
      <c r="L514">
        <v>14.471299999999999</v>
      </c>
      <c r="M514">
        <f>IFERROR(VLOOKUP(F514,TICO09!$F:$O,8,FALSE),0)</f>
        <v>13.7018</v>
      </c>
      <c r="N514">
        <f>IFERROR(VLOOKUP(F514,SROU03!$F:$O,9,FALSE),0)</f>
        <v>20.344999999999999</v>
      </c>
      <c r="O514">
        <v>12.513500000000001</v>
      </c>
      <c r="P514" t="str">
        <f t="shared" ref="P514:P577" si="37">IF((O514&gt;(MAX(M514,N514))),"BM3D",IF(N514&gt;(MAX(M514,O514)),"SROU03","TICO09"))</f>
        <v>SROU03</v>
      </c>
      <c r="Q514">
        <f t="shared" si="33"/>
        <v>20.344999999999999</v>
      </c>
      <c r="R514">
        <f>VLOOKUP(P514,'Color codes'!$A:$B,2,FALSE)</f>
        <v>3</v>
      </c>
      <c r="S514">
        <f>TRUNC(VLOOKUP(P514,'Color codes'!$A:$E,3,FALSE)*(0.25 + 0.75*Q514/40))</f>
        <v>67</v>
      </c>
      <c r="T514">
        <f>TRUNC(VLOOKUP(P514,'Color codes'!$A:$E,4,FALSE)*(0.25 + 0.75*Q514/40))</f>
        <v>111</v>
      </c>
      <c r="U514">
        <f>TRUNC(VLOOKUP(P514,'Color codes'!$A:$E,5,FALSE)*(0.25 + 0.75*Q514/40))</f>
        <v>161</v>
      </c>
      <c r="V514" t="b">
        <f t="shared" ref="V514:V577" si="38">(ABS(N514-O514)  &gt; 1)</f>
        <v>1</v>
      </c>
    </row>
    <row r="515" spans="1:22" x14ac:dyDescent="0.25">
      <c r="A515" t="s">
        <v>21</v>
      </c>
      <c r="B515" t="s">
        <v>18</v>
      </c>
      <c r="C515">
        <v>7</v>
      </c>
      <c r="D515">
        <v>100</v>
      </c>
      <c r="E515">
        <v>102400</v>
      </c>
      <c r="F515" t="str">
        <f t="shared" si="34"/>
        <v>castle256_blurkernel10_7_100_102400</v>
      </c>
      <c r="G515">
        <f>IFERROR(VLOOKUP(F515,SROU03!$F:$H,2,FALSE),0)</f>
        <v>11.364986</v>
      </c>
      <c r="H515">
        <f>IFERROR(VLOOKUP(F515,SROU03!$F:$H,3,FALSE),0)</f>
        <v>8.6499330000000008</v>
      </c>
      <c r="I515">
        <v>2.0016320000000001E-2</v>
      </c>
      <c r="J515">
        <v>8.7530000000000007E-6</v>
      </c>
      <c r="K515">
        <v>4.1064999999999996</v>
      </c>
      <c r="L515">
        <v>10.2875</v>
      </c>
      <c r="M515">
        <f>IFERROR(VLOOKUP(F515,TICO09!$F:$O,8,FALSE),0)</f>
        <v>12.0359</v>
      </c>
      <c r="N515">
        <f>IFERROR(VLOOKUP(F515,SROU03!$F:$O,9,FALSE),0)</f>
        <v>14.510300000000001</v>
      </c>
      <c r="O515">
        <v>12.4071</v>
      </c>
      <c r="P515" t="str">
        <f t="shared" si="37"/>
        <v>SROU03</v>
      </c>
      <c r="Q515">
        <f t="shared" ref="Q515:Q577" si="39">MAX(M515:O515)</f>
        <v>14.510300000000001</v>
      </c>
      <c r="R515">
        <f>VLOOKUP(P515,'Color codes'!$A:$B,2,FALSE)</f>
        <v>3</v>
      </c>
      <c r="S515">
        <f>TRUNC(VLOOKUP(P515,'Color codes'!$A:$E,3,FALSE)*(0.25 + 0.75*Q515/40))</f>
        <v>55</v>
      </c>
      <c r="T515">
        <f>TRUNC(VLOOKUP(P515,'Color codes'!$A:$E,4,FALSE)*(0.25 + 0.75*Q515/40))</f>
        <v>91</v>
      </c>
      <c r="U515">
        <f>TRUNC(VLOOKUP(P515,'Color codes'!$A:$E,5,FALSE)*(0.25 + 0.75*Q515/40))</f>
        <v>133</v>
      </c>
      <c r="V515" t="b">
        <f t="shared" si="38"/>
        <v>1</v>
      </c>
    </row>
    <row r="516" spans="1:22" x14ac:dyDescent="0.25">
      <c r="A516" t="s">
        <v>21</v>
      </c>
      <c r="B516" t="s">
        <v>18</v>
      </c>
      <c r="C516">
        <v>15</v>
      </c>
      <c r="D516">
        <v>100</v>
      </c>
      <c r="E516">
        <v>102400</v>
      </c>
      <c r="F516" t="str">
        <f t="shared" si="34"/>
        <v>castle256_blurkernel10_15_100_102400</v>
      </c>
      <c r="G516">
        <f>IFERROR(VLOOKUP(F516,SROU03!$F:$H,2,FALSE),0)</f>
        <v>7.3246710000000004</v>
      </c>
      <c r="H516">
        <f>IFERROR(VLOOKUP(F516,SROU03!$F:$H,3,FALSE),0)</f>
        <v>18.728504000000001</v>
      </c>
      <c r="I516">
        <v>1.996645E-2</v>
      </c>
      <c r="J516">
        <v>8.7139999999999999E-6</v>
      </c>
      <c r="K516">
        <v>4.1330999999999998</v>
      </c>
      <c r="L516">
        <v>8.1922999999999995</v>
      </c>
      <c r="M516">
        <f>IFERROR(VLOOKUP(F516,TICO09!$F:$O,8,FALSE),0)</f>
        <v>11.553800000000001</v>
      </c>
      <c r="N516">
        <f>IFERROR(VLOOKUP(F516,SROU03!$F:$O,9,FALSE),0)</f>
        <v>15.815899999999999</v>
      </c>
      <c r="O516">
        <v>12.4222</v>
      </c>
      <c r="P516" t="str">
        <f t="shared" si="37"/>
        <v>SROU03</v>
      </c>
      <c r="Q516">
        <f t="shared" si="39"/>
        <v>15.815899999999999</v>
      </c>
      <c r="R516">
        <f>VLOOKUP(P516,'Color codes'!$A:$B,2,FALSE)</f>
        <v>3</v>
      </c>
      <c r="S516">
        <f>TRUNC(VLOOKUP(P516,'Color codes'!$A:$E,3,FALSE)*(0.25 + 0.75*Q516/40))</f>
        <v>58</v>
      </c>
      <c r="T516">
        <f>TRUNC(VLOOKUP(P516,'Color codes'!$A:$E,4,FALSE)*(0.25 + 0.75*Q516/40))</f>
        <v>96</v>
      </c>
      <c r="U516">
        <f>TRUNC(VLOOKUP(P516,'Color codes'!$A:$E,5,FALSE)*(0.25 + 0.75*Q516/40))</f>
        <v>139</v>
      </c>
      <c r="V516" t="b">
        <f t="shared" si="38"/>
        <v>1</v>
      </c>
    </row>
    <row r="517" spans="1:22" x14ac:dyDescent="0.25">
      <c r="A517" t="s">
        <v>21</v>
      </c>
      <c r="B517" t="s">
        <v>18</v>
      </c>
      <c r="C517">
        <v>31</v>
      </c>
      <c r="D517">
        <v>100</v>
      </c>
      <c r="E517">
        <v>102400</v>
      </c>
      <c r="F517" t="str">
        <f t="shared" si="34"/>
        <v>castle256_blurkernel10_31_100_102400</v>
      </c>
      <c r="G517">
        <f>IFERROR(VLOOKUP(F517,SROU03!$F:$H,2,FALSE),0)</f>
        <v>4.9695650000000002</v>
      </c>
      <c r="H517">
        <f>IFERROR(VLOOKUP(F517,SROU03!$F:$H,3,FALSE),0)</f>
        <v>38.379869999999997</v>
      </c>
      <c r="I517">
        <v>1.9840967000000001E-2</v>
      </c>
      <c r="J517">
        <v>8.6209999999999993E-6</v>
      </c>
      <c r="K517">
        <v>4.1486999999999998</v>
      </c>
      <c r="L517">
        <v>6.2125000000000004</v>
      </c>
      <c r="M517">
        <f>IFERROR(VLOOKUP(F517,TICO09!$F:$O,8,FALSE),0)</f>
        <v>11.266299999999999</v>
      </c>
      <c r="N517">
        <f>IFERROR(VLOOKUP(F517,SROU03!$F:$O,9,FALSE),0)</f>
        <v>14.288500000000001</v>
      </c>
      <c r="O517">
        <v>12.4612</v>
      </c>
      <c r="P517" t="str">
        <f t="shared" si="37"/>
        <v>SROU03</v>
      </c>
      <c r="Q517">
        <f t="shared" si="39"/>
        <v>14.288500000000001</v>
      </c>
      <c r="R517">
        <f>VLOOKUP(P517,'Color codes'!$A:$B,2,FALSE)</f>
        <v>3</v>
      </c>
      <c r="S517">
        <f>TRUNC(VLOOKUP(P517,'Color codes'!$A:$E,3,FALSE)*(0.25 + 0.75*Q517/40))</f>
        <v>55</v>
      </c>
      <c r="T517">
        <f>TRUNC(VLOOKUP(P517,'Color codes'!$A:$E,4,FALSE)*(0.25 + 0.75*Q517/40))</f>
        <v>91</v>
      </c>
      <c r="U517">
        <f>TRUNC(VLOOKUP(P517,'Color codes'!$A:$E,5,FALSE)*(0.25 + 0.75*Q517/40))</f>
        <v>132</v>
      </c>
      <c r="V517" t="b">
        <f t="shared" si="38"/>
        <v>1</v>
      </c>
    </row>
    <row r="518" spans="1:22" x14ac:dyDescent="0.25">
      <c r="A518" t="s">
        <v>21</v>
      </c>
      <c r="B518" t="s">
        <v>15</v>
      </c>
      <c r="C518">
        <v>3</v>
      </c>
      <c r="D518">
        <v>100</v>
      </c>
      <c r="E518">
        <v>102400</v>
      </c>
      <c r="F518" t="str">
        <f t="shared" si="34"/>
        <v>castle256_blurkernel7_3_100_102400</v>
      </c>
      <c r="G518">
        <f>IFERROR(VLOOKUP(F518,SROU03!$F:$H,2,FALSE),0)</f>
        <v>24.014845000000001</v>
      </c>
      <c r="H518">
        <f>IFERROR(VLOOKUP(F518,SROU03!$F:$H,3,FALSE),0)</f>
        <v>3.4225970000000001</v>
      </c>
      <c r="I518">
        <v>1.9821829999999999E-2</v>
      </c>
      <c r="J518">
        <v>8.5900000000000008E-6</v>
      </c>
      <c r="K518">
        <v>4.1692</v>
      </c>
      <c r="L518">
        <v>15.6625</v>
      </c>
      <c r="M518">
        <f>IFERROR(VLOOKUP(F518,TICO09!$F:$O,8,FALSE),0)</f>
        <v>14.4504</v>
      </c>
      <c r="N518">
        <f>IFERROR(VLOOKUP(F518,SROU03!$F:$O,9,FALSE),0)</f>
        <v>20.446999999999999</v>
      </c>
      <c r="O518">
        <v>12.5227</v>
      </c>
      <c r="P518" t="str">
        <f t="shared" si="37"/>
        <v>SROU03</v>
      </c>
      <c r="Q518">
        <f t="shared" si="39"/>
        <v>20.446999999999999</v>
      </c>
      <c r="R518">
        <f>VLOOKUP(P518,'Color codes'!$A:$B,2,FALSE)</f>
        <v>3</v>
      </c>
      <c r="S518">
        <f>TRUNC(VLOOKUP(P518,'Color codes'!$A:$E,3,FALSE)*(0.25 + 0.75*Q518/40))</f>
        <v>67</v>
      </c>
      <c r="T518">
        <f>TRUNC(VLOOKUP(P518,'Color codes'!$A:$E,4,FALSE)*(0.25 + 0.75*Q518/40))</f>
        <v>111</v>
      </c>
      <c r="U518">
        <f>TRUNC(VLOOKUP(P518,'Color codes'!$A:$E,5,FALSE)*(0.25 + 0.75*Q518/40))</f>
        <v>161</v>
      </c>
      <c r="V518" t="b">
        <f t="shared" si="38"/>
        <v>1</v>
      </c>
    </row>
    <row r="519" spans="1:22" x14ac:dyDescent="0.25">
      <c r="A519" t="s">
        <v>21</v>
      </c>
      <c r="B519" t="s">
        <v>15</v>
      </c>
      <c r="C519">
        <v>7</v>
      </c>
      <c r="D519">
        <v>100</v>
      </c>
      <c r="E519">
        <v>102400</v>
      </c>
      <c r="F519" t="str">
        <f t="shared" si="34"/>
        <v>castle256_blurkernel7_7_100_102400</v>
      </c>
      <c r="G519">
        <f>IFERROR(VLOOKUP(F519,SROU03!$F:$H,2,FALSE),0)</f>
        <v>11.527633</v>
      </c>
      <c r="H519">
        <f>IFERROR(VLOOKUP(F519,SROU03!$F:$H,3,FALSE),0)</f>
        <v>8.6173070000000003</v>
      </c>
      <c r="I519">
        <v>2.0042463E-2</v>
      </c>
      <c r="J519">
        <v>8.6519999999999995E-6</v>
      </c>
      <c r="K519">
        <v>4.1074000000000002</v>
      </c>
      <c r="L519">
        <v>10.9278</v>
      </c>
      <c r="M519">
        <f>IFERROR(VLOOKUP(F519,TICO09!$F:$O,8,FALSE),0)</f>
        <v>12.069900000000001</v>
      </c>
      <c r="N519">
        <f>IFERROR(VLOOKUP(F519,SROU03!$F:$O,9,FALSE),0)</f>
        <v>14.2232</v>
      </c>
      <c r="O519">
        <v>12.344900000000001</v>
      </c>
      <c r="P519" t="str">
        <f t="shared" si="37"/>
        <v>SROU03</v>
      </c>
      <c r="Q519">
        <f t="shared" si="39"/>
        <v>14.2232</v>
      </c>
      <c r="R519">
        <f>VLOOKUP(P519,'Color codes'!$A:$B,2,FALSE)</f>
        <v>3</v>
      </c>
      <c r="S519">
        <f>TRUNC(VLOOKUP(P519,'Color codes'!$A:$E,3,FALSE)*(0.25 + 0.75*Q519/40))</f>
        <v>55</v>
      </c>
      <c r="T519">
        <f>TRUNC(VLOOKUP(P519,'Color codes'!$A:$E,4,FALSE)*(0.25 + 0.75*Q519/40))</f>
        <v>90</v>
      </c>
      <c r="U519">
        <f>TRUNC(VLOOKUP(P519,'Color codes'!$A:$E,5,FALSE)*(0.25 + 0.75*Q519/40))</f>
        <v>131</v>
      </c>
      <c r="V519" t="b">
        <f t="shared" si="38"/>
        <v>1</v>
      </c>
    </row>
    <row r="520" spans="1:22" x14ac:dyDescent="0.25">
      <c r="A520" t="s">
        <v>21</v>
      </c>
      <c r="B520" t="s">
        <v>15</v>
      </c>
      <c r="C520">
        <v>15</v>
      </c>
      <c r="D520">
        <v>100</v>
      </c>
      <c r="E520">
        <v>102400</v>
      </c>
      <c r="F520" t="str">
        <f t="shared" si="34"/>
        <v>castle256_blurkernel7_15_100_102400</v>
      </c>
      <c r="G520">
        <f>IFERROR(VLOOKUP(F520,SROU03!$F:$H,2,FALSE),0)</f>
        <v>6.8094609999999998</v>
      </c>
      <c r="H520">
        <f>IFERROR(VLOOKUP(F520,SROU03!$F:$H,3,FALSE),0)</f>
        <v>18.858357000000002</v>
      </c>
      <c r="I520">
        <v>2.0066014E-2</v>
      </c>
      <c r="J520">
        <v>8.7199999999999995E-6</v>
      </c>
      <c r="K520">
        <v>4.0918999999999999</v>
      </c>
      <c r="L520">
        <v>8.5846</v>
      </c>
      <c r="M520">
        <f>IFERROR(VLOOKUP(F520,TICO09!$F:$O,8,FALSE),0)</f>
        <v>11.4756</v>
      </c>
      <c r="N520">
        <f>IFERROR(VLOOKUP(F520,SROU03!$F:$O,9,FALSE),0)</f>
        <v>14.4808</v>
      </c>
      <c r="O520">
        <v>12.3177</v>
      </c>
      <c r="P520" t="str">
        <f t="shared" si="37"/>
        <v>SROU03</v>
      </c>
      <c r="Q520">
        <f t="shared" si="39"/>
        <v>14.4808</v>
      </c>
      <c r="R520">
        <f>VLOOKUP(P520,'Color codes'!$A:$B,2,FALSE)</f>
        <v>3</v>
      </c>
      <c r="S520">
        <f>TRUNC(VLOOKUP(P520,'Color codes'!$A:$E,3,FALSE)*(0.25 + 0.75*Q520/40))</f>
        <v>55</v>
      </c>
      <c r="T520">
        <f>TRUNC(VLOOKUP(P520,'Color codes'!$A:$E,4,FALSE)*(0.25 + 0.75*Q520/40))</f>
        <v>91</v>
      </c>
      <c r="U520">
        <f>TRUNC(VLOOKUP(P520,'Color codes'!$A:$E,5,FALSE)*(0.25 + 0.75*Q520/40))</f>
        <v>132</v>
      </c>
      <c r="V520" t="b">
        <f t="shared" si="38"/>
        <v>1</v>
      </c>
    </row>
    <row r="521" spans="1:22" x14ac:dyDescent="0.25">
      <c r="A521" t="s">
        <v>21</v>
      </c>
      <c r="B521" t="s">
        <v>15</v>
      </c>
      <c r="C521">
        <v>31</v>
      </c>
      <c r="D521">
        <v>100</v>
      </c>
      <c r="E521">
        <v>102400</v>
      </c>
      <c r="F521" t="str">
        <f t="shared" si="34"/>
        <v>castle256_blurkernel7_31_100_102400</v>
      </c>
      <c r="G521">
        <f>IFERROR(VLOOKUP(F521,SROU03!$F:$H,2,FALSE),0)</f>
        <v>4.1062960000000004</v>
      </c>
      <c r="H521">
        <f>IFERROR(VLOOKUP(F521,SROU03!$F:$H,3,FALSE),0)</f>
        <v>38.718438999999996</v>
      </c>
      <c r="I521">
        <v>1.9963839000000001E-2</v>
      </c>
      <c r="J521">
        <v>8.7630000000000006E-6</v>
      </c>
      <c r="K521">
        <v>4.1193</v>
      </c>
      <c r="L521">
        <v>6.6763000000000003</v>
      </c>
      <c r="M521">
        <f>IFERROR(VLOOKUP(F521,TICO09!$F:$O,8,FALSE),0)</f>
        <v>11.2112</v>
      </c>
      <c r="N521">
        <f>IFERROR(VLOOKUP(F521,SROU03!$F:$O,9,FALSE),0)</f>
        <v>13.0801</v>
      </c>
      <c r="O521">
        <v>12.4122</v>
      </c>
      <c r="P521" t="str">
        <f t="shared" si="37"/>
        <v>SROU03</v>
      </c>
      <c r="Q521">
        <f t="shared" si="39"/>
        <v>13.0801</v>
      </c>
      <c r="R521">
        <f>VLOOKUP(P521,'Color codes'!$A:$B,2,FALSE)</f>
        <v>3</v>
      </c>
      <c r="S521">
        <f>TRUNC(VLOOKUP(P521,'Color codes'!$A:$E,3,FALSE)*(0.25 + 0.75*Q521/40))</f>
        <v>52</v>
      </c>
      <c r="T521">
        <f>TRUNC(VLOOKUP(P521,'Color codes'!$A:$E,4,FALSE)*(0.25 + 0.75*Q521/40))</f>
        <v>87</v>
      </c>
      <c r="U521">
        <f>TRUNC(VLOOKUP(P521,'Color codes'!$A:$E,5,FALSE)*(0.25 + 0.75*Q521/40))</f>
        <v>126</v>
      </c>
      <c r="V521" t="b">
        <f t="shared" si="38"/>
        <v>0</v>
      </c>
    </row>
    <row r="522" spans="1:22" x14ac:dyDescent="0.25">
      <c r="A522" t="s">
        <v>21</v>
      </c>
      <c r="B522" t="s">
        <v>16</v>
      </c>
      <c r="C522">
        <v>3</v>
      </c>
      <c r="D522">
        <v>100</v>
      </c>
      <c r="E522">
        <v>102400</v>
      </c>
      <c r="F522" t="str">
        <f t="shared" si="34"/>
        <v>castle256_blurkernel8_3_100_102400</v>
      </c>
      <c r="G522">
        <f>IFERROR(VLOOKUP(F522,SROU03!$F:$H,2,FALSE),0)</f>
        <v>24.130428999999999</v>
      </c>
      <c r="H522">
        <f>IFERROR(VLOOKUP(F522,SROU03!$F:$H,3,FALSE),0)</f>
        <v>3.426415</v>
      </c>
      <c r="I522">
        <v>1.9809549999999999E-2</v>
      </c>
      <c r="J522">
        <v>8.7430000000000008E-6</v>
      </c>
      <c r="K522">
        <v>4.1788999999999996</v>
      </c>
      <c r="L522">
        <v>15.316599999999999</v>
      </c>
      <c r="M522">
        <f>IFERROR(VLOOKUP(F522,TICO09!$F:$O,8,FALSE),0)</f>
        <v>14.3218</v>
      </c>
      <c r="N522">
        <f>IFERROR(VLOOKUP(F522,SROU03!$F:$O,9,FALSE),0)</f>
        <v>22.5395</v>
      </c>
      <c r="O522">
        <v>12.3973</v>
      </c>
      <c r="P522" t="str">
        <f t="shared" si="37"/>
        <v>SROU03</v>
      </c>
      <c r="Q522">
        <f t="shared" si="39"/>
        <v>22.5395</v>
      </c>
      <c r="R522">
        <f>VLOOKUP(P522,'Color codes'!$A:$B,2,FALSE)</f>
        <v>3</v>
      </c>
      <c r="S522">
        <f>TRUNC(VLOOKUP(P522,'Color codes'!$A:$E,3,FALSE)*(0.25 + 0.75*Q522/40))</f>
        <v>71</v>
      </c>
      <c r="T522">
        <f>TRUNC(VLOOKUP(P522,'Color codes'!$A:$E,4,FALSE)*(0.25 + 0.75*Q522/40))</f>
        <v>118</v>
      </c>
      <c r="U522">
        <f>TRUNC(VLOOKUP(P522,'Color codes'!$A:$E,5,FALSE)*(0.25 + 0.75*Q522/40))</f>
        <v>171</v>
      </c>
      <c r="V522" t="b">
        <f t="shared" si="38"/>
        <v>1</v>
      </c>
    </row>
    <row r="523" spans="1:22" x14ac:dyDescent="0.25">
      <c r="A523" t="s">
        <v>21</v>
      </c>
      <c r="B523" t="s">
        <v>16</v>
      </c>
      <c r="C523">
        <v>7</v>
      </c>
      <c r="D523">
        <v>100</v>
      </c>
      <c r="E523">
        <v>102400</v>
      </c>
      <c r="F523" t="str">
        <f t="shared" si="34"/>
        <v>castle256_blurkernel8_7_100_102400</v>
      </c>
      <c r="G523">
        <f>IFERROR(VLOOKUP(F523,SROU03!$F:$H,2,FALSE),0)</f>
        <v>11.541677999999999</v>
      </c>
      <c r="H523">
        <f>IFERROR(VLOOKUP(F523,SROU03!$F:$H,3,FALSE),0)</f>
        <v>8.5981299999999994</v>
      </c>
      <c r="I523">
        <v>1.9910144000000001E-2</v>
      </c>
      <c r="J523">
        <v>8.816E-6</v>
      </c>
      <c r="K523">
        <v>4.1280999999999999</v>
      </c>
      <c r="L523">
        <v>10.733599999999999</v>
      </c>
      <c r="M523">
        <f>IFERROR(VLOOKUP(F523,TICO09!$F:$O,8,FALSE),0)</f>
        <v>12.123699999999999</v>
      </c>
      <c r="N523">
        <f>IFERROR(VLOOKUP(F523,SROU03!$F:$O,9,FALSE),0)</f>
        <v>14.7637</v>
      </c>
      <c r="O523">
        <v>12.444100000000001</v>
      </c>
      <c r="P523" t="str">
        <f t="shared" si="37"/>
        <v>SROU03</v>
      </c>
      <c r="Q523">
        <f t="shared" si="39"/>
        <v>14.7637</v>
      </c>
      <c r="R523">
        <f>VLOOKUP(P523,'Color codes'!$A:$B,2,FALSE)</f>
        <v>3</v>
      </c>
      <c r="S523">
        <f>TRUNC(VLOOKUP(P523,'Color codes'!$A:$E,3,FALSE)*(0.25 + 0.75*Q523/40))</f>
        <v>56</v>
      </c>
      <c r="T523">
        <f>TRUNC(VLOOKUP(P523,'Color codes'!$A:$E,4,FALSE)*(0.25 + 0.75*Q523/40))</f>
        <v>92</v>
      </c>
      <c r="U523">
        <f>TRUNC(VLOOKUP(P523,'Color codes'!$A:$E,5,FALSE)*(0.25 + 0.75*Q523/40))</f>
        <v>134</v>
      </c>
      <c r="V523" t="b">
        <f t="shared" si="38"/>
        <v>1</v>
      </c>
    </row>
    <row r="524" spans="1:22" x14ac:dyDescent="0.25">
      <c r="A524" t="s">
        <v>21</v>
      </c>
      <c r="B524" t="s">
        <v>16</v>
      </c>
      <c r="C524">
        <v>15</v>
      </c>
      <c r="D524">
        <v>100</v>
      </c>
      <c r="E524">
        <v>102400</v>
      </c>
      <c r="F524" t="str">
        <f t="shared" si="34"/>
        <v>castle256_blurkernel8_15_100_102400</v>
      </c>
      <c r="G524">
        <f>IFERROR(VLOOKUP(F524,SROU03!$F:$H,2,FALSE),0)</f>
        <v>7.1855570000000002</v>
      </c>
      <c r="H524">
        <f>IFERROR(VLOOKUP(F524,SROU03!$F:$H,3,FALSE),0)</f>
        <v>18.717034999999999</v>
      </c>
      <c r="I524">
        <v>1.9993115999999998E-2</v>
      </c>
      <c r="J524">
        <v>8.7020000000000007E-6</v>
      </c>
      <c r="K524">
        <v>4.1193999999999997</v>
      </c>
      <c r="L524">
        <v>8.5726999999999993</v>
      </c>
      <c r="M524">
        <f>IFERROR(VLOOKUP(F524,TICO09!$F:$O,8,FALSE),0)</f>
        <v>11.467700000000001</v>
      </c>
      <c r="N524">
        <f>IFERROR(VLOOKUP(F524,SROU03!$F:$O,9,FALSE),0)</f>
        <v>15.071400000000001</v>
      </c>
      <c r="O524">
        <v>12.5427</v>
      </c>
      <c r="P524" t="str">
        <f t="shared" si="37"/>
        <v>SROU03</v>
      </c>
      <c r="Q524">
        <f t="shared" si="39"/>
        <v>15.071400000000001</v>
      </c>
      <c r="R524">
        <f>VLOOKUP(P524,'Color codes'!$A:$B,2,FALSE)</f>
        <v>3</v>
      </c>
      <c r="S524">
        <f>TRUNC(VLOOKUP(P524,'Color codes'!$A:$E,3,FALSE)*(0.25 + 0.75*Q524/40))</f>
        <v>56</v>
      </c>
      <c r="T524">
        <f>TRUNC(VLOOKUP(P524,'Color codes'!$A:$E,4,FALSE)*(0.25 + 0.75*Q524/40))</f>
        <v>93</v>
      </c>
      <c r="U524">
        <f>TRUNC(VLOOKUP(P524,'Color codes'!$A:$E,5,FALSE)*(0.25 + 0.75*Q524/40))</f>
        <v>135</v>
      </c>
      <c r="V524" t="b">
        <f t="shared" si="38"/>
        <v>1</v>
      </c>
    </row>
    <row r="525" spans="1:22" x14ac:dyDescent="0.25">
      <c r="A525" t="s">
        <v>21</v>
      </c>
      <c r="B525" t="s">
        <v>16</v>
      </c>
      <c r="C525">
        <v>31</v>
      </c>
      <c r="D525">
        <v>100</v>
      </c>
      <c r="E525">
        <v>102400</v>
      </c>
      <c r="F525" t="str">
        <f t="shared" si="34"/>
        <v>castle256_blurkernel8_31_100_102400</v>
      </c>
      <c r="G525">
        <f>IFERROR(VLOOKUP(F525,SROU03!$F:$H,2,FALSE),0)</f>
        <v>4.8170089999999997</v>
      </c>
      <c r="H525">
        <f>IFERROR(VLOOKUP(F525,SROU03!$F:$H,3,FALSE),0)</f>
        <v>38.738244000000002</v>
      </c>
      <c r="I525">
        <v>1.9985403999999998E-2</v>
      </c>
      <c r="J525">
        <v>8.7569999999999993E-6</v>
      </c>
      <c r="K525">
        <v>4.1337000000000002</v>
      </c>
      <c r="L525">
        <v>6.6216999999999997</v>
      </c>
      <c r="M525">
        <f>IFERROR(VLOOKUP(F525,TICO09!$F:$O,8,FALSE),0)</f>
        <v>11.2532</v>
      </c>
      <c r="N525">
        <f>IFERROR(VLOOKUP(F525,SROU03!$F:$O,9,FALSE),0)</f>
        <v>13.4201</v>
      </c>
      <c r="O525">
        <v>12.5426</v>
      </c>
      <c r="P525" t="str">
        <f t="shared" si="37"/>
        <v>SROU03</v>
      </c>
      <c r="Q525">
        <f t="shared" si="39"/>
        <v>13.4201</v>
      </c>
      <c r="R525">
        <f>VLOOKUP(P525,'Color codes'!$A:$B,2,FALSE)</f>
        <v>3</v>
      </c>
      <c r="S525">
        <f>TRUNC(VLOOKUP(P525,'Color codes'!$A:$E,3,FALSE)*(0.25 + 0.75*Q525/40))</f>
        <v>53</v>
      </c>
      <c r="T525">
        <f>TRUNC(VLOOKUP(P525,'Color codes'!$A:$E,4,FALSE)*(0.25 + 0.75*Q525/40))</f>
        <v>88</v>
      </c>
      <c r="U525">
        <f>TRUNC(VLOOKUP(P525,'Color codes'!$A:$E,5,FALSE)*(0.25 + 0.75*Q525/40))</f>
        <v>127</v>
      </c>
      <c r="V525" t="b">
        <f t="shared" si="38"/>
        <v>0</v>
      </c>
    </row>
    <row r="526" spans="1:22" x14ac:dyDescent="0.25">
      <c r="A526" t="s">
        <v>21</v>
      </c>
      <c r="B526" t="s">
        <v>17</v>
      </c>
      <c r="C526">
        <v>3</v>
      </c>
      <c r="D526">
        <v>100</v>
      </c>
      <c r="E526">
        <v>102400</v>
      </c>
      <c r="F526" t="str">
        <f t="shared" si="34"/>
        <v>castle256_line_3_100_102400</v>
      </c>
      <c r="G526">
        <f>IFERROR(VLOOKUP(F526,SROU03!$F:$H,2,FALSE),0)</f>
        <v>23.979709</v>
      </c>
      <c r="H526">
        <f>IFERROR(VLOOKUP(F526,SROU03!$F:$H,3,FALSE),0)</f>
        <v>3.4295800000000001</v>
      </c>
      <c r="I526">
        <v>2.0145351999999998E-2</v>
      </c>
      <c r="J526">
        <v>8.7520000000000002E-6</v>
      </c>
      <c r="K526">
        <v>4.0989000000000004</v>
      </c>
      <c r="L526">
        <v>13.1343</v>
      </c>
      <c r="M526">
        <f>IFERROR(VLOOKUP(F526,TICO09!$F:$O,8,FALSE),0)</f>
        <v>13.1143</v>
      </c>
      <c r="N526">
        <f>IFERROR(VLOOKUP(F526,SROU03!$F:$O,9,FALSE),0)</f>
        <v>15.3255</v>
      </c>
      <c r="O526">
        <v>12.452500000000001</v>
      </c>
      <c r="P526" t="str">
        <f t="shared" si="37"/>
        <v>SROU03</v>
      </c>
      <c r="Q526">
        <f t="shared" si="39"/>
        <v>15.3255</v>
      </c>
      <c r="R526">
        <f>VLOOKUP(P526,'Color codes'!$A:$B,2,FALSE)</f>
        <v>3</v>
      </c>
      <c r="S526">
        <f>TRUNC(VLOOKUP(P526,'Color codes'!$A:$E,3,FALSE)*(0.25 + 0.75*Q526/40))</f>
        <v>57</v>
      </c>
      <c r="T526">
        <f>TRUNC(VLOOKUP(P526,'Color codes'!$A:$E,4,FALSE)*(0.25 + 0.75*Q526/40))</f>
        <v>94</v>
      </c>
      <c r="U526">
        <f>TRUNC(VLOOKUP(P526,'Color codes'!$A:$E,5,FALSE)*(0.25 + 0.75*Q526/40))</f>
        <v>137</v>
      </c>
      <c r="V526" t="b">
        <f t="shared" si="38"/>
        <v>1</v>
      </c>
    </row>
    <row r="527" spans="1:22" x14ac:dyDescent="0.25">
      <c r="A527" t="s">
        <v>21</v>
      </c>
      <c r="B527" t="s">
        <v>17</v>
      </c>
      <c r="C527">
        <v>7</v>
      </c>
      <c r="D527">
        <v>100</v>
      </c>
      <c r="E527">
        <v>102400</v>
      </c>
      <c r="F527" t="str">
        <f t="shared" si="34"/>
        <v>castle256_line_7_100_102400</v>
      </c>
      <c r="G527">
        <f>IFERROR(VLOOKUP(F527,SROU03!$F:$H,2,FALSE),0)</f>
        <v>11.382548999999999</v>
      </c>
      <c r="H527">
        <f>IFERROR(VLOOKUP(F527,SROU03!$F:$H,3,FALSE),0)</f>
        <v>8.6529229999999995</v>
      </c>
      <c r="I527">
        <v>1.9801907000000001E-2</v>
      </c>
      <c r="J527">
        <v>8.7390000000000005E-6</v>
      </c>
      <c r="K527">
        <v>4.1745999999999999</v>
      </c>
      <c r="L527">
        <v>9.6582000000000008</v>
      </c>
      <c r="M527">
        <f>IFERROR(VLOOKUP(F527,TICO09!$F:$O,8,FALSE),0)</f>
        <v>11.9018</v>
      </c>
      <c r="N527">
        <f>IFERROR(VLOOKUP(F527,SROU03!$F:$O,9,FALSE),0)</f>
        <v>12.1485</v>
      </c>
      <c r="O527">
        <v>12.537599999999999</v>
      </c>
      <c r="P527" t="str">
        <f t="shared" si="37"/>
        <v>BM3D</v>
      </c>
      <c r="Q527">
        <f t="shared" si="39"/>
        <v>12.537599999999999</v>
      </c>
      <c r="R527">
        <f>VLOOKUP(P527,'Color codes'!$A:$B,2,FALSE)</f>
        <v>1</v>
      </c>
      <c r="S527">
        <f>TRUNC(VLOOKUP(P527,'Color codes'!$A:$E,3,FALSE)*(0.25 + 0.75*Q527/40))</f>
        <v>123</v>
      </c>
      <c r="T527">
        <f>TRUNC(VLOOKUP(P527,'Color codes'!$A:$E,4,FALSE)*(0.25 + 0.75*Q527/40))</f>
        <v>51</v>
      </c>
      <c r="U527">
        <f>TRUNC(VLOOKUP(P527,'Color codes'!$A:$E,5,FALSE)*(0.25 + 0.75*Q527/40))</f>
        <v>50</v>
      </c>
      <c r="V527" t="b">
        <f t="shared" si="38"/>
        <v>0</v>
      </c>
    </row>
    <row r="528" spans="1:22" x14ac:dyDescent="0.25">
      <c r="A528" t="s">
        <v>21</v>
      </c>
      <c r="B528" t="s">
        <v>17</v>
      </c>
      <c r="C528">
        <v>15</v>
      </c>
      <c r="D528">
        <v>100</v>
      </c>
      <c r="E528">
        <v>102400</v>
      </c>
      <c r="F528" t="str">
        <f t="shared" si="34"/>
        <v>castle256_line_15_100_102400</v>
      </c>
      <c r="G528">
        <f>IFERROR(VLOOKUP(F528,SROU03!$F:$H,2,FALSE),0)</f>
        <v>7.3548830000000001</v>
      </c>
      <c r="H528">
        <f>IFERROR(VLOOKUP(F528,SROU03!$F:$H,3,FALSE),0)</f>
        <v>18.655882999999999</v>
      </c>
      <c r="I528">
        <v>1.9880353E-2</v>
      </c>
      <c r="J528">
        <v>8.6899999999999998E-6</v>
      </c>
      <c r="K528">
        <v>4.1467000000000001</v>
      </c>
      <c r="L528">
        <v>7.5223000000000004</v>
      </c>
      <c r="M528">
        <f>IFERROR(VLOOKUP(F528,TICO09!$F:$O,8,FALSE),0)</f>
        <v>11.3667</v>
      </c>
      <c r="N528">
        <f>IFERROR(VLOOKUP(F528,SROU03!$F:$O,9,FALSE),0)</f>
        <v>11.145899999999999</v>
      </c>
      <c r="O528">
        <v>12.553100000000001</v>
      </c>
      <c r="P528" t="str">
        <f t="shared" si="37"/>
        <v>BM3D</v>
      </c>
      <c r="Q528">
        <f t="shared" si="39"/>
        <v>12.553100000000001</v>
      </c>
      <c r="R528">
        <f>VLOOKUP(P528,'Color codes'!$A:$B,2,FALSE)</f>
        <v>1</v>
      </c>
      <c r="S528">
        <f>TRUNC(VLOOKUP(P528,'Color codes'!$A:$E,3,FALSE)*(0.25 + 0.75*Q528/40))</f>
        <v>123</v>
      </c>
      <c r="T528">
        <f>TRUNC(VLOOKUP(P528,'Color codes'!$A:$E,4,FALSE)*(0.25 + 0.75*Q528/40))</f>
        <v>51</v>
      </c>
      <c r="U528">
        <f>TRUNC(VLOOKUP(P528,'Color codes'!$A:$E,5,FALSE)*(0.25 + 0.75*Q528/40))</f>
        <v>50</v>
      </c>
      <c r="V528" t="b">
        <f t="shared" si="38"/>
        <v>1</v>
      </c>
    </row>
    <row r="529" spans="1:22" x14ac:dyDescent="0.25">
      <c r="A529" t="s">
        <v>21</v>
      </c>
      <c r="B529" t="s">
        <v>17</v>
      </c>
      <c r="C529">
        <v>31</v>
      </c>
      <c r="D529">
        <v>100</v>
      </c>
      <c r="E529">
        <v>102400</v>
      </c>
      <c r="F529" t="str">
        <f t="shared" si="34"/>
        <v>castle256_line_31_100_102400</v>
      </c>
      <c r="G529">
        <f>IFERROR(VLOOKUP(F529,SROU03!$F:$H,2,FALSE),0)</f>
        <v>5.2476079999999996</v>
      </c>
      <c r="H529">
        <f>IFERROR(VLOOKUP(F529,SROU03!$F:$H,3,FALSE),0)</f>
        <v>38.375146999999998</v>
      </c>
      <c r="I529">
        <v>1.9953129E-2</v>
      </c>
      <c r="J529">
        <v>8.6759999999999996E-6</v>
      </c>
      <c r="K529">
        <v>4.1364999999999998</v>
      </c>
      <c r="L529">
        <v>5.7594000000000003</v>
      </c>
      <c r="M529">
        <f>IFERROR(VLOOKUP(F529,TICO09!$F:$O,8,FALSE),0)</f>
        <v>11.1998</v>
      </c>
      <c r="N529">
        <f>IFERROR(VLOOKUP(F529,SROU03!$F:$O,9,FALSE),0)</f>
        <v>10.500299999999999</v>
      </c>
      <c r="O529">
        <v>12.490500000000001</v>
      </c>
      <c r="P529" t="str">
        <f t="shared" si="37"/>
        <v>BM3D</v>
      </c>
      <c r="Q529">
        <f t="shared" si="39"/>
        <v>12.490500000000001</v>
      </c>
      <c r="R529">
        <f>VLOOKUP(P529,'Color codes'!$A:$B,2,FALSE)</f>
        <v>1</v>
      </c>
      <c r="S529">
        <f>TRUNC(VLOOKUP(P529,'Color codes'!$A:$E,3,FALSE)*(0.25 + 0.75*Q529/40))</f>
        <v>123</v>
      </c>
      <c r="T529">
        <f>TRUNC(VLOOKUP(P529,'Color codes'!$A:$E,4,FALSE)*(0.25 + 0.75*Q529/40))</f>
        <v>51</v>
      </c>
      <c r="U529">
        <f>TRUNC(VLOOKUP(P529,'Color codes'!$A:$E,5,FALSE)*(0.25 + 0.75*Q529/40))</f>
        <v>50</v>
      </c>
      <c r="V529" t="b">
        <f t="shared" si="38"/>
        <v>1</v>
      </c>
    </row>
    <row r="530" spans="1:22" x14ac:dyDescent="0.25">
      <c r="A530" t="s">
        <v>14</v>
      </c>
      <c r="B530" t="s">
        <v>18</v>
      </c>
      <c r="C530">
        <v>3</v>
      </c>
      <c r="D530">
        <v>100</v>
      </c>
      <c r="E530">
        <v>102400</v>
      </c>
      <c r="F530" t="str">
        <f t="shared" si="34"/>
        <v>lena256_blurkernel10_3_100_102400</v>
      </c>
      <c r="G530">
        <f>IFERROR(VLOOKUP(F530,SROU03!$F:$H,2,FALSE),0)</f>
        <v>21.229924</v>
      </c>
      <c r="H530">
        <f>IFERROR(VLOOKUP(F530,SROU03!$F:$H,3,FALSE),0)</f>
        <v>3.5704950000000002</v>
      </c>
      <c r="I530">
        <v>2.1042022000000001E-2</v>
      </c>
      <c r="J530">
        <v>9.4660000000000005E-6</v>
      </c>
      <c r="K530">
        <v>4.1284000000000001</v>
      </c>
      <c r="L530">
        <v>17.6389</v>
      </c>
      <c r="M530">
        <f>IFERROR(VLOOKUP(F530,TICO09!$F:$O,8,FALSE),0)</f>
        <v>15.3788</v>
      </c>
      <c r="N530">
        <f>IFERROR(VLOOKUP(F530,SROU03!$F:$O,9,FALSE),0)</f>
        <v>20.938600000000001</v>
      </c>
      <c r="O530">
        <v>13.7737</v>
      </c>
      <c r="P530" t="str">
        <f t="shared" si="37"/>
        <v>SROU03</v>
      </c>
      <c r="Q530">
        <f t="shared" si="39"/>
        <v>20.938600000000001</v>
      </c>
      <c r="R530">
        <f>VLOOKUP(P530,'Color codes'!$A:$B,2,FALSE)</f>
        <v>3</v>
      </c>
      <c r="S530">
        <f>TRUNC(VLOOKUP(P530,'Color codes'!$A:$E,3,FALSE)*(0.25 + 0.75*Q530/40))</f>
        <v>68</v>
      </c>
      <c r="T530">
        <f>TRUNC(VLOOKUP(P530,'Color codes'!$A:$E,4,FALSE)*(0.25 + 0.75*Q530/40))</f>
        <v>113</v>
      </c>
      <c r="U530">
        <f>TRUNC(VLOOKUP(P530,'Color codes'!$A:$E,5,FALSE)*(0.25 + 0.75*Q530/40))</f>
        <v>163</v>
      </c>
      <c r="V530" t="b">
        <f t="shared" si="38"/>
        <v>1</v>
      </c>
    </row>
    <row r="531" spans="1:22" x14ac:dyDescent="0.25">
      <c r="A531" t="s">
        <v>14</v>
      </c>
      <c r="B531" t="s">
        <v>18</v>
      </c>
      <c r="C531">
        <v>7</v>
      </c>
      <c r="D531">
        <v>100</v>
      </c>
      <c r="E531">
        <v>102400</v>
      </c>
      <c r="F531" t="str">
        <f t="shared" ref="F531:F577" si="40">A531&amp;"_"&amp;B531&amp;"_"&amp;C531&amp;"_"&amp;D531&amp;"_"&amp;E531</f>
        <v>lena256_blurkernel10_7_100_102400</v>
      </c>
      <c r="G531">
        <f>IFERROR(VLOOKUP(F531,SROU03!$F:$H,2,FALSE),0)</f>
        <v>10.512522000000001</v>
      </c>
      <c r="H531">
        <f>IFERROR(VLOOKUP(F531,SROU03!$F:$H,3,FALSE),0)</f>
        <v>8.9807670000000002</v>
      </c>
      <c r="I531">
        <v>2.1236685000000002E-2</v>
      </c>
      <c r="J531">
        <v>9.4450000000000002E-6</v>
      </c>
      <c r="K531">
        <v>4.0980999999999996</v>
      </c>
      <c r="L531">
        <v>12.0152</v>
      </c>
      <c r="M531">
        <f>IFERROR(VLOOKUP(F531,TICO09!$F:$O,8,FALSE),0)</f>
        <v>13.1485</v>
      </c>
      <c r="N531">
        <f>IFERROR(VLOOKUP(F531,SROU03!$F:$O,9,FALSE),0)</f>
        <v>16.478899999999999</v>
      </c>
      <c r="O531">
        <v>13.7456</v>
      </c>
      <c r="P531" t="str">
        <f t="shared" si="37"/>
        <v>SROU03</v>
      </c>
      <c r="Q531">
        <f t="shared" si="39"/>
        <v>16.478899999999999</v>
      </c>
      <c r="R531">
        <f>VLOOKUP(P531,'Color codes'!$A:$B,2,FALSE)</f>
        <v>3</v>
      </c>
      <c r="S531">
        <f>TRUNC(VLOOKUP(P531,'Color codes'!$A:$E,3,FALSE)*(0.25 + 0.75*Q531/40))</f>
        <v>59</v>
      </c>
      <c r="T531">
        <f>TRUNC(VLOOKUP(P531,'Color codes'!$A:$E,4,FALSE)*(0.25 + 0.75*Q531/40))</f>
        <v>98</v>
      </c>
      <c r="U531">
        <f>TRUNC(VLOOKUP(P531,'Color codes'!$A:$E,5,FALSE)*(0.25 + 0.75*Q531/40))</f>
        <v>142</v>
      </c>
      <c r="V531" t="b">
        <f t="shared" si="38"/>
        <v>1</v>
      </c>
    </row>
    <row r="532" spans="1:22" x14ac:dyDescent="0.25">
      <c r="A532" t="s">
        <v>14</v>
      </c>
      <c r="B532" t="s">
        <v>18</v>
      </c>
      <c r="C532">
        <v>15</v>
      </c>
      <c r="D532">
        <v>100</v>
      </c>
      <c r="E532">
        <v>102400</v>
      </c>
      <c r="F532" t="str">
        <f t="shared" si="40"/>
        <v>lena256_blurkernel10_15_100_102400</v>
      </c>
      <c r="G532">
        <f>IFERROR(VLOOKUP(F532,SROU03!$F:$H,2,FALSE),0)</f>
        <v>6.6109400000000003</v>
      </c>
      <c r="H532">
        <f>IFERROR(VLOOKUP(F532,SROU03!$F:$H,3,FALSE),0)</f>
        <v>19.355170999999999</v>
      </c>
      <c r="I532">
        <v>2.1259394000000001E-2</v>
      </c>
      <c r="J532">
        <v>9.5109999999999992E-6</v>
      </c>
      <c r="K532">
        <v>4.0972999999999997</v>
      </c>
      <c r="L532">
        <v>8.4284999999999997</v>
      </c>
      <c r="M532">
        <f>IFERROR(VLOOKUP(F532,TICO09!$F:$O,8,FALSE),0)</f>
        <v>12.1754</v>
      </c>
      <c r="N532">
        <f>IFERROR(VLOOKUP(F532,SROU03!$F:$O,9,FALSE),0)</f>
        <v>17.118200000000002</v>
      </c>
      <c r="O532">
        <v>13.7279</v>
      </c>
      <c r="P532" t="str">
        <f t="shared" si="37"/>
        <v>SROU03</v>
      </c>
      <c r="Q532">
        <f t="shared" si="39"/>
        <v>17.118200000000002</v>
      </c>
      <c r="R532">
        <f>VLOOKUP(P532,'Color codes'!$A:$B,2,FALSE)</f>
        <v>3</v>
      </c>
      <c r="S532">
        <f>TRUNC(VLOOKUP(P532,'Color codes'!$A:$E,3,FALSE)*(0.25 + 0.75*Q532/40))</f>
        <v>61</v>
      </c>
      <c r="T532">
        <f>TRUNC(VLOOKUP(P532,'Color codes'!$A:$E,4,FALSE)*(0.25 + 0.75*Q532/40))</f>
        <v>100</v>
      </c>
      <c r="U532">
        <f>TRUNC(VLOOKUP(P532,'Color codes'!$A:$E,5,FALSE)*(0.25 + 0.75*Q532/40))</f>
        <v>145</v>
      </c>
      <c r="V532" t="b">
        <f t="shared" si="38"/>
        <v>1</v>
      </c>
    </row>
    <row r="533" spans="1:22" x14ac:dyDescent="0.25">
      <c r="A533" t="s">
        <v>14</v>
      </c>
      <c r="B533" t="s">
        <v>18</v>
      </c>
      <c r="C533">
        <v>31</v>
      </c>
      <c r="D533">
        <v>100</v>
      </c>
      <c r="E533">
        <v>102400</v>
      </c>
      <c r="F533" t="str">
        <f t="shared" si="40"/>
        <v>lena256_blurkernel10_31_100_102400</v>
      </c>
      <c r="G533">
        <f>IFERROR(VLOOKUP(F533,SROU03!$F:$H,2,FALSE),0)</f>
        <v>4.4212550000000004</v>
      </c>
      <c r="H533">
        <f>IFERROR(VLOOKUP(F533,SROU03!$F:$H,3,FALSE),0)</f>
        <v>39.788916999999998</v>
      </c>
      <c r="I533">
        <v>2.1019784999999999E-2</v>
      </c>
      <c r="J533">
        <v>9.5440000000000004E-6</v>
      </c>
      <c r="K533">
        <v>4.1524000000000001</v>
      </c>
      <c r="L533">
        <v>5.6363000000000003</v>
      </c>
      <c r="M533">
        <f>IFERROR(VLOOKUP(F533,TICO09!$F:$O,8,FALSE),0)</f>
        <v>11.7837</v>
      </c>
      <c r="N533">
        <f>IFERROR(VLOOKUP(F533,SROU03!$F:$O,9,FALSE),0)</f>
        <v>13.450799999999999</v>
      </c>
      <c r="O533">
        <v>13.898</v>
      </c>
      <c r="P533" t="str">
        <f t="shared" si="37"/>
        <v>BM3D</v>
      </c>
      <c r="Q533">
        <f t="shared" si="39"/>
        <v>13.898</v>
      </c>
      <c r="R533">
        <f>VLOOKUP(P533,'Color codes'!$A:$B,2,FALSE)</f>
        <v>1</v>
      </c>
      <c r="S533">
        <f>TRUNC(VLOOKUP(P533,'Color codes'!$A:$E,3,FALSE)*(0.25 + 0.75*Q533/40))</f>
        <v>130</v>
      </c>
      <c r="T533">
        <f>TRUNC(VLOOKUP(P533,'Color codes'!$A:$E,4,FALSE)*(0.25 + 0.75*Q533/40))</f>
        <v>54</v>
      </c>
      <c r="U533">
        <f>TRUNC(VLOOKUP(P533,'Color codes'!$A:$E,5,FALSE)*(0.25 + 0.75*Q533/40))</f>
        <v>53</v>
      </c>
      <c r="V533" t="b">
        <f t="shared" si="38"/>
        <v>0</v>
      </c>
    </row>
    <row r="534" spans="1:22" x14ac:dyDescent="0.25">
      <c r="A534" t="s">
        <v>14</v>
      </c>
      <c r="B534" t="s">
        <v>15</v>
      </c>
      <c r="C534">
        <v>3</v>
      </c>
      <c r="D534">
        <v>100</v>
      </c>
      <c r="E534">
        <v>102400</v>
      </c>
      <c r="F534" t="str">
        <f t="shared" si="40"/>
        <v>lena256_blurkernel7_3_100_102400</v>
      </c>
      <c r="G534">
        <f>IFERROR(VLOOKUP(F534,SROU03!$F:$H,2,FALSE),0)</f>
        <v>21.018516000000002</v>
      </c>
      <c r="H534">
        <f>IFERROR(VLOOKUP(F534,SROU03!$F:$H,3,FALSE),0)</f>
        <v>3.5453260000000002</v>
      </c>
      <c r="I534">
        <v>2.1129139000000002E-2</v>
      </c>
      <c r="J534">
        <v>9.6090000000000007E-6</v>
      </c>
      <c r="K534">
        <v>4.0945</v>
      </c>
      <c r="L534">
        <v>18.034600000000001</v>
      </c>
      <c r="M534">
        <f>IFERROR(VLOOKUP(F534,TICO09!$F:$O,8,FALSE),0)</f>
        <v>15.758800000000001</v>
      </c>
      <c r="N534">
        <f>IFERROR(VLOOKUP(F534,SROU03!$F:$O,9,FALSE),0)</f>
        <v>22.2683</v>
      </c>
      <c r="O534">
        <v>13.787100000000001</v>
      </c>
      <c r="P534" t="str">
        <f t="shared" si="37"/>
        <v>SROU03</v>
      </c>
      <c r="Q534">
        <f t="shared" si="39"/>
        <v>22.2683</v>
      </c>
      <c r="R534">
        <f>VLOOKUP(P534,'Color codes'!$A:$B,2,FALSE)</f>
        <v>3</v>
      </c>
      <c r="S534">
        <f>TRUNC(VLOOKUP(P534,'Color codes'!$A:$E,3,FALSE)*(0.25 + 0.75*Q534/40))</f>
        <v>71</v>
      </c>
      <c r="T534">
        <f>TRUNC(VLOOKUP(P534,'Color codes'!$A:$E,4,FALSE)*(0.25 + 0.75*Q534/40))</f>
        <v>117</v>
      </c>
      <c r="U534">
        <f>TRUNC(VLOOKUP(P534,'Color codes'!$A:$E,5,FALSE)*(0.25 + 0.75*Q534/40))</f>
        <v>170</v>
      </c>
      <c r="V534" t="b">
        <f t="shared" si="38"/>
        <v>1</v>
      </c>
    </row>
    <row r="535" spans="1:22" x14ac:dyDescent="0.25">
      <c r="A535" t="s">
        <v>14</v>
      </c>
      <c r="B535" t="s">
        <v>15</v>
      </c>
      <c r="C535">
        <v>7</v>
      </c>
      <c r="D535">
        <v>100</v>
      </c>
      <c r="E535">
        <v>102400</v>
      </c>
      <c r="F535" t="str">
        <f t="shared" si="40"/>
        <v>lena256_blurkernel7_7_100_102400</v>
      </c>
      <c r="G535">
        <f>IFERROR(VLOOKUP(F535,SROU03!$F:$H,2,FALSE),0)</f>
        <v>10.05063</v>
      </c>
      <c r="H535">
        <f>IFERROR(VLOOKUP(F535,SROU03!$F:$H,3,FALSE),0)</f>
        <v>8.9135489999999997</v>
      </c>
      <c r="I535">
        <v>2.1037726E-2</v>
      </c>
      <c r="J535">
        <v>9.6260000000000007E-6</v>
      </c>
      <c r="K535">
        <v>4.1162999999999998</v>
      </c>
      <c r="L535">
        <v>12.1745</v>
      </c>
      <c r="M535">
        <f>IFERROR(VLOOKUP(F535,TICO09!$F:$O,8,FALSE),0)</f>
        <v>12.9092</v>
      </c>
      <c r="N535">
        <f>IFERROR(VLOOKUP(F535,SROU03!$F:$O,9,FALSE),0)</f>
        <v>14.941800000000001</v>
      </c>
      <c r="O535">
        <v>13.760199999999999</v>
      </c>
      <c r="P535" t="str">
        <f t="shared" si="37"/>
        <v>SROU03</v>
      </c>
      <c r="Q535">
        <f t="shared" si="39"/>
        <v>14.941800000000001</v>
      </c>
      <c r="R535">
        <f>VLOOKUP(P535,'Color codes'!$A:$B,2,FALSE)</f>
        <v>3</v>
      </c>
      <c r="S535">
        <f>TRUNC(VLOOKUP(P535,'Color codes'!$A:$E,3,FALSE)*(0.25 + 0.75*Q535/40))</f>
        <v>56</v>
      </c>
      <c r="T535">
        <f>TRUNC(VLOOKUP(P535,'Color codes'!$A:$E,4,FALSE)*(0.25 + 0.75*Q535/40))</f>
        <v>93</v>
      </c>
      <c r="U535">
        <f>TRUNC(VLOOKUP(P535,'Color codes'!$A:$E,5,FALSE)*(0.25 + 0.75*Q535/40))</f>
        <v>135</v>
      </c>
      <c r="V535" t="b">
        <f t="shared" si="38"/>
        <v>1</v>
      </c>
    </row>
    <row r="536" spans="1:22" x14ac:dyDescent="0.25">
      <c r="A536" t="s">
        <v>14</v>
      </c>
      <c r="B536" t="s">
        <v>15</v>
      </c>
      <c r="C536">
        <v>15</v>
      </c>
      <c r="D536">
        <v>100</v>
      </c>
      <c r="E536">
        <v>102400</v>
      </c>
      <c r="F536" t="str">
        <f t="shared" si="40"/>
        <v>lena256_blurkernel7_15_100_102400</v>
      </c>
      <c r="G536">
        <f>IFERROR(VLOOKUP(F536,SROU03!$F:$H,2,FALSE),0)</f>
        <v>5.86965</v>
      </c>
      <c r="H536">
        <f>IFERROR(VLOOKUP(F536,SROU03!$F:$H,3,FALSE),0)</f>
        <v>19.337347000000001</v>
      </c>
      <c r="I536">
        <v>2.1018678999999998E-2</v>
      </c>
      <c r="J536">
        <v>9.5370000000000003E-6</v>
      </c>
      <c r="K536">
        <v>4.1410999999999998</v>
      </c>
      <c r="L536">
        <v>8.2100000000000009</v>
      </c>
      <c r="M536">
        <f>IFERROR(VLOOKUP(F536,TICO09!$F:$O,8,FALSE),0)</f>
        <v>11.956899999999999</v>
      </c>
      <c r="N536">
        <f>IFERROR(VLOOKUP(F536,SROU03!$F:$O,9,FALSE),0)</f>
        <v>15.458600000000001</v>
      </c>
      <c r="O536">
        <v>13.7958</v>
      </c>
      <c r="P536" t="str">
        <f t="shared" si="37"/>
        <v>SROU03</v>
      </c>
      <c r="Q536">
        <f t="shared" si="39"/>
        <v>15.458600000000001</v>
      </c>
      <c r="R536">
        <f>VLOOKUP(P536,'Color codes'!$A:$B,2,FALSE)</f>
        <v>3</v>
      </c>
      <c r="S536">
        <f>TRUNC(VLOOKUP(P536,'Color codes'!$A:$E,3,FALSE)*(0.25 + 0.75*Q536/40))</f>
        <v>57</v>
      </c>
      <c r="T536">
        <f>TRUNC(VLOOKUP(P536,'Color codes'!$A:$E,4,FALSE)*(0.25 + 0.75*Q536/40))</f>
        <v>95</v>
      </c>
      <c r="U536">
        <f>TRUNC(VLOOKUP(P536,'Color codes'!$A:$E,5,FALSE)*(0.25 + 0.75*Q536/40))</f>
        <v>137</v>
      </c>
      <c r="V536" t="b">
        <f t="shared" si="38"/>
        <v>1</v>
      </c>
    </row>
    <row r="537" spans="1:22" x14ac:dyDescent="0.25">
      <c r="A537" t="s">
        <v>14</v>
      </c>
      <c r="B537" t="s">
        <v>15</v>
      </c>
      <c r="C537">
        <v>31</v>
      </c>
      <c r="D537">
        <v>100</v>
      </c>
      <c r="E537">
        <v>102400</v>
      </c>
      <c r="F537" t="str">
        <f t="shared" si="40"/>
        <v>lena256_blurkernel7_31_100_102400</v>
      </c>
      <c r="G537">
        <f>IFERROR(VLOOKUP(F537,SROU03!$F:$H,2,FALSE),0)</f>
        <v>3.7009379999999998</v>
      </c>
      <c r="H537">
        <f>IFERROR(VLOOKUP(F537,SROU03!$F:$H,3,FALSE),0)</f>
        <v>39.609557000000002</v>
      </c>
      <c r="I537">
        <v>2.1043851999999998E-2</v>
      </c>
      <c r="J537">
        <v>9.5089999999999999E-6</v>
      </c>
      <c r="K537">
        <v>4.1128</v>
      </c>
      <c r="L537">
        <v>5.3167</v>
      </c>
      <c r="M537">
        <f>IFERROR(VLOOKUP(F537,TICO09!$F:$O,8,FALSE),0)</f>
        <v>11.7425</v>
      </c>
      <c r="N537">
        <f>IFERROR(VLOOKUP(F537,SROU03!$F:$O,9,FALSE),0)</f>
        <v>14.0984</v>
      </c>
      <c r="O537">
        <v>13.6972</v>
      </c>
      <c r="P537" t="str">
        <f t="shared" si="37"/>
        <v>SROU03</v>
      </c>
      <c r="Q537">
        <f t="shared" si="39"/>
        <v>14.0984</v>
      </c>
      <c r="R537">
        <f>VLOOKUP(P537,'Color codes'!$A:$B,2,FALSE)</f>
        <v>3</v>
      </c>
      <c r="S537">
        <f>TRUNC(VLOOKUP(P537,'Color codes'!$A:$E,3,FALSE)*(0.25 + 0.75*Q537/40))</f>
        <v>55</v>
      </c>
      <c r="T537">
        <f>TRUNC(VLOOKUP(P537,'Color codes'!$A:$E,4,FALSE)*(0.25 + 0.75*Q537/40))</f>
        <v>90</v>
      </c>
      <c r="U537">
        <f>TRUNC(VLOOKUP(P537,'Color codes'!$A:$E,5,FALSE)*(0.25 + 0.75*Q537/40))</f>
        <v>131</v>
      </c>
      <c r="V537" t="b">
        <f t="shared" si="38"/>
        <v>0</v>
      </c>
    </row>
    <row r="538" spans="1:22" x14ac:dyDescent="0.25">
      <c r="A538" t="s">
        <v>14</v>
      </c>
      <c r="B538" t="s">
        <v>16</v>
      </c>
      <c r="C538">
        <v>3</v>
      </c>
      <c r="D538">
        <v>100</v>
      </c>
      <c r="E538">
        <v>102400</v>
      </c>
      <c r="F538" t="str">
        <f t="shared" si="40"/>
        <v>lena256_blurkernel8_3_100_102400</v>
      </c>
      <c r="G538">
        <f>IFERROR(VLOOKUP(F538,SROU03!$F:$H,2,FALSE),0)</f>
        <v>21.285394</v>
      </c>
      <c r="H538">
        <f>IFERROR(VLOOKUP(F538,SROU03!$F:$H,3,FALSE),0)</f>
        <v>3.5728270000000002</v>
      </c>
      <c r="I538">
        <v>2.1088530000000001E-2</v>
      </c>
      <c r="J538">
        <v>9.4509999999999998E-6</v>
      </c>
      <c r="K538">
        <v>4.1063999999999998</v>
      </c>
      <c r="L538">
        <v>17.587499999999999</v>
      </c>
      <c r="M538">
        <f>IFERROR(VLOOKUP(F538,TICO09!$F:$O,8,FALSE),0)</f>
        <v>15.6287</v>
      </c>
      <c r="N538">
        <f>IFERROR(VLOOKUP(F538,SROU03!$F:$O,9,FALSE),0)</f>
        <v>23.116099999999999</v>
      </c>
      <c r="O538">
        <v>13.6899</v>
      </c>
      <c r="P538" t="str">
        <f t="shared" si="37"/>
        <v>SROU03</v>
      </c>
      <c r="Q538">
        <f t="shared" si="39"/>
        <v>23.116099999999999</v>
      </c>
      <c r="R538">
        <f>VLOOKUP(P538,'Color codes'!$A:$B,2,FALSE)</f>
        <v>3</v>
      </c>
      <c r="S538">
        <f>TRUNC(VLOOKUP(P538,'Color codes'!$A:$E,3,FALSE)*(0.25 + 0.75*Q538/40))</f>
        <v>73</v>
      </c>
      <c r="T538">
        <f>TRUNC(VLOOKUP(P538,'Color codes'!$A:$E,4,FALSE)*(0.25 + 0.75*Q538/40))</f>
        <v>120</v>
      </c>
      <c r="U538">
        <f>TRUNC(VLOOKUP(P538,'Color codes'!$A:$E,5,FALSE)*(0.25 + 0.75*Q538/40))</f>
        <v>174</v>
      </c>
      <c r="V538" t="b">
        <f t="shared" si="38"/>
        <v>1</v>
      </c>
    </row>
    <row r="539" spans="1:22" x14ac:dyDescent="0.25">
      <c r="A539" t="s">
        <v>14</v>
      </c>
      <c r="B539" t="s">
        <v>16</v>
      </c>
      <c r="C539">
        <v>7</v>
      </c>
      <c r="D539">
        <v>100</v>
      </c>
      <c r="E539">
        <v>102400</v>
      </c>
      <c r="F539" t="str">
        <f t="shared" si="40"/>
        <v>lena256_blurkernel8_7_100_102400</v>
      </c>
      <c r="G539">
        <f>IFERROR(VLOOKUP(F539,SROU03!$F:$H,2,FALSE),0)</f>
        <v>10.053305</v>
      </c>
      <c r="H539">
        <f>IFERROR(VLOOKUP(F539,SROU03!$F:$H,3,FALSE),0)</f>
        <v>8.9662500000000005</v>
      </c>
      <c r="I539">
        <v>2.1213724E-2</v>
      </c>
      <c r="J539">
        <v>9.5219999999999996E-6</v>
      </c>
      <c r="K539">
        <v>4.0976999999999997</v>
      </c>
      <c r="L539">
        <v>12.004300000000001</v>
      </c>
      <c r="M539">
        <f>IFERROR(VLOOKUP(F539,TICO09!$F:$O,8,FALSE),0)</f>
        <v>12.9697</v>
      </c>
      <c r="N539">
        <f>IFERROR(VLOOKUP(F539,SROU03!$F:$O,9,FALSE),0)</f>
        <v>15.6584</v>
      </c>
      <c r="O539">
        <v>13.7958</v>
      </c>
      <c r="P539" t="str">
        <f t="shared" si="37"/>
        <v>SROU03</v>
      </c>
      <c r="Q539">
        <f t="shared" si="39"/>
        <v>15.6584</v>
      </c>
      <c r="R539">
        <f>VLOOKUP(P539,'Color codes'!$A:$B,2,FALSE)</f>
        <v>3</v>
      </c>
      <c r="S539">
        <f>TRUNC(VLOOKUP(P539,'Color codes'!$A:$E,3,FALSE)*(0.25 + 0.75*Q539/40))</f>
        <v>58</v>
      </c>
      <c r="T539">
        <f>TRUNC(VLOOKUP(P539,'Color codes'!$A:$E,4,FALSE)*(0.25 + 0.75*Q539/40))</f>
        <v>95</v>
      </c>
      <c r="U539">
        <f>TRUNC(VLOOKUP(P539,'Color codes'!$A:$E,5,FALSE)*(0.25 + 0.75*Q539/40))</f>
        <v>138</v>
      </c>
      <c r="V539" t="b">
        <f t="shared" si="38"/>
        <v>1</v>
      </c>
    </row>
    <row r="540" spans="1:22" x14ac:dyDescent="0.25">
      <c r="A540" t="s">
        <v>14</v>
      </c>
      <c r="B540" t="s">
        <v>16</v>
      </c>
      <c r="C540">
        <v>15</v>
      </c>
      <c r="D540">
        <v>100</v>
      </c>
      <c r="E540">
        <v>102400</v>
      </c>
      <c r="F540" t="str">
        <f t="shared" si="40"/>
        <v>lena256_blurkernel8_15_100_102400</v>
      </c>
      <c r="G540">
        <f>IFERROR(VLOOKUP(F540,SROU03!$F:$H,2,FALSE),0)</f>
        <v>6.3090679999999999</v>
      </c>
      <c r="H540">
        <f>IFERROR(VLOOKUP(F540,SROU03!$F:$H,3,FALSE),0)</f>
        <v>19.325101</v>
      </c>
      <c r="I540">
        <v>2.1188993999999999E-2</v>
      </c>
      <c r="J540">
        <v>9.5480000000000007E-6</v>
      </c>
      <c r="K540">
        <v>4.1041999999999996</v>
      </c>
      <c r="L540">
        <v>8.2194000000000003</v>
      </c>
      <c r="M540">
        <f>IFERROR(VLOOKUP(F540,TICO09!$F:$O,8,FALSE),0)</f>
        <v>11.9496</v>
      </c>
      <c r="N540">
        <f>IFERROR(VLOOKUP(F540,SROU03!$F:$O,9,FALSE),0)</f>
        <v>15.705500000000001</v>
      </c>
      <c r="O540">
        <v>13.7895</v>
      </c>
      <c r="P540" t="str">
        <f t="shared" si="37"/>
        <v>SROU03</v>
      </c>
      <c r="Q540">
        <f t="shared" si="39"/>
        <v>15.705500000000001</v>
      </c>
      <c r="R540">
        <f>VLOOKUP(P540,'Color codes'!$A:$B,2,FALSE)</f>
        <v>3</v>
      </c>
      <c r="S540">
        <f>TRUNC(VLOOKUP(P540,'Color codes'!$A:$E,3,FALSE)*(0.25 + 0.75*Q540/40))</f>
        <v>58</v>
      </c>
      <c r="T540">
        <f>TRUNC(VLOOKUP(P540,'Color codes'!$A:$E,4,FALSE)*(0.25 + 0.75*Q540/40))</f>
        <v>95</v>
      </c>
      <c r="U540">
        <f>TRUNC(VLOOKUP(P540,'Color codes'!$A:$E,5,FALSE)*(0.25 + 0.75*Q540/40))</f>
        <v>138</v>
      </c>
      <c r="V540" t="b">
        <f t="shared" si="38"/>
        <v>1</v>
      </c>
    </row>
    <row r="541" spans="1:22" x14ac:dyDescent="0.25">
      <c r="A541" t="s">
        <v>14</v>
      </c>
      <c r="B541" t="s">
        <v>16</v>
      </c>
      <c r="C541">
        <v>31</v>
      </c>
      <c r="D541">
        <v>100</v>
      </c>
      <c r="E541">
        <v>102400</v>
      </c>
      <c r="F541" t="str">
        <f t="shared" si="40"/>
        <v>lena256_blurkernel8_31_100_102400</v>
      </c>
      <c r="G541">
        <f>IFERROR(VLOOKUP(F541,SROU03!$F:$H,2,FALSE),0)</f>
        <v>4.2519539999999996</v>
      </c>
      <c r="H541">
        <f>IFERROR(VLOOKUP(F541,SROU03!$F:$H,3,FALSE),0)</f>
        <v>39.705275</v>
      </c>
      <c r="I541">
        <v>2.1160854999999999E-2</v>
      </c>
      <c r="J541">
        <v>9.577E-6</v>
      </c>
      <c r="K541">
        <v>4.1304999999999996</v>
      </c>
      <c r="L541">
        <v>5.3036000000000003</v>
      </c>
      <c r="M541">
        <f>IFERROR(VLOOKUP(F541,TICO09!$F:$O,8,FALSE),0)</f>
        <v>11.799300000000001</v>
      </c>
      <c r="N541">
        <f>IFERROR(VLOOKUP(F541,SROU03!$F:$O,9,FALSE),0)</f>
        <v>12.9933</v>
      </c>
      <c r="O541">
        <v>13.786</v>
      </c>
      <c r="P541" t="str">
        <f t="shared" si="37"/>
        <v>BM3D</v>
      </c>
      <c r="Q541">
        <f t="shared" si="39"/>
        <v>13.786</v>
      </c>
      <c r="R541">
        <f>VLOOKUP(P541,'Color codes'!$A:$B,2,FALSE)</f>
        <v>1</v>
      </c>
      <c r="S541">
        <f>TRUNC(VLOOKUP(P541,'Color codes'!$A:$E,3,FALSE)*(0.25 + 0.75*Q541/40))</f>
        <v>129</v>
      </c>
      <c r="T541">
        <f>TRUNC(VLOOKUP(P541,'Color codes'!$A:$E,4,FALSE)*(0.25 + 0.75*Q541/40))</f>
        <v>54</v>
      </c>
      <c r="U541">
        <f>TRUNC(VLOOKUP(P541,'Color codes'!$A:$E,5,FALSE)*(0.25 + 0.75*Q541/40))</f>
        <v>52</v>
      </c>
      <c r="V541" t="b">
        <f t="shared" si="38"/>
        <v>0</v>
      </c>
    </row>
    <row r="542" spans="1:22" x14ac:dyDescent="0.25">
      <c r="A542" t="s">
        <v>14</v>
      </c>
      <c r="B542" t="s">
        <v>17</v>
      </c>
      <c r="C542">
        <v>3</v>
      </c>
      <c r="D542">
        <v>100</v>
      </c>
      <c r="E542">
        <v>102400</v>
      </c>
      <c r="F542" t="str">
        <f t="shared" si="40"/>
        <v>lena256_line_3_100_102400</v>
      </c>
      <c r="G542">
        <f>IFERROR(VLOOKUP(F542,SROU03!$F:$H,2,FALSE),0)</f>
        <v>20.984998999999998</v>
      </c>
      <c r="H542">
        <f>IFERROR(VLOOKUP(F542,SROU03!$F:$H,3,FALSE),0)</f>
        <v>3.5526970000000002</v>
      </c>
      <c r="I542">
        <v>2.1102335E-2</v>
      </c>
      <c r="J542">
        <v>9.5589999999999994E-6</v>
      </c>
      <c r="K542">
        <v>4.1588000000000003</v>
      </c>
      <c r="L542">
        <v>15.0642</v>
      </c>
      <c r="M542">
        <f>IFERROR(VLOOKUP(F542,TICO09!$F:$O,8,FALSE),0)</f>
        <v>14.2735</v>
      </c>
      <c r="N542">
        <f>IFERROR(VLOOKUP(F542,SROU03!$F:$O,9,FALSE),0)</f>
        <v>13.813000000000001</v>
      </c>
      <c r="O542">
        <v>13.7881</v>
      </c>
      <c r="P542" t="str">
        <f t="shared" si="37"/>
        <v>TICO09</v>
      </c>
      <c r="Q542">
        <f t="shared" si="39"/>
        <v>14.2735</v>
      </c>
      <c r="R542">
        <f>VLOOKUP(P542,'Color codes'!$A:$B,2,FALSE)</f>
        <v>2</v>
      </c>
      <c r="S542">
        <f>TRUNC(VLOOKUP(P542,'Color codes'!$A:$E,3,FALSE)*(0.25 + 0.75*Q542/40))</f>
        <v>110</v>
      </c>
      <c r="T542">
        <f>TRUNC(VLOOKUP(P542,'Color codes'!$A:$E,4,FALSE)*(0.25 + 0.75*Q542/40))</f>
        <v>131</v>
      </c>
      <c r="U542">
        <f>TRUNC(VLOOKUP(P542,'Color codes'!$A:$E,5,FALSE)*(0.25 + 0.75*Q542/40))</f>
        <v>63</v>
      </c>
      <c r="V542" t="b">
        <f t="shared" si="38"/>
        <v>0</v>
      </c>
    </row>
    <row r="543" spans="1:22" x14ac:dyDescent="0.25">
      <c r="A543" t="s">
        <v>14</v>
      </c>
      <c r="B543" t="s">
        <v>17</v>
      </c>
      <c r="C543">
        <v>7</v>
      </c>
      <c r="D543">
        <v>100</v>
      </c>
      <c r="E543">
        <v>102400</v>
      </c>
      <c r="F543" t="str">
        <f t="shared" si="40"/>
        <v>lena256_line_7_100_102400</v>
      </c>
      <c r="G543">
        <f>IFERROR(VLOOKUP(F543,SROU03!$F:$H,2,FALSE),0)</f>
        <v>10.269071</v>
      </c>
      <c r="H543">
        <f>IFERROR(VLOOKUP(F543,SROU03!$F:$H,3,FALSE),0)</f>
        <v>8.8732520000000008</v>
      </c>
      <c r="I543">
        <v>2.0992028999999999E-2</v>
      </c>
      <c r="J543">
        <v>9.6269999999999995E-6</v>
      </c>
      <c r="K543">
        <v>4.1063999999999998</v>
      </c>
      <c r="L543">
        <v>10.083299999999999</v>
      </c>
      <c r="M543">
        <f>IFERROR(VLOOKUP(F543,TICO09!$F:$O,8,FALSE),0)</f>
        <v>12.598599999999999</v>
      </c>
      <c r="N543">
        <f>IFERROR(VLOOKUP(F543,SROU03!$F:$O,9,FALSE),0)</f>
        <v>12.545299999999999</v>
      </c>
      <c r="O543">
        <v>13.823700000000001</v>
      </c>
      <c r="P543" t="str">
        <f t="shared" si="37"/>
        <v>BM3D</v>
      </c>
      <c r="Q543">
        <f t="shared" si="39"/>
        <v>13.823700000000001</v>
      </c>
      <c r="R543">
        <f>VLOOKUP(P543,'Color codes'!$A:$B,2,FALSE)</f>
        <v>1</v>
      </c>
      <c r="S543">
        <f>TRUNC(VLOOKUP(P543,'Color codes'!$A:$E,3,FALSE)*(0.25 + 0.75*Q543/40))</f>
        <v>129</v>
      </c>
      <c r="T543">
        <f>TRUNC(VLOOKUP(P543,'Color codes'!$A:$E,4,FALSE)*(0.25 + 0.75*Q543/40))</f>
        <v>54</v>
      </c>
      <c r="U543">
        <f>TRUNC(VLOOKUP(P543,'Color codes'!$A:$E,5,FALSE)*(0.25 + 0.75*Q543/40))</f>
        <v>52</v>
      </c>
      <c r="V543" t="b">
        <f t="shared" si="38"/>
        <v>1</v>
      </c>
    </row>
    <row r="544" spans="1:22" x14ac:dyDescent="0.25">
      <c r="A544" t="s">
        <v>14</v>
      </c>
      <c r="B544" t="s">
        <v>17</v>
      </c>
      <c r="C544">
        <v>15</v>
      </c>
      <c r="D544">
        <v>100</v>
      </c>
      <c r="E544">
        <v>102400</v>
      </c>
      <c r="F544" t="str">
        <f t="shared" si="40"/>
        <v>lena256_line_15_100_102400</v>
      </c>
      <c r="G544">
        <f>IFERROR(VLOOKUP(F544,SROU03!$F:$H,2,FALSE),0)</f>
        <v>6.6341049999999999</v>
      </c>
      <c r="H544">
        <f>IFERROR(VLOOKUP(F544,SROU03!$F:$H,3,FALSE),0)</f>
        <v>19.15962</v>
      </c>
      <c r="I544">
        <v>2.1003108999999999E-2</v>
      </c>
      <c r="J544">
        <v>9.5589999999999994E-6</v>
      </c>
      <c r="K544">
        <v>4.1265000000000001</v>
      </c>
      <c r="L544">
        <v>6.5646000000000004</v>
      </c>
      <c r="M544">
        <f>IFERROR(VLOOKUP(F544,TICO09!$F:$O,8,FALSE),0)</f>
        <v>12.187099999999999</v>
      </c>
      <c r="N544">
        <f>IFERROR(VLOOKUP(F544,SROU03!$F:$O,9,FALSE),0)</f>
        <v>12.359500000000001</v>
      </c>
      <c r="O544">
        <v>13.7987</v>
      </c>
      <c r="P544" t="str">
        <f t="shared" si="37"/>
        <v>BM3D</v>
      </c>
      <c r="Q544">
        <f t="shared" si="39"/>
        <v>13.7987</v>
      </c>
      <c r="R544">
        <f>VLOOKUP(P544,'Color codes'!$A:$B,2,FALSE)</f>
        <v>1</v>
      </c>
      <c r="S544">
        <f>TRUNC(VLOOKUP(P544,'Color codes'!$A:$E,3,FALSE)*(0.25 + 0.75*Q544/40))</f>
        <v>129</v>
      </c>
      <c r="T544">
        <f>TRUNC(VLOOKUP(P544,'Color codes'!$A:$E,4,FALSE)*(0.25 + 0.75*Q544/40))</f>
        <v>54</v>
      </c>
      <c r="U544">
        <f>TRUNC(VLOOKUP(P544,'Color codes'!$A:$E,5,FALSE)*(0.25 + 0.75*Q544/40))</f>
        <v>52</v>
      </c>
      <c r="V544" t="b">
        <f t="shared" si="38"/>
        <v>1</v>
      </c>
    </row>
    <row r="545" spans="1:22" x14ac:dyDescent="0.25">
      <c r="A545" t="s">
        <v>14</v>
      </c>
      <c r="B545" t="s">
        <v>17</v>
      </c>
      <c r="C545">
        <v>31</v>
      </c>
      <c r="D545">
        <v>100</v>
      </c>
      <c r="E545">
        <v>102400</v>
      </c>
      <c r="F545" t="str">
        <f t="shared" si="40"/>
        <v>lena256_line_31_100_102400</v>
      </c>
      <c r="G545">
        <f>IFERROR(VLOOKUP(F545,SROU03!$F:$H,2,FALSE),0)</f>
        <v>4.7259099999999998</v>
      </c>
      <c r="H545">
        <f>IFERROR(VLOOKUP(F545,SROU03!$F:$H,3,FALSE),0)</f>
        <v>39.218291999999998</v>
      </c>
      <c r="I545">
        <v>2.1223367999999999E-2</v>
      </c>
      <c r="J545">
        <v>9.6360000000000006E-6</v>
      </c>
      <c r="K545">
        <v>4.0959000000000003</v>
      </c>
      <c r="L545">
        <v>3.6432000000000002</v>
      </c>
      <c r="M545">
        <f>IFERROR(VLOOKUP(F545,TICO09!$F:$O,8,FALSE),0)</f>
        <v>11.8887</v>
      </c>
      <c r="N545">
        <f>IFERROR(VLOOKUP(F545,SROU03!$F:$O,9,FALSE),0)</f>
        <v>11.723800000000001</v>
      </c>
      <c r="O545">
        <v>13.831200000000001</v>
      </c>
      <c r="P545" t="str">
        <f t="shared" si="37"/>
        <v>BM3D</v>
      </c>
      <c r="Q545">
        <f t="shared" si="39"/>
        <v>13.831200000000001</v>
      </c>
      <c r="R545">
        <f>VLOOKUP(P545,'Color codes'!$A:$B,2,FALSE)</f>
        <v>1</v>
      </c>
      <c r="S545">
        <f>TRUNC(VLOOKUP(P545,'Color codes'!$A:$E,3,FALSE)*(0.25 + 0.75*Q545/40))</f>
        <v>129</v>
      </c>
      <c r="T545">
        <f>TRUNC(VLOOKUP(P545,'Color codes'!$A:$E,4,FALSE)*(0.25 + 0.75*Q545/40))</f>
        <v>54</v>
      </c>
      <c r="U545">
        <f>TRUNC(VLOOKUP(P545,'Color codes'!$A:$E,5,FALSE)*(0.25 + 0.75*Q545/40))</f>
        <v>52</v>
      </c>
      <c r="V545" t="b">
        <f t="shared" si="38"/>
        <v>1</v>
      </c>
    </row>
    <row r="546" spans="1:22" x14ac:dyDescent="0.25">
      <c r="A546" t="s">
        <v>20</v>
      </c>
      <c r="B546" t="s">
        <v>18</v>
      </c>
      <c r="C546">
        <v>3</v>
      </c>
      <c r="D546">
        <v>100</v>
      </c>
      <c r="E546">
        <v>102400</v>
      </c>
      <c r="F546" t="str">
        <f t="shared" si="40"/>
        <v>text256_blurkernel10_3_100_102400</v>
      </c>
      <c r="G546">
        <f>IFERROR(VLOOKUP(F546,SROU03!$F:$H,2,FALSE),0)</f>
        <v>14.745421</v>
      </c>
      <c r="H546">
        <f>IFERROR(VLOOKUP(F546,SROU03!$F:$H,3,FALSE),0)</f>
        <v>5.9850469999999998</v>
      </c>
      <c r="I546">
        <v>1.3393733999999999E-2</v>
      </c>
      <c r="J546">
        <v>9.7410000000000004E-6</v>
      </c>
      <c r="K546">
        <v>6.7244999999999999</v>
      </c>
      <c r="L546">
        <v>7.1303000000000001</v>
      </c>
      <c r="M546">
        <f>IFERROR(VLOOKUP(F546,TICO09!$F:$O,8,FALSE),0)</f>
        <v>9.7911000000000001</v>
      </c>
      <c r="N546">
        <f>IFERROR(VLOOKUP(F546,SROU03!$F:$O,9,FALSE),0)</f>
        <v>18.781300000000002</v>
      </c>
      <c r="O546">
        <v>12.2057</v>
      </c>
      <c r="P546" t="str">
        <f t="shared" si="37"/>
        <v>SROU03</v>
      </c>
      <c r="Q546">
        <f t="shared" si="39"/>
        <v>18.781300000000002</v>
      </c>
      <c r="R546">
        <f>VLOOKUP(P546,'Color codes'!$A:$B,2,FALSE)</f>
        <v>3</v>
      </c>
      <c r="S546">
        <f>TRUNC(VLOOKUP(P546,'Color codes'!$A:$E,3,FALSE)*(0.25 + 0.75*Q546/40))</f>
        <v>64</v>
      </c>
      <c r="T546">
        <f>TRUNC(VLOOKUP(P546,'Color codes'!$A:$E,4,FALSE)*(0.25 + 0.75*Q546/40))</f>
        <v>105</v>
      </c>
      <c r="U546">
        <f>TRUNC(VLOOKUP(P546,'Color codes'!$A:$E,5,FALSE)*(0.25 + 0.75*Q546/40))</f>
        <v>153</v>
      </c>
      <c r="V546" t="b">
        <f t="shared" si="38"/>
        <v>1</v>
      </c>
    </row>
    <row r="547" spans="1:22" x14ac:dyDescent="0.25">
      <c r="A547" t="s">
        <v>20</v>
      </c>
      <c r="B547" t="s">
        <v>18</v>
      </c>
      <c r="C547">
        <v>7</v>
      </c>
      <c r="D547">
        <v>100</v>
      </c>
      <c r="E547">
        <v>102400</v>
      </c>
      <c r="F547" t="str">
        <f t="shared" si="40"/>
        <v>text256_blurkernel10_7_100_102400</v>
      </c>
      <c r="G547">
        <f>IFERROR(VLOOKUP(F547,SROU03!$F:$H,2,FALSE),0)</f>
        <v>7.3053090000000003</v>
      </c>
      <c r="H547">
        <f>IFERROR(VLOOKUP(F547,SROU03!$F:$H,3,FALSE),0)</f>
        <v>13.857042</v>
      </c>
      <c r="I547">
        <v>1.3474974000000001E-2</v>
      </c>
      <c r="J547">
        <v>1.1943000000000001E-5</v>
      </c>
      <c r="K547">
        <v>6.6994999999999996</v>
      </c>
      <c r="L547">
        <v>2.1821999999999999</v>
      </c>
      <c r="M547">
        <f>IFERROR(VLOOKUP(F547,TICO09!$F:$O,8,FALSE),0)</f>
        <v>9.6532</v>
      </c>
      <c r="N547">
        <f>IFERROR(VLOOKUP(F547,SROU03!$F:$O,9,FALSE),0)</f>
        <v>15.1959</v>
      </c>
      <c r="O547">
        <v>12.1668</v>
      </c>
      <c r="P547" t="str">
        <f t="shared" si="37"/>
        <v>SROU03</v>
      </c>
      <c r="Q547">
        <f t="shared" si="39"/>
        <v>15.1959</v>
      </c>
      <c r="R547">
        <f>VLOOKUP(P547,'Color codes'!$A:$B,2,FALSE)</f>
        <v>3</v>
      </c>
      <c r="S547">
        <f>TRUNC(VLOOKUP(P547,'Color codes'!$A:$E,3,FALSE)*(0.25 + 0.75*Q547/40))</f>
        <v>57</v>
      </c>
      <c r="T547">
        <f>TRUNC(VLOOKUP(P547,'Color codes'!$A:$E,4,FALSE)*(0.25 + 0.75*Q547/40))</f>
        <v>94</v>
      </c>
      <c r="U547">
        <f>TRUNC(VLOOKUP(P547,'Color codes'!$A:$E,5,FALSE)*(0.25 + 0.75*Q547/40))</f>
        <v>136</v>
      </c>
      <c r="V547" t="b">
        <f t="shared" si="38"/>
        <v>1</v>
      </c>
    </row>
    <row r="548" spans="1:22" x14ac:dyDescent="0.25">
      <c r="A548" t="s">
        <v>20</v>
      </c>
      <c r="B548" t="s">
        <v>18</v>
      </c>
      <c r="C548">
        <v>15</v>
      </c>
      <c r="D548">
        <v>100</v>
      </c>
      <c r="E548">
        <v>102400</v>
      </c>
      <c r="F548" t="str">
        <f t="shared" si="40"/>
        <v>text256_blurkernel10_15_100_102400</v>
      </c>
      <c r="G548">
        <f>IFERROR(VLOOKUP(F548,SROU03!$F:$H,2,FALSE),0)</f>
        <v>4.1921309999999998</v>
      </c>
      <c r="H548">
        <f>IFERROR(VLOOKUP(F548,SROU03!$F:$H,3,FALSE),0)</f>
        <v>27.476785</v>
      </c>
      <c r="I548">
        <v>1.3428084999999999E-2</v>
      </c>
      <c r="J548">
        <v>1.4712000000000001E-5</v>
      </c>
      <c r="K548">
        <v>6.7111000000000001</v>
      </c>
      <c r="L548">
        <v>1.3011999999999999</v>
      </c>
      <c r="M548">
        <f>IFERROR(VLOOKUP(F548,TICO09!$F:$O,8,FALSE),0)</f>
        <v>9.6219999999999999</v>
      </c>
      <c r="N548">
        <f>IFERROR(VLOOKUP(F548,SROU03!$F:$O,9,FALSE),0)</f>
        <v>14.038500000000001</v>
      </c>
      <c r="O548">
        <v>12.194599999999999</v>
      </c>
      <c r="P548" t="str">
        <f t="shared" si="37"/>
        <v>SROU03</v>
      </c>
      <c r="Q548">
        <f t="shared" si="39"/>
        <v>14.038500000000001</v>
      </c>
      <c r="R548">
        <f>VLOOKUP(P548,'Color codes'!$A:$B,2,FALSE)</f>
        <v>3</v>
      </c>
      <c r="S548">
        <f>TRUNC(VLOOKUP(P548,'Color codes'!$A:$E,3,FALSE)*(0.25 + 0.75*Q548/40))</f>
        <v>54</v>
      </c>
      <c r="T548">
        <f>TRUNC(VLOOKUP(P548,'Color codes'!$A:$E,4,FALSE)*(0.25 + 0.75*Q548/40))</f>
        <v>90</v>
      </c>
      <c r="U548">
        <f>TRUNC(VLOOKUP(P548,'Color codes'!$A:$E,5,FALSE)*(0.25 + 0.75*Q548/40))</f>
        <v>130</v>
      </c>
      <c r="V548" t="b">
        <f t="shared" si="38"/>
        <v>1</v>
      </c>
    </row>
    <row r="549" spans="1:22" x14ac:dyDescent="0.25">
      <c r="A549" t="s">
        <v>20</v>
      </c>
      <c r="B549" t="s">
        <v>18</v>
      </c>
      <c r="C549">
        <v>31</v>
      </c>
      <c r="D549">
        <v>100</v>
      </c>
      <c r="E549">
        <v>102400</v>
      </c>
      <c r="F549" t="str">
        <f t="shared" si="40"/>
        <v>text256_blurkernel10_31_100_102400</v>
      </c>
      <c r="G549">
        <f>IFERROR(VLOOKUP(F549,SROU03!$F:$H,2,FALSE),0)</f>
        <v>2.8242150000000001</v>
      </c>
      <c r="H549">
        <f>IFERROR(VLOOKUP(F549,SROU03!$F:$H,3,FALSE),0)</f>
        <v>53.819253000000003</v>
      </c>
      <c r="I549">
        <v>1.3282184000000001E-2</v>
      </c>
      <c r="J549">
        <v>1.6341000000000002E-5</v>
      </c>
      <c r="K549">
        <v>6.7629999999999999</v>
      </c>
      <c r="L549">
        <v>0.23899999999999999</v>
      </c>
      <c r="M549">
        <f>IFERROR(VLOOKUP(F549,TICO09!$F:$O,8,FALSE),0)</f>
        <v>9.5213000000000001</v>
      </c>
      <c r="N549">
        <f>IFERROR(VLOOKUP(F549,SROU03!$F:$O,9,FALSE),0)</f>
        <v>12.0632</v>
      </c>
      <c r="O549">
        <v>12.186199999999999</v>
      </c>
      <c r="P549" t="str">
        <f t="shared" si="37"/>
        <v>BM3D</v>
      </c>
      <c r="Q549">
        <f t="shared" si="39"/>
        <v>12.186199999999999</v>
      </c>
      <c r="R549">
        <f>VLOOKUP(P549,'Color codes'!$A:$B,2,FALSE)</f>
        <v>1</v>
      </c>
      <c r="S549">
        <f>TRUNC(VLOOKUP(P549,'Color codes'!$A:$E,3,FALSE)*(0.25 + 0.75*Q549/40))</f>
        <v>122</v>
      </c>
      <c r="T549">
        <f>TRUNC(VLOOKUP(P549,'Color codes'!$A:$E,4,FALSE)*(0.25 + 0.75*Q549/40))</f>
        <v>51</v>
      </c>
      <c r="U549">
        <f>TRUNC(VLOOKUP(P549,'Color codes'!$A:$E,5,FALSE)*(0.25 + 0.75*Q549/40))</f>
        <v>49</v>
      </c>
      <c r="V549" t="b">
        <f t="shared" si="38"/>
        <v>0</v>
      </c>
    </row>
    <row r="550" spans="1:22" x14ac:dyDescent="0.25">
      <c r="A550" t="s">
        <v>20</v>
      </c>
      <c r="B550" t="s">
        <v>15</v>
      </c>
      <c r="C550">
        <v>3</v>
      </c>
      <c r="D550">
        <v>100</v>
      </c>
      <c r="E550">
        <v>102400</v>
      </c>
      <c r="F550" t="str">
        <f t="shared" si="40"/>
        <v>text256_blurkernel7_3_100_102400</v>
      </c>
      <c r="G550">
        <f>IFERROR(VLOOKUP(F550,SROU03!$F:$H,2,FALSE),0)</f>
        <v>14.874995</v>
      </c>
      <c r="H550">
        <f>IFERROR(VLOOKUP(F550,SROU03!$F:$H,3,FALSE),0)</f>
        <v>5.9437569999999997</v>
      </c>
      <c r="I550">
        <v>1.3504608E-2</v>
      </c>
      <c r="J550">
        <v>9.7589999999999992E-6</v>
      </c>
      <c r="K550">
        <v>6.6919000000000004</v>
      </c>
      <c r="L550">
        <v>9.2129999999999992</v>
      </c>
      <c r="M550">
        <f>IFERROR(VLOOKUP(F550,TICO09!$F:$O,8,FALSE),0)</f>
        <v>10.7644</v>
      </c>
      <c r="N550">
        <f>IFERROR(VLOOKUP(F550,SROU03!$F:$O,9,FALSE),0)</f>
        <v>18.8781</v>
      </c>
      <c r="O550">
        <v>12.110799999999999</v>
      </c>
      <c r="P550" t="str">
        <f t="shared" si="37"/>
        <v>SROU03</v>
      </c>
      <c r="Q550">
        <f t="shared" si="39"/>
        <v>18.8781</v>
      </c>
      <c r="R550">
        <f>VLOOKUP(P550,'Color codes'!$A:$B,2,FALSE)</f>
        <v>3</v>
      </c>
      <c r="S550">
        <f>TRUNC(VLOOKUP(P550,'Color codes'!$A:$E,3,FALSE)*(0.25 + 0.75*Q550/40))</f>
        <v>64</v>
      </c>
      <c r="T550">
        <f>TRUNC(VLOOKUP(P550,'Color codes'!$A:$E,4,FALSE)*(0.25 + 0.75*Q550/40))</f>
        <v>106</v>
      </c>
      <c r="U550">
        <f>TRUNC(VLOOKUP(P550,'Color codes'!$A:$E,5,FALSE)*(0.25 + 0.75*Q550/40))</f>
        <v>154</v>
      </c>
      <c r="V550" t="b">
        <f t="shared" si="38"/>
        <v>1</v>
      </c>
    </row>
    <row r="551" spans="1:22" x14ac:dyDescent="0.25">
      <c r="A551" t="s">
        <v>20</v>
      </c>
      <c r="B551" t="s">
        <v>15</v>
      </c>
      <c r="C551">
        <v>7</v>
      </c>
      <c r="D551">
        <v>100</v>
      </c>
      <c r="E551">
        <v>102400</v>
      </c>
      <c r="F551" t="str">
        <f t="shared" si="40"/>
        <v>text256_blurkernel7_7_100_102400</v>
      </c>
      <c r="G551">
        <f>IFERROR(VLOOKUP(F551,SROU03!$F:$H,2,FALSE),0)</f>
        <v>7.3152200000000001</v>
      </c>
      <c r="H551">
        <f>IFERROR(VLOOKUP(F551,SROU03!$F:$H,3,FALSE),0)</f>
        <v>13.974468</v>
      </c>
      <c r="I551">
        <v>1.3610898E-2</v>
      </c>
      <c r="J551">
        <v>1.166E-5</v>
      </c>
      <c r="K551">
        <v>6.6691000000000003</v>
      </c>
      <c r="L551">
        <v>3.1004999999999998</v>
      </c>
      <c r="M551">
        <f>IFERROR(VLOOKUP(F551,TICO09!$F:$O,8,FALSE),0)</f>
        <v>9.4454999999999991</v>
      </c>
      <c r="N551">
        <f>IFERROR(VLOOKUP(F551,SROU03!$F:$O,9,FALSE),0)</f>
        <v>11.451000000000001</v>
      </c>
      <c r="O551">
        <v>12.173999999999999</v>
      </c>
      <c r="P551" t="str">
        <f t="shared" si="37"/>
        <v>BM3D</v>
      </c>
      <c r="Q551">
        <f t="shared" si="39"/>
        <v>12.173999999999999</v>
      </c>
      <c r="R551">
        <f>VLOOKUP(P551,'Color codes'!$A:$B,2,FALSE)</f>
        <v>1</v>
      </c>
      <c r="S551">
        <f>TRUNC(VLOOKUP(P551,'Color codes'!$A:$E,3,FALSE)*(0.25 + 0.75*Q551/40))</f>
        <v>121</v>
      </c>
      <c r="T551">
        <f>TRUNC(VLOOKUP(P551,'Color codes'!$A:$E,4,FALSE)*(0.25 + 0.75*Q551/40))</f>
        <v>51</v>
      </c>
      <c r="U551">
        <f>TRUNC(VLOOKUP(P551,'Color codes'!$A:$E,5,FALSE)*(0.25 + 0.75*Q551/40))</f>
        <v>49</v>
      </c>
      <c r="V551" t="b">
        <f t="shared" si="38"/>
        <v>0</v>
      </c>
    </row>
    <row r="552" spans="1:22" x14ac:dyDescent="0.25">
      <c r="A552" t="s">
        <v>20</v>
      </c>
      <c r="B552" t="s">
        <v>15</v>
      </c>
      <c r="C552">
        <v>15</v>
      </c>
      <c r="D552">
        <v>100</v>
      </c>
      <c r="E552">
        <v>102400</v>
      </c>
      <c r="F552" t="str">
        <f t="shared" si="40"/>
        <v>text256_blurkernel7_15_100_102400</v>
      </c>
      <c r="G552">
        <f>IFERROR(VLOOKUP(F552,SROU03!$F:$H,2,FALSE),0)</f>
        <v>3.7147199999999998</v>
      </c>
      <c r="H552">
        <f>IFERROR(VLOOKUP(F552,SROU03!$F:$H,3,FALSE),0)</f>
        <v>27.957543999999999</v>
      </c>
      <c r="I552">
        <v>1.3369315E-2</v>
      </c>
      <c r="J552">
        <v>1.4270000000000001E-5</v>
      </c>
      <c r="K552">
        <v>6.7306999999999997</v>
      </c>
      <c r="L552">
        <v>1.5172000000000001</v>
      </c>
      <c r="M552">
        <f>IFERROR(VLOOKUP(F552,TICO09!$F:$O,8,FALSE),0)</f>
        <v>9.5233000000000008</v>
      </c>
      <c r="N552">
        <f>IFERROR(VLOOKUP(F552,SROU03!$F:$O,9,FALSE),0)</f>
        <v>13.2485</v>
      </c>
      <c r="O552">
        <v>12.1235</v>
      </c>
      <c r="P552" t="str">
        <f t="shared" si="37"/>
        <v>SROU03</v>
      </c>
      <c r="Q552">
        <f t="shared" si="39"/>
        <v>13.2485</v>
      </c>
      <c r="R552">
        <f>VLOOKUP(P552,'Color codes'!$A:$B,2,FALSE)</f>
        <v>3</v>
      </c>
      <c r="S552">
        <f>TRUNC(VLOOKUP(P552,'Color codes'!$A:$E,3,FALSE)*(0.25 + 0.75*Q552/40))</f>
        <v>53</v>
      </c>
      <c r="T552">
        <f>TRUNC(VLOOKUP(P552,'Color codes'!$A:$E,4,FALSE)*(0.25 + 0.75*Q552/40))</f>
        <v>87</v>
      </c>
      <c r="U552">
        <f>TRUNC(VLOOKUP(P552,'Color codes'!$A:$E,5,FALSE)*(0.25 + 0.75*Q552/40))</f>
        <v>127</v>
      </c>
      <c r="V552" t="b">
        <f t="shared" si="38"/>
        <v>1</v>
      </c>
    </row>
    <row r="553" spans="1:22" x14ac:dyDescent="0.25">
      <c r="A553" t="s">
        <v>20</v>
      </c>
      <c r="B553" t="s">
        <v>15</v>
      </c>
      <c r="C553">
        <v>31</v>
      </c>
      <c r="D553">
        <v>100</v>
      </c>
      <c r="E553">
        <v>102400</v>
      </c>
      <c r="F553" t="str">
        <f t="shared" si="40"/>
        <v>text256_blurkernel7_31_100_102400</v>
      </c>
      <c r="G553">
        <f>IFERROR(VLOOKUP(F553,SROU03!$F:$H,2,FALSE),0)</f>
        <v>2.2778990000000001</v>
      </c>
      <c r="H553">
        <f>IFERROR(VLOOKUP(F553,SROU03!$F:$H,3,FALSE),0)</f>
        <v>54.714168000000001</v>
      </c>
      <c r="I553">
        <v>1.3302189000000001E-2</v>
      </c>
      <c r="J553">
        <v>1.6073999999999999E-5</v>
      </c>
      <c r="K553">
        <v>6.7576000000000001</v>
      </c>
      <c r="L553">
        <v>0.78320000000000001</v>
      </c>
      <c r="M553">
        <f>IFERROR(VLOOKUP(F553,TICO09!$F:$O,8,FALSE),0)</f>
        <v>9.6379000000000001</v>
      </c>
      <c r="N553">
        <f>IFERROR(VLOOKUP(F553,SROU03!$F:$O,9,FALSE),0)</f>
        <v>11.744</v>
      </c>
      <c r="O553">
        <v>12.2254</v>
      </c>
      <c r="P553" t="str">
        <f t="shared" si="37"/>
        <v>BM3D</v>
      </c>
      <c r="Q553">
        <f t="shared" si="39"/>
        <v>12.2254</v>
      </c>
      <c r="R553">
        <f>VLOOKUP(P553,'Color codes'!$A:$B,2,FALSE)</f>
        <v>1</v>
      </c>
      <c r="S553">
        <f>TRUNC(VLOOKUP(P553,'Color codes'!$A:$E,3,FALSE)*(0.25 + 0.75*Q553/40))</f>
        <v>122</v>
      </c>
      <c r="T553">
        <f>TRUNC(VLOOKUP(P553,'Color codes'!$A:$E,4,FALSE)*(0.25 + 0.75*Q553/40))</f>
        <v>51</v>
      </c>
      <c r="U553">
        <f>TRUNC(VLOOKUP(P553,'Color codes'!$A:$E,5,FALSE)*(0.25 + 0.75*Q553/40))</f>
        <v>49</v>
      </c>
      <c r="V553" t="b">
        <f t="shared" si="38"/>
        <v>0</v>
      </c>
    </row>
    <row r="554" spans="1:22" x14ac:dyDescent="0.25">
      <c r="A554" t="s">
        <v>20</v>
      </c>
      <c r="B554" t="s">
        <v>16</v>
      </c>
      <c r="C554">
        <v>3</v>
      </c>
      <c r="D554">
        <v>100</v>
      </c>
      <c r="E554">
        <v>102400</v>
      </c>
      <c r="F554" t="str">
        <f t="shared" si="40"/>
        <v>text256_blurkernel8_3_100_102400</v>
      </c>
      <c r="G554">
        <f>IFERROR(VLOOKUP(F554,SROU03!$F:$H,2,FALSE),0)</f>
        <v>15.428974999999999</v>
      </c>
      <c r="H554">
        <f>IFERROR(VLOOKUP(F554,SROU03!$F:$H,3,FALSE),0)</f>
        <v>5.882803</v>
      </c>
      <c r="I554">
        <v>1.3406987E-2</v>
      </c>
      <c r="J554">
        <v>9.6749999999999997E-6</v>
      </c>
      <c r="K554">
        <v>6.7294</v>
      </c>
      <c r="L554">
        <v>8.6318999999999999</v>
      </c>
      <c r="M554">
        <f>IFERROR(VLOOKUP(F554,TICO09!$F:$O,8,FALSE),0)</f>
        <v>10.691800000000001</v>
      </c>
      <c r="N554">
        <f>IFERROR(VLOOKUP(F554,SROU03!$F:$O,9,FALSE),0)</f>
        <v>23.9041</v>
      </c>
      <c r="O554">
        <v>12.213800000000001</v>
      </c>
      <c r="P554" t="str">
        <f t="shared" si="37"/>
        <v>SROU03</v>
      </c>
      <c r="Q554">
        <f t="shared" si="39"/>
        <v>23.9041</v>
      </c>
      <c r="R554">
        <f>VLOOKUP(P554,'Color codes'!$A:$B,2,FALSE)</f>
        <v>3</v>
      </c>
      <c r="S554">
        <f>TRUNC(VLOOKUP(P554,'Color codes'!$A:$E,3,FALSE)*(0.25 + 0.75*Q554/40))</f>
        <v>74</v>
      </c>
      <c r="T554">
        <f>TRUNC(VLOOKUP(P554,'Color codes'!$A:$E,4,FALSE)*(0.25 + 0.75*Q554/40))</f>
        <v>122</v>
      </c>
      <c r="U554">
        <f>TRUNC(VLOOKUP(P554,'Color codes'!$A:$E,5,FALSE)*(0.25 + 0.75*Q554/40))</f>
        <v>178</v>
      </c>
      <c r="V554" t="b">
        <f t="shared" si="38"/>
        <v>1</v>
      </c>
    </row>
    <row r="555" spans="1:22" x14ac:dyDescent="0.25">
      <c r="A555" t="s">
        <v>20</v>
      </c>
      <c r="B555" t="s">
        <v>16</v>
      </c>
      <c r="C555">
        <v>7</v>
      </c>
      <c r="D555">
        <v>100</v>
      </c>
      <c r="E555">
        <v>102400</v>
      </c>
      <c r="F555" t="str">
        <f t="shared" si="40"/>
        <v>text256_blurkernel8_7_100_102400</v>
      </c>
      <c r="G555">
        <f>IFERROR(VLOOKUP(F555,SROU03!$F:$H,2,FALSE),0)</f>
        <v>7.8159939999999999</v>
      </c>
      <c r="H555">
        <f>IFERROR(VLOOKUP(F555,SROU03!$F:$H,3,FALSE),0)</f>
        <v>13.830387</v>
      </c>
      <c r="I555">
        <v>1.3381901999999999E-2</v>
      </c>
      <c r="J555">
        <v>1.1763000000000001E-5</v>
      </c>
      <c r="K555">
        <v>6.7182000000000004</v>
      </c>
      <c r="L555">
        <v>2.7492000000000001</v>
      </c>
      <c r="M555">
        <f>IFERROR(VLOOKUP(F555,TICO09!$F:$O,8,FALSE),0)</f>
        <v>9.3800000000000008</v>
      </c>
      <c r="N555">
        <f>IFERROR(VLOOKUP(F555,SROU03!$F:$O,9,FALSE),0)</f>
        <v>14.692299999999999</v>
      </c>
      <c r="O555">
        <v>12.199400000000001</v>
      </c>
      <c r="P555" t="str">
        <f t="shared" si="37"/>
        <v>SROU03</v>
      </c>
      <c r="Q555">
        <f t="shared" si="39"/>
        <v>14.692299999999999</v>
      </c>
      <c r="R555">
        <f>VLOOKUP(P555,'Color codes'!$A:$B,2,FALSE)</f>
        <v>3</v>
      </c>
      <c r="S555">
        <f>TRUNC(VLOOKUP(P555,'Color codes'!$A:$E,3,FALSE)*(0.25 + 0.75*Q555/40))</f>
        <v>56</v>
      </c>
      <c r="T555">
        <f>TRUNC(VLOOKUP(P555,'Color codes'!$A:$E,4,FALSE)*(0.25 + 0.75*Q555/40))</f>
        <v>92</v>
      </c>
      <c r="U555">
        <f>TRUNC(VLOOKUP(P555,'Color codes'!$A:$E,5,FALSE)*(0.25 + 0.75*Q555/40))</f>
        <v>133</v>
      </c>
      <c r="V555" t="b">
        <f t="shared" si="38"/>
        <v>1</v>
      </c>
    </row>
    <row r="556" spans="1:22" x14ac:dyDescent="0.25">
      <c r="A556" t="s">
        <v>20</v>
      </c>
      <c r="B556" t="s">
        <v>16</v>
      </c>
      <c r="C556">
        <v>15</v>
      </c>
      <c r="D556">
        <v>100</v>
      </c>
      <c r="E556">
        <v>102400</v>
      </c>
      <c r="F556" t="str">
        <f t="shared" si="40"/>
        <v>text256_blurkernel8_15_100_102400</v>
      </c>
      <c r="G556">
        <f>IFERROR(VLOOKUP(F556,SROU03!$F:$H,2,FALSE),0)</f>
        <v>4.5109839999999997</v>
      </c>
      <c r="H556">
        <f>IFERROR(VLOOKUP(F556,SROU03!$F:$H,3,FALSE),0)</f>
        <v>27.972884000000001</v>
      </c>
      <c r="I556">
        <v>1.3211634999999999E-2</v>
      </c>
      <c r="J556">
        <v>1.4088E-5</v>
      </c>
      <c r="K556">
        <v>6.7789999999999999</v>
      </c>
      <c r="L556">
        <v>1.6831</v>
      </c>
      <c r="M556">
        <f>IFERROR(VLOOKUP(F556,TICO09!$F:$O,8,FALSE),0)</f>
        <v>9.5275999999999996</v>
      </c>
      <c r="N556">
        <f>IFERROR(VLOOKUP(F556,SROU03!$F:$O,9,FALSE),0)</f>
        <v>14.5532</v>
      </c>
      <c r="O556">
        <v>12.1959</v>
      </c>
      <c r="P556" t="str">
        <f t="shared" si="37"/>
        <v>SROU03</v>
      </c>
      <c r="Q556">
        <f t="shared" si="39"/>
        <v>14.5532</v>
      </c>
      <c r="R556">
        <f>VLOOKUP(P556,'Color codes'!$A:$B,2,FALSE)</f>
        <v>3</v>
      </c>
      <c r="S556">
        <f>TRUNC(VLOOKUP(P556,'Color codes'!$A:$E,3,FALSE)*(0.25 + 0.75*Q556/40))</f>
        <v>55</v>
      </c>
      <c r="T556">
        <f>TRUNC(VLOOKUP(P556,'Color codes'!$A:$E,4,FALSE)*(0.25 + 0.75*Q556/40))</f>
        <v>92</v>
      </c>
      <c r="U556">
        <f>TRUNC(VLOOKUP(P556,'Color codes'!$A:$E,5,FALSE)*(0.25 + 0.75*Q556/40))</f>
        <v>133</v>
      </c>
      <c r="V556" t="b">
        <f t="shared" si="38"/>
        <v>1</v>
      </c>
    </row>
    <row r="557" spans="1:22" x14ac:dyDescent="0.25">
      <c r="A557" t="s">
        <v>20</v>
      </c>
      <c r="B557" t="s">
        <v>16</v>
      </c>
      <c r="C557">
        <v>31</v>
      </c>
      <c r="D557">
        <v>100</v>
      </c>
      <c r="E557">
        <v>102400</v>
      </c>
      <c r="F557" t="str">
        <f t="shared" si="40"/>
        <v>text256_blurkernel8_31_100_102400</v>
      </c>
      <c r="G557">
        <f>IFERROR(VLOOKUP(F557,SROU03!$F:$H,2,FALSE),0)</f>
        <v>2.761317</v>
      </c>
      <c r="H557">
        <f>IFERROR(VLOOKUP(F557,SROU03!$F:$H,3,FALSE),0)</f>
        <v>54.895234000000002</v>
      </c>
      <c r="I557">
        <v>1.3441305000000001E-2</v>
      </c>
      <c r="J557">
        <v>1.6132000000000001E-5</v>
      </c>
      <c r="K557">
        <v>6.7122999999999999</v>
      </c>
      <c r="L557">
        <v>0.86639999999999995</v>
      </c>
      <c r="M557">
        <f>IFERROR(VLOOKUP(F557,TICO09!$F:$O,8,FALSE),0)</f>
        <v>9.4725000000000001</v>
      </c>
      <c r="N557">
        <f>IFERROR(VLOOKUP(F557,SROU03!$F:$O,9,FALSE),0)</f>
        <v>12.9018</v>
      </c>
      <c r="O557">
        <v>12.220599999999999</v>
      </c>
      <c r="P557" t="str">
        <f t="shared" si="37"/>
        <v>SROU03</v>
      </c>
      <c r="Q557">
        <f t="shared" si="39"/>
        <v>12.9018</v>
      </c>
      <c r="R557">
        <f>VLOOKUP(P557,'Color codes'!$A:$B,2,FALSE)</f>
        <v>3</v>
      </c>
      <c r="S557">
        <f>TRUNC(VLOOKUP(P557,'Color codes'!$A:$E,3,FALSE)*(0.25 + 0.75*Q557/40))</f>
        <v>52</v>
      </c>
      <c r="T557">
        <f>TRUNC(VLOOKUP(P557,'Color codes'!$A:$E,4,FALSE)*(0.25 + 0.75*Q557/40))</f>
        <v>86</v>
      </c>
      <c r="U557">
        <f>TRUNC(VLOOKUP(P557,'Color codes'!$A:$E,5,FALSE)*(0.25 + 0.75*Q557/40))</f>
        <v>125</v>
      </c>
      <c r="V557" t="b">
        <f t="shared" si="38"/>
        <v>0</v>
      </c>
    </row>
    <row r="558" spans="1:22" x14ac:dyDescent="0.25">
      <c r="A558" t="s">
        <v>20</v>
      </c>
      <c r="B558" t="s">
        <v>17</v>
      </c>
      <c r="C558">
        <v>3</v>
      </c>
      <c r="D558">
        <v>100</v>
      </c>
      <c r="E558">
        <v>102400</v>
      </c>
      <c r="F558" t="str">
        <f t="shared" si="40"/>
        <v>text256_line_3_100_102400</v>
      </c>
      <c r="G558">
        <f>IFERROR(VLOOKUP(F558,SROU03!$F:$H,2,FALSE),0)</f>
        <v>16.114398999999999</v>
      </c>
      <c r="H558">
        <f>IFERROR(VLOOKUP(F558,SROU03!$F:$H,3,FALSE),0)</f>
        <v>5.9600249999999999</v>
      </c>
      <c r="I558">
        <v>1.3300126000000001E-2</v>
      </c>
      <c r="J558">
        <v>9.4590000000000004E-6</v>
      </c>
      <c r="K558">
        <v>6.7508999999999997</v>
      </c>
      <c r="L558">
        <v>5.9846000000000004</v>
      </c>
      <c r="M558">
        <f>IFERROR(VLOOKUP(F558,TICO09!$F:$O,8,FALSE),0)</f>
        <v>9.9082000000000008</v>
      </c>
      <c r="N558">
        <f>IFERROR(VLOOKUP(F558,SROU03!$F:$O,9,FALSE),0)</f>
        <v>23.473400000000002</v>
      </c>
      <c r="O558">
        <v>12.130100000000001</v>
      </c>
      <c r="P558" t="str">
        <f t="shared" si="37"/>
        <v>SROU03</v>
      </c>
      <c r="Q558">
        <f t="shared" si="39"/>
        <v>23.473400000000002</v>
      </c>
      <c r="R558">
        <f>VLOOKUP(P558,'Color codes'!$A:$B,2,FALSE)</f>
        <v>3</v>
      </c>
      <c r="S558">
        <f>TRUNC(VLOOKUP(P558,'Color codes'!$A:$E,3,FALSE)*(0.25 + 0.75*Q558/40))</f>
        <v>73</v>
      </c>
      <c r="T558">
        <f>TRUNC(VLOOKUP(P558,'Color codes'!$A:$E,4,FALSE)*(0.25 + 0.75*Q558/40))</f>
        <v>121</v>
      </c>
      <c r="U558">
        <f>TRUNC(VLOOKUP(P558,'Color codes'!$A:$E,5,FALSE)*(0.25 + 0.75*Q558/40))</f>
        <v>175</v>
      </c>
      <c r="V558" t="b">
        <f t="shared" si="38"/>
        <v>1</v>
      </c>
    </row>
    <row r="559" spans="1:22" x14ac:dyDescent="0.25">
      <c r="A559" t="s">
        <v>20</v>
      </c>
      <c r="B559" t="s">
        <v>17</v>
      </c>
      <c r="C559">
        <v>7</v>
      </c>
      <c r="D559">
        <v>100</v>
      </c>
      <c r="E559">
        <v>102400</v>
      </c>
      <c r="F559" t="str">
        <f t="shared" si="40"/>
        <v>text256_line_7_100_102400</v>
      </c>
      <c r="G559">
        <f>IFERROR(VLOOKUP(F559,SROU03!$F:$H,2,FALSE),0)</f>
        <v>9.0899020000000004</v>
      </c>
      <c r="H559">
        <f>IFERROR(VLOOKUP(F559,SROU03!$F:$H,3,FALSE),0)</f>
        <v>13.827712</v>
      </c>
      <c r="I559">
        <v>1.3431863E-2</v>
      </c>
      <c r="J559">
        <v>1.1386000000000001E-5</v>
      </c>
      <c r="K559">
        <v>6.7205000000000004</v>
      </c>
      <c r="L559">
        <v>1.8152999999999999</v>
      </c>
      <c r="M559">
        <f>IFERROR(VLOOKUP(F559,TICO09!$F:$O,8,FALSE),0)</f>
        <v>9.4795999999999996</v>
      </c>
      <c r="N559">
        <f>IFERROR(VLOOKUP(F559,SROU03!$F:$O,9,FALSE),0)</f>
        <v>16.0456</v>
      </c>
      <c r="O559">
        <v>12.1396</v>
      </c>
      <c r="P559" t="str">
        <f t="shared" si="37"/>
        <v>SROU03</v>
      </c>
      <c r="Q559">
        <f t="shared" si="39"/>
        <v>16.0456</v>
      </c>
      <c r="R559">
        <f>VLOOKUP(P559,'Color codes'!$A:$B,2,FALSE)</f>
        <v>3</v>
      </c>
      <c r="S559">
        <f>TRUNC(VLOOKUP(P559,'Color codes'!$A:$E,3,FALSE)*(0.25 + 0.75*Q559/40))</f>
        <v>58</v>
      </c>
      <c r="T559">
        <f>TRUNC(VLOOKUP(P559,'Color codes'!$A:$E,4,FALSE)*(0.25 + 0.75*Q559/40))</f>
        <v>96</v>
      </c>
      <c r="U559">
        <f>TRUNC(VLOOKUP(P559,'Color codes'!$A:$E,5,FALSE)*(0.25 + 0.75*Q559/40))</f>
        <v>140</v>
      </c>
      <c r="V559" t="b">
        <f t="shared" si="38"/>
        <v>1</v>
      </c>
    </row>
    <row r="560" spans="1:22" x14ac:dyDescent="0.25">
      <c r="A560" t="s">
        <v>20</v>
      </c>
      <c r="B560" t="s">
        <v>17</v>
      </c>
      <c r="C560">
        <v>15</v>
      </c>
      <c r="D560">
        <v>100</v>
      </c>
      <c r="E560">
        <v>102400</v>
      </c>
      <c r="F560" t="str">
        <f t="shared" si="40"/>
        <v>text256_line_15_100_102400</v>
      </c>
      <c r="G560">
        <f>IFERROR(VLOOKUP(F560,SROU03!$F:$H,2,FALSE),0)</f>
        <v>5.5659020000000003</v>
      </c>
      <c r="H560">
        <f>IFERROR(VLOOKUP(F560,SROU03!$F:$H,3,FALSE),0)</f>
        <v>27.420199</v>
      </c>
      <c r="I560">
        <v>1.3456536E-2</v>
      </c>
      <c r="J560">
        <v>1.4316E-5</v>
      </c>
      <c r="K560">
        <v>6.7050999999999998</v>
      </c>
      <c r="L560">
        <v>1.3428</v>
      </c>
      <c r="M560">
        <f>IFERROR(VLOOKUP(F560,TICO09!$F:$O,8,FALSE),0)</f>
        <v>9.3033999999999999</v>
      </c>
      <c r="N560">
        <f>IFERROR(VLOOKUP(F560,SROU03!$F:$O,9,FALSE),0)</f>
        <v>8.3591999999999995</v>
      </c>
      <c r="O560">
        <v>12.164999999999999</v>
      </c>
      <c r="P560" t="str">
        <f t="shared" si="37"/>
        <v>BM3D</v>
      </c>
      <c r="Q560">
        <f t="shared" si="39"/>
        <v>12.164999999999999</v>
      </c>
      <c r="R560">
        <f>VLOOKUP(P560,'Color codes'!$A:$B,2,FALSE)</f>
        <v>1</v>
      </c>
      <c r="S560">
        <f>TRUNC(VLOOKUP(P560,'Color codes'!$A:$E,3,FALSE)*(0.25 + 0.75*Q560/40))</f>
        <v>121</v>
      </c>
      <c r="T560">
        <f>TRUNC(VLOOKUP(P560,'Color codes'!$A:$E,4,FALSE)*(0.25 + 0.75*Q560/40))</f>
        <v>51</v>
      </c>
      <c r="U560">
        <f>TRUNC(VLOOKUP(P560,'Color codes'!$A:$E,5,FALSE)*(0.25 + 0.75*Q560/40))</f>
        <v>49</v>
      </c>
      <c r="V560" t="b">
        <f t="shared" si="38"/>
        <v>1</v>
      </c>
    </row>
    <row r="561" spans="1:22" x14ac:dyDescent="0.25">
      <c r="A561" t="s">
        <v>20</v>
      </c>
      <c r="B561" t="s">
        <v>17</v>
      </c>
      <c r="C561">
        <v>31</v>
      </c>
      <c r="D561">
        <v>100</v>
      </c>
      <c r="E561">
        <v>102400</v>
      </c>
      <c r="F561" t="str">
        <f t="shared" si="40"/>
        <v>text256_line_31_100_102400</v>
      </c>
      <c r="G561">
        <f>IFERROR(VLOOKUP(F561,SROU03!$F:$H,2,FALSE),0)</f>
        <v>3.7322199999999999</v>
      </c>
      <c r="H561">
        <f>IFERROR(VLOOKUP(F561,SROU03!$F:$H,3,FALSE),0)</f>
        <v>53.872374999999998</v>
      </c>
      <c r="I561">
        <v>1.3351602000000001E-2</v>
      </c>
      <c r="J561">
        <v>1.6223999999999999E-5</v>
      </c>
      <c r="K561">
        <v>6.7385000000000002</v>
      </c>
      <c r="L561">
        <v>0.17760000000000001</v>
      </c>
      <c r="M561">
        <f>IFERROR(VLOOKUP(F561,TICO09!$F:$O,8,FALSE),0)</f>
        <v>9.4056999999999995</v>
      </c>
      <c r="N561">
        <f>IFERROR(VLOOKUP(F561,SROU03!$F:$O,9,FALSE),0)</f>
        <v>7.9946000000000002</v>
      </c>
      <c r="O561">
        <v>12.1105</v>
      </c>
      <c r="P561" t="str">
        <f t="shared" si="37"/>
        <v>BM3D</v>
      </c>
      <c r="Q561">
        <f t="shared" si="39"/>
        <v>12.1105</v>
      </c>
      <c r="R561">
        <f>VLOOKUP(P561,'Color codes'!$A:$B,2,FALSE)</f>
        <v>1</v>
      </c>
      <c r="S561">
        <f>TRUNC(VLOOKUP(P561,'Color codes'!$A:$E,3,FALSE)*(0.25 + 0.75*Q561/40))</f>
        <v>121</v>
      </c>
      <c r="T561">
        <f>TRUNC(VLOOKUP(P561,'Color codes'!$A:$E,4,FALSE)*(0.25 + 0.75*Q561/40))</f>
        <v>51</v>
      </c>
      <c r="U561">
        <f>TRUNC(VLOOKUP(P561,'Color codes'!$A:$E,5,FALSE)*(0.25 + 0.75*Q561/40))</f>
        <v>49</v>
      </c>
      <c r="V561" t="b">
        <f t="shared" si="38"/>
        <v>1</v>
      </c>
    </row>
    <row r="562" spans="1:22" x14ac:dyDescent="0.25">
      <c r="A562" t="s">
        <v>19</v>
      </c>
      <c r="B562" t="s">
        <v>18</v>
      </c>
      <c r="C562">
        <v>3</v>
      </c>
      <c r="D562">
        <v>100</v>
      </c>
      <c r="E562">
        <v>102400</v>
      </c>
      <c r="F562" t="str">
        <f t="shared" si="40"/>
        <v>tree256_blurkernel10_3_100_102400</v>
      </c>
      <c r="G562">
        <f>IFERROR(VLOOKUP(F562,SROU03!$F:$H,2,FALSE),0)</f>
        <v>23.246286999999999</v>
      </c>
      <c r="H562">
        <f>IFERROR(VLOOKUP(F562,SROU03!$F:$H,3,FALSE),0)</f>
        <v>3.446958</v>
      </c>
      <c r="I562">
        <v>2.0568848000000001E-2</v>
      </c>
      <c r="J562">
        <v>9.0529999999999996E-6</v>
      </c>
      <c r="K562">
        <v>4.1978999999999997</v>
      </c>
      <c r="L562">
        <v>10.557399999999999</v>
      </c>
      <c r="M562">
        <f>IFERROR(VLOOKUP(F562,TICO09!$F:$O,8,FALSE),0)</f>
        <v>10.8154</v>
      </c>
      <c r="N562">
        <f>IFERROR(VLOOKUP(F562,SROU03!$F:$O,9,FALSE),0)</f>
        <v>16.476099999999999</v>
      </c>
      <c r="O562">
        <v>7.9870000000000001</v>
      </c>
      <c r="P562" t="str">
        <f t="shared" si="37"/>
        <v>SROU03</v>
      </c>
      <c r="Q562">
        <f t="shared" si="39"/>
        <v>16.476099999999999</v>
      </c>
      <c r="R562">
        <f>VLOOKUP(P562,'Color codes'!$A:$B,2,FALSE)</f>
        <v>3</v>
      </c>
      <c r="S562">
        <f>TRUNC(VLOOKUP(P562,'Color codes'!$A:$E,3,FALSE)*(0.25 + 0.75*Q562/40))</f>
        <v>59</v>
      </c>
      <c r="T562">
        <f>TRUNC(VLOOKUP(P562,'Color codes'!$A:$E,4,FALSE)*(0.25 + 0.75*Q562/40))</f>
        <v>98</v>
      </c>
      <c r="U562">
        <f>TRUNC(VLOOKUP(P562,'Color codes'!$A:$E,5,FALSE)*(0.25 + 0.75*Q562/40))</f>
        <v>142</v>
      </c>
      <c r="V562" t="b">
        <f t="shared" si="38"/>
        <v>1</v>
      </c>
    </row>
    <row r="563" spans="1:22" x14ac:dyDescent="0.25">
      <c r="A563" t="s">
        <v>19</v>
      </c>
      <c r="B563" t="s">
        <v>18</v>
      </c>
      <c r="C563">
        <v>7</v>
      </c>
      <c r="D563">
        <v>100</v>
      </c>
      <c r="E563">
        <v>102400</v>
      </c>
      <c r="F563" t="str">
        <f t="shared" si="40"/>
        <v>tree256_blurkernel10_7_100_102400</v>
      </c>
      <c r="G563">
        <f>IFERROR(VLOOKUP(F563,SROU03!$F:$H,2,FALSE),0)</f>
        <v>12.397634999999999</v>
      </c>
      <c r="H563">
        <f>IFERROR(VLOOKUP(F563,SROU03!$F:$H,3,FALSE),0)</f>
        <v>8.5977899999999998</v>
      </c>
      <c r="I563">
        <v>2.0379765000000001E-2</v>
      </c>
      <c r="J563">
        <v>9.0589999999999992E-6</v>
      </c>
      <c r="K563">
        <v>4.2587999999999999</v>
      </c>
      <c r="L563">
        <v>5.9927999999999999</v>
      </c>
      <c r="M563">
        <f>IFERROR(VLOOKUP(F563,TICO09!$F:$O,8,FALSE),0)</f>
        <v>8.2640999999999991</v>
      </c>
      <c r="N563">
        <f>IFERROR(VLOOKUP(F563,SROU03!$F:$O,9,FALSE),0)</f>
        <v>12.7293</v>
      </c>
      <c r="O563">
        <v>7.9371</v>
      </c>
      <c r="P563" t="str">
        <f t="shared" si="37"/>
        <v>SROU03</v>
      </c>
      <c r="Q563">
        <f t="shared" si="39"/>
        <v>12.7293</v>
      </c>
      <c r="R563">
        <f>VLOOKUP(P563,'Color codes'!$A:$B,2,FALSE)</f>
        <v>3</v>
      </c>
      <c r="S563">
        <f>TRUNC(VLOOKUP(P563,'Color codes'!$A:$E,3,FALSE)*(0.25 + 0.75*Q563/40))</f>
        <v>52</v>
      </c>
      <c r="T563">
        <f>TRUNC(VLOOKUP(P563,'Color codes'!$A:$E,4,FALSE)*(0.25 + 0.75*Q563/40))</f>
        <v>86</v>
      </c>
      <c r="U563">
        <f>TRUNC(VLOOKUP(P563,'Color codes'!$A:$E,5,FALSE)*(0.25 + 0.75*Q563/40))</f>
        <v>124</v>
      </c>
      <c r="V563" t="b">
        <f t="shared" si="38"/>
        <v>1</v>
      </c>
    </row>
    <row r="564" spans="1:22" x14ac:dyDescent="0.25">
      <c r="A564" t="s">
        <v>19</v>
      </c>
      <c r="B564" t="s">
        <v>18</v>
      </c>
      <c r="C564">
        <v>15</v>
      </c>
      <c r="D564">
        <v>100</v>
      </c>
      <c r="E564">
        <v>102400</v>
      </c>
      <c r="F564" t="str">
        <f t="shared" si="40"/>
        <v>tree256_blurkernel10_15_100_102400</v>
      </c>
      <c r="G564">
        <f>IFERROR(VLOOKUP(F564,SROU03!$F:$H,2,FALSE),0)</f>
        <v>7.6968230000000002</v>
      </c>
      <c r="H564">
        <f>IFERROR(VLOOKUP(F564,SROU03!$F:$H,3,FALSE),0)</f>
        <v>18.606083000000002</v>
      </c>
      <c r="I564">
        <v>2.0277625000000001E-2</v>
      </c>
      <c r="J564">
        <v>9.0250000000000008E-6</v>
      </c>
      <c r="K564">
        <v>4.2629000000000001</v>
      </c>
      <c r="L564">
        <v>3.7452000000000001</v>
      </c>
      <c r="M564">
        <f>IFERROR(VLOOKUP(F564,TICO09!$F:$O,8,FALSE),0)</f>
        <v>7.8624999999999998</v>
      </c>
      <c r="N564">
        <f>IFERROR(VLOOKUP(F564,SROU03!$F:$O,9,FALSE),0)</f>
        <v>11.422499999999999</v>
      </c>
      <c r="O564">
        <v>7.9744999999999999</v>
      </c>
      <c r="P564" t="str">
        <f t="shared" si="37"/>
        <v>SROU03</v>
      </c>
      <c r="Q564">
        <f t="shared" si="39"/>
        <v>11.422499999999999</v>
      </c>
      <c r="R564">
        <f>VLOOKUP(P564,'Color codes'!$A:$B,2,FALSE)</f>
        <v>3</v>
      </c>
      <c r="S564">
        <f>TRUNC(VLOOKUP(P564,'Color codes'!$A:$E,3,FALSE)*(0.25 + 0.75*Q564/40))</f>
        <v>49</v>
      </c>
      <c r="T564">
        <f>TRUNC(VLOOKUP(P564,'Color codes'!$A:$E,4,FALSE)*(0.25 + 0.75*Q564/40))</f>
        <v>81</v>
      </c>
      <c r="U564">
        <f>TRUNC(VLOOKUP(P564,'Color codes'!$A:$E,5,FALSE)*(0.25 + 0.75*Q564/40))</f>
        <v>118</v>
      </c>
      <c r="V564" t="b">
        <f t="shared" si="38"/>
        <v>1</v>
      </c>
    </row>
    <row r="565" spans="1:22" x14ac:dyDescent="0.25">
      <c r="A565" t="s">
        <v>19</v>
      </c>
      <c r="B565" t="s">
        <v>18</v>
      </c>
      <c r="C565">
        <v>31</v>
      </c>
      <c r="D565">
        <v>100</v>
      </c>
      <c r="E565">
        <v>102400</v>
      </c>
      <c r="F565" t="str">
        <f t="shared" si="40"/>
        <v>tree256_blurkernel10_31_100_102400</v>
      </c>
      <c r="G565">
        <f>IFERROR(VLOOKUP(F565,SROU03!$F:$H,2,FALSE),0)</f>
        <v>5.2471819999999996</v>
      </c>
      <c r="H565">
        <f>IFERROR(VLOOKUP(F565,SROU03!$F:$H,3,FALSE),0)</f>
        <v>38.041680999999997</v>
      </c>
      <c r="I565">
        <v>2.0331970000000001E-2</v>
      </c>
      <c r="J565">
        <v>8.9809999999999992E-6</v>
      </c>
      <c r="K565">
        <v>4.2477999999999998</v>
      </c>
      <c r="L565">
        <v>2.5838000000000001</v>
      </c>
      <c r="M565">
        <f>IFERROR(VLOOKUP(F565,TICO09!$F:$O,8,FALSE),0)</f>
        <v>7.7172999999999998</v>
      </c>
      <c r="N565">
        <f>IFERROR(VLOOKUP(F565,SROU03!$F:$O,9,FALSE),0)</f>
        <v>9.8414999999999999</v>
      </c>
      <c r="O565">
        <v>7.9747000000000003</v>
      </c>
      <c r="P565" t="str">
        <f t="shared" si="37"/>
        <v>SROU03</v>
      </c>
      <c r="Q565">
        <f t="shared" si="39"/>
        <v>9.8414999999999999</v>
      </c>
      <c r="R565">
        <f>VLOOKUP(P565,'Color codes'!$A:$B,2,FALSE)</f>
        <v>3</v>
      </c>
      <c r="S565">
        <f>TRUNC(VLOOKUP(P565,'Color codes'!$A:$E,3,FALSE)*(0.25 + 0.75*Q565/40))</f>
        <v>46</v>
      </c>
      <c r="T565">
        <f>TRUNC(VLOOKUP(P565,'Color codes'!$A:$E,4,FALSE)*(0.25 + 0.75*Q565/40))</f>
        <v>76</v>
      </c>
      <c r="U565">
        <f>TRUNC(VLOOKUP(P565,'Color codes'!$A:$E,5,FALSE)*(0.25 + 0.75*Q565/40))</f>
        <v>110</v>
      </c>
      <c r="V565" t="b">
        <f t="shared" si="38"/>
        <v>1</v>
      </c>
    </row>
    <row r="566" spans="1:22" x14ac:dyDescent="0.25">
      <c r="A566" t="s">
        <v>19</v>
      </c>
      <c r="B566" t="s">
        <v>15</v>
      </c>
      <c r="C566">
        <v>3</v>
      </c>
      <c r="D566">
        <v>100</v>
      </c>
      <c r="E566">
        <v>102400</v>
      </c>
      <c r="F566" t="str">
        <f t="shared" si="40"/>
        <v>tree256_blurkernel7_3_100_102400</v>
      </c>
      <c r="G566">
        <f>IFERROR(VLOOKUP(F566,SROU03!$F:$H,2,FALSE),0)</f>
        <v>22.976671</v>
      </c>
      <c r="H566">
        <f>IFERROR(VLOOKUP(F566,SROU03!$F:$H,3,FALSE),0)</f>
        <v>3.4484499999999998</v>
      </c>
      <c r="I566">
        <v>2.0383229999999999E-2</v>
      </c>
      <c r="J566">
        <v>9.0899999999999994E-6</v>
      </c>
      <c r="K566">
        <v>4.2544000000000004</v>
      </c>
      <c r="L566">
        <v>12.2674</v>
      </c>
      <c r="M566">
        <f>IFERROR(VLOOKUP(F566,TICO09!$F:$O,8,FALSE),0)</f>
        <v>12.1829</v>
      </c>
      <c r="N566">
        <f>IFERROR(VLOOKUP(F566,SROU03!$F:$O,9,FALSE),0)</f>
        <v>16.894100000000002</v>
      </c>
      <c r="O566">
        <v>7.9701000000000004</v>
      </c>
      <c r="P566" t="str">
        <f t="shared" si="37"/>
        <v>SROU03</v>
      </c>
      <c r="Q566">
        <f t="shared" si="39"/>
        <v>16.894100000000002</v>
      </c>
      <c r="R566">
        <f>VLOOKUP(P566,'Color codes'!$A:$B,2,FALSE)</f>
        <v>3</v>
      </c>
      <c r="S566">
        <f>TRUNC(VLOOKUP(P566,'Color codes'!$A:$E,3,FALSE)*(0.25 + 0.75*Q566/40))</f>
        <v>60</v>
      </c>
      <c r="T566">
        <f>TRUNC(VLOOKUP(P566,'Color codes'!$A:$E,4,FALSE)*(0.25 + 0.75*Q566/40))</f>
        <v>99</v>
      </c>
      <c r="U566">
        <f>TRUNC(VLOOKUP(P566,'Color codes'!$A:$E,5,FALSE)*(0.25 + 0.75*Q566/40))</f>
        <v>144</v>
      </c>
      <c r="V566" t="b">
        <f t="shared" si="38"/>
        <v>1</v>
      </c>
    </row>
    <row r="567" spans="1:22" x14ac:dyDescent="0.25">
      <c r="A567" t="s">
        <v>19</v>
      </c>
      <c r="B567" t="s">
        <v>15</v>
      </c>
      <c r="C567">
        <v>7</v>
      </c>
      <c r="D567">
        <v>100</v>
      </c>
      <c r="E567">
        <v>102400</v>
      </c>
      <c r="F567" t="str">
        <f t="shared" si="40"/>
        <v>tree256_blurkernel7_7_100_102400</v>
      </c>
      <c r="G567">
        <f>IFERROR(VLOOKUP(F567,SROU03!$F:$H,2,FALSE),0)</f>
        <v>12.324299</v>
      </c>
      <c r="H567">
        <f>IFERROR(VLOOKUP(F567,SROU03!$F:$H,3,FALSE),0)</f>
        <v>8.567952</v>
      </c>
      <c r="I567">
        <v>2.0126128E-2</v>
      </c>
      <c r="J567">
        <v>9.0960000000000007E-6</v>
      </c>
      <c r="K567">
        <v>4.2965999999999998</v>
      </c>
      <c r="L567">
        <v>6.8848000000000003</v>
      </c>
      <c r="M567">
        <f>IFERROR(VLOOKUP(F567,TICO09!$F:$O,8,FALSE),0)</f>
        <v>8.2741000000000007</v>
      </c>
      <c r="N567">
        <f>IFERROR(VLOOKUP(F567,SROU03!$F:$O,9,FALSE),0)</f>
        <v>10.8192</v>
      </c>
      <c r="O567">
        <v>8.0015000000000001</v>
      </c>
      <c r="P567" t="str">
        <f t="shared" si="37"/>
        <v>SROU03</v>
      </c>
      <c r="Q567">
        <f t="shared" si="39"/>
        <v>10.8192</v>
      </c>
      <c r="R567">
        <f>VLOOKUP(P567,'Color codes'!$A:$B,2,FALSE)</f>
        <v>3</v>
      </c>
      <c r="S567">
        <f>TRUNC(VLOOKUP(P567,'Color codes'!$A:$E,3,FALSE)*(0.25 + 0.75*Q567/40))</f>
        <v>48</v>
      </c>
      <c r="T567">
        <f>TRUNC(VLOOKUP(P567,'Color codes'!$A:$E,4,FALSE)*(0.25 + 0.75*Q567/40))</f>
        <v>79</v>
      </c>
      <c r="U567">
        <f>TRUNC(VLOOKUP(P567,'Color codes'!$A:$E,5,FALSE)*(0.25 + 0.75*Q567/40))</f>
        <v>115</v>
      </c>
      <c r="V567" t="b">
        <f t="shared" si="38"/>
        <v>1</v>
      </c>
    </row>
    <row r="568" spans="1:22" x14ac:dyDescent="0.25">
      <c r="A568" t="s">
        <v>19</v>
      </c>
      <c r="B568" t="s">
        <v>15</v>
      </c>
      <c r="C568">
        <v>15</v>
      </c>
      <c r="D568">
        <v>100</v>
      </c>
      <c r="E568">
        <v>102400</v>
      </c>
      <c r="F568" t="str">
        <f t="shared" si="40"/>
        <v>tree256_blurkernel7_15_100_102400</v>
      </c>
      <c r="G568">
        <f>IFERROR(VLOOKUP(F568,SROU03!$F:$H,2,FALSE),0)</f>
        <v>6.8496040000000002</v>
      </c>
      <c r="H568">
        <f>IFERROR(VLOOKUP(F568,SROU03!$F:$H,3,FALSE),0)</f>
        <v>18.692193</v>
      </c>
      <c r="I568">
        <v>2.0195129999999999E-2</v>
      </c>
      <c r="J568">
        <v>9.1050000000000001E-6</v>
      </c>
      <c r="K568">
        <v>4.2447999999999997</v>
      </c>
      <c r="L568">
        <v>3.9245999999999999</v>
      </c>
      <c r="M568">
        <f>IFERROR(VLOOKUP(F568,TICO09!$F:$O,8,FALSE),0)</f>
        <v>7.5519999999999996</v>
      </c>
      <c r="N568">
        <f>IFERROR(VLOOKUP(F568,SROU03!$F:$O,9,FALSE),0)</f>
        <v>10.187099999999999</v>
      </c>
      <c r="O568">
        <v>7.9470999999999998</v>
      </c>
      <c r="P568" t="str">
        <f t="shared" si="37"/>
        <v>SROU03</v>
      </c>
      <c r="Q568">
        <f t="shared" si="39"/>
        <v>10.187099999999999</v>
      </c>
      <c r="R568">
        <f>VLOOKUP(P568,'Color codes'!$A:$B,2,FALSE)</f>
        <v>3</v>
      </c>
      <c r="S568">
        <f>TRUNC(VLOOKUP(P568,'Color codes'!$A:$E,3,FALSE)*(0.25 + 0.75*Q568/40))</f>
        <v>47</v>
      </c>
      <c r="T568">
        <f>TRUNC(VLOOKUP(P568,'Color codes'!$A:$E,4,FALSE)*(0.25 + 0.75*Q568/40))</f>
        <v>77</v>
      </c>
      <c r="U568">
        <f>TRUNC(VLOOKUP(P568,'Color codes'!$A:$E,5,FALSE)*(0.25 + 0.75*Q568/40))</f>
        <v>112</v>
      </c>
      <c r="V568" t="b">
        <f t="shared" si="38"/>
        <v>1</v>
      </c>
    </row>
    <row r="569" spans="1:22" x14ac:dyDescent="0.25">
      <c r="A569" t="s">
        <v>19</v>
      </c>
      <c r="B569" t="s">
        <v>15</v>
      </c>
      <c r="C569">
        <v>31</v>
      </c>
      <c r="D569">
        <v>100</v>
      </c>
      <c r="E569">
        <v>102400</v>
      </c>
      <c r="F569" t="str">
        <f t="shared" si="40"/>
        <v>tree256_blurkernel7_31_100_102400</v>
      </c>
      <c r="G569">
        <f>IFERROR(VLOOKUP(F569,SROU03!$F:$H,2,FALSE),0)</f>
        <v>4.3788450000000001</v>
      </c>
      <c r="H569">
        <f>IFERROR(VLOOKUP(F569,SROU03!$F:$H,3,FALSE),0)</f>
        <v>38.453963000000002</v>
      </c>
      <c r="I569">
        <v>2.0391401E-2</v>
      </c>
      <c r="J569">
        <v>9.1190000000000003E-6</v>
      </c>
      <c r="K569">
        <v>4.2527999999999997</v>
      </c>
      <c r="L569">
        <v>2.4199000000000002</v>
      </c>
      <c r="M569">
        <f>IFERROR(VLOOKUP(F569,TICO09!$F:$O,8,FALSE),0)</f>
        <v>7.5362999999999998</v>
      </c>
      <c r="N569">
        <f>IFERROR(VLOOKUP(F569,SROU03!$F:$O,9,FALSE),0)</f>
        <v>9.4572000000000003</v>
      </c>
      <c r="O569">
        <v>7.9572000000000003</v>
      </c>
      <c r="P569" t="str">
        <f t="shared" si="37"/>
        <v>SROU03</v>
      </c>
      <c r="Q569">
        <f t="shared" si="39"/>
        <v>9.4572000000000003</v>
      </c>
      <c r="R569">
        <f>VLOOKUP(P569,'Color codes'!$A:$B,2,FALSE)</f>
        <v>3</v>
      </c>
      <c r="S569">
        <f>TRUNC(VLOOKUP(P569,'Color codes'!$A:$E,3,FALSE)*(0.25 + 0.75*Q569/40))</f>
        <v>45</v>
      </c>
      <c r="T569">
        <f>TRUNC(VLOOKUP(P569,'Color codes'!$A:$E,4,FALSE)*(0.25 + 0.75*Q569/40))</f>
        <v>75</v>
      </c>
      <c r="U569">
        <f>TRUNC(VLOOKUP(P569,'Color codes'!$A:$E,5,FALSE)*(0.25 + 0.75*Q569/40))</f>
        <v>108</v>
      </c>
      <c r="V569" t="b">
        <f t="shared" si="38"/>
        <v>1</v>
      </c>
    </row>
    <row r="570" spans="1:22" x14ac:dyDescent="0.25">
      <c r="A570" t="s">
        <v>19</v>
      </c>
      <c r="B570" t="s">
        <v>16</v>
      </c>
      <c r="C570">
        <v>3</v>
      </c>
      <c r="D570">
        <v>100</v>
      </c>
      <c r="E570">
        <v>102400</v>
      </c>
      <c r="F570" t="str">
        <f t="shared" si="40"/>
        <v>tree256_blurkernel8_3_100_102400</v>
      </c>
      <c r="G570">
        <f>IFERROR(VLOOKUP(F570,SROU03!$F:$H,2,FALSE),0)</f>
        <v>23.356788000000002</v>
      </c>
      <c r="H570">
        <f>IFERROR(VLOOKUP(F570,SROU03!$F:$H,3,FALSE),0)</f>
        <v>3.4504760000000001</v>
      </c>
      <c r="I570">
        <v>2.0549615E-2</v>
      </c>
      <c r="J570">
        <v>8.9900000000000003E-6</v>
      </c>
      <c r="K570">
        <v>4.2202999999999999</v>
      </c>
      <c r="L570">
        <v>12.2729</v>
      </c>
      <c r="M570">
        <f>IFERROR(VLOOKUP(F570,TICO09!$F:$O,8,FALSE),0)</f>
        <v>12.1975</v>
      </c>
      <c r="N570">
        <f>IFERROR(VLOOKUP(F570,SROU03!$F:$O,9,FALSE),0)</f>
        <v>19.115600000000001</v>
      </c>
      <c r="O570">
        <v>7.9569999999999999</v>
      </c>
      <c r="P570" t="str">
        <f t="shared" si="37"/>
        <v>SROU03</v>
      </c>
      <c r="Q570">
        <f t="shared" si="39"/>
        <v>19.115600000000001</v>
      </c>
      <c r="R570">
        <f>VLOOKUP(P570,'Color codes'!$A:$B,2,FALSE)</f>
        <v>3</v>
      </c>
      <c r="S570">
        <f>TRUNC(VLOOKUP(P570,'Color codes'!$A:$E,3,FALSE)*(0.25 + 0.75*Q570/40))</f>
        <v>65</v>
      </c>
      <c r="T570">
        <f>TRUNC(VLOOKUP(P570,'Color codes'!$A:$E,4,FALSE)*(0.25 + 0.75*Q570/40))</f>
        <v>107</v>
      </c>
      <c r="U570">
        <f>TRUNC(VLOOKUP(P570,'Color codes'!$A:$E,5,FALSE)*(0.25 + 0.75*Q570/40))</f>
        <v>155</v>
      </c>
      <c r="V570" t="b">
        <f t="shared" si="38"/>
        <v>1</v>
      </c>
    </row>
    <row r="571" spans="1:22" x14ac:dyDescent="0.25">
      <c r="A571" t="s">
        <v>19</v>
      </c>
      <c r="B571" t="s">
        <v>16</v>
      </c>
      <c r="C571">
        <v>7</v>
      </c>
      <c r="D571">
        <v>100</v>
      </c>
      <c r="E571">
        <v>102400</v>
      </c>
      <c r="F571" t="str">
        <f t="shared" si="40"/>
        <v>tree256_blurkernel8_7_100_102400</v>
      </c>
      <c r="G571">
        <f>IFERROR(VLOOKUP(F571,SROU03!$F:$H,2,FALSE),0)</f>
        <v>12.512211000000001</v>
      </c>
      <c r="H571">
        <f>IFERROR(VLOOKUP(F571,SROU03!$F:$H,3,FALSE),0)</f>
        <v>8.5622740000000004</v>
      </c>
      <c r="I571">
        <v>2.0285629999999999E-2</v>
      </c>
      <c r="J571">
        <v>9.0270000000000001E-6</v>
      </c>
      <c r="K571">
        <v>4.2622</v>
      </c>
      <c r="L571">
        <v>6.9626000000000001</v>
      </c>
      <c r="M571">
        <f>IFERROR(VLOOKUP(F571,TICO09!$F:$O,8,FALSE),0)</f>
        <v>8.2623999999999995</v>
      </c>
      <c r="N571">
        <f>IFERROR(VLOOKUP(F571,SROU03!$F:$O,9,FALSE),0)</f>
        <v>13.9693</v>
      </c>
      <c r="O571">
        <v>7.9375</v>
      </c>
      <c r="P571" t="str">
        <f t="shared" si="37"/>
        <v>SROU03</v>
      </c>
      <c r="Q571">
        <f t="shared" si="39"/>
        <v>13.9693</v>
      </c>
      <c r="R571">
        <f>VLOOKUP(P571,'Color codes'!$A:$B,2,FALSE)</f>
        <v>3</v>
      </c>
      <c r="S571">
        <f>TRUNC(VLOOKUP(P571,'Color codes'!$A:$E,3,FALSE)*(0.25 + 0.75*Q571/40))</f>
        <v>54</v>
      </c>
      <c r="T571">
        <f>TRUNC(VLOOKUP(P571,'Color codes'!$A:$E,4,FALSE)*(0.25 + 0.75*Q571/40))</f>
        <v>90</v>
      </c>
      <c r="U571">
        <f>TRUNC(VLOOKUP(P571,'Color codes'!$A:$E,5,FALSE)*(0.25 + 0.75*Q571/40))</f>
        <v>130</v>
      </c>
      <c r="V571" t="b">
        <f t="shared" si="38"/>
        <v>1</v>
      </c>
    </row>
    <row r="572" spans="1:22" x14ac:dyDescent="0.25">
      <c r="A572" t="s">
        <v>19</v>
      </c>
      <c r="B572" t="s">
        <v>16</v>
      </c>
      <c r="C572">
        <v>15</v>
      </c>
      <c r="D572">
        <v>100</v>
      </c>
      <c r="E572">
        <v>102400</v>
      </c>
      <c r="F572" t="str">
        <f t="shared" si="40"/>
        <v>tree256_blurkernel8_15_100_102400</v>
      </c>
      <c r="G572">
        <f>IFERROR(VLOOKUP(F572,SROU03!$F:$H,2,FALSE),0)</f>
        <v>7.9319620000000004</v>
      </c>
      <c r="H572">
        <f>IFERROR(VLOOKUP(F572,SROU03!$F:$H,3,FALSE),0)</f>
        <v>18.582943</v>
      </c>
      <c r="I572">
        <v>2.0313819E-2</v>
      </c>
      <c r="J572">
        <v>9.0769999999999997E-6</v>
      </c>
      <c r="K572">
        <v>4.2484000000000002</v>
      </c>
      <c r="L572">
        <v>4.1365999999999996</v>
      </c>
      <c r="M572">
        <f>IFERROR(VLOOKUP(F572,TICO09!$F:$O,8,FALSE),0)</f>
        <v>7.4333</v>
      </c>
      <c r="N572">
        <f>IFERROR(VLOOKUP(F572,SROU03!$F:$O,9,FALSE),0)</f>
        <v>11.612</v>
      </c>
      <c r="O572">
        <v>7.9650999999999996</v>
      </c>
      <c r="P572" t="str">
        <f t="shared" si="37"/>
        <v>SROU03</v>
      </c>
      <c r="Q572">
        <f t="shared" si="39"/>
        <v>11.612</v>
      </c>
      <c r="R572">
        <f>VLOOKUP(P572,'Color codes'!$A:$B,2,FALSE)</f>
        <v>3</v>
      </c>
      <c r="S572">
        <f>TRUNC(VLOOKUP(P572,'Color codes'!$A:$E,3,FALSE)*(0.25 + 0.75*Q572/40))</f>
        <v>50</v>
      </c>
      <c r="T572">
        <f>TRUNC(VLOOKUP(P572,'Color codes'!$A:$E,4,FALSE)*(0.25 + 0.75*Q572/40))</f>
        <v>82</v>
      </c>
      <c r="U572">
        <f>TRUNC(VLOOKUP(P572,'Color codes'!$A:$E,5,FALSE)*(0.25 + 0.75*Q572/40))</f>
        <v>119</v>
      </c>
      <c r="V572" t="b">
        <f t="shared" si="38"/>
        <v>1</v>
      </c>
    </row>
    <row r="573" spans="1:22" x14ac:dyDescent="0.25">
      <c r="A573" t="s">
        <v>19</v>
      </c>
      <c r="B573" t="s">
        <v>16</v>
      </c>
      <c r="C573">
        <v>31</v>
      </c>
      <c r="D573">
        <v>100</v>
      </c>
      <c r="E573">
        <v>102400</v>
      </c>
      <c r="F573" t="str">
        <f t="shared" si="40"/>
        <v>tree256_blurkernel8_31_100_102400</v>
      </c>
      <c r="G573">
        <f>IFERROR(VLOOKUP(F573,SROU03!$F:$H,2,FALSE),0)</f>
        <v>5.2617320000000003</v>
      </c>
      <c r="H573">
        <f>IFERROR(VLOOKUP(F573,SROU03!$F:$H,3,FALSE),0)</f>
        <v>38.486086999999998</v>
      </c>
      <c r="I573">
        <v>2.0244133000000001E-2</v>
      </c>
      <c r="J573">
        <v>9.0450000000000006E-6</v>
      </c>
      <c r="K573">
        <v>4.2530000000000001</v>
      </c>
      <c r="L573">
        <v>2.5011000000000001</v>
      </c>
      <c r="M573">
        <f>IFERROR(VLOOKUP(F573,TICO09!$F:$O,8,FALSE),0)</f>
        <v>7.4889999999999999</v>
      </c>
      <c r="N573">
        <f>IFERROR(VLOOKUP(F573,SROU03!$F:$O,9,FALSE),0)</f>
        <v>10.0046</v>
      </c>
      <c r="O573">
        <v>7.9828999999999999</v>
      </c>
      <c r="P573" t="str">
        <f t="shared" si="37"/>
        <v>SROU03</v>
      </c>
      <c r="Q573">
        <f t="shared" si="39"/>
        <v>10.0046</v>
      </c>
      <c r="R573">
        <f>VLOOKUP(P573,'Color codes'!$A:$B,2,FALSE)</f>
        <v>3</v>
      </c>
      <c r="S573">
        <f>TRUNC(VLOOKUP(P573,'Color codes'!$A:$E,3,FALSE)*(0.25 + 0.75*Q573/40))</f>
        <v>46</v>
      </c>
      <c r="T573">
        <f>TRUNC(VLOOKUP(P573,'Color codes'!$A:$E,4,FALSE)*(0.25 + 0.75*Q573/40))</f>
        <v>77</v>
      </c>
      <c r="U573">
        <f>TRUNC(VLOOKUP(P573,'Color codes'!$A:$E,5,FALSE)*(0.25 + 0.75*Q573/40))</f>
        <v>111</v>
      </c>
      <c r="V573" t="b">
        <f t="shared" si="38"/>
        <v>1</v>
      </c>
    </row>
    <row r="574" spans="1:22" x14ac:dyDescent="0.25">
      <c r="A574" t="s">
        <v>19</v>
      </c>
      <c r="B574" t="s">
        <v>17</v>
      </c>
      <c r="C574">
        <v>3</v>
      </c>
      <c r="D574">
        <v>100</v>
      </c>
      <c r="E574">
        <v>102400</v>
      </c>
      <c r="F574" t="str">
        <f t="shared" si="40"/>
        <v>tree256_line_3_100_102400</v>
      </c>
      <c r="G574">
        <f>IFERROR(VLOOKUP(F574,SROU03!$F:$H,2,FALSE),0)</f>
        <v>23.447576000000002</v>
      </c>
      <c r="H574">
        <f>IFERROR(VLOOKUP(F574,SROU03!$F:$H,3,FALSE),0)</f>
        <v>3.4291670000000001</v>
      </c>
      <c r="I574">
        <v>2.0377134000000002E-2</v>
      </c>
      <c r="J574">
        <v>9.0119999999999994E-6</v>
      </c>
      <c r="K574">
        <v>4.2729999999999997</v>
      </c>
      <c r="L574">
        <v>9.3496000000000006</v>
      </c>
      <c r="M574">
        <f>IFERROR(VLOOKUP(F574,TICO09!$F:$O,8,FALSE),0)</f>
        <v>9.9131</v>
      </c>
      <c r="N574">
        <f>IFERROR(VLOOKUP(F574,SROU03!$F:$O,9,FALSE),0)</f>
        <v>15.9277</v>
      </c>
      <c r="O574">
        <v>7.9866000000000001</v>
      </c>
      <c r="P574" t="str">
        <f t="shared" si="37"/>
        <v>SROU03</v>
      </c>
      <c r="Q574">
        <f t="shared" si="39"/>
        <v>15.9277</v>
      </c>
      <c r="R574">
        <f>VLOOKUP(P574,'Color codes'!$A:$B,2,FALSE)</f>
        <v>3</v>
      </c>
      <c r="S574">
        <f>TRUNC(VLOOKUP(P574,'Color codes'!$A:$E,3,FALSE)*(0.25 + 0.75*Q574/40))</f>
        <v>58</v>
      </c>
      <c r="T574">
        <f>TRUNC(VLOOKUP(P574,'Color codes'!$A:$E,4,FALSE)*(0.25 + 0.75*Q574/40))</f>
        <v>96</v>
      </c>
      <c r="U574">
        <f>TRUNC(VLOOKUP(P574,'Color codes'!$A:$E,5,FALSE)*(0.25 + 0.75*Q574/40))</f>
        <v>139</v>
      </c>
      <c r="V574" t="b">
        <f t="shared" si="38"/>
        <v>1</v>
      </c>
    </row>
    <row r="575" spans="1:22" x14ac:dyDescent="0.25">
      <c r="A575" t="s">
        <v>19</v>
      </c>
      <c r="B575" t="s">
        <v>17</v>
      </c>
      <c r="C575">
        <v>7</v>
      </c>
      <c r="D575">
        <v>100</v>
      </c>
      <c r="E575">
        <v>102400</v>
      </c>
      <c r="F575" t="str">
        <f t="shared" si="40"/>
        <v>tree256_line_7_100_102400</v>
      </c>
      <c r="G575">
        <f>IFERROR(VLOOKUP(F575,SROU03!$F:$H,2,FALSE),0)</f>
        <v>13.506805</v>
      </c>
      <c r="H575">
        <f>IFERROR(VLOOKUP(F575,SROU03!$F:$H,3,FALSE),0)</f>
        <v>8.5454080000000001</v>
      </c>
      <c r="I575">
        <v>2.0626967999999999E-2</v>
      </c>
      <c r="J575">
        <v>9.1039999999999996E-6</v>
      </c>
      <c r="K575">
        <v>4.2077</v>
      </c>
      <c r="L575">
        <v>5.2510000000000003</v>
      </c>
      <c r="M575">
        <f>IFERROR(VLOOKUP(F575,TICO09!$F:$O,8,FALSE),0)</f>
        <v>8.0099</v>
      </c>
      <c r="N575">
        <f>IFERROR(VLOOKUP(F575,SROU03!$F:$O,9,FALSE),0)</f>
        <v>10.021599999999999</v>
      </c>
      <c r="O575">
        <v>7.9120999999999997</v>
      </c>
      <c r="P575" t="str">
        <f t="shared" si="37"/>
        <v>SROU03</v>
      </c>
      <c r="Q575">
        <f t="shared" si="39"/>
        <v>10.021599999999999</v>
      </c>
      <c r="R575">
        <f>VLOOKUP(P575,'Color codes'!$A:$B,2,FALSE)</f>
        <v>3</v>
      </c>
      <c r="S575">
        <f>TRUNC(VLOOKUP(P575,'Color codes'!$A:$E,3,FALSE)*(0.25 + 0.75*Q575/40))</f>
        <v>46</v>
      </c>
      <c r="T575">
        <f>TRUNC(VLOOKUP(P575,'Color codes'!$A:$E,4,FALSE)*(0.25 + 0.75*Q575/40))</f>
        <v>77</v>
      </c>
      <c r="U575">
        <f>TRUNC(VLOOKUP(P575,'Color codes'!$A:$E,5,FALSE)*(0.25 + 0.75*Q575/40))</f>
        <v>111</v>
      </c>
      <c r="V575" t="b">
        <f t="shared" si="38"/>
        <v>1</v>
      </c>
    </row>
    <row r="576" spans="1:22" x14ac:dyDescent="0.25">
      <c r="A576" t="s">
        <v>19</v>
      </c>
      <c r="B576" t="s">
        <v>17</v>
      </c>
      <c r="C576">
        <v>15</v>
      </c>
      <c r="D576">
        <v>100</v>
      </c>
      <c r="E576">
        <v>102400</v>
      </c>
      <c r="F576" t="str">
        <f t="shared" si="40"/>
        <v>tree256_line_15_100_102400</v>
      </c>
      <c r="G576">
        <f>IFERROR(VLOOKUP(F576,SROU03!$F:$H,2,FALSE),0)</f>
        <v>9.0981310000000004</v>
      </c>
      <c r="H576">
        <f>IFERROR(VLOOKUP(F576,SROU03!$F:$H,3,FALSE),0)</f>
        <v>18.495647999999999</v>
      </c>
      <c r="I576">
        <v>2.0331065999999998E-2</v>
      </c>
      <c r="J576">
        <v>9.0939999999999997E-6</v>
      </c>
      <c r="K576">
        <v>4.2647000000000004</v>
      </c>
      <c r="L576">
        <v>3.2845</v>
      </c>
      <c r="M576">
        <f>IFERROR(VLOOKUP(F576,TICO09!$F:$O,8,FALSE),0)</f>
        <v>7.7567000000000004</v>
      </c>
      <c r="N576">
        <f>IFERROR(VLOOKUP(F576,SROU03!$F:$O,9,FALSE),0)</f>
        <v>7.8962000000000003</v>
      </c>
      <c r="O576">
        <v>7.9333</v>
      </c>
      <c r="P576" t="str">
        <f t="shared" si="37"/>
        <v>BM3D</v>
      </c>
      <c r="Q576">
        <f t="shared" si="39"/>
        <v>7.9333</v>
      </c>
      <c r="R576">
        <f>VLOOKUP(P576,'Color codes'!$A:$B,2,FALSE)</f>
        <v>1</v>
      </c>
      <c r="S576">
        <f>TRUNC(VLOOKUP(P576,'Color codes'!$A:$E,3,FALSE)*(0.25 + 0.75*Q576/40))</f>
        <v>101</v>
      </c>
      <c r="T576">
        <f>TRUNC(VLOOKUP(P576,'Color codes'!$A:$E,4,FALSE)*(0.25 + 0.75*Q576/40))</f>
        <v>42</v>
      </c>
      <c r="U576">
        <f>TRUNC(VLOOKUP(P576,'Color codes'!$A:$E,5,FALSE)*(0.25 + 0.75*Q576/40))</f>
        <v>41</v>
      </c>
      <c r="V576" t="b">
        <f t="shared" si="38"/>
        <v>0</v>
      </c>
    </row>
    <row r="577" spans="1:22" x14ac:dyDescent="0.25">
      <c r="A577" t="s">
        <v>19</v>
      </c>
      <c r="B577" t="s">
        <v>17</v>
      </c>
      <c r="C577">
        <v>31</v>
      </c>
      <c r="D577">
        <v>100</v>
      </c>
      <c r="E577">
        <v>102400</v>
      </c>
      <c r="F577" t="str">
        <f t="shared" si="40"/>
        <v>tree256_line_31_100_102400</v>
      </c>
      <c r="G577">
        <f>IFERROR(VLOOKUP(F577,SROU03!$F:$H,2,FALSE),0)</f>
        <v>6.4537839999999997</v>
      </c>
      <c r="H577">
        <f>IFERROR(VLOOKUP(F577,SROU03!$F:$H,3,FALSE),0)</f>
        <v>38.288899000000001</v>
      </c>
      <c r="I577">
        <v>2.0592921E-2</v>
      </c>
      <c r="J577">
        <v>9.0899999999999994E-6</v>
      </c>
      <c r="K577">
        <v>4.2199</v>
      </c>
      <c r="L577">
        <v>2.3258000000000001</v>
      </c>
      <c r="M577">
        <f>IFERROR(VLOOKUP(F577,TICO09!$F:$O,8,FALSE),0)</f>
        <v>7.6714000000000002</v>
      </c>
      <c r="N577">
        <f>IFERROR(VLOOKUP(F577,SROU03!$F:$O,9,FALSE),0)</f>
        <v>6.5934999999999997</v>
      </c>
      <c r="O577">
        <v>7.9249000000000001</v>
      </c>
      <c r="P577" t="str">
        <f t="shared" si="37"/>
        <v>BM3D</v>
      </c>
      <c r="Q577">
        <f t="shared" si="39"/>
        <v>7.9249000000000001</v>
      </c>
      <c r="R577">
        <f>VLOOKUP(P577,'Color codes'!$A:$B,2,FALSE)</f>
        <v>1</v>
      </c>
      <c r="S577">
        <f>TRUNC(VLOOKUP(P577,'Color codes'!$A:$E,3,FALSE)*(0.25 + 0.75*Q577/40))</f>
        <v>101</v>
      </c>
      <c r="T577">
        <f>TRUNC(VLOOKUP(P577,'Color codes'!$A:$E,4,FALSE)*(0.25 + 0.75*Q577/40))</f>
        <v>42</v>
      </c>
      <c r="U577">
        <f>TRUNC(VLOOKUP(P577,'Color codes'!$A:$E,5,FALSE)*(0.25 + 0.75*Q577/40))</f>
        <v>41</v>
      </c>
      <c r="V577" t="b">
        <f t="shared" si="38"/>
        <v>1</v>
      </c>
    </row>
  </sheetData>
  <autoFilter ref="A1:V57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769"/>
  <sheetViews>
    <sheetView workbookViewId="0">
      <pane ySplit="1" topLeftCell="A271" activePane="bottomLeft" state="frozen"/>
      <selection pane="bottomLeft" activeCell="H285" sqref="H285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6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</row>
    <row r="2" spans="1:15" x14ac:dyDescent="0.25">
      <c r="A2" t="s">
        <v>21</v>
      </c>
      <c r="B2" t="s">
        <v>18</v>
      </c>
      <c r="C2">
        <v>3</v>
      </c>
      <c r="D2">
        <v>100</v>
      </c>
      <c r="E2">
        <v>100</v>
      </c>
      <c r="F2" t="str">
        <f t="shared" ref="F2:F65" si="0">A2&amp;"_"&amp;B2&amp;"_"&amp;C2&amp;"_"&amp;D2&amp;"_"&amp;E2</f>
        <v>castle256_blurkernel10_3_100_100</v>
      </c>
      <c r="G2">
        <v>0</v>
      </c>
      <c r="H2">
        <v>0</v>
      </c>
      <c r="I2">
        <v>8.7809999999999994E-6</v>
      </c>
      <c r="J2">
        <v>8.7150000000000004E-6</v>
      </c>
      <c r="K2">
        <v>35.938299999999998</v>
      </c>
      <c r="L2">
        <v>14.471</v>
      </c>
      <c r="M2">
        <v>0</v>
      </c>
      <c r="N2">
        <v>0</v>
      </c>
      <c r="O2">
        <v>37.324399999999997</v>
      </c>
    </row>
    <row r="3" spans="1:15" x14ac:dyDescent="0.25">
      <c r="A3" t="s">
        <v>21</v>
      </c>
      <c r="B3" t="s">
        <v>18</v>
      </c>
      <c r="C3">
        <v>3</v>
      </c>
      <c r="D3">
        <v>100</v>
      </c>
      <c r="E3">
        <v>200</v>
      </c>
      <c r="F3" t="str">
        <f t="shared" si="0"/>
        <v>castle256_blurkernel10_3_100_200</v>
      </c>
      <c r="G3">
        <v>0</v>
      </c>
      <c r="H3">
        <v>0</v>
      </c>
      <c r="I3">
        <v>1.9043999999999999E-5</v>
      </c>
      <c r="J3">
        <v>8.7139999999999999E-6</v>
      </c>
      <c r="K3">
        <v>32.5762</v>
      </c>
      <c r="L3">
        <v>14.472899999999999</v>
      </c>
      <c r="M3">
        <v>0</v>
      </c>
      <c r="N3">
        <v>0</v>
      </c>
      <c r="O3">
        <v>34.527200000000001</v>
      </c>
    </row>
    <row r="4" spans="1:15" x14ac:dyDescent="0.25">
      <c r="A4" t="s">
        <v>21</v>
      </c>
      <c r="B4" t="s">
        <v>18</v>
      </c>
      <c r="C4">
        <v>3</v>
      </c>
      <c r="D4">
        <v>100</v>
      </c>
      <c r="E4">
        <v>400</v>
      </c>
      <c r="F4" t="str">
        <f t="shared" si="0"/>
        <v>castle256_blurkernel10_3_100_400</v>
      </c>
      <c r="G4">
        <v>0</v>
      </c>
      <c r="H4">
        <v>0</v>
      </c>
      <c r="I4">
        <v>3.9737000000000003E-5</v>
      </c>
      <c r="J4">
        <v>8.7139999999999999E-6</v>
      </c>
      <c r="K4">
        <v>29.383299999999998</v>
      </c>
      <c r="L4">
        <v>14.472899999999999</v>
      </c>
      <c r="M4">
        <v>0</v>
      </c>
      <c r="N4">
        <v>0</v>
      </c>
      <c r="O4">
        <v>31.8597</v>
      </c>
    </row>
    <row r="5" spans="1:15" x14ac:dyDescent="0.25">
      <c r="A5" t="s">
        <v>21</v>
      </c>
      <c r="B5" t="s">
        <v>18</v>
      </c>
      <c r="C5">
        <v>3</v>
      </c>
      <c r="D5">
        <v>100</v>
      </c>
      <c r="E5">
        <v>800</v>
      </c>
      <c r="F5" t="str">
        <f t="shared" si="0"/>
        <v>castle256_blurkernel10_3_100_800</v>
      </c>
      <c r="G5">
        <v>0</v>
      </c>
      <c r="H5">
        <v>0</v>
      </c>
      <c r="I5">
        <v>8.2016999999999998E-5</v>
      </c>
      <c r="J5">
        <v>8.7139999999999999E-6</v>
      </c>
      <c r="K5">
        <v>26.244900000000001</v>
      </c>
      <c r="L5">
        <v>14.472899999999999</v>
      </c>
      <c r="M5">
        <v>0</v>
      </c>
      <c r="N5">
        <v>0</v>
      </c>
      <c r="O5">
        <v>29.154499999999999</v>
      </c>
    </row>
    <row r="6" spans="1:15" x14ac:dyDescent="0.25">
      <c r="A6" t="s">
        <v>21</v>
      </c>
      <c r="B6" t="s">
        <v>18</v>
      </c>
      <c r="C6">
        <v>3</v>
      </c>
      <c r="D6">
        <v>100</v>
      </c>
      <c r="E6">
        <v>1600</v>
      </c>
      <c r="F6" t="str">
        <f t="shared" si="0"/>
        <v>castle256_blurkernel10_3_100_1600</v>
      </c>
      <c r="G6">
        <v>0</v>
      </c>
      <c r="H6">
        <v>0</v>
      </c>
      <c r="I6">
        <v>1.66467E-4</v>
      </c>
      <c r="J6">
        <v>8.7139999999999999E-6</v>
      </c>
      <c r="K6">
        <v>23.177299999999999</v>
      </c>
      <c r="L6">
        <v>14.472899999999999</v>
      </c>
      <c r="M6">
        <v>0</v>
      </c>
      <c r="N6">
        <v>0</v>
      </c>
      <c r="O6">
        <v>26.581800000000001</v>
      </c>
    </row>
    <row r="7" spans="1:15" x14ac:dyDescent="0.25">
      <c r="A7" t="s">
        <v>21</v>
      </c>
      <c r="B7" t="s">
        <v>18</v>
      </c>
      <c r="C7">
        <v>3</v>
      </c>
      <c r="D7">
        <v>100</v>
      </c>
      <c r="E7">
        <v>3200</v>
      </c>
      <c r="F7" t="str">
        <f t="shared" si="0"/>
        <v>castle256_blurkernel10_3_100_3200</v>
      </c>
      <c r="G7">
        <v>0</v>
      </c>
      <c r="H7">
        <v>0</v>
      </c>
      <c r="I7">
        <v>3.3874000000000003E-4</v>
      </c>
      <c r="J7">
        <v>8.7139999999999999E-6</v>
      </c>
      <c r="K7">
        <v>20.115200000000002</v>
      </c>
      <c r="L7">
        <v>14.472899999999999</v>
      </c>
      <c r="M7">
        <v>0</v>
      </c>
      <c r="N7">
        <v>0</v>
      </c>
      <c r="O7">
        <v>23.992599999999999</v>
      </c>
    </row>
    <row r="8" spans="1:15" x14ac:dyDescent="0.25">
      <c r="A8" t="s">
        <v>21</v>
      </c>
      <c r="B8" t="s">
        <v>18</v>
      </c>
      <c r="C8">
        <v>3</v>
      </c>
      <c r="D8">
        <v>100</v>
      </c>
      <c r="E8">
        <v>6400</v>
      </c>
      <c r="F8" t="str">
        <f t="shared" si="0"/>
        <v>castle256_blurkernel10_3_100_6400</v>
      </c>
      <c r="G8">
        <v>0</v>
      </c>
      <c r="H8">
        <v>0</v>
      </c>
      <c r="I8">
        <v>6.9459899999999995E-4</v>
      </c>
      <c r="J8">
        <v>8.7139999999999999E-6</v>
      </c>
      <c r="K8">
        <v>17.031400000000001</v>
      </c>
      <c r="L8">
        <v>14.472899999999999</v>
      </c>
      <c r="M8">
        <v>0</v>
      </c>
      <c r="N8">
        <v>0</v>
      </c>
      <c r="O8">
        <v>21.403199999999998</v>
      </c>
    </row>
    <row r="9" spans="1:15" x14ac:dyDescent="0.25">
      <c r="A9" t="s">
        <v>21</v>
      </c>
      <c r="B9" t="s">
        <v>18</v>
      </c>
      <c r="C9">
        <v>3</v>
      </c>
      <c r="D9">
        <v>100</v>
      </c>
      <c r="E9">
        <v>12800</v>
      </c>
      <c r="F9" t="str">
        <f t="shared" si="0"/>
        <v>castle256_blurkernel10_3_100_12800</v>
      </c>
      <c r="G9">
        <v>0</v>
      </c>
      <c r="H9">
        <v>0</v>
      </c>
      <c r="I9">
        <v>1.470028E-3</v>
      </c>
      <c r="J9">
        <v>8.7139999999999999E-6</v>
      </c>
      <c r="K9">
        <v>13.8607</v>
      </c>
      <c r="L9">
        <v>14.472899999999999</v>
      </c>
      <c r="M9">
        <v>0</v>
      </c>
      <c r="N9">
        <v>0</v>
      </c>
      <c r="O9">
        <v>18.962499999999999</v>
      </c>
    </row>
    <row r="10" spans="1:15" x14ac:dyDescent="0.25">
      <c r="A10" t="s">
        <v>21</v>
      </c>
      <c r="B10" t="s">
        <v>18</v>
      </c>
      <c r="C10">
        <v>3</v>
      </c>
      <c r="D10">
        <v>100</v>
      </c>
      <c r="E10">
        <v>25600</v>
      </c>
      <c r="F10" t="str">
        <f t="shared" si="0"/>
        <v>castle256_blurkernel10_3_100_25600</v>
      </c>
      <c r="G10">
        <v>0</v>
      </c>
      <c r="H10">
        <v>0</v>
      </c>
      <c r="I10">
        <v>3.2156569999999998E-3</v>
      </c>
      <c r="J10">
        <v>8.7139999999999999E-6</v>
      </c>
      <c r="K10">
        <v>10.646100000000001</v>
      </c>
      <c r="L10">
        <v>14.472899999999999</v>
      </c>
      <c r="M10">
        <v>0</v>
      </c>
      <c r="N10">
        <v>0</v>
      </c>
      <c r="O10">
        <v>16.812100000000001</v>
      </c>
    </row>
    <row r="11" spans="1:15" x14ac:dyDescent="0.25">
      <c r="A11" t="s">
        <v>21</v>
      </c>
      <c r="B11" t="s">
        <v>18</v>
      </c>
      <c r="C11">
        <v>3</v>
      </c>
      <c r="D11">
        <v>100</v>
      </c>
      <c r="E11">
        <v>102400</v>
      </c>
      <c r="F11" t="str">
        <f t="shared" si="0"/>
        <v>castle256_blurkernel10_3_100_102400</v>
      </c>
      <c r="G11">
        <v>0</v>
      </c>
      <c r="H11">
        <v>0</v>
      </c>
      <c r="I11">
        <v>1.9950213000000001E-2</v>
      </c>
      <c r="J11">
        <v>8.7579999999999998E-6</v>
      </c>
      <c r="K11">
        <v>4.1448</v>
      </c>
      <c r="L11">
        <v>14.471299999999999</v>
      </c>
      <c r="M11">
        <v>0</v>
      </c>
      <c r="N11">
        <v>0</v>
      </c>
      <c r="O11">
        <v>12.513500000000001</v>
      </c>
    </row>
    <row r="12" spans="1:15" x14ac:dyDescent="0.25">
      <c r="A12" t="s">
        <v>21</v>
      </c>
      <c r="B12" t="s">
        <v>18</v>
      </c>
      <c r="C12">
        <v>7</v>
      </c>
      <c r="D12">
        <v>100</v>
      </c>
      <c r="E12">
        <v>100</v>
      </c>
      <c r="F12" t="str">
        <f t="shared" si="0"/>
        <v>castle256_blurkernel10_7_100_100</v>
      </c>
      <c r="G12">
        <v>0</v>
      </c>
      <c r="H12">
        <v>0</v>
      </c>
      <c r="I12">
        <v>8.7239999999999998E-6</v>
      </c>
      <c r="J12">
        <v>8.7099999999999996E-6</v>
      </c>
      <c r="K12">
        <v>35.966900000000003</v>
      </c>
      <c r="L12">
        <v>10.2918</v>
      </c>
      <c r="M12">
        <v>0</v>
      </c>
      <c r="N12">
        <v>0</v>
      </c>
      <c r="O12">
        <v>37.283200000000001</v>
      </c>
    </row>
    <row r="13" spans="1:15" x14ac:dyDescent="0.25">
      <c r="A13" t="s">
        <v>21</v>
      </c>
      <c r="B13" t="s">
        <v>18</v>
      </c>
      <c r="C13">
        <v>7</v>
      </c>
      <c r="D13">
        <v>100</v>
      </c>
      <c r="E13">
        <v>200</v>
      </c>
      <c r="F13" t="str">
        <f t="shared" si="0"/>
        <v>castle256_blurkernel10_7_100_200</v>
      </c>
      <c r="G13">
        <v>0</v>
      </c>
      <c r="H13">
        <v>0</v>
      </c>
      <c r="I13">
        <v>1.9177999999999998E-5</v>
      </c>
      <c r="J13">
        <v>8.7439999999999996E-6</v>
      </c>
      <c r="K13">
        <v>32.5473</v>
      </c>
      <c r="L13">
        <v>10.286799999999999</v>
      </c>
      <c r="M13">
        <v>0</v>
      </c>
      <c r="N13">
        <v>0</v>
      </c>
      <c r="O13">
        <v>34.469099999999997</v>
      </c>
    </row>
    <row r="14" spans="1:15" x14ac:dyDescent="0.25">
      <c r="A14" t="s">
        <v>21</v>
      </c>
      <c r="B14" t="s">
        <v>18</v>
      </c>
      <c r="C14">
        <v>7</v>
      </c>
      <c r="D14">
        <v>100</v>
      </c>
      <c r="E14">
        <v>400</v>
      </c>
      <c r="F14" t="str">
        <f t="shared" si="0"/>
        <v>castle256_blurkernel10_7_100_400</v>
      </c>
      <c r="G14">
        <v>0</v>
      </c>
      <c r="H14">
        <v>0</v>
      </c>
      <c r="I14">
        <v>3.9909E-5</v>
      </c>
      <c r="J14">
        <v>8.7439999999999996E-6</v>
      </c>
      <c r="K14">
        <v>29.3674</v>
      </c>
      <c r="L14">
        <v>10.286799999999999</v>
      </c>
      <c r="M14">
        <v>0</v>
      </c>
      <c r="N14">
        <v>0</v>
      </c>
      <c r="O14">
        <v>31.831099999999999</v>
      </c>
    </row>
    <row r="15" spans="1:15" x14ac:dyDescent="0.25">
      <c r="A15" t="s">
        <v>21</v>
      </c>
      <c r="B15" t="s">
        <v>18</v>
      </c>
      <c r="C15">
        <v>7</v>
      </c>
      <c r="D15">
        <v>100</v>
      </c>
      <c r="E15">
        <v>800</v>
      </c>
      <c r="F15" t="str">
        <f t="shared" si="0"/>
        <v>castle256_blurkernel10_7_100_800</v>
      </c>
      <c r="G15">
        <v>0</v>
      </c>
      <c r="H15">
        <v>0</v>
      </c>
      <c r="I15">
        <v>8.2049E-5</v>
      </c>
      <c r="J15">
        <v>8.7439999999999996E-6</v>
      </c>
      <c r="K15">
        <v>26.239000000000001</v>
      </c>
      <c r="L15">
        <v>10.286799999999999</v>
      </c>
      <c r="M15">
        <v>0</v>
      </c>
      <c r="N15">
        <v>0</v>
      </c>
      <c r="O15">
        <v>29.184100000000001</v>
      </c>
    </row>
    <row r="16" spans="1:15" x14ac:dyDescent="0.25">
      <c r="A16" t="s">
        <v>21</v>
      </c>
      <c r="B16" t="s">
        <v>18</v>
      </c>
      <c r="C16">
        <v>7</v>
      </c>
      <c r="D16">
        <v>100</v>
      </c>
      <c r="E16">
        <v>1600</v>
      </c>
      <c r="F16" t="str">
        <f t="shared" si="0"/>
        <v>castle256_blurkernel10_7_100_1600</v>
      </c>
      <c r="G16">
        <v>0</v>
      </c>
      <c r="H16">
        <v>0</v>
      </c>
      <c r="I16">
        <v>1.6607300000000001E-4</v>
      </c>
      <c r="J16">
        <v>8.7439999999999996E-6</v>
      </c>
      <c r="K16">
        <v>23.192299999999999</v>
      </c>
      <c r="L16">
        <v>10.286799999999999</v>
      </c>
      <c r="M16">
        <v>0</v>
      </c>
      <c r="N16">
        <v>0</v>
      </c>
      <c r="O16">
        <v>26.5519</v>
      </c>
    </row>
    <row r="17" spans="1:15" x14ac:dyDescent="0.25">
      <c r="A17" t="s">
        <v>21</v>
      </c>
      <c r="B17" t="s">
        <v>18</v>
      </c>
      <c r="C17">
        <v>7</v>
      </c>
      <c r="D17">
        <v>100</v>
      </c>
      <c r="E17">
        <v>3200</v>
      </c>
      <c r="F17" t="str">
        <f t="shared" si="0"/>
        <v>castle256_blurkernel10_7_100_3200</v>
      </c>
      <c r="G17">
        <v>0</v>
      </c>
      <c r="H17">
        <v>0</v>
      </c>
      <c r="I17">
        <v>3.3571399999999998E-4</v>
      </c>
      <c r="J17">
        <v>8.7439999999999996E-6</v>
      </c>
      <c r="K17">
        <v>20.1494</v>
      </c>
      <c r="L17">
        <v>10.286799999999999</v>
      </c>
      <c r="M17">
        <v>0</v>
      </c>
      <c r="N17">
        <v>0</v>
      </c>
      <c r="O17">
        <v>24.052900000000001</v>
      </c>
    </row>
    <row r="18" spans="1:15" x14ac:dyDescent="0.25">
      <c r="A18" t="s">
        <v>21</v>
      </c>
      <c r="B18" t="s">
        <v>18</v>
      </c>
      <c r="C18">
        <v>7</v>
      </c>
      <c r="D18">
        <v>100</v>
      </c>
      <c r="E18">
        <v>6400</v>
      </c>
      <c r="F18" t="str">
        <f t="shared" si="0"/>
        <v>castle256_blurkernel10_7_100_6400</v>
      </c>
      <c r="G18">
        <v>0</v>
      </c>
      <c r="H18">
        <v>0</v>
      </c>
      <c r="I18">
        <v>6.9375199999999995E-4</v>
      </c>
      <c r="J18">
        <v>8.7439999999999996E-6</v>
      </c>
      <c r="K18">
        <v>17.0381</v>
      </c>
      <c r="L18">
        <v>10.286799999999999</v>
      </c>
      <c r="M18">
        <v>0</v>
      </c>
      <c r="N18">
        <v>0</v>
      </c>
      <c r="O18">
        <v>21.4026</v>
      </c>
    </row>
    <row r="19" spans="1:15" x14ac:dyDescent="0.25">
      <c r="A19" t="s">
        <v>21</v>
      </c>
      <c r="B19" t="s">
        <v>18</v>
      </c>
      <c r="C19">
        <v>7</v>
      </c>
      <c r="D19">
        <v>100</v>
      </c>
      <c r="E19">
        <v>12800</v>
      </c>
      <c r="F19" t="str">
        <f t="shared" si="0"/>
        <v>castle256_blurkernel10_7_100_12800</v>
      </c>
      <c r="G19">
        <v>0</v>
      </c>
      <c r="H19">
        <v>0</v>
      </c>
      <c r="I19">
        <v>1.4465750000000001E-3</v>
      </c>
      <c r="J19">
        <v>8.7439999999999996E-6</v>
      </c>
      <c r="K19">
        <v>13.932</v>
      </c>
      <c r="L19">
        <v>10.286799999999999</v>
      </c>
      <c r="M19">
        <v>0</v>
      </c>
      <c r="N19">
        <v>0</v>
      </c>
      <c r="O19">
        <v>18.983899999999998</v>
      </c>
    </row>
    <row r="20" spans="1:15" x14ac:dyDescent="0.25">
      <c r="A20" t="s">
        <v>21</v>
      </c>
      <c r="B20" t="s">
        <v>18</v>
      </c>
      <c r="C20">
        <v>7</v>
      </c>
      <c r="D20">
        <v>100</v>
      </c>
      <c r="E20">
        <v>25600</v>
      </c>
      <c r="F20" t="str">
        <f t="shared" si="0"/>
        <v>castle256_blurkernel10_7_100_25600</v>
      </c>
      <c r="G20">
        <v>0</v>
      </c>
      <c r="H20">
        <v>0</v>
      </c>
      <c r="I20">
        <v>3.2141180000000002E-3</v>
      </c>
      <c r="J20">
        <v>8.7439999999999996E-6</v>
      </c>
      <c r="K20">
        <v>10.6454</v>
      </c>
      <c r="L20">
        <v>10.286799999999999</v>
      </c>
      <c r="M20">
        <v>0</v>
      </c>
      <c r="N20">
        <v>0</v>
      </c>
      <c r="O20">
        <v>16.708400000000001</v>
      </c>
    </row>
    <row r="21" spans="1:15" x14ac:dyDescent="0.25">
      <c r="A21" t="s">
        <v>21</v>
      </c>
      <c r="B21" t="s">
        <v>18</v>
      </c>
      <c r="C21">
        <v>7</v>
      </c>
      <c r="D21">
        <v>100</v>
      </c>
      <c r="E21">
        <v>102400</v>
      </c>
      <c r="F21" t="str">
        <f t="shared" si="0"/>
        <v>castle256_blurkernel10_7_100_102400</v>
      </c>
      <c r="G21">
        <v>0</v>
      </c>
      <c r="H21">
        <v>0</v>
      </c>
      <c r="I21">
        <v>2.0016320000000001E-2</v>
      </c>
      <c r="J21">
        <v>8.7530000000000007E-6</v>
      </c>
      <c r="K21">
        <v>4.1064999999999996</v>
      </c>
      <c r="L21">
        <v>10.2875</v>
      </c>
      <c r="M21">
        <v>0</v>
      </c>
      <c r="N21">
        <v>0</v>
      </c>
      <c r="O21">
        <v>12.4071</v>
      </c>
    </row>
    <row r="22" spans="1:15" x14ac:dyDescent="0.25">
      <c r="A22" t="s">
        <v>21</v>
      </c>
      <c r="B22" t="s">
        <v>18</v>
      </c>
      <c r="C22">
        <v>15</v>
      </c>
      <c r="D22">
        <v>100</v>
      </c>
      <c r="E22">
        <v>100</v>
      </c>
      <c r="F22" t="str">
        <f t="shared" si="0"/>
        <v>castle256_blurkernel10_15_100_100</v>
      </c>
      <c r="G22">
        <v>0</v>
      </c>
      <c r="H22">
        <v>0</v>
      </c>
      <c r="I22">
        <v>8.6470000000000004E-6</v>
      </c>
      <c r="J22">
        <v>8.6880000000000005E-6</v>
      </c>
      <c r="K22">
        <v>36.005099999999999</v>
      </c>
      <c r="L22">
        <v>8.1910000000000007</v>
      </c>
      <c r="M22">
        <v>0</v>
      </c>
      <c r="N22">
        <v>0</v>
      </c>
      <c r="O22">
        <v>37.383000000000003</v>
      </c>
    </row>
    <row r="23" spans="1:15" x14ac:dyDescent="0.25">
      <c r="A23" t="s">
        <v>21</v>
      </c>
      <c r="B23" t="s">
        <v>18</v>
      </c>
      <c r="C23">
        <v>15</v>
      </c>
      <c r="D23">
        <v>100</v>
      </c>
      <c r="E23">
        <v>200</v>
      </c>
      <c r="F23" t="str">
        <f t="shared" si="0"/>
        <v>castle256_blurkernel10_15_100_200</v>
      </c>
      <c r="G23">
        <v>0</v>
      </c>
      <c r="H23">
        <v>0</v>
      </c>
      <c r="I23">
        <v>1.8957000000000002E-5</v>
      </c>
      <c r="J23">
        <v>8.7069999999999998E-6</v>
      </c>
      <c r="K23">
        <v>32.5974</v>
      </c>
      <c r="L23">
        <v>8.1893999999999991</v>
      </c>
      <c r="M23">
        <v>0</v>
      </c>
      <c r="N23">
        <v>0</v>
      </c>
      <c r="O23">
        <v>34.492899999999999</v>
      </c>
    </row>
    <row r="24" spans="1:15" x14ac:dyDescent="0.25">
      <c r="A24" t="s">
        <v>21</v>
      </c>
      <c r="B24" t="s">
        <v>18</v>
      </c>
      <c r="C24">
        <v>15</v>
      </c>
      <c r="D24">
        <v>100</v>
      </c>
      <c r="E24">
        <v>400</v>
      </c>
      <c r="F24" t="str">
        <f t="shared" si="0"/>
        <v>castle256_blurkernel10_15_100_400</v>
      </c>
      <c r="G24">
        <v>0</v>
      </c>
      <c r="H24">
        <v>0</v>
      </c>
      <c r="I24">
        <v>3.9839000000000003E-5</v>
      </c>
      <c r="J24">
        <v>8.7069999999999998E-6</v>
      </c>
      <c r="K24">
        <v>29.372599999999998</v>
      </c>
      <c r="L24">
        <v>8.1893999999999991</v>
      </c>
      <c r="M24">
        <v>0</v>
      </c>
      <c r="N24">
        <v>0</v>
      </c>
      <c r="O24">
        <v>31.820499999999999</v>
      </c>
    </row>
    <row r="25" spans="1:15" x14ac:dyDescent="0.25">
      <c r="A25" t="s">
        <v>21</v>
      </c>
      <c r="B25" t="s">
        <v>18</v>
      </c>
      <c r="C25">
        <v>15</v>
      </c>
      <c r="D25">
        <v>100</v>
      </c>
      <c r="E25">
        <v>800</v>
      </c>
      <c r="F25" t="str">
        <f t="shared" si="0"/>
        <v>castle256_blurkernel10_15_100_800</v>
      </c>
      <c r="G25">
        <v>0</v>
      </c>
      <c r="H25">
        <v>0</v>
      </c>
      <c r="I25">
        <v>8.2078999999999998E-5</v>
      </c>
      <c r="J25">
        <v>8.7069999999999998E-6</v>
      </c>
      <c r="K25">
        <v>26.24</v>
      </c>
      <c r="L25">
        <v>8.1893999999999991</v>
      </c>
      <c r="M25">
        <v>0</v>
      </c>
      <c r="N25">
        <v>0</v>
      </c>
      <c r="O25">
        <v>29.170200000000001</v>
      </c>
    </row>
    <row r="26" spans="1:15" x14ac:dyDescent="0.25">
      <c r="A26" t="s">
        <v>21</v>
      </c>
      <c r="B26" t="s">
        <v>18</v>
      </c>
      <c r="C26">
        <v>15</v>
      </c>
      <c r="D26">
        <v>100</v>
      </c>
      <c r="E26">
        <v>1600</v>
      </c>
      <c r="F26" t="str">
        <f t="shared" si="0"/>
        <v>castle256_blurkernel10_15_100_1600</v>
      </c>
      <c r="G26">
        <v>0</v>
      </c>
      <c r="H26">
        <v>0</v>
      </c>
      <c r="I26">
        <v>1.6590299999999999E-4</v>
      </c>
      <c r="J26">
        <v>8.7069999999999998E-6</v>
      </c>
      <c r="K26">
        <v>23.1953</v>
      </c>
      <c r="L26">
        <v>8.1893999999999991</v>
      </c>
      <c r="M26">
        <v>0</v>
      </c>
      <c r="N26">
        <v>0</v>
      </c>
      <c r="O26">
        <v>26.609100000000002</v>
      </c>
    </row>
    <row r="27" spans="1:15" x14ac:dyDescent="0.25">
      <c r="A27" t="s">
        <v>21</v>
      </c>
      <c r="B27" t="s">
        <v>18</v>
      </c>
      <c r="C27">
        <v>15</v>
      </c>
      <c r="D27">
        <v>100</v>
      </c>
      <c r="E27">
        <v>3200</v>
      </c>
      <c r="F27" t="str">
        <f t="shared" si="0"/>
        <v>castle256_blurkernel10_15_100_3200</v>
      </c>
      <c r="G27">
        <v>0</v>
      </c>
      <c r="H27">
        <v>0</v>
      </c>
      <c r="I27">
        <v>3.3925300000000003E-4</v>
      </c>
      <c r="J27">
        <v>8.7069999999999998E-6</v>
      </c>
      <c r="K27">
        <v>20.105899999999998</v>
      </c>
      <c r="L27">
        <v>8.1893999999999991</v>
      </c>
      <c r="M27">
        <v>0</v>
      </c>
      <c r="N27">
        <v>0</v>
      </c>
      <c r="O27">
        <v>24.012899999999998</v>
      </c>
    </row>
    <row r="28" spans="1:15" x14ac:dyDescent="0.25">
      <c r="A28" t="s">
        <v>21</v>
      </c>
      <c r="B28" t="s">
        <v>18</v>
      </c>
      <c r="C28">
        <v>15</v>
      </c>
      <c r="D28">
        <v>100</v>
      </c>
      <c r="E28">
        <v>6400</v>
      </c>
      <c r="F28" t="str">
        <f t="shared" si="0"/>
        <v>castle256_blurkernel10_15_100_6400</v>
      </c>
      <c r="G28">
        <v>0</v>
      </c>
      <c r="H28">
        <v>0</v>
      </c>
      <c r="I28">
        <v>6.9562699999999999E-4</v>
      </c>
      <c r="J28">
        <v>8.7069999999999998E-6</v>
      </c>
      <c r="K28">
        <v>17.0304</v>
      </c>
      <c r="L28">
        <v>8.1893999999999991</v>
      </c>
      <c r="M28">
        <v>0</v>
      </c>
      <c r="N28">
        <v>0</v>
      </c>
      <c r="O28">
        <v>21.464099999999998</v>
      </c>
    </row>
    <row r="29" spans="1:15" x14ac:dyDescent="0.25">
      <c r="A29" t="s">
        <v>21</v>
      </c>
      <c r="B29" t="s">
        <v>18</v>
      </c>
      <c r="C29">
        <v>15</v>
      </c>
      <c r="D29">
        <v>100</v>
      </c>
      <c r="E29">
        <v>12800</v>
      </c>
      <c r="F29" t="str">
        <f t="shared" si="0"/>
        <v>castle256_blurkernel10_15_100_12800</v>
      </c>
      <c r="G29">
        <v>0</v>
      </c>
      <c r="H29">
        <v>0</v>
      </c>
      <c r="I29">
        <v>1.451964E-3</v>
      </c>
      <c r="J29">
        <v>8.7069999999999998E-6</v>
      </c>
      <c r="K29">
        <v>13.9193</v>
      </c>
      <c r="L29">
        <v>8.1893999999999991</v>
      </c>
      <c r="M29">
        <v>0</v>
      </c>
      <c r="N29">
        <v>0</v>
      </c>
      <c r="O29">
        <v>19.0047</v>
      </c>
    </row>
    <row r="30" spans="1:15" x14ac:dyDescent="0.25">
      <c r="A30" t="s">
        <v>21</v>
      </c>
      <c r="B30" t="s">
        <v>18</v>
      </c>
      <c r="C30">
        <v>15</v>
      </c>
      <c r="D30">
        <v>100</v>
      </c>
      <c r="E30">
        <v>25600</v>
      </c>
      <c r="F30" t="str">
        <f t="shared" si="0"/>
        <v>castle256_blurkernel10_15_100_25600</v>
      </c>
      <c r="G30">
        <v>0</v>
      </c>
      <c r="H30">
        <v>0</v>
      </c>
      <c r="I30">
        <v>3.2160909999999999E-3</v>
      </c>
      <c r="J30">
        <v>8.7069999999999998E-6</v>
      </c>
      <c r="K30">
        <v>10.6404</v>
      </c>
      <c r="L30">
        <v>8.1893999999999991</v>
      </c>
      <c r="M30">
        <v>0</v>
      </c>
      <c r="N30">
        <v>0</v>
      </c>
      <c r="O30">
        <v>16.7804</v>
      </c>
    </row>
    <row r="31" spans="1:15" x14ac:dyDescent="0.25">
      <c r="A31" t="s">
        <v>21</v>
      </c>
      <c r="B31" t="s">
        <v>18</v>
      </c>
      <c r="C31">
        <v>15</v>
      </c>
      <c r="D31">
        <v>100</v>
      </c>
      <c r="E31">
        <v>102400</v>
      </c>
      <c r="F31" t="str">
        <f t="shared" si="0"/>
        <v>castle256_blurkernel10_15_100_102400</v>
      </c>
      <c r="G31">
        <v>0</v>
      </c>
      <c r="H31">
        <v>0</v>
      </c>
      <c r="I31">
        <v>1.996645E-2</v>
      </c>
      <c r="J31">
        <v>8.7139999999999999E-6</v>
      </c>
      <c r="K31">
        <v>4.1330999999999998</v>
      </c>
      <c r="L31">
        <v>8.1922999999999995</v>
      </c>
      <c r="M31">
        <v>0</v>
      </c>
      <c r="N31">
        <v>0</v>
      </c>
      <c r="O31">
        <v>12.4222</v>
      </c>
    </row>
    <row r="32" spans="1:15" x14ac:dyDescent="0.25">
      <c r="A32" t="s">
        <v>21</v>
      </c>
      <c r="B32" t="s">
        <v>18</v>
      </c>
      <c r="C32">
        <v>31</v>
      </c>
      <c r="D32">
        <v>100</v>
      </c>
      <c r="E32">
        <v>100</v>
      </c>
      <c r="F32" t="str">
        <f t="shared" si="0"/>
        <v>castle256_blurkernel10_31_100_100</v>
      </c>
      <c r="G32">
        <v>0</v>
      </c>
      <c r="H32">
        <v>0</v>
      </c>
      <c r="I32">
        <v>8.6880000000000005E-6</v>
      </c>
      <c r="J32">
        <v>8.6799999999999999E-6</v>
      </c>
      <c r="K32">
        <v>35.984000000000002</v>
      </c>
      <c r="L32">
        <v>6.2150999999999996</v>
      </c>
      <c r="M32">
        <v>0</v>
      </c>
      <c r="N32">
        <v>0</v>
      </c>
      <c r="O32">
        <v>37.347900000000003</v>
      </c>
    </row>
    <row r="33" spans="1:15" x14ac:dyDescent="0.25">
      <c r="A33" t="s">
        <v>21</v>
      </c>
      <c r="B33" t="s">
        <v>18</v>
      </c>
      <c r="C33">
        <v>31</v>
      </c>
      <c r="D33">
        <v>100</v>
      </c>
      <c r="E33">
        <v>200</v>
      </c>
      <c r="F33" t="str">
        <f t="shared" si="0"/>
        <v>castle256_blurkernel10_31_100_200</v>
      </c>
      <c r="G33">
        <v>0</v>
      </c>
      <c r="H33">
        <v>0</v>
      </c>
      <c r="I33">
        <v>1.9125000000000001E-5</v>
      </c>
      <c r="J33">
        <v>8.7360000000000007E-6</v>
      </c>
      <c r="K33">
        <v>32.558</v>
      </c>
      <c r="L33">
        <v>6.2159000000000004</v>
      </c>
      <c r="M33">
        <v>0</v>
      </c>
      <c r="N33">
        <v>0</v>
      </c>
      <c r="O33">
        <v>34.463900000000002</v>
      </c>
    </row>
    <row r="34" spans="1:15" x14ac:dyDescent="0.25">
      <c r="A34" t="s">
        <v>21</v>
      </c>
      <c r="B34" t="s">
        <v>18</v>
      </c>
      <c r="C34">
        <v>31</v>
      </c>
      <c r="D34">
        <v>100</v>
      </c>
      <c r="E34">
        <v>400</v>
      </c>
      <c r="F34" t="str">
        <f t="shared" si="0"/>
        <v>castle256_blurkernel10_31_100_400</v>
      </c>
      <c r="G34">
        <v>0</v>
      </c>
      <c r="H34">
        <v>0</v>
      </c>
      <c r="I34">
        <v>4.0188000000000002E-5</v>
      </c>
      <c r="J34">
        <v>8.7360000000000007E-6</v>
      </c>
      <c r="K34">
        <v>29.337</v>
      </c>
      <c r="L34">
        <v>6.2159000000000004</v>
      </c>
      <c r="M34">
        <v>0</v>
      </c>
      <c r="N34">
        <v>0</v>
      </c>
      <c r="O34">
        <v>31.7713</v>
      </c>
    </row>
    <row r="35" spans="1:15" x14ac:dyDescent="0.25">
      <c r="A35" t="s">
        <v>21</v>
      </c>
      <c r="B35" t="s">
        <v>18</v>
      </c>
      <c r="C35">
        <v>31</v>
      </c>
      <c r="D35">
        <v>100</v>
      </c>
      <c r="E35">
        <v>800</v>
      </c>
      <c r="F35" t="str">
        <f t="shared" si="0"/>
        <v>castle256_blurkernel10_31_100_800</v>
      </c>
      <c r="G35">
        <v>0</v>
      </c>
      <c r="H35">
        <v>0</v>
      </c>
      <c r="I35">
        <v>8.1919E-5</v>
      </c>
      <c r="J35">
        <v>8.7360000000000007E-6</v>
      </c>
      <c r="K35">
        <v>26.251000000000001</v>
      </c>
      <c r="L35">
        <v>6.2159000000000004</v>
      </c>
      <c r="M35">
        <v>0</v>
      </c>
      <c r="N35">
        <v>0</v>
      </c>
      <c r="O35">
        <v>29.2332</v>
      </c>
    </row>
    <row r="36" spans="1:15" x14ac:dyDescent="0.25">
      <c r="A36" t="s">
        <v>21</v>
      </c>
      <c r="B36" t="s">
        <v>18</v>
      </c>
      <c r="C36">
        <v>31</v>
      </c>
      <c r="D36">
        <v>100</v>
      </c>
      <c r="E36">
        <v>1600</v>
      </c>
      <c r="F36" t="str">
        <f t="shared" si="0"/>
        <v>castle256_blurkernel10_31_100_1600</v>
      </c>
      <c r="G36">
        <v>0</v>
      </c>
      <c r="H36">
        <v>0</v>
      </c>
      <c r="I36">
        <v>1.6661099999999999E-4</v>
      </c>
      <c r="J36">
        <v>8.7360000000000007E-6</v>
      </c>
      <c r="K36">
        <v>23.1769</v>
      </c>
      <c r="L36">
        <v>6.2159000000000004</v>
      </c>
      <c r="M36">
        <v>0</v>
      </c>
      <c r="N36">
        <v>0</v>
      </c>
      <c r="O36">
        <v>26.586300000000001</v>
      </c>
    </row>
    <row r="37" spans="1:15" x14ac:dyDescent="0.25">
      <c r="A37" t="s">
        <v>21</v>
      </c>
      <c r="B37" t="s">
        <v>18</v>
      </c>
      <c r="C37">
        <v>31</v>
      </c>
      <c r="D37">
        <v>100</v>
      </c>
      <c r="E37">
        <v>3200</v>
      </c>
      <c r="F37" t="str">
        <f t="shared" si="0"/>
        <v>castle256_blurkernel10_31_100_3200</v>
      </c>
      <c r="G37">
        <v>0</v>
      </c>
      <c r="H37">
        <v>0</v>
      </c>
      <c r="I37">
        <v>3.3563100000000003E-4</v>
      </c>
      <c r="J37">
        <v>8.7360000000000007E-6</v>
      </c>
      <c r="K37">
        <v>20.1556</v>
      </c>
      <c r="L37">
        <v>6.2159000000000004</v>
      </c>
      <c r="M37">
        <v>0</v>
      </c>
      <c r="N37">
        <v>0</v>
      </c>
      <c r="O37">
        <v>24.049299999999999</v>
      </c>
    </row>
    <row r="38" spans="1:15" x14ac:dyDescent="0.25">
      <c r="A38" t="s">
        <v>21</v>
      </c>
      <c r="B38" t="s">
        <v>18</v>
      </c>
      <c r="C38">
        <v>31</v>
      </c>
      <c r="D38">
        <v>100</v>
      </c>
      <c r="E38">
        <v>6400</v>
      </c>
      <c r="F38" t="str">
        <f t="shared" si="0"/>
        <v>castle256_blurkernel10_31_100_6400</v>
      </c>
      <c r="G38">
        <v>0</v>
      </c>
      <c r="H38">
        <v>0</v>
      </c>
      <c r="I38">
        <v>6.9764200000000005E-4</v>
      </c>
      <c r="J38">
        <v>8.7360000000000007E-6</v>
      </c>
      <c r="K38">
        <v>17.020299999999999</v>
      </c>
      <c r="L38">
        <v>6.2159000000000004</v>
      </c>
      <c r="M38">
        <v>0</v>
      </c>
      <c r="N38">
        <v>0</v>
      </c>
      <c r="O38">
        <v>21.491299999999999</v>
      </c>
    </row>
    <row r="39" spans="1:15" x14ac:dyDescent="0.25">
      <c r="A39" t="s">
        <v>21</v>
      </c>
      <c r="B39" t="s">
        <v>18</v>
      </c>
      <c r="C39">
        <v>31</v>
      </c>
      <c r="D39">
        <v>100</v>
      </c>
      <c r="E39">
        <v>12800</v>
      </c>
      <c r="F39" t="str">
        <f t="shared" si="0"/>
        <v>castle256_blurkernel10_31_100_12800</v>
      </c>
      <c r="G39">
        <v>0</v>
      </c>
      <c r="H39">
        <v>0</v>
      </c>
      <c r="I39">
        <v>1.4798529999999999E-3</v>
      </c>
      <c r="J39">
        <v>8.7360000000000007E-6</v>
      </c>
      <c r="K39">
        <v>13.8324</v>
      </c>
      <c r="L39">
        <v>6.2159000000000004</v>
      </c>
      <c r="M39">
        <v>0</v>
      </c>
      <c r="N39">
        <v>0</v>
      </c>
      <c r="O39">
        <v>18.977</v>
      </c>
    </row>
    <row r="40" spans="1:15" x14ac:dyDescent="0.25">
      <c r="A40" t="s">
        <v>21</v>
      </c>
      <c r="B40" t="s">
        <v>18</v>
      </c>
      <c r="C40">
        <v>31</v>
      </c>
      <c r="D40">
        <v>100</v>
      </c>
      <c r="E40">
        <v>25600</v>
      </c>
      <c r="F40" t="str">
        <f t="shared" si="0"/>
        <v>castle256_blurkernel10_31_100_25600</v>
      </c>
      <c r="G40">
        <v>0</v>
      </c>
      <c r="H40">
        <v>0</v>
      </c>
      <c r="I40">
        <v>3.2509330000000001E-3</v>
      </c>
      <c r="J40">
        <v>8.7360000000000007E-6</v>
      </c>
      <c r="K40">
        <v>10.5975</v>
      </c>
      <c r="L40">
        <v>6.2159000000000004</v>
      </c>
      <c r="M40">
        <v>0</v>
      </c>
      <c r="N40">
        <v>0</v>
      </c>
      <c r="O40">
        <v>16.698399999999999</v>
      </c>
    </row>
    <row r="41" spans="1:15" x14ac:dyDescent="0.25">
      <c r="A41" t="s">
        <v>21</v>
      </c>
      <c r="B41" t="s">
        <v>18</v>
      </c>
      <c r="C41">
        <v>31</v>
      </c>
      <c r="D41">
        <v>100</v>
      </c>
      <c r="E41">
        <v>102400</v>
      </c>
      <c r="F41" t="str">
        <f t="shared" si="0"/>
        <v>castle256_blurkernel10_31_100_102400</v>
      </c>
      <c r="G41">
        <v>0</v>
      </c>
      <c r="H41">
        <v>0</v>
      </c>
      <c r="I41">
        <v>1.9840967000000001E-2</v>
      </c>
      <c r="J41">
        <v>8.6209999999999993E-6</v>
      </c>
      <c r="K41">
        <v>4.1486999999999998</v>
      </c>
      <c r="L41">
        <v>6.2125000000000004</v>
      </c>
      <c r="M41">
        <v>0</v>
      </c>
      <c r="N41">
        <v>0</v>
      </c>
      <c r="O41">
        <v>12.4612</v>
      </c>
    </row>
    <row r="42" spans="1:15" x14ac:dyDescent="0.25">
      <c r="A42" t="s">
        <v>21</v>
      </c>
      <c r="B42" t="s">
        <v>18</v>
      </c>
      <c r="C42">
        <v>63</v>
      </c>
      <c r="D42">
        <v>100</v>
      </c>
      <c r="E42">
        <v>200</v>
      </c>
      <c r="F42" t="str">
        <f t="shared" si="0"/>
        <v>castle256_blurkernel10_63_100_200</v>
      </c>
      <c r="G42">
        <v>0</v>
      </c>
      <c r="H42">
        <v>0</v>
      </c>
      <c r="I42">
        <v>1.9245999999999998E-5</v>
      </c>
      <c r="J42">
        <v>8.6389999999999998E-6</v>
      </c>
      <c r="K42">
        <v>32.531399999999998</v>
      </c>
      <c r="L42">
        <v>4.8670999999999998</v>
      </c>
      <c r="M42">
        <v>0</v>
      </c>
      <c r="N42">
        <v>0</v>
      </c>
      <c r="O42">
        <v>34.450400000000002</v>
      </c>
    </row>
    <row r="43" spans="1:15" x14ac:dyDescent="0.25">
      <c r="A43" t="s">
        <v>21</v>
      </c>
      <c r="B43" t="s">
        <v>18</v>
      </c>
      <c r="C43">
        <v>63</v>
      </c>
      <c r="D43">
        <v>100</v>
      </c>
      <c r="E43">
        <v>400</v>
      </c>
      <c r="F43" t="str">
        <f t="shared" si="0"/>
        <v>castle256_blurkernel10_63_100_400</v>
      </c>
      <c r="G43">
        <v>0</v>
      </c>
      <c r="H43">
        <v>0</v>
      </c>
      <c r="I43">
        <v>4.0204999999999999E-5</v>
      </c>
      <c r="J43">
        <v>8.6389999999999998E-6</v>
      </c>
      <c r="K43">
        <v>29.334099999999999</v>
      </c>
      <c r="L43">
        <v>4.8670999999999998</v>
      </c>
      <c r="M43">
        <v>0</v>
      </c>
      <c r="N43">
        <v>0</v>
      </c>
      <c r="O43">
        <v>31.771100000000001</v>
      </c>
    </row>
    <row r="44" spans="1:15" x14ac:dyDescent="0.25">
      <c r="A44" t="s">
        <v>21</v>
      </c>
      <c r="B44" t="s">
        <v>18</v>
      </c>
      <c r="C44">
        <v>63</v>
      </c>
      <c r="D44">
        <v>100</v>
      </c>
      <c r="E44">
        <v>800</v>
      </c>
      <c r="F44" t="str">
        <f t="shared" si="0"/>
        <v>castle256_blurkernel10_63_100_800</v>
      </c>
      <c r="G44">
        <v>0</v>
      </c>
      <c r="H44">
        <v>0</v>
      </c>
      <c r="I44">
        <v>8.1650000000000006E-5</v>
      </c>
      <c r="J44">
        <v>8.6389999999999998E-6</v>
      </c>
      <c r="K44">
        <v>26.261099999999999</v>
      </c>
      <c r="L44">
        <v>4.8670999999999998</v>
      </c>
      <c r="M44">
        <v>0</v>
      </c>
      <c r="N44">
        <v>0</v>
      </c>
      <c r="O44">
        <v>29.196300000000001</v>
      </c>
    </row>
    <row r="45" spans="1:15" x14ac:dyDescent="0.25">
      <c r="A45" t="s">
        <v>21</v>
      </c>
      <c r="B45" t="s">
        <v>18</v>
      </c>
      <c r="C45">
        <v>63</v>
      </c>
      <c r="D45">
        <v>100</v>
      </c>
      <c r="E45">
        <v>1600</v>
      </c>
      <c r="F45" t="str">
        <f t="shared" si="0"/>
        <v>castle256_blurkernel10_63_100_1600</v>
      </c>
      <c r="G45">
        <v>0</v>
      </c>
      <c r="H45">
        <v>0</v>
      </c>
      <c r="I45">
        <v>1.6771200000000001E-4</v>
      </c>
      <c r="J45">
        <v>8.6389999999999998E-6</v>
      </c>
      <c r="K45">
        <v>23.146100000000001</v>
      </c>
      <c r="L45">
        <v>4.8670999999999998</v>
      </c>
      <c r="M45">
        <v>0</v>
      </c>
      <c r="N45">
        <v>0</v>
      </c>
      <c r="O45">
        <v>26.564800000000002</v>
      </c>
    </row>
    <row r="46" spans="1:15" x14ac:dyDescent="0.25">
      <c r="A46" t="s">
        <v>21</v>
      </c>
      <c r="B46" t="s">
        <v>18</v>
      </c>
      <c r="C46">
        <v>63</v>
      </c>
      <c r="D46">
        <v>100</v>
      </c>
      <c r="E46">
        <v>3200</v>
      </c>
      <c r="F46" t="str">
        <f t="shared" si="0"/>
        <v>castle256_blurkernel10_63_100_3200</v>
      </c>
      <c r="G46">
        <v>0</v>
      </c>
      <c r="H46">
        <v>0</v>
      </c>
      <c r="I46">
        <v>3.3621699999999998E-4</v>
      </c>
      <c r="J46">
        <v>8.6389999999999998E-6</v>
      </c>
      <c r="K46">
        <v>20.143599999999999</v>
      </c>
      <c r="L46">
        <v>4.8670999999999998</v>
      </c>
      <c r="M46">
        <v>0</v>
      </c>
      <c r="N46">
        <v>0</v>
      </c>
      <c r="O46">
        <v>24.023299999999999</v>
      </c>
    </row>
    <row r="47" spans="1:15" x14ac:dyDescent="0.25">
      <c r="A47" t="s">
        <v>21</v>
      </c>
      <c r="B47" t="s">
        <v>18</v>
      </c>
      <c r="C47">
        <v>63</v>
      </c>
      <c r="D47">
        <v>100</v>
      </c>
      <c r="E47">
        <v>6400</v>
      </c>
      <c r="F47" t="str">
        <f t="shared" si="0"/>
        <v>castle256_blurkernel10_63_100_6400</v>
      </c>
      <c r="G47">
        <v>0</v>
      </c>
      <c r="H47">
        <v>0</v>
      </c>
      <c r="I47">
        <v>6.9153599999999997E-4</v>
      </c>
      <c r="J47">
        <v>8.6389999999999998E-6</v>
      </c>
      <c r="K47">
        <v>17.062899999999999</v>
      </c>
      <c r="L47">
        <v>4.8670999999999998</v>
      </c>
      <c r="M47">
        <v>0</v>
      </c>
      <c r="N47">
        <v>0</v>
      </c>
      <c r="O47">
        <v>21.4634</v>
      </c>
    </row>
    <row r="48" spans="1:15" x14ac:dyDescent="0.25">
      <c r="A48" t="s">
        <v>21</v>
      </c>
      <c r="B48" t="s">
        <v>18</v>
      </c>
      <c r="C48">
        <v>63</v>
      </c>
      <c r="D48">
        <v>100</v>
      </c>
      <c r="E48">
        <v>12800</v>
      </c>
      <c r="F48" t="str">
        <f t="shared" si="0"/>
        <v>castle256_blurkernel10_63_100_12800</v>
      </c>
      <c r="G48">
        <v>0</v>
      </c>
      <c r="H48">
        <v>0</v>
      </c>
      <c r="I48">
        <v>1.4514829999999999E-3</v>
      </c>
      <c r="J48">
        <v>8.6389999999999998E-6</v>
      </c>
      <c r="K48">
        <v>13.9038</v>
      </c>
      <c r="L48">
        <v>4.8670999999999998</v>
      </c>
      <c r="M48">
        <v>0</v>
      </c>
      <c r="N48">
        <v>0</v>
      </c>
      <c r="O48">
        <v>19.0046</v>
      </c>
    </row>
    <row r="49" spans="1:15" x14ac:dyDescent="0.25">
      <c r="A49" t="s">
        <v>21</v>
      </c>
      <c r="B49" t="s">
        <v>18</v>
      </c>
      <c r="C49">
        <v>63</v>
      </c>
      <c r="D49">
        <v>100</v>
      </c>
      <c r="E49">
        <v>25600</v>
      </c>
      <c r="F49" t="str">
        <f t="shared" si="0"/>
        <v>castle256_blurkernel10_63_100_25600</v>
      </c>
      <c r="G49">
        <v>0</v>
      </c>
      <c r="H49">
        <v>0</v>
      </c>
      <c r="I49">
        <v>3.2380669999999999E-3</v>
      </c>
      <c r="J49">
        <v>8.6389999999999998E-6</v>
      </c>
      <c r="K49">
        <v>10.591799999999999</v>
      </c>
      <c r="L49">
        <v>4.8670999999999998</v>
      </c>
      <c r="M49">
        <v>0</v>
      </c>
      <c r="N49">
        <v>0</v>
      </c>
      <c r="O49">
        <v>16.747299999999999</v>
      </c>
    </row>
    <row r="50" spans="1:15" x14ac:dyDescent="0.25">
      <c r="A50" t="s">
        <v>21</v>
      </c>
      <c r="B50" t="s">
        <v>15</v>
      </c>
      <c r="C50">
        <v>3</v>
      </c>
      <c r="D50">
        <v>100</v>
      </c>
      <c r="E50">
        <v>100</v>
      </c>
      <c r="F50" t="str">
        <f t="shared" si="0"/>
        <v>castle256_blurkernel7_3_100_100</v>
      </c>
      <c r="G50">
        <v>0</v>
      </c>
      <c r="H50">
        <v>0</v>
      </c>
      <c r="I50">
        <v>8.687E-6</v>
      </c>
      <c r="J50">
        <v>8.7350000000000002E-6</v>
      </c>
      <c r="K50">
        <v>35.984400000000001</v>
      </c>
      <c r="L50">
        <v>15.655200000000001</v>
      </c>
      <c r="M50">
        <v>0</v>
      </c>
      <c r="N50">
        <v>0</v>
      </c>
      <c r="O50">
        <v>37.337800000000001</v>
      </c>
    </row>
    <row r="51" spans="1:15" x14ac:dyDescent="0.25">
      <c r="A51" t="s">
        <v>21</v>
      </c>
      <c r="B51" t="s">
        <v>15</v>
      </c>
      <c r="C51">
        <v>3</v>
      </c>
      <c r="D51">
        <v>100</v>
      </c>
      <c r="E51">
        <v>200</v>
      </c>
      <c r="F51" t="str">
        <f t="shared" si="0"/>
        <v>castle256_blurkernel7_3_100_200</v>
      </c>
      <c r="G51">
        <v>0</v>
      </c>
      <c r="H51">
        <v>0</v>
      </c>
      <c r="I51">
        <v>1.9221000000000001E-5</v>
      </c>
      <c r="J51">
        <v>8.7530000000000007E-6</v>
      </c>
      <c r="K51">
        <v>32.537199999999999</v>
      </c>
      <c r="L51">
        <v>15.6562</v>
      </c>
      <c r="M51">
        <v>0</v>
      </c>
      <c r="N51">
        <v>0</v>
      </c>
      <c r="O51">
        <v>34.460999999999999</v>
      </c>
    </row>
    <row r="52" spans="1:15" x14ac:dyDescent="0.25">
      <c r="A52" t="s">
        <v>21</v>
      </c>
      <c r="B52" t="s">
        <v>15</v>
      </c>
      <c r="C52">
        <v>3</v>
      </c>
      <c r="D52">
        <v>100</v>
      </c>
      <c r="E52">
        <v>400</v>
      </c>
      <c r="F52" t="str">
        <f t="shared" si="0"/>
        <v>castle256_blurkernel7_3_100_400</v>
      </c>
      <c r="G52">
        <v>0</v>
      </c>
      <c r="H52">
        <v>0</v>
      </c>
      <c r="I52">
        <v>3.9784999999999999E-5</v>
      </c>
      <c r="J52">
        <v>8.7530000000000007E-6</v>
      </c>
      <c r="K52">
        <v>29.379000000000001</v>
      </c>
      <c r="L52">
        <v>15.6562</v>
      </c>
      <c r="M52">
        <v>0</v>
      </c>
      <c r="N52">
        <v>0</v>
      </c>
      <c r="O52">
        <v>31.8505</v>
      </c>
    </row>
    <row r="53" spans="1:15" x14ac:dyDescent="0.25">
      <c r="A53" t="s">
        <v>21</v>
      </c>
      <c r="B53" t="s">
        <v>15</v>
      </c>
      <c r="C53">
        <v>3</v>
      </c>
      <c r="D53">
        <v>100</v>
      </c>
      <c r="E53">
        <v>800</v>
      </c>
      <c r="F53" t="str">
        <f t="shared" si="0"/>
        <v>castle256_blurkernel7_3_100_800</v>
      </c>
      <c r="G53">
        <v>0</v>
      </c>
      <c r="H53">
        <v>0</v>
      </c>
      <c r="I53">
        <v>8.1567E-5</v>
      </c>
      <c r="J53">
        <v>8.7530000000000007E-6</v>
      </c>
      <c r="K53">
        <v>26.265899999999998</v>
      </c>
      <c r="L53">
        <v>15.6562</v>
      </c>
      <c r="M53">
        <v>0</v>
      </c>
      <c r="N53">
        <v>0</v>
      </c>
      <c r="O53">
        <v>29.241900000000001</v>
      </c>
    </row>
    <row r="54" spans="1:15" x14ac:dyDescent="0.25">
      <c r="A54" t="s">
        <v>21</v>
      </c>
      <c r="B54" t="s">
        <v>15</v>
      </c>
      <c r="C54">
        <v>3</v>
      </c>
      <c r="D54">
        <v>100</v>
      </c>
      <c r="E54">
        <v>1600</v>
      </c>
      <c r="F54" t="str">
        <f t="shared" si="0"/>
        <v>castle256_blurkernel7_3_100_1600</v>
      </c>
      <c r="G54">
        <v>0</v>
      </c>
      <c r="H54">
        <v>0</v>
      </c>
      <c r="I54">
        <v>1.65604E-4</v>
      </c>
      <c r="J54">
        <v>8.7530000000000007E-6</v>
      </c>
      <c r="K54">
        <v>23.204499999999999</v>
      </c>
      <c r="L54">
        <v>15.6562</v>
      </c>
      <c r="M54">
        <v>0</v>
      </c>
      <c r="N54">
        <v>0</v>
      </c>
      <c r="O54">
        <v>26.575099999999999</v>
      </c>
    </row>
    <row r="55" spans="1:15" x14ac:dyDescent="0.25">
      <c r="A55" t="s">
        <v>21</v>
      </c>
      <c r="B55" t="s">
        <v>15</v>
      </c>
      <c r="C55">
        <v>3</v>
      </c>
      <c r="D55">
        <v>100</v>
      </c>
      <c r="E55">
        <v>3200</v>
      </c>
      <c r="F55" t="str">
        <f t="shared" si="0"/>
        <v>castle256_blurkernel7_3_100_3200</v>
      </c>
      <c r="G55">
        <v>0</v>
      </c>
      <c r="H55">
        <v>0</v>
      </c>
      <c r="I55">
        <v>3.4039399999999999E-4</v>
      </c>
      <c r="J55">
        <v>8.7530000000000007E-6</v>
      </c>
      <c r="K55">
        <v>20.094100000000001</v>
      </c>
      <c r="L55">
        <v>15.6562</v>
      </c>
      <c r="M55">
        <v>0</v>
      </c>
      <c r="N55">
        <v>0</v>
      </c>
      <c r="O55">
        <v>23.968399999999999</v>
      </c>
    </row>
    <row r="56" spans="1:15" x14ac:dyDescent="0.25">
      <c r="A56" t="s">
        <v>21</v>
      </c>
      <c r="B56" t="s">
        <v>15</v>
      </c>
      <c r="C56">
        <v>3</v>
      </c>
      <c r="D56">
        <v>100</v>
      </c>
      <c r="E56">
        <v>6400</v>
      </c>
      <c r="F56" t="str">
        <f t="shared" si="0"/>
        <v>castle256_blurkernel7_3_100_6400</v>
      </c>
      <c r="G56">
        <v>0</v>
      </c>
      <c r="H56">
        <v>0</v>
      </c>
      <c r="I56">
        <v>6.9512600000000001E-4</v>
      </c>
      <c r="J56">
        <v>8.7530000000000007E-6</v>
      </c>
      <c r="K56">
        <v>17.031199999999998</v>
      </c>
      <c r="L56">
        <v>15.6562</v>
      </c>
      <c r="M56">
        <v>0</v>
      </c>
      <c r="N56">
        <v>0</v>
      </c>
      <c r="O56">
        <v>21.324400000000001</v>
      </c>
    </row>
    <row r="57" spans="1:15" x14ac:dyDescent="0.25">
      <c r="A57" t="s">
        <v>21</v>
      </c>
      <c r="B57" t="s">
        <v>15</v>
      </c>
      <c r="C57">
        <v>3</v>
      </c>
      <c r="D57">
        <v>100</v>
      </c>
      <c r="E57">
        <v>12800</v>
      </c>
      <c r="F57" t="str">
        <f t="shared" si="0"/>
        <v>castle256_blurkernel7_3_100_12800</v>
      </c>
      <c r="G57">
        <v>0</v>
      </c>
      <c r="H57">
        <v>0</v>
      </c>
      <c r="I57">
        <v>1.4647729999999999E-3</v>
      </c>
      <c r="J57">
        <v>8.7530000000000007E-6</v>
      </c>
      <c r="K57">
        <v>13.8873</v>
      </c>
      <c r="L57">
        <v>15.6562</v>
      </c>
      <c r="M57">
        <v>0</v>
      </c>
      <c r="N57">
        <v>0</v>
      </c>
      <c r="O57">
        <v>18.9941</v>
      </c>
    </row>
    <row r="58" spans="1:15" x14ac:dyDescent="0.25">
      <c r="A58" t="s">
        <v>21</v>
      </c>
      <c r="B58" t="s">
        <v>15</v>
      </c>
      <c r="C58">
        <v>3</v>
      </c>
      <c r="D58">
        <v>100</v>
      </c>
      <c r="E58">
        <v>25600</v>
      </c>
      <c r="F58" t="str">
        <f t="shared" si="0"/>
        <v>castle256_blurkernel7_3_100_25600</v>
      </c>
      <c r="G58">
        <v>0</v>
      </c>
      <c r="H58">
        <v>0</v>
      </c>
      <c r="I58">
        <v>3.2141539999999999E-3</v>
      </c>
      <c r="J58">
        <v>8.7530000000000007E-6</v>
      </c>
      <c r="K58">
        <v>10.662800000000001</v>
      </c>
      <c r="L58">
        <v>15.6562</v>
      </c>
      <c r="M58">
        <v>0</v>
      </c>
      <c r="N58">
        <v>0</v>
      </c>
      <c r="O58">
        <v>16.7105</v>
      </c>
    </row>
    <row r="59" spans="1:15" x14ac:dyDescent="0.25">
      <c r="A59" t="s">
        <v>21</v>
      </c>
      <c r="B59" t="s">
        <v>15</v>
      </c>
      <c r="C59">
        <v>3</v>
      </c>
      <c r="D59">
        <v>100</v>
      </c>
      <c r="E59">
        <v>102400</v>
      </c>
      <c r="F59" t="str">
        <f t="shared" si="0"/>
        <v>castle256_blurkernel7_3_100_102400</v>
      </c>
      <c r="G59">
        <v>0</v>
      </c>
      <c r="H59">
        <v>0</v>
      </c>
      <c r="I59">
        <v>1.9821829999999999E-2</v>
      </c>
      <c r="J59">
        <v>8.5900000000000008E-6</v>
      </c>
      <c r="K59">
        <v>4.1692</v>
      </c>
      <c r="L59">
        <v>15.6625</v>
      </c>
      <c r="M59">
        <v>0</v>
      </c>
      <c r="N59">
        <v>0</v>
      </c>
      <c r="O59">
        <v>12.5227</v>
      </c>
    </row>
    <row r="60" spans="1:15" x14ac:dyDescent="0.25">
      <c r="A60" t="s">
        <v>21</v>
      </c>
      <c r="B60" t="s">
        <v>15</v>
      </c>
      <c r="C60">
        <v>7</v>
      </c>
      <c r="D60">
        <v>100</v>
      </c>
      <c r="E60">
        <v>100</v>
      </c>
      <c r="F60" t="str">
        <f t="shared" si="0"/>
        <v>castle256_blurkernel7_7_100_100</v>
      </c>
      <c r="G60">
        <v>0</v>
      </c>
      <c r="H60">
        <v>0</v>
      </c>
      <c r="I60">
        <v>8.6370000000000005E-6</v>
      </c>
      <c r="J60">
        <v>8.755E-6</v>
      </c>
      <c r="K60">
        <v>36.0092</v>
      </c>
      <c r="L60">
        <v>10.9269</v>
      </c>
      <c r="M60">
        <v>0</v>
      </c>
      <c r="N60">
        <v>0</v>
      </c>
      <c r="O60">
        <v>37.392000000000003</v>
      </c>
    </row>
    <row r="61" spans="1:15" x14ac:dyDescent="0.25">
      <c r="A61" t="s">
        <v>21</v>
      </c>
      <c r="B61" t="s">
        <v>15</v>
      </c>
      <c r="C61">
        <v>7</v>
      </c>
      <c r="D61">
        <v>100</v>
      </c>
      <c r="E61">
        <v>200</v>
      </c>
      <c r="F61" t="str">
        <f t="shared" si="0"/>
        <v>castle256_blurkernel7_7_100_200</v>
      </c>
      <c r="G61">
        <v>0</v>
      </c>
      <c r="H61">
        <v>0</v>
      </c>
      <c r="I61">
        <v>1.9159000000000001E-5</v>
      </c>
      <c r="J61">
        <v>8.6850000000000007E-6</v>
      </c>
      <c r="K61">
        <v>32.551000000000002</v>
      </c>
      <c r="L61">
        <v>10.9269</v>
      </c>
      <c r="M61">
        <v>0</v>
      </c>
      <c r="N61">
        <v>0</v>
      </c>
      <c r="O61">
        <v>34.4696</v>
      </c>
    </row>
    <row r="62" spans="1:15" x14ac:dyDescent="0.25">
      <c r="A62" t="s">
        <v>21</v>
      </c>
      <c r="B62" t="s">
        <v>15</v>
      </c>
      <c r="C62">
        <v>7</v>
      </c>
      <c r="D62">
        <v>100</v>
      </c>
      <c r="E62">
        <v>400</v>
      </c>
      <c r="F62" t="str">
        <f t="shared" si="0"/>
        <v>castle256_blurkernel7_7_100_400</v>
      </c>
      <c r="G62">
        <v>0</v>
      </c>
      <c r="H62">
        <v>0</v>
      </c>
      <c r="I62">
        <v>3.9938000000000003E-5</v>
      </c>
      <c r="J62">
        <v>8.6850000000000007E-6</v>
      </c>
      <c r="K62">
        <v>29.3658</v>
      </c>
      <c r="L62">
        <v>10.9269</v>
      </c>
      <c r="M62">
        <v>0</v>
      </c>
      <c r="N62">
        <v>0</v>
      </c>
      <c r="O62">
        <v>31.849599999999999</v>
      </c>
    </row>
    <row r="63" spans="1:15" x14ac:dyDescent="0.25">
      <c r="A63" t="s">
        <v>21</v>
      </c>
      <c r="B63" t="s">
        <v>15</v>
      </c>
      <c r="C63">
        <v>7</v>
      </c>
      <c r="D63">
        <v>100</v>
      </c>
      <c r="E63">
        <v>800</v>
      </c>
      <c r="F63" t="str">
        <f t="shared" si="0"/>
        <v>castle256_blurkernel7_7_100_800</v>
      </c>
      <c r="G63">
        <v>0</v>
      </c>
      <c r="H63">
        <v>0</v>
      </c>
      <c r="I63">
        <v>8.2121999999999997E-5</v>
      </c>
      <c r="J63">
        <v>8.6850000000000007E-6</v>
      </c>
      <c r="K63">
        <v>26.239699999999999</v>
      </c>
      <c r="L63">
        <v>10.9269</v>
      </c>
      <c r="M63">
        <v>0</v>
      </c>
      <c r="N63">
        <v>0</v>
      </c>
      <c r="O63">
        <v>29.201799999999999</v>
      </c>
    </row>
    <row r="64" spans="1:15" x14ac:dyDescent="0.25">
      <c r="A64" t="s">
        <v>21</v>
      </c>
      <c r="B64" t="s">
        <v>15</v>
      </c>
      <c r="C64">
        <v>7</v>
      </c>
      <c r="D64">
        <v>100</v>
      </c>
      <c r="E64">
        <v>1600</v>
      </c>
      <c r="F64" t="str">
        <f t="shared" si="0"/>
        <v>castle256_blurkernel7_7_100_1600</v>
      </c>
      <c r="G64">
        <v>0</v>
      </c>
      <c r="H64">
        <v>0</v>
      </c>
      <c r="I64">
        <v>1.6633899999999999E-4</v>
      </c>
      <c r="J64">
        <v>8.6850000000000007E-6</v>
      </c>
      <c r="K64">
        <v>23.1815</v>
      </c>
      <c r="L64">
        <v>10.9269</v>
      </c>
      <c r="M64">
        <v>0</v>
      </c>
      <c r="N64">
        <v>0</v>
      </c>
      <c r="O64">
        <v>26.627400000000002</v>
      </c>
    </row>
    <row r="65" spans="1:15" x14ac:dyDescent="0.25">
      <c r="A65" t="s">
        <v>21</v>
      </c>
      <c r="B65" t="s">
        <v>15</v>
      </c>
      <c r="C65">
        <v>7</v>
      </c>
      <c r="D65">
        <v>100</v>
      </c>
      <c r="E65">
        <v>3200</v>
      </c>
      <c r="F65" t="str">
        <f t="shared" si="0"/>
        <v>castle256_blurkernel7_7_100_3200</v>
      </c>
      <c r="G65">
        <v>0</v>
      </c>
      <c r="H65">
        <v>0</v>
      </c>
      <c r="I65">
        <v>3.37265E-4</v>
      </c>
      <c r="J65">
        <v>8.6850000000000007E-6</v>
      </c>
      <c r="K65">
        <v>20.129899999999999</v>
      </c>
      <c r="L65">
        <v>10.9269</v>
      </c>
      <c r="M65">
        <v>0</v>
      </c>
      <c r="N65">
        <v>0</v>
      </c>
      <c r="O65">
        <v>24.013999999999999</v>
      </c>
    </row>
    <row r="66" spans="1:15" x14ac:dyDescent="0.25">
      <c r="A66" t="s">
        <v>21</v>
      </c>
      <c r="B66" t="s">
        <v>15</v>
      </c>
      <c r="C66">
        <v>7</v>
      </c>
      <c r="D66">
        <v>100</v>
      </c>
      <c r="E66">
        <v>6400</v>
      </c>
      <c r="F66" t="str">
        <f t="shared" ref="F66:F129" si="1">A66&amp;"_"&amp;B66&amp;"_"&amp;C66&amp;"_"&amp;D66&amp;"_"&amp;E66</f>
        <v>castle256_blurkernel7_7_100_6400</v>
      </c>
      <c r="G66">
        <v>0</v>
      </c>
      <c r="H66">
        <v>0</v>
      </c>
      <c r="I66">
        <v>7.0306899999999996E-4</v>
      </c>
      <c r="J66">
        <v>8.6850000000000007E-6</v>
      </c>
      <c r="K66">
        <v>16.982700000000001</v>
      </c>
      <c r="L66">
        <v>10.9269</v>
      </c>
      <c r="M66">
        <v>0</v>
      </c>
      <c r="N66">
        <v>0</v>
      </c>
      <c r="O66">
        <v>21.400200000000002</v>
      </c>
    </row>
    <row r="67" spans="1:15" x14ac:dyDescent="0.25">
      <c r="A67" t="s">
        <v>21</v>
      </c>
      <c r="B67" t="s">
        <v>15</v>
      </c>
      <c r="C67">
        <v>7</v>
      </c>
      <c r="D67">
        <v>100</v>
      </c>
      <c r="E67">
        <v>12800</v>
      </c>
      <c r="F67" t="str">
        <f t="shared" si="1"/>
        <v>castle256_blurkernel7_7_100_12800</v>
      </c>
      <c r="G67">
        <v>0</v>
      </c>
      <c r="H67">
        <v>0</v>
      </c>
      <c r="I67">
        <v>1.463223E-3</v>
      </c>
      <c r="J67">
        <v>8.6850000000000007E-6</v>
      </c>
      <c r="K67">
        <v>13.8866</v>
      </c>
      <c r="L67">
        <v>10.9269</v>
      </c>
      <c r="M67">
        <v>0</v>
      </c>
      <c r="N67">
        <v>0</v>
      </c>
      <c r="O67">
        <v>18.985499999999998</v>
      </c>
    </row>
    <row r="68" spans="1:15" x14ac:dyDescent="0.25">
      <c r="A68" t="s">
        <v>21</v>
      </c>
      <c r="B68" t="s">
        <v>15</v>
      </c>
      <c r="C68">
        <v>7</v>
      </c>
      <c r="D68">
        <v>100</v>
      </c>
      <c r="E68">
        <v>25600</v>
      </c>
      <c r="F68" t="str">
        <f t="shared" si="1"/>
        <v>castle256_blurkernel7_7_100_25600</v>
      </c>
      <c r="G68">
        <v>0</v>
      </c>
      <c r="H68">
        <v>0</v>
      </c>
      <c r="I68">
        <v>3.2392459999999999E-3</v>
      </c>
      <c r="J68">
        <v>8.6850000000000007E-6</v>
      </c>
      <c r="K68">
        <v>10.5969</v>
      </c>
      <c r="L68">
        <v>10.9269</v>
      </c>
      <c r="M68">
        <v>0</v>
      </c>
      <c r="N68">
        <v>0</v>
      </c>
      <c r="O68">
        <v>16.6754</v>
      </c>
    </row>
    <row r="69" spans="1:15" x14ac:dyDescent="0.25">
      <c r="A69" t="s">
        <v>21</v>
      </c>
      <c r="B69" t="s">
        <v>15</v>
      </c>
      <c r="C69">
        <v>7</v>
      </c>
      <c r="D69">
        <v>100</v>
      </c>
      <c r="E69">
        <v>102400</v>
      </c>
      <c r="F69" t="str">
        <f t="shared" si="1"/>
        <v>castle256_blurkernel7_7_100_102400</v>
      </c>
      <c r="G69">
        <v>0</v>
      </c>
      <c r="H69">
        <v>0</v>
      </c>
      <c r="I69">
        <v>2.0042463E-2</v>
      </c>
      <c r="J69">
        <v>8.6519999999999995E-6</v>
      </c>
      <c r="K69">
        <v>4.1074000000000002</v>
      </c>
      <c r="L69">
        <v>10.9278</v>
      </c>
      <c r="M69">
        <v>0</v>
      </c>
      <c r="N69">
        <v>0</v>
      </c>
      <c r="O69">
        <v>12.344900000000001</v>
      </c>
    </row>
    <row r="70" spans="1:15" x14ac:dyDescent="0.25">
      <c r="A70" t="s">
        <v>21</v>
      </c>
      <c r="B70" t="s">
        <v>15</v>
      </c>
      <c r="C70">
        <v>15</v>
      </c>
      <c r="D70">
        <v>100</v>
      </c>
      <c r="E70">
        <v>100</v>
      </c>
      <c r="F70" t="str">
        <f t="shared" si="1"/>
        <v>castle256_blurkernel7_15_100_100</v>
      </c>
      <c r="G70">
        <v>0</v>
      </c>
      <c r="H70">
        <v>0</v>
      </c>
      <c r="I70">
        <v>8.6410000000000008E-6</v>
      </c>
      <c r="J70">
        <v>8.7490000000000004E-6</v>
      </c>
      <c r="K70">
        <v>36.006999999999998</v>
      </c>
      <c r="L70">
        <v>8.5879999999999992</v>
      </c>
      <c r="M70">
        <v>0</v>
      </c>
      <c r="N70">
        <v>0</v>
      </c>
      <c r="O70">
        <v>37.365000000000002</v>
      </c>
    </row>
    <row r="71" spans="1:15" x14ac:dyDescent="0.25">
      <c r="A71" t="s">
        <v>21</v>
      </c>
      <c r="B71" t="s">
        <v>15</v>
      </c>
      <c r="C71">
        <v>15</v>
      </c>
      <c r="D71">
        <v>100</v>
      </c>
      <c r="E71">
        <v>200</v>
      </c>
      <c r="F71" t="str">
        <f t="shared" si="1"/>
        <v>castle256_blurkernel7_15_100_200</v>
      </c>
      <c r="G71">
        <v>0</v>
      </c>
      <c r="H71">
        <v>0</v>
      </c>
      <c r="I71">
        <v>1.9235000000000001E-5</v>
      </c>
      <c r="J71">
        <v>8.7830000000000004E-6</v>
      </c>
      <c r="K71">
        <v>32.534199999999998</v>
      </c>
      <c r="L71">
        <v>8.5862999999999996</v>
      </c>
      <c r="M71">
        <v>0</v>
      </c>
      <c r="N71">
        <v>0</v>
      </c>
      <c r="O71">
        <v>34.437199999999997</v>
      </c>
    </row>
    <row r="72" spans="1:15" x14ac:dyDescent="0.25">
      <c r="A72" t="s">
        <v>21</v>
      </c>
      <c r="B72" t="s">
        <v>15</v>
      </c>
      <c r="C72">
        <v>15</v>
      </c>
      <c r="D72">
        <v>100</v>
      </c>
      <c r="E72">
        <v>400</v>
      </c>
      <c r="F72" t="str">
        <f t="shared" si="1"/>
        <v>castle256_blurkernel7_15_100_400</v>
      </c>
      <c r="G72">
        <v>0</v>
      </c>
      <c r="H72">
        <v>0</v>
      </c>
      <c r="I72">
        <v>3.9471000000000002E-5</v>
      </c>
      <c r="J72">
        <v>8.7830000000000004E-6</v>
      </c>
      <c r="K72">
        <v>29.415700000000001</v>
      </c>
      <c r="L72">
        <v>8.5862999999999996</v>
      </c>
      <c r="M72">
        <v>0</v>
      </c>
      <c r="N72">
        <v>0</v>
      </c>
      <c r="O72">
        <v>31.877400000000002</v>
      </c>
    </row>
    <row r="73" spans="1:15" x14ac:dyDescent="0.25">
      <c r="A73" t="s">
        <v>21</v>
      </c>
      <c r="B73" t="s">
        <v>15</v>
      </c>
      <c r="C73">
        <v>15</v>
      </c>
      <c r="D73">
        <v>100</v>
      </c>
      <c r="E73">
        <v>800</v>
      </c>
      <c r="F73" t="str">
        <f t="shared" si="1"/>
        <v>castle256_blurkernel7_15_100_800</v>
      </c>
      <c r="G73">
        <v>0</v>
      </c>
      <c r="H73">
        <v>0</v>
      </c>
      <c r="I73">
        <v>8.2117E-5</v>
      </c>
      <c r="J73">
        <v>8.7830000000000004E-6</v>
      </c>
      <c r="K73">
        <v>26.235900000000001</v>
      </c>
      <c r="L73">
        <v>8.5862999999999996</v>
      </c>
      <c r="M73">
        <v>0</v>
      </c>
      <c r="N73">
        <v>0</v>
      </c>
      <c r="O73">
        <v>29.135999999999999</v>
      </c>
    </row>
    <row r="74" spans="1:15" x14ac:dyDescent="0.25">
      <c r="A74" t="s">
        <v>21</v>
      </c>
      <c r="B74" t="s">
        <v>15</v>
      </c>
      <c r="C74">
        <v>15</v>
      </c>
      <c r="D74">
        <v>100</v>
      </c>
      <c r="E74">
        <v>1600</v>
      </c>
      <c r="F74" t="str">
        <f t="shared" si="1"/>
        <v>castle256_blurkernel7_15_100_1600</v>
      </c>
      <c r="G74">
        <v>0</v>
      </c>
      <c r="H74">
        <v>0</v>
      </c>
      <c r="I74">
        <v>1.6630900000000001E-4</v>
      </c>
      <c r="J74">
        <v>8.7830000000000004E-6</v>
      </c>
      <c r="K74">
        <v>23.183599999999998</v>
      </c>
      <c r="L74">
        <v>8.5862999999999996</v>
      </c>
      <c r="M74">
        <v>0</v>
      </c>
      <c r="N74">
        <v>0</v>
      </c>
      <c r="O74">
        <v>26.576599999999999</v>
      </c>
    </row>
    <row r="75" spans="1:15" x14ac:dyDescent="0.25">
      <c r="A75" t="s">
        <v>21</v>
      </c>
      <c r="B75" t="s">
        <v>15</v>
      </c>
      <c r="C75">
        <v>15</v>
      </c>
      <c r="D75">
        <v>100</v>
      </c>
      <c r="E75">
        <v>3200</v>
      </c>
      <c r="F75" t="str">
        <f t="shared" si="1"/>
        <v>castle256_blurkernel7_15_100_3200</v>
      </c>
      <c r="G75">
        <v>0</v>
      </c>
      <c r="H75">
        <v>0</v>
      </c>
      <c r="I75">
        <v>3.3734500000000002E-4</v>
      </c>
      <c r="J75">
        <v>8.7830000000000004E-6</v>
      </c>
      <c r="K75">
        <v>20.1236</v>
      </c>
      <c r="L75">
        <v>8.5862999999999996</v>
      </c>
      <c r="M75">
        <v>0</v>
      </c>
      <c r="N75">
        <v>0</v>
      </c>
      <c r="O75">
        <v>23.9907</v>
      </c>
    </row>
    <row r="76" spans="1:15" x14ac:dyDescent="0.25">
      <c r="A76" t="s">
        <v>21</v>
      </c>
      <c r="B76" t="s">
        <v>15</v>
      </c>
      <c r="C76">
        <v>15</v>
      </c>
      <c r="D76">
        <v>100</v>
      </c>
      <c r="E76">
        <v>6400</v>
      </c>
      <c r="F76" t="str">
        <f t="shared" si="1"/>
        <v>castle256_blurkernel7_15_100_6400</v>
      </c>
      <c r="G76">
        <v>0</v>
      </c>
      <c r="H76">
        <v>0</v>
      </c>
      <c r="I76">
        <v>6.9138200000000004E-4</v>
      </c>
      <c r="J76">
        <v>8.7830000000000004E-6</v>
      </c>
      <c r="K76">
        <v>17.060099999999998</v>
      </c>
      <c r="L76">
        <v>8.5862999999999996</v>
      </c>
      <c r="M76">
        <v>0</v>
      </c>
      <c r="N76">
        <v>0</v>
      </c>
      <c r="O76">
        <v>21.430700000000002</v>
      </c>
    </row>
    <row r="77" spans="1:15" x14ac:dyDescent="0.25">
      <c r="A77" t="s">
        <v>21</v>
      </c>
      <c r="B77" t="s">
        <v>15</v>
      </c>
      <c r="C77">
        <v>15</v>
      </c>
      <c r="D77">
        <v>100</v>
      </c>
      <c r="E77">
        <v>12800</v>
      </c>
      <c r="F77" t="str">
        <f t="shared" si="1"/>
        <v>castle256_blurkernel7_15_100_12800</v>
      </c>
      <c r="G77">
        <v>0</v>
      </c>
      <c r="H77">
        <v>0</v>
      </c>
      <c r="I77">
        <v>1.4603540000000001E-3</v>
      </c>
      <c r="J77">
        <v>8.7830000000000004E-6</v>
      </c>
      <c r="K77">
        <v>13.892799999999999</v>
      </c>
      <c r="L77">
        <v>8.5862999999999996</v>
      </c>
      <c r="M77">
        <v>0</v>
      </c>
      <c r="N77">
        <v>0</v>
      </c>
      <c r="O77">
        <v>19.0351</v>
      </c>
    </row>
    <row r="78" spans="1:15" x14ac:dyDescent="0.25">
      <c r="A78" t="s">
        <v>21</v>
      </c>
      <c r="B78" t="s">
        <v>15</v>
      </c>
      <c r="C78">
        <v>15</v>
      </c>
      <c r="D78">
        <v>100</v>
      </c>
      <c r="E78">
        <v>25600</v>
      </c>
      <c r="F78" t="str">
        <f t="shared" si="1"/>
        <v>castle256_blurkernel7_15_100_25600</v>
      </c>
      <c r="G78">
        <v>0</v>
      </c>
      <c r="H78">
        <v>0</v>
      </c>
      <c r="I78">
        <v>3.2239159999999998E-3</v>
      </c>
      <c r="J78">
        <v>8.7830000000000004E-6</v>
      </c>
      <c r="K78">
        <v>10.6374</v>
      </c>
      <c r="L78">
        <v>8.5862999999999996</v>
      </c>
      <c r="M78">
        <v>0</v>
      </c>
      <c r="N78">
        <v>0</v>
      </c>
      <c r="O78">
        <v>16.6968</v>
      </c>
    </row>
    <row r="79" spans="1:15" x14ac:dyDescent="0.25">
      <c r="A79" t="s">
        <v>21</v>
      </c>
      <c r="B79" t="s">
        <v>15</v>
      </c>
      <c r="C79">
        <v>15</v>
      </c>
      <c r="D79">
        <v>100</v>
      </c>
      <c r="E79">
        <v>102400</v>
      </c>
      <c r="F79" t="str">
        <f t="shared" si="1"/>
        <v>castle256_blurkernel7_15_100_102400</v>
      </c>
      <c r="G79">
        <v>0</v>
      </c>
      <c r="H79">
        <v>0</v>
      </c>
      <c r="I79">
        <v>2.0066014E-2</v>
      </c>
      <c r="J79">
        <v>8.7199999999999995E-6</v>
      </c>
      <c r="K79">
        <v>4.0918999999999999</v>
      </c>
      <c r="L79">
        <v>8.5846</v>
      </c>
      <c r="M79">
        <v>0</v>
      </c>
      <c r="N79">
        <v>0</v>
      </c>
      <c r="O79">
        <v>12.3177</v>
      </c>
    </row>
    <row r="80" spans="1:15" x14ac:dyDescent="0.25">
      <c r="A80" t="s">
        <v>21</v>
      </c>
      <c r="B80" t="s">
        <v>15</v>
      </c>
      <c r="C80">
        <v>31</v>
      </c>
      <c r="D80">
        <v>100</v>
      </c>
      <c r="E80">
        <v>100</v>
      </c>
      <c r="F80" t="str">
        <f t="shared" si="1"/>
        <v>castle256_blurkernel7_31_100_100</v>
      </c>
      <c r="G80">
        <v>0</v>
      </c>
      <c r="H80">
        <v>0</v>
      </c>
      <c r="I80">
        <v>8.6940000000000001E-6</v>
      </c>
      <c r="J80">
        <v>8.8019999999999998E-6</v>
      </c>
      <c r="K80">
        <v>35.981699999999996</v>
      </c>
      <c r="L80">
        <v>6.6767000000000003</v>
      </c>
      <c r="M80">
        <v>0</v>
      </c>
      <c r="N80">
        <v>0</v>
      </c>
      <c r="O80">
        <v>37.352400000000003</v>
      </c>
    </row>
    <row r="81" spans="1:15" x14ac:dyDescent="0.25">
      <c r="A81" t="s">
        <v>21</v>
      </c>
      <c r="B81" t="s">
        <v>15</v>
      </c>
      <c r="C81">
        <v>31</v>
      </c>
      <c r="D81">
        <v>100</v>
      </c>
      <c r="E81">
        <v>200</v>
      </c>
      <c r="F81" t="str">
        <f t="shared" si="1"/>
        <v>castle256_blurkernel7_31_100_200</v>
      </c>
      <c r="G81">
        <v>0</v>
      </c>
      <c r="H81">
        <v>0</v>
      </c>
      <c r="I81">
        <v>1.8981999999999999E-5</v>
      </c>
      <c r="J81">
        <v>8.7490000000000004E-6</v>
      </c>
      <c r="K81">
        <v>32.5931</v>
      </c>
      <c r="L81">
        <v>6.6753999999999998</v>
      </c>
      <c r="M81">
        <v>0</v>
      </c>
      <c r="N81">
        <v>0</v>
      </c>
      <c r="O81">
        <v>34.503</v>
      </c>
    </row>
    <row r="82" spans="1:15" x14ac:dyDescent="0.25">
      <c r="A82" t="s">
        <v>21</v>
      </c>
      <c r="B82" t="s">
        <v>15</v>
      </c>
      <c r="C82">
        <v>31</v>
      </c>
      <c r="D82">
        <v>100</v>
      </c>
      <c r="E82">
        <v>400</v>
      </c>
      <c r="F82" t="str">
        <f t="shared" si="1"/>
        <v>castle256_blurkernel7_31_100_400</v>
      </c>
      <c r="G82">
        <v>0</v>
      </c>
      <c r="H82">
        <v>0</v>
      </c>
      <c r="I82">
        <v>3.9539999999999998E-5</v>
      </c>
      <c r="J82">
        <v>8.7490000000000004E-6</v>
      </c>
      <c r="K82">
        <v>29.408000000000001</v>
      </c>
      <c r="L82">
        <v>6.6753999999999998</v>
      </c>
      <c r="M82">
        <v>0</v>
      </c>
      <c r="N82">
        <v>0</v>
      </c>
      <c r="O82">
        <v>31.798100000000002</v>
      </c>
    </row>
    <row r="83" spans="1:15" x14ac:dyDescent="0.25">
      <c r="A83" t="s">
        <v>21</v>
      </c>
      <c r="B83" t="s">
        <v>15</v>
      </c>
      <c r="C83">
        <v>31</v>
      </c>
      <c r="D83">
        <v>100</v>
      </c>
      <c r="E83">
        <v>800</v>
      </c>
      <c r="F83" t="str">
        <f t="shared" si="1"/>
        <v>castle256_blurkernel7_31_100_800</v>
      </c>
      <c r="G83">
        <v>0</v>
      </c>
      <c r="H83">
        <v>0</v>
      </c>
      <c r="I83">
        <v>8.1637999999999993E-5</v>
      </c>
      <c r="J83">
        <v>8.7490000000000004E-6</v>
      </c>
      <c r="K83">
        <v>26.263000000000002</v>
      </c>
      <c r="L83">
        <v>6.6753999999999998</v>
      </c>
      <c r="M83">
        <v>0</v>
      </c>
      <c r="N83">
        <v>0</v>
      </c>
      <c r="O83">
        <v>29.164100000000001</v>
      </c>
    </row>
    <row r="84" spans="1:15" x14ac:dyDescent="0.25">
      <c r="A84" t="s">
        <v>21</v>
      </c>
      <c r="B84" t="s">
        <v>15</v>
      </c>
      <c r="C84">
        <v>31</v>
      </c>
      <c r="D84">
        <v>100</v>
      </c>
      <c r="E84">
        <v>1600</v>
      </c>
      <c r="F84" t="str">
        <f t="shared" si="1"/>
        <v>castle256_blurkernel7_31_100_1600</v>
      </c>
      <c r="G84">
        <v>0</v>
      </c>
      <c r="H84">
        <v>0</v>
      </c>
      <c r="I84">
        <v>1.66348E-4</v>
      </c>
      <c r="J84">
        <v>8.7490000000000004E-6</v>
      </c>
      <c r="K84">
        <v>23.1831</v>
      </c>
      <c r="L84">
        <v>6.6753999999999998</v>
      </c>
      <c r="M84">
        <v>0</v>
      </c>
      <c r="N84">
        <v>0</v>
      </c>
      <c r="O84">
        <v>26.610600000000002</v>
      </c>
    </row>
    <row r="85" spans="1:15" x14ac:dyDescent="0.25">
      <c r="A85" t="s">
        <v>21</v>
      </c>
      <c r="B85" t="s">
        <v>15</v>
      </c>
      <c r="C85">
        <v>31</v>
      </c>
      <c r="D85">
        <v>100</v>
      </c>
      <c r="E85">
        <v>3200</v>
      </c>
      <c r="F85" t="str">
        <f t="shared" si="1"/>
        <v>castle256_blurkernel7_31_100_3200</v>
      </c>
      <c r="G85">
        <v>0</v>
      </c>
      <c r="H85">
        <v>0</v>
      </c>
      <c r="I85">
        <v>3.3897700000000002E-4</v>
      </c>
      <c r="J85">
        <v>8.7490000000000004E-6</v>
      </c>
      <c r="K85">
        <v>20.106100000000001</v>
      </c>
      <c r="L85">
        <v>6.6753999999999998</v>
      </c>
      <c r="M85">
        <v>0</v>
      </c>
      <c r="N85">
        <v>0</v>
      </c>
      <c r="O85">
        <v>23.985900000000001</v>
      </c>
    </row>
    <row r="86" spans="1:15" x14ac:dyDescent="0.25">
      <c r="A86" t="s">
        <v>21</v>
      </c>
      <c r="B86" t="s">
        <v>15</v>
      </c>
      <c r="C86">
        <v>31</v>
      </c>
      <c r="D86">
        <v>100</v>
      </c>
      <c r="E86">
        <v>6400</v>
      </c>
      <c r="F86" t="str">
        <f t="shared" si="1"/>
        <v>castle256_blurkernel7_31_100_6400</v>
      </c>
      <c r="G86">
        <v>0</v>
      </c>
      <c r="H86">
        <v>0</v>
      </c>
      <c r="I86">
        <v>7.0002200000000001E-4</v>
      </c>
      <c r="J86">
        <v>8.7490000000000004E-6</v>
      </c>
      <c r="K86">
        <v>17.011299999999999</v>
      </c>
      <c r="L86">
        <v>6.6753999999999998</v>
      </c>
      <c r="M86">
        <v>0</v>
      </c>
      <c r="N86">
        <v>0</v>
      </c>
      <c r="O86">
        <v>21.409500000000001</v>
      </c>
    </row>
    <row r="87" spans="1:15" x14ac:dyDescent="0.25">
      <c r="A87" t="s">
        <v>21</v>
      </c>
      <c r="B87" t="s">
        <v>15</v>
      </c>
      <c r="C87">
        <v>31</v>
      </c>
      <c r="D87">
        <v>100</v>
      </c>
      <c r="E87">
        <v>12800</v>
      </c>
      <c r="F87" t="str">
        <f t="shared" si="1"/>
        <v>castle256_blurkernel7_31_100_12800</v>
      </c>
      <c r="G87">
        <v>0</v>
      </c>
      <c r="H87">
        <v>0</v>
      </c>
      <c r="I87">
        <v>1.4766919999999999E-3</v>
      </c>
      <c r="J87">
        <v>8.7490000000000004E-6</v>
      </c>
      <c r="K87">
        <v>13.833399999999999</v>
      </c>
      <c r="L87">
        <v>6.6753999999999998</v>
      </c>
      <c r="M87">
        <v>0</v>
      </c>
      <c r="N87">
        <v>0</v>
      </c>
      <c r="O87">
        <v>18.9468</v>
      </c>
    </row>
    <row r="88" spans="1:15" x14ac:dyDescent="0.25">
      <c r="A88" t="s">
        <v>21</v>
      </c>
      <c r="B88" t="s">
        <v>15</v>
      </c>
      <c r="C88">
        <v>31</v>
      </c>
      <c r="D88">
        <v>100</v>
      </c>
      <c r="E88">
        <v>25600</v>
      </c>
      <c r="F88" t="str">
        <f t="shared" si="1"/>
        <v>castle256_blurkernel7_31_100_25600</v>
      </c>
      <c r="G88">
        <v>0</v>
      </c>
      <c r="H88">
        <v>0</v>
      </c>
      <c r="I88">
        <v>3.2137860000000002E-3</v>
      </c>
      <c r="J88">
        <v>8.7490000000000004E-6</v>
      </c>
      <c r="K88">
        <v>10.6389</v>
      </c>
      <c r="L88">
        <v>6.6753999999999998</v>
      </c>
      <c r="M88">
        <v>0</v>
      </c>
      <c r="N88">
        <v>0</v>
      </c>
      <c r="O88">
        <v>16.708600000000001</v>
      </c>
    </row>
    <row r="89" spans="1:15" x14ac:dyDescent="0.25">
      <c r="A89" t="s">
        <v>21</v>
      </c>
      <c r="B89" t="s">
        <v>15</v>
      </c>
      <c r="C89">
        <v>31</v>
      </c>
      <c r="D89">
        <v>100</v>
      </c>
      <c r="E89">
        <v>102400</v>
      </c>
      <c r="F89" t="str">
        <f t="shared" si="1"/>
        <v>castle256_blurkernel7_31_100_102400</v>
      </c>
      <c r="G89">
        <v>0</v>
      </c>
      <c r="H89">
        <v>0</v>
      </c>
      <c r="I89">
        <v>1.9963839000000001E-2</v>
      </c>
      <c r="J89">
        <v>8.7630000000000006E-6</v>
      </c>
      <c r="K89">
        <v>4.1193</v>
      </c>
      <c r="L89">
        <v>6.6763000000000003</v>
      </c>
      <c r="M89">
        <v>0</v>
      </c>
      <c r="N89">
        <v>0</v>
      </c>
      <c r="O89">
        <v>12.4122</v>
      </c>
    </row>
    <row r="90" spans="1:15" x14ac:dyDescent="0.25">
      <c r="A90" t="s">
        <v>21</v>
      </c>
      <c r="B90" t="s">
        <v>15</v>
      </c>
      <c r="C90">
        <v>63</v>
      </c>
      <c r="D90">
        <v>100</v>
      </c>
      <c r="E90">
        <v>200</v>
      </c>
      <c r="F90" t="str">
        <f t="shared" si="1"/>
        <v>castle256_blurkernel7_63_100_200</v>
      </c>
      <c r="G90">
        <v>0</v>
      </c>
      <c r="H90">
        <v>0</v>
      </c>
      <c r="I90">
        <v>1.9100999999999999E-5</v>
      </c>
      <c r="J90">
        <v>8.7539999999999995E-6</v>
      </c>
      <c r="K90">
        <v>32.563400000000001</v>
      </c>
      <c r="L90">
        <v>4.9894999999999996</v>
      </c>
      <c r="M90">
        <v>0</v>
      </c>
      <c r="N90">
        <v>0</v>
      </c>
      <c r="O90">
        <v>34.475900000000003</v>
      </c>
    </row>
    <row r="91" spans="1:15" x14ac:dyDescent="0.25">
      <c r="A91" t="s">
        <v>21</v>
      </c>
      <c r="B91" t="s">
        <v>15</v>
      </c>
      <c r="C91">
        <v>63</v>
      </c>
      <c r="D91">
        <v>100</v>
      </c>
      <c r="E91">
        <v>400</v>
      </c>
      <c r="F91" t="str">
        <f t="shared" si="1"/>
        <v>castle256_blurkernel7_63_100_400</v>
      </c>
      <c r="G91">
        <v>0</v>
      </c>
      <c r="H91">
        <v>0</v>
      </c>
      <c r="I91">
        <v>3.9737000000000003E-5</v>
      </c>
      <c r="J91">
        <v>8.7539999999999995E-6</v>
      </c>
      <c r="K91">
        <v>29.3841</v>
      </c>
      <c r="L91">
        <v>4.9894999999999996</v>
      </c>
      <c r="M91">
        <v>0</v>
      </c>
      <c r="N91">
        <v>0</v>
      </c>
      <c r="O91">
        <v>31.852399999999999</v>
      </c>
    </row>
    <row r="92" spans="1:15" x14ac:dyDescent="0.25">
      <c r="A92" t="s">
        <v>21</v>
      </c>
      <c r="B92" t="s">
        <v>15</v>
      </c>
      <c r="C92">
        <v>63</v>
      </c>
      <c r="D92">
        <v>100</v>
      </c>
      <c r="E92">
        <v>800</v>
      </c>
      <c r="F92" t="str">
        <f t="shared" si="1"/>
        <v>castle256_blurkernel7_63_100_800</v>
      </c>
      <c r="G92">
        <v>0</v>
      </c>
      <c r="H92">
        <v>0</v>
      </c>
      <c r="I92">
        <v>8.1374999999999999E-5</v>
      </c>
      <c r="J92">
        <v>8.7539999999999995E-6</v>
      </c>
      <c r="K92">
        <v>26.278400000000001</v>
      </c>
      <c r="L92">
        <v>4.9894999999999996</v>
      </c>
      <c r="M92">
        <v>0</v>
      </c>
      <c r="N92">
        <v>0</v>
      </c>
      <c r="O92">
        <v>29.198699999999999</v>
      </c>
    </row>
    <row r="93" spans="1:15" x14ac:dyDescent="0.25">
      <c r="A93" t="s">
        <v>21</v>
      </c>
      <c r="B93" t="s">
        <v>15</v>
      </c>
      <c r="C93">
        <v>63</v>
      </c>
      <c r="D93">
        <v>100</v>
      </c>
      <c r="E93">
        <v>1600</v>
      </c>
      <c r="F93" t="str">
        <f t="shared" si="1"/>
        <v>castle256_blurkernel7_63_100_1600</v>
      </c>
      <c r="G93">
        <v>0</v>
      </c>
      <c r="H93">
        <v>0</v>
      </c>
      <c r="I93">
        <v>1.6613199999999999E-4</v>
      </c>
      <c r="J93">
        <v>8.7539999999999995E-6</v>
      </c>
      <c r="K93">
        <v>23.192499999999999</v>
      </c>
      <c r="L93">
        <v>4.9894999999999996</v>
      </c>
      <c r="M93">
        <v>0</v>
      </c>
      <c r="N93">
        <v>0</v>
      </c>
      <c r="O93">
        <v>26.611799999999999</v>
      </c>
    </row>
    <row r="94" spans="1:15" x14ac:dyDescent="0.25">
      <c r="A94" t="s">
        <v>21</v>
      </c>
      <c r="B94" t="s">
        <v>15</v>
      </c>
      <c r="C94">
        <v>63</v>
      </c>
      <c r="D94">
        <v>100</v>
      </c>
      <c r="E94">
        <v>3200</v>
      </c>
      <c r="F94" t="str">
        <f t="shared" si="1"/>
        <v>castle256_blurkernel7_63_100_3200</v>
      </c>
      <c r="G94">
        <v>0</v>
      </c>
      <c r="H94">
        <v>0</v>
      </c>
      <c r="I94">
        <v>3.36266E-4</v>
      </c>
      <c r="J94">
        <v>8.7539999999999995E-6</v>
      </c>
      <c r="K94">
        <v>20.1449</v>
      </c>
      <c r="L94">
        <v>4.9894999999999996</v>
      </c>
      <c r="M94">
        <v>0</v>
      </c>
      <c r="N94">
        <v>0</v>
      </c>
      <c r="O94">
        <v>24.055099999999999</v>
      </c>
    </row>
    <row r="95" spans="1:15" x14ac:dyDescent="0.25">
      <c r="A95" t="s">
        <v>21</v>
      </c>
      <c r="B95" t="s">
        <v>15</v>
      </c>
      <c r="C95">
        <v>63</v>
      </c>
      <c r="D95">
        <v>100</v>
      </c>
      <c r="E95">
        <v>6400</v>
      </c>
      <c r="F95" t="str">
        <f t="shared" si="1"/>
        <v>castle256_blurkernel7_63_100_6400</v>
      </c>
      <c r="G95">
        <v>0</v>
      </c>
      <c r="H95">
        <v>0</v>
      </c>
      <c r="I95">
        <v>6.9597300000000001E-4</v>
      </c>
      <c r="J95">
        <v>8.7539999999999995E-6</v>
      </c>
      <c r="K95">
        <v>17.031500000000001</v>
      </c>
      <c r="L95">
        <v>4.9894999999999996</v>
      </c>
      <c r="M95">
        <v>0</v>
      </c>
      <c r="N95">
        <v>0</v>
      </c>
      <c r="O95">
        <v>21.422799999999999</v>
      </c>
    </row>
    <row r="96" spans="1:15" x14ac:dyDescent="0.25">
      <c r="A96" t="s">
        <v>21</v>
      </c>
      <c r="B96" t="s">
        <v>15</v>
      </c>
      <c r="C96">
        <v>63</v>
      </c>
      <c r="D96">
        <v>100</v>
      </c>
      <c r="E96">
        <v>12800</v>
      </c>
      <c r="F96" t="str">
        <f t="shared" si="1"/>
        <v>castle256_blurkernel7_63_100_12800</v>
      </c>
      <c r="G96">
        <v>0</v>
      </c>
      <c r="H96">
        <v>0</v>
      </c>
      <c r="I96">
        <v>1.46506E-3</v>
      </c>
      <c r="J96">
        <v>8.7539999999999995E-6</v>
      </c>
      <c r="K96">
        <v>13.870799999999999</v>
      </c>
      <c r="L96">
        <v>4.9894999999999996</v>
      </c>
      <c r="M96">
        <v>0</v>
      </c>
      <c r="N96">
        <v>0</v>
      </c>
      <c r="O96">
        <v>19.043099999999999</v>
      </c>
    </row>
    <row r="97" spans="1:15" x14ac:dyDescent="0.25">
      <c r="A97" t="s">
        <v>21</v>
      </c>
      <c r="B97" t="s">
        <v>15</v>
      </c>
      <c r="C97">
        <v>63</v>
      </c>
      <c r="D97">
        <v>100</v>
      </c>
      <c r="E97">
        <v>25600</v>
      </c>
      <c r="F97" t="str">
        <f t="shared" si="1"/>
        <v>castle256_blurkernel7_63_100_25600</v>
      </c>
      <c r="G97">
        <v>0</v>
      </c>
      <c r="H97">
        <v>0</v>
      </c>
      <c r="I97">
        <v>3.2050389999999998E-3</v>
      </c>
      <c r="J97">
        <v>8.7539999999999995E-6</v>
      </c>
      <c r="K97">
        <v>10.652100000000001</v>
      </c>
      <c r="L97">
        <v>4.9894999999999996</v>
      </c>
      <c r="M97">
        <v>0</v>
      </c>
      <c r="N97">
        <v>0</v>
      </c>
      <c r="O97">
        <v>16.7395</v>
      </c>
    </row>
    <row r="98" spans="1:15" x14ac:dyDescent="0.25">
      <c r="A98" t="s">
        <v>21</v>
      </c>
      <c r="B98" t="s">
        <v>16</v>
      </c>
      <c r="C98">
        <v>3</v>
      </c>
      <c r="D98">
        <v>100</v>
      </c>
      <c r="E98">
        <v>100</v>
      </c>
      <c r="F98" t="str">
        <f t="shared" si="1"/>
        <v>castle256_blurkernel8_3_100_100</v>
      </c>
      <c r="G98">
        <v>0</v>
      </c>
      <c r="H98">
        <v>0</v>
      </c>
      <c r="I98">
        <v>8.7809999999999994E-6</v>
      </c>
      <c r="J98">
        <v>8.6200000000000005E-6</v>
      </c>
      <c r="K98">
        <v>35.938600000000001</v>
      </c>
      <c r="L98">
        <v>15.316000000000001</v>
      </c>
      <c r="M98">
        <v>0</v>
      </c>
      <c r="N98">
        <v>0</v>
      </c>
      <c r="O98">
        <v>37.299599999999998</v>
      </c>
    </row>
    <row r="99" spans="1:15" x14ac:dyDescent="0.25">
      <c r="A99" t="s">
        <v>21</v>
      </c>
      <c r="B99" t="s">
        <v>16</v>
      </c>
      <c r="C99">
        <v>3</v>
      </c>
      <c r="D99">
        <v>100</v>
      </c>
      <c r="E99">
        <v>200</v>
      </c>
      <c r="F99" t="str">
        <f t="shared" si="1"/>
        <v>castle256_blurkernel8_3_100_200</v>
      </c>
      <c r="G99">
        <v>0</v>
      </c>
      <c r="H99">
        <v>0</v>
      </c>
      <c r="I99">
        <v>1.9194E-5</v>
      </c>
      <c r="J99">
        <v>8.6819999999999992E-6</v>
      </c>
      <c r="K99">
        <v>32.543999999999997</v>
      </c>
      <c r="L99">
        <v>15.3127</v>
      </c>
      <c r="M99">
        <v>0</v>
      </c>
      <c r="N99">
        <v>0</v>
      </c>
      <c r="O99">
        <v>34.472700000000003</v>
      </c>
    </row>
    <row r="100" spans="1:15" x14ac:dyDescent="0.25">
      <c r="A100" t="s">
        <v>21</v>
      </c>
      <c r="B100" t="s">
        <v>16</v>
      </c>
      <c r="C100">
        <v>3</v>
      </c>
      <c r="D100">
        <v>100</v>
      </c>
      <c r="E100">
        <v>400</v>
      </c>
      <c r="F100" t="str">
        <f t="shared" si="1"/>
        <v>castle256_blurkernel8_3_100_400</v>
      </c>
      <c r="G100">
        <v>0</v>
      </c>
      <c r="H100">
        <v>0</v>
      </c>
      <c r="I100">
        <v>4.0052999999999998E-5</v>
      </c>
      <c r="J100">
        <v>8.6819999999999992E-6</v>
      </c>
      <c r="K100">
        <v>29.350300000000001</v>
      </c>
      <c r="L100">
        <v>15.3127</v>
      </c>
      <c r="M100">
        <v>0</v>
      </c>
      <c r="N100">
        <v>0</v>
      </c>
      <c r="O100">
        <v>31.803599999999999</v>
      </c>
    </row>
    <row r="101" spans="1:15" x14ac:dyDescent="0.25">
      <c r="A101" t="s">
        <v>21</v>
      </c>
      <c r="B101" t="s">
        <v>16</v>
      </c>
      <c r="C101">
        <v>3</v>
      </c>
      <c r="D101">
        <v>100</v>
      </c>
      <c r="E101">
        <v>800</v>
      </c>
      <c r="F101" t="str">
        <f t="shared" si="1"/>
        <v>castle256_blurkernel8_3_100_800</v>
      </c>
      <c r="G101">
        <v>0</v>
      </c>
      <c r="H101">
        <v>0</v>
      </c>
      <c r="I101">
        <v>8.1264E-5</v>
      </c>
      <c r="J101">
        <v>8.6819999999999992E-6</v>
      </c>
      <c r="K101">
        <v>26.284199999999998</v>
      </c>
      <c r="L101">
        <v>15.3127</v>
      </c>
      <c r="M101">
        <v>0</v>
      </c>
      <c r="N101">
        <v>0</v>
      </c>
      <c r="O101">
        <v>29.177900000000001</v>
      </c>
    </row>
    <row r="102" spans="1:15" x14ac:dyDescent="0.25">
      <c r="A102" t="s">
        <v>21</v>
      </c>
      <c r="B102" t="s">
        <v>16</v>
      </c>
      <c r="C102">
        <v>3</v>
      </c>
      <c r="D102">
        <v>100</v>
      </c>
      <c r="E102">
        <v>1600</v>
      </c>
      <c r="F102" t="str">
        <f t="shared" si="1"/>
        <v>castle256_blurkernel8_3_100_1600</v>
      </c>
      <c r="G102">
        <v>0</v>
      </c>
      <c r="H102">
        <v>0</v>
      </c>
      <c r="I102">
        <v>1.6618700000000001E-4</v>
      </c>
      <c r="J102">
        <v>8.6819999999999992E-6</v>
      </c>
      <c r="K102">
        <v>23.187100000000001</v>
      </c>
      <c r="L102">
        <v>15.3127</v>
      </c>
      <c r="M102">
        <v>0</v>
      </c>
      <c r="N102">
        <v>0</v>
      </c>
      <c r="O102">
        <v>26.598600000000001</v>
      </c>
    </row>
    <row r="103" spans="1:15" x14ac:dyDescent="0.25">
      <c r="A103" t="s">
        <v>21</v>
      </c>
      <c r="B103" t="s">
        <v>16</v>
      </c>
      <c r="C103">
        <v>3</v>
      </c>
      <c r="D103">
        <v>100</v>
      </c>
      <c r="E103">
        <v>3200</v>
      </c>
      <c r="F103" t="str">
        <f t="shared" si="1"/>
        <v>castle256_blurkernel8_3_100_3200</v>
      </c>
      <c r="G103">
        <v>0</v>
      </c>
      <c r="H103">
        <v>0</v>
      </c>
      <c r="I103">
        <v>3.3984899999999998E-4</v>
      </c>
      <c r="J103">
        <v>8.6819999999999992E-6</v>
      </c>
      <c r="K103">
        <v>20.103400000000001</v>
      </c>
      <c r="L103">
        <v>15.3127</v>
      </c>
      <c r="M103">
        <v>0</v>
      </c>
      <c r="N103">
        <v>0</v>
      </c>
      <c r="O103">
        <v>23.974499999999999</v>
      </c>
    </row>
    <row r="104" spans="1:15" x14ac:dyDescent="0.25">
      <c r="A104" t="s">
        <v>21</v>
      </c>
      <c r="B104" t="s">
        <v>16</v>
      </c>
      <c r="C104">
        <v>3</v>
      </c>
      <c r="D104">
        <v>100</v>
      </c>
      <c r="E104">
        <v>6400</v>
      </c>
      <c r="F104" t="str">
        <f t="shared" si="1"/>
        <v>castle256_blurkernel8_3_100_6400</v>
      </c>
      <c r="G104">
        <v>0</v>
      </c>
      <c r="H104">
        <v>0</v>
      </c>
      <c r="I104">
        <v>6.8910800000000002E-4</v>
      </c>
      <c r="J104">
        <v>8.6819999999999992E-6</v>
      </c>
      <c r="K104">
        <v>17.0656</v>
      </c>
      <c r="L104">
        <v>15.3127</v>
      </c>
      <c r="M104">
        <v>0</v>
      </c>
      <c r="N104">
        <v>0</v>
      </c>
      <c r="O104">
        <v>21.445499999999999</v>
      </c>
    </row>
    <row r="105" spans="1:15" x14ac:dyDescent="0.25">
      <c r="A105" t="s">
        <v>21</v>
      </c>
      <c r="B105" t="s">
        <v>16</v>
      </c>
      <c r="C105">
        <v>3</v>
      </c>
      <c r="D105">
        <v>100</v>
      </c>
      <c r="E105">
        <v>12800</v>
      </c>
      <c r="F105" t="str">
        <f t="shared" si="1"/>
        <v>castle256_blurkernel8_3_100_12800</v>
      </c>
      <c r="G105">
        <v>0</v>
      </c>
      <c r="H105">
        <v>0</v>
      </c>
      <c r="I105">
        <v>1.4734170000000001E-3</v>
      </c>
      <c r="J105">
        <v>8.6819999999999992E-6</v>
      </c>
      <c r="K105">
        <v>13.845499999999999</v>
      </c>
      <c r="L105">
        <v>15.3127</v>
      </c>
      <c r="M105">
        <v>0</v>
      </c>
      <c r="N105">
        <v>0</v>
      </c>
      <c r="O105">
        <v>18.942</v>
      </c>
    </row>
    <row r="106" spans="1:15" x14ac:dyDescent="0.25">
      <c r="A106" t="s">
        <v>21</v>
      </c>
      <c r="B106" t="s">
        <v>16</v>
      </c>
      <c r="C106">
        <v>3</v>
      </c>
      <c r="D106">
        <v>100</v>
      </c>
      <c r="E106">
        <v>25600</v>
      </c>
      <c r="F106" t="str">
        <f t="shared" si="1"/>
        <v>castle256_blurkernel8_3_100_25600</v>
      </c>
      <c r="G106">
        <v>0</v>
      </c>
      <c r="H106">
        <v>0</v>
      </c>
      <c r="I106">
        <v>3.2190600000000002E-3</v>
      </c>
      <c r="J106">
        <v>8.6819999999999992E-6</v>
      </c>
      <c r="K106">
        <v>10.626200000000001</v>
      </c>
      <c r="L106">
        <v>15.3127</v>
      </c>
      <c r="M106">
        <v>0</v>
      </c>
      <c r="N106">
        <v>0</v>
      </c>
      <c r="O106">
        <v>16.639900000000001</v>
      </c>
    </row>
    <row r="107" spans="1:15" x14ac:dyDescent="0.25">
      <c r="A107" t="s">
        <v>21</v>
      </c>
      <c r="B107" t="s">
        <v>16</v>
      </c>
      <c r="C107">
        <v>3</v>
      </c>
      <c r="D107">
        <v>100</v>
      </c>
      <c r="E107">
        <v>102400</v>
      </c>
      <c r="F107" t="str">
        <f t="shared" si="1"/>
        <v>castle256_blurkernel8_3_100_102400</v>
      </c>
      <c r="G107">
        <v>0</v>
      </c>
      <c r="H107">
        <v>0</v>
      </c>
      <c r="I107">
        <v>1.9809549999999999E-2</v>
      </c>
      <c r="J107">
        <v>8.7430000000000008E-6</v>
      </c>
      <c r="K107">
        <v>4.1788999999999996</v>
      </c>
      <c r="L107">
        <v>15.316599999999999</v>
      </c>
      <c r="M107">
        <v>0</v>
      </c>
      <c r="N107">
        <v>0</v>
      </c>
      <c r="O107">
        <v>12.3973</v>
      </c>
    </row>
    <row r="108" spans="1:15" x14ac:dyDescent="0.25">
      <c r="A108" t="s">
        <v>21</v>
      </c>
      <c r="B108" t="s">
        <v>16</v>
      </c>
      <c r="C108">
        <v>7</v>
      </c>
      <c r="D108">
        <v>100</v>
      </c>
      <c r="E108">
        <v>100</v>
      </c>
      <c r="F108" t="str">
        <f t="shared" si="1"/>
        <v>castle256_blurkernel8_7_100_100</v>
      </c>
      <c r="G108">
        <v>0</v>
      </c>
      <c r="H108">
        <v>0</v>
      </c>
      <c r="I108">
        <v>8.6440000000000006E-6</v>
      </c>
      <c r="J108">
        <v>8.6750000000000008E-6</v>
      </c>
      <c r="K108">
        <v>36.006399999999999</v>
      </c>
      <c r="L108">
        <v>10.7377</v>
      </c>
      <c r="M108">
        <v>0</v>
      </c>
      <c r="N108">
        <v>0</v>
      </c>
      <c r="O108">
        <v>37.351300000000002</v>
      </c>
    </row>
    <row r="109" spans="1:15" x14ac:dyDescent="0.25">
      <c r="A109" t="s">
        <v>21</v>
      </c>
      <c r="B109" t="s">
        <v>16</v>
      </c>
      <c r="C109">
        <v>7</v>
      </c>
      <c r="D109">
        <v>100</v>
      </c>
      <c r="E109">
        <v>200</v>
      </c>
      <c r="F109" t="str">
        <f t="shared" si="1"/>
        <v>castle256_blurkernel8_7_100_200</v>
      </c>
      <c r="G109">
        <v>0</v>
      </c>
      <c r="H109">
        <v>0</v>
      </c>
      <c r="I109">
        <v>1.9225999999999999E-5</v>
      </c>
      <c r="J109">
        <v>8.7669999999999992E-6</v>
      </c>
      <c r="K109">
        <v>32.5364</v>
      </c>
      <c r="L109">
        <v>10.736800000000001</v>
      </c>
      <c r="M109">
        <v>0</v>
      </c>
      <c r="N109">
        <v>0</v>
      </c>
      <c r="O109">
        <v>34.477499999999999</v>
      </c>
    </row>
    <row r="110" spans="1:15" x14ac:dyDescent="0.25">
      <c r="A110" t="s">
        <v>21</v>
      </c>
      <c r="B110" t="s">
        <v>16</v>
      </c>
      <c r="C110">
        <v>7</v>
      </c>
      <c r="D110">
        <v>100</v>
      </c>
      <c r="E110">
        <v>400</v>
      </c>
      <c r="F110" t="str">
        <f t="shared" si="1"/>
        <v>castle256_blurkernel8_7_100_400</v>
      </c>
      <c r="G110">
        <v>0</v>
      </c>
      <c r="H110">
        <v>0</v>
      </c>
      <c r="I110">
        <v>3.9922000000000002E-5</v>
      </c>
      <c r="J110">
        <v>8.7669999999999992E-6</v>
      </c>
      <c r="K110">
        <v>29.363299999999999</v>
      </c>
      <c r="L110">
        <v>10.736800000000001</v>
      </c>
      <c r="M110">
        <v>0</v>
      </c>
      <c r="N110">
        <v>0</v>
      </c>
      <c r="O110">
        <v>31.812999999999999</v>
      </c>
    </row>
    <row r="111" spans="1:15" x14ac:dyDescent="0.25">
      <c r="A111" t="s">
        <v>21</v>
      </c>
      <c r="B111" t="s">
        <v>16</v>
      </c>
      <c r="C111">
        <v>7</v>
      </c>
      <c r="D111">
        <v>100</v>
      </c>
      <c r="E111">
        <v>800</v>
      </c>
      <c r="F111" t="str">
        <f t="shared" si="1"/>
        <v>castle256_blurkernel8_7_100_800</v>
      </c>
      <c r="G111">
        <v>0</v>
      </c>
      <c r="H111">
        <v>0</v>
      </c>
      <c r="I111">
        <v>8.1505E-5</v>
      </c>
      <c r="J111">
        <v>8.7669999999999992E-6</v>
      </c>
      <c r="K111">
        <v>26.271599999999999</v>
      </c>
      <c r="L111">
        <v>10.736800000000001</v>
      </c>
      <c r="M111">
        <v>0</v>
      </c>
      <c r="N111">
        <v>0</v>
      </c>
      <c r="O111">
        <v>29.2089</v>
      </c>
    </row>
    <row r="112" spans="1:15" x14ac:dyDescent="0.25">
      <c r="A112" t="s">
        <v>21</v>
      </c>
      <c r="B112" t="s">
        <v>16</v>
      </c>
      <c r="C112">
        <v>7</v>
      </c>
      <c r="D112">
        <v>100</v>
      </c>
      <c r="E112">
        <v>1600</v>
      </c>
      <c r="F112" t="str">
        <f t="shared" si="1"/>
        <v>castle256_blurkernel8_7_100_1600</v>
      </c>
      <c r="G112">
        <v>0</v>
      </c>
      <c r="H112">
        <v>0</v>
      </c>
      <c r="I112">
        <v>1.6566500000000001E-4</v>
      </c>
      <c r="J112">
        <v>8.7669999999999992E-6</v>
      </c>
      <c r="K112">
        <v>23.199000000000002</v>
      </c>
      <c r="L112">
        <v>10.736800000000001</v>
      </c>
      <c r="M112">
        <v>0</v>
      </c>
      <c r="N112">
        <v>0</v>
      </c>
      <c r="O112">
        <v>26.5837</v>
      </c>
    </row>
    <row r="113" spans="1:15" x14ac:dyDescent="0.25">
      <c r="A113" t="s">
        <v>21</v>
      </c>
      <c r="B113" t="s">
        <v>16</v>
      </c>
      <c r="C113">
        <v>7</v>
      </c>
      <c r="D113">
        <v>100</v>
      </c>
      <c r="E113">
        <v>3200</v>
      </c>
      <c r="F113" t="str">
        <f t="shared" si="1"/>
        <v>castle256_blurkernel8_7_100_3200</v>
      </c>
      <c r="G113">
        <v>0</v>
      </c>
      <c r="H113">
        <v>0</v>
      </c>
      <c r="I113">
        <v>3.3746500000000001E-4</v>
      </c>
      <c r="J113">
        <v>8.7669999999999992E-6</v>
      </c>
      <c r="K113">
        <v>20.1266</v>
      </c>
      <c r="L113">
        <v>10.736800000000001</v>
      </c>
      <c r="M113">
        <v>0</v>
      </c>
      <c r="N113">
        <v>0</v>
      </c>
      <c r="O113">
        <v>23.947900000000001</v>
      </c>
    </row>
    <row r="114" spans="1:15" x14ac:dyDescent="0.25">
      <c r="A114" t="s">
        <v>21</v>
      </c>
      <c r="B114" t="s">
        <v>16</v>
      </c>
      <c r="C114">
        <v>7</v>
      </c>
      <c r="D114">
        <v>100</v>
      </c>
      <c r="E114">
        <v>6400</v>
      </c>
      <c r="F114" t="str">
        <f t="shared" si="1"/>
        <v>castle256_blurkernel8_7_100_6400</v>
      </c>
      <c r="G114">
        <v>0</v>
      </c>
      <c r="H114">
        <v>0</v>
      </c>
      <c r="I114">
        <v>6.9519999999999998E-4</v>
      </c>
      <c r="J114">
        <v>8.7669999999999992E-6</v>
      </c>
      <c r="K114">
        <v>17.025500000000001</v>
      </c>
      <c r="L114">
        <v>10.736800000000001</v>
      </c>
      <c r="M114">
        <v>0</v>
      </c>
      <c r="N114">
        <v>0</v>
      </c>
      <c r="O114">
        <v>21.414200000000001</v>
      </c>
    </row>
    <row r="115" spans="1:15" x14ac:dyDescent="0.25">
      <c r="A115" t="s">
        <v>21</v>
      </c>
      <c r="B115" t="s">
        <v>16</v>
      </c>
      <c r="C115">
        <v>7</v>
      </c>
      <c r="D115">
        <v>100</v>
      </c>
      <c r="E115">
        <v>12800</v>
      </c>
      <c r="F115" t="str">
        <f t="shared" si="1"/>
        <v>castle256_blurkernel8_7_100_12800</v>
      </c>
      <c r="G115">
        <v>0</v>
      </c>
      <c r="H115">
        <v>0</v>
      </c>
      <c r="I115">
        <v>1.4698140000000001E-3</v>
      </c>
      <c r="J115">
        <v>8.7669999999999992E-6</v>
      </c>
      <c r="K115">
        <v>13.8568</v>
      </c>
      <c r="L115">
        <v>10.736800000000001</v>
      </c>
      <c r="M115">
        <v>0</v>
      </c>
      <c r="N115">
        <v>0</v>
      </c>
      <c r="O115">
        <v>19.034099999999999</v>
      </c>
    </row>
    <row r="116" spans="1:15" x14ac:dyDescent="0.25">
      <c r="A116" t="s">
        <v>21</v>
      </c>
      <c r="B116" t="s">
        <v>16</v>
      </c>
      <c r="C116">
        <v>7</v>
      </c>
      <c r="D116">
        <v>100</v>
      </c>
      <c r="E116">
        <v>25600</v>
      </c>
      <c r="F116" t="str">
        <f t="shared" si="1"/>
        <v>castle256_blurkernel8_7_100_25600</v>
      </c>
      <c r="G116">
        <v>0</v>
      </c>
      <c r="H116">
        <v>0</v>
      </c>
      <c r="I116">
        <v>3.228599E-3</v>
      </c>
      <c r="J116">
        <v>8.7669999999999992E-6</v>
      </c>
      <c r="K116">
        <v>10.617000000000001</v>
      </c>
      <c r="L116">
        <v>10.736800000000001</v>
      </c>
      <c r="M116">
        <v>0</v>
      </c>
      <c r="N116">
        <v>0</v>
      </c>
      <c r="O116">
        <v>16.720400000000001</v>
      </c>
    </row>
    <row r="117" spans="1:15" x14ac:dyDescent="0.25">
      <c r="A117" t="s">
        <v>21</v>
      </c>
      <c r="B117" t="s">
        <v>16</v>
      </c>
      <c r="C117">
        <v>7</v>
      </c>
      <c r="D117">
        <v>100</v>
      </c>
      <c r="E117">
        <v>102400</v>
      </c>
      <c r="F117" t="str">
        <f t="shared" si="1"/>
        <v>castle256_blurkernel8_7_100_102400</v>
      </c>
      <c r="G117">
        <v>0</v>
      </c>
      <c r="H117">
        <v>0</v>
      </c>
      <c r="I117">
        <v>1.9910144000000001E-2</v>
      </c>
      <c r="J117">
        <v>8.816E-6</v>
      </c>
      <c r="K117">
        <v>4.1280999999999999</v>
      </c>
      <c r="L117">
        <v>10.733599999999999</v>
      </c>
      <c r="M117">
        <v>0</v>
      </c>
      <c r="N117">
        <v>0</v>
      </c>
      <c r="O117">
        <v>12.444100000000001</v>
      </c>
    </row>
    <row r="118" spans="1:15" x14ac:dyDescent="0.25">
      <c r="A118" t="s">
        <v>21</v>
      </c>
      <c r="B118" t="s">
        <v>16</v>
      </c>
      <c r="C118">
        <v>15</v>
      </c>
      <c r="D118">
        <v>100</v>
      </c>
      <c r="E118">
        <v>100</v>
      </c>
      <c r="F118" t="str">
        <f t="shared" si="1"/>
        <v>castle256_blurkernel8_15_100_100</v>
      </c>
      <c r="G118">
        <v>0</v>
      </c>
      <c r="H118">
        <v>0</v>
      </c>
      <c r="I118">
        <v>8.6379999999999993E-6</v>
      </c>
      <c r="J118">
        <v>8.7120000000000006E-6</v>
      </c>
      <c r="K118">
        <v>36.009500000000003</v>
      </c>
      <c r="L118">
        <v>8.5711999999999993</v>
      </c>
      <c r="M118">
        <v>0</v>
      </c>
      <c r="N118">
        <v>0</v>
      </c>
      <c r="O118">
        <v>37.3446</v>
      </c>
    </row>
    <row r="119" spans="1:15" x14ac:dyDescent="0.25">
      <c r="A119" t="s">
        <v>21</v>
      </c>
      <c r="B119" t="s">
        <v>16</v>
      </c>
      <c r="C119">
        <v>15</v>
      </c>
      <c r="D119">
        <v>100</v>
      </c>
      <c r="E119">
        <v>200</v>
      </c>
      <c r="F119" t="str">
        <f t="shared" si="1"/>
        <v>castle256_blurkernel8_15_100_200</v>
      </c>
      <c r="G119">
        <v>0</v>
      </c>
      <c r="H119">
        <v>0</v>
      </c>
      <c r="I119">
        <v>1.8936E-5</v>
      </c>
      <c r="J119">
        <v>8.7080000000000003E-6</v>
      </c>
      <c r="K119">
        <v>32.603299999999997</v>
      </c>
      <c r="L119">
        <v>8.5755999999999997</v>
      </c>
      <c r="M119">
        <v>0</v>
      </c>
      <c r="N119">
        <v>0</v>
      </c>
      <c r="O119">
        <v>34.520800000000001</v>
      </c>
    </row>
    <row r="120" spans="1:15" x14ac:dyDescent="0.25">
      <c r="A120" t="s">
        <v>21</v>
      </c>
      <c r="B120" t="s">
        <v>16</v>
      </c>
      <c r="C120">
        <v>15</v>
      </c>
      <c r="D120">
        <v>100</v>
      </c>
      <c r="E120">
        <v>400</v>
      </c>
      <c r="F120" t="str">
        <f t="shared" si="1"/>
        <v>castle256_blurkernel8_15_100_400</v>
      </c>
      <c r="G120">
        <v>0</v>
      </c>
      <c r="H120">
        <v>0</v>
      </c>
      <c r="I120">
        <v>3.9656000000000001E-5</v>
      </c>
      <c r="J120">
        <v>8.7080000000000003E-6</v>
      </c>
      <c r="K120">
        <v>29.394500000000001</v>
      </c>
      <c r="L120">
        <v>8.5755999999999997</v>
      </c>
      <c r="M120">
        <v>0</v>
      </c>
      <c r="N120">
        <v>0</v>
      </c>
      <c r="O120">
        <v>31.8248</v>
      </c>
    </row>
    <row r="121" spans="1:15" x14ac:dyDescent="0.25">
      <c r="A121" t="s">
        <v>21</v>
      </c>
      <c r="B121" t="s">
        <v>16</v>
      </c>
      <c r="C121">
        <v>15</v>
      </c>
      <c r="D121">
        <v>100</v>
      </c>
      <c r="E121">
        <v>800</v>
      </c>
      <c r="F121" t="str">
        <f t="shared" si="1"/>
        <v>castle256_blurkernel8_15_100_800</v>
      </c>
      <c r="G121">
        <v>0</v>
      </c>
      <c r="H121">
        <v>0</v>
      </c>
      <c r="I121">
        <v>8.1489999999999994E-5</v>
      </c>
      <c r="J121">
        <v>8.7080000000000003E-6</v>
      </c>
      <c r="K121">
        <v>26.270399999999999</v>
      </c>
      <c r="L121">
        <v>8.5755999999999997</v>
      </c>
      <c r="M121">
        <v>0</v>
      </c>
      <c r="N121">
        <v>0</v>
      </c>
      <c r="O121">
        <v>29.1951</v>
      </c>
    </row>
    <row r="122" spans="1:15" x14ac:dyDescent="0.25">
      <c r="A122" t="s">
        <v>21</v>
      </c>
      <c r="B122" t="s">
        <v>16</v>
      </c>
      <c r="C122">
        <v>15</v>
      </c>
      <c r="D122">
        <v>100</v>
      </c>
      <c r="E122">
        <v>1600</v>
      </c>
      <c r="F122" t="str">
        <f t="shared" si="1"/>
        <v>castle256_blurkernel8_15_100_1600</v>
      </c>
      <c r="G122">
        <v>0</v>
      </c>
      <c r="H122">
        <v>0</v>
      </c>
      <c r="I122">
        <v>1.66169E-4</v>
      </c>
      <c r="J122">
        <v>8.7080000000000003E-6</v>
      </c>
      <c r="K122">
        <v>23.185199999999998</v>
      </c>
      <c r="L122">
        <v>8.5755999999999997</v>
      </c>
      <c r="M122">
        <v>0</v>
      </c>
      <c r="N122">
        <v>0</v>
      </c>
      <c r="O122">
        <v>26.575399999999998</v>
      </c>
    </row>
    <row r="123" spans="1:15" x14ac:dyDescent="0.25">
      <c r="A123" t="s">
        <v>21</v>
      </c>
      <c r="B123" t="s">
        <v>16</v>
      </c>
      <c r="C123">
        <v>15</v>
      </c>
      <c r="D123">
        <v>100</v>
      </c>
      <c r="E123">
        <v>3200</v>
      </c>
      <c r="F123" t="str">
        <f t="shared" si="1"/>
        <v>castle256_blurkernel8_15_100_3200</v>
      </c>
      <c r="G123">
        <v>0</v>
      </c>
      <c r="H123">
        <v>0</v>
      </c>
      <c r="I123">
        <v>3.3734500000000002E-4</v>
      </c>
      <c r="J123">
        <v>8.7080000000000003E-6</v>
      </c>
      <c r="K123">
        <v>20.130700000000001</v>
      </c>
      <c r="L123">
        <v>8.5755999999999997</v>
      </c>
      <c r="M123">
        <v>0</v>
      </c>
      <c r="N123">
        <v>0</v>
      </c>
      <c r="O123">
        <v>24.034199999999998</v>
      </c>
    </row>
    <row r="124" spans="1:15" x14ac:dyDescent="0.25">
      <c r="A124" t="s">
        <v>21</v>
      </c>
      <c r="B124" t="s">
        <v>16</v>
      </c>
      <c r="C124">
        <v>15</v>
      </c>
      <c r="D124">
        <v>100</v>
      </c>
      <c r="E124">
        <v>6400</v>
      </c>
      <c r="F124" t="str">
        <f t="shared" si="1"/>
        <v>castle256_blurkernel8_15_100_6400</v>
      </c>
      <c r="G124">
        <v>0</v>
      </c>
      <c r="H124">
        <v>0</v>
      </c>
      <c r="I124">
        <v>6.9201699999999996E-4</v>
      </c>
      <c r="J124">
        <v>8.7080000000000003E-6</v>
      </c>
      <c r="K124">
        <v>17.043299999999999</v>
      </c>
      <c r="L124">
        <v>8.5755999999999997</v>
      </c>
      <c r="M124">
        <v>0</v>
      </c>
      <c r="N124">
        <v>0</v>
      </c>
      <c r="O124">
        <v>21.4495</v>
      </c>
    </row>
    <row r="125" spans="1:15" x14ac:dyDescent="0.25">
      <c r="A125" t="s">
        <v>21</v>
      </c>
      <c r="B125" t="s">
        <v>16</v>
      </c>
      <c r="C125">
        <v>15</v>
      </c>
      <c r="D125">
        <v>100</v>
      </c>
      <c r="E125">
        <v>12800</v>
      </c>
      <c r="F125" t="str">
        <f t="shared" si="1"/>
        <v>castle256_blurkernel8_15_100_12800</v>
      </c>
      <c r="G125">
        <v>0</v>
      </c>
      <c r="H125">
        <v>0</v>
      </c>
      <c r="I125">
        <v>1.4587249999999999E-3</v>
      </c>
      <c r="J125">
        <v>8.7080000000000003E-6</v>
      </c>
      <c r="K125">
        <v>13.888500000000001</v>
      </c>
      <c r="L125">
        <v>8.5755999999999997</v>
      </c>
      <c r="M125">
        <v>0</v>
      </c>
      <c r="N125">
        <v>0</v>
      </c>
      <c r="O125">
        <v>19.0562</v>
      </c>
    </row>
    <row r="126" spans="1:15" x14ac:dyDescent="0.25">
      <c r="A126" t="s">
        <v>21</v>
      </c>
      <c r="B126" t="s">
        <v>16</v>
      </c>
      <c r="C126">
        <v>15</v>
      </c>
      <c r="D126">
        <v>100</v>
      </c>
      <c r="E126">
        <v>25600</v>
      </c>
      <c r="F126" t="str">
        <f t="shared" si="1"/>
        <v>castle256_blurkernel8_15_100_25600</v>
      </c>
      <c r="G126">
        <v>0</v>
      </c>
      <c r="H126">
        <v>0</v>
      </c>
      <c r="I126">
        <v>3.2483070000000002E-3</v>
      </c>
      <c r="J126">
        <v>8.7080000000000003E-6</v>
      </c>
      <c r="K126">
        <v>10.5953</v>
      </c>
      <c r="L126">
        <v>8.5755999999999997</v>
      </c>
      <c r="M126">
        <v>0</v>
      </c>
      <c r="N126">
        <v>0</v>
      </c>
      <c r="O126">
        <v>16.615100000000002</v>
      </c>
    </row>
    <row r="127" spans="1:15" x14ac:dyDescent="0.25">
      <c r="A127" t="s">
        <v>21</v>
      </c>
      <c r="B127" t="s">
        <v>16</v>
      </c>
      <c r="C127">
        <v>15</v>
      </c>
      <c r="D127">
        <v>100</v>
      </c>
      <c r="E127">
        <v>102400</v>
      </c>
      <c r="F127" t="str">
        <f t="shared" si="1"/>
        <v>castle256_blurkernel8_15_100_102400</v>
      </c>
      <c r="G127">
        <v>0</v>
      </c>
      <c r="H127">
        <v>0</v>
      </c>
      <c r="I127">
        <v>1.9993115999999998E-2</v>
      </c>
      <c r="J127">
        <v>8.7020000000000007E-6</v>
      </c>
      <c r="K127">
        <v>4.1193999999999997</v>
      </c>
      <c r="L127">
        <v>8.5726999999999993</v>
      </c>
      <c r="M127">
        <v>0</v>
      </c>
      <c r="N127">
        <v>0</v>
      </c>
      <c r="O127">
        <v>12.5427</v>
      </c>
    </row>
    <row r="128" spans="1:15" x14ac:dyDescent="0.25">
      <c r="A128" t="s">
        <v>21</v>
      </c>
      <c r="B128" t="s">
        <v>16</v>
      </c>
      <c r="C128">
        <v>31</v>
      </c>
      <c r="D128">
        <v>100</v>
      </c>
      <c r="E128">
        <v>100</v>
      </c>
      <c r="F128" t="str">
        <f t="shared" si="1"/>
        <v>castle256_blurkernel8_31_100_100</v>
      </c>
      <c r="G128">
        <v>0</v>
      </c>
      <c r="H128">
        <v>0</v>
      </c>
      <c r="I128">
        <v>8.7099999999999996E-6</v>
      </c>
      <c r="J128">
        <v>8.7280000000000001E-6</v>
      </c>
      <c r="K128">
        <v>35.972799999999999</v>
      </c>
      <c r="L128">
        <v>6.6219000000000001</v>
      </c>
      <c r="M128">
        <v>0</v>
      </c>
      <c r="N128">
        <v>0</v>
      </c>
      <c r="O128">
        <v>37.319299999999998</v>
      </c>
    </row>
    <row r="129" spans="1:15" x14ac:dyDescent="0.25">
      <c r="A129" t="s">
        <v>21</v>
      </c>
      <c r="B129" t="s">
        <v>16</v>
      </c>
      <c r="C129">
        <v>31</v>
      </c>
      <c r="D129">
        <v>100</v>
      </c>
      <c r="E129">
        <v>200</v>
      </c>
      <c r="F129" t="str">
        <f t="shared" si="1"/>
        <v>castle256_blurkernel8_31_100_200</v>
      </c>
      <c r="G129">
        <v>0</v>
      </c>
      <c r="H129">
        <v>0</v>
      </c>
      <c r="I129">
        <v>1.9272000000000001E-5</v>
      </c>
      <c r="J129">
        <v>8.7199999999999995E-6</v>
      </c>
      <c r="K129">
        <v>32.524799999999999</v>
      </c>
      <c r="L129">
        <v>6.6200999999999999</v>
      </c>
      <c r="M129">
        <v>0</v>
      </c>
      <c r="N129">
        <v>0</v>
      </c>
      <c r="O129">
        <v>34.452399999999997</v>
      </c>
    </row>
    <row r="130" spans="1:15" x14ac:dyDescent="0.25">
      <c r="A130" t="s">
        <v>21</v>
      </c>
      <c r="B130" t="s">
        <v>16</v>
      </c>
      <c r="C130">
        <v>31</v>
      </c>
      <c r="D130">
        <v>100</v>
      </c>
      <c r="E130">
        <v>400</v>
      </c>
      <c r="F130" t="str">
        <f t="shared" ref="F130:F193" si="2">A130&amp;"_"&amp;B130&amp;"_"&amp;C130&amp;"_"&amp;D130&amp;"_"&amp;E130</f>
        <v>castle256_blurkernel8_31_100_400</v>
      </c>
      <c r="G130">
        <v>0</v>
      </c>
      <c r="H130">
        <v>0</v>
      </c>
      <c r="I130">
        <v>3.9716999999999999E-5</v>
      </c>
      <c r="J130">
        <v>8.7199999999999995E-6</v>
      </c>
      <c r="K130">
        <v>29.385300000000001</v>
      </c>
      <c r="L130">
        <v>6.6200999999999999</v>
      </c>
      <c r="M130">
        <v>0</v>
      </c>
      <c r="N130">
        <v>0</v>
      </c>
      <c r="O130">
        <v>31.838699999999999</v>
      </c>
    </row>
    <row r="131" spans="1:15" x14ac:dyDescent="0.25">
      <c r="A131" t="s">
        <v>21</v>
      </c>
      <c r="B131" t="s">
        <v>16</v>
      </c>
      <c r="C131">
        <v>31</v>
      </c>
      <c r="D131">
        <v>100</v>
      </c>
      <c r="E131">
        <v>800</v>
      </c>
      <c r="F131" t="str">
        <f t="shared" si="2"/>
        <v>castle256_blurkernel8_31_100_800</v>
      </c>
      <c r="G131">
        <v>0</v>
      </c>
      <c r="H131">
        <v>0</v>
      </c>
      <c r="I131">
        <v>8.1611000000000002E-5</v>
      </c>
      <c r="J131">
        <v>8.7199999999999995E-6</v>
      </c>
      <c r="K131">
        <v>26.265599999999999</v>
      </c>
      <c r="L131">
        <v>6.6200999999999999</v>
      </c>
      <c r="M131">
        <v>0</v>
      </c>
      <c r="N131">
        <v>0</v>
      </c>
      <c r="O131">
        <v>29.186900000000001</v>
      </c>
    </row>
    <row r="132" spans="1:15" x14ac:dyDescent="0.25">
      <c r="A132" t="s">
        <v>21</v>
      </c>
      <c r="B132" t="s">
        <v>16</v>
      </c>
      <c r="C132">
        <v>31</v>
      </c>
      <c r="D132">
        <v>100</v>
      </c>
      <c r="E132">
        <v>1600</v>
      </c>
      <c r="F132" t="str">
        <f t="shared" si="2"/>
        <v>castle256_blurkernel8_31_100_1600</v>
      </c>
      <c r="G132">
        <v>0</v>
      </c>
      <c r="H132">
        <v>0</v>
      </c>
      <c r="I132">
        <v>1.66226E-4</v>
      </c>
      <c r="J132">
        <v>8.7199999999999995E-6</v>
      </c>
      <c r="K132">
        <v>23.192699999999999</v>
      </c>
      <c r="L132">
        <v>6.6200999999999999</v>
      </c>
      <c r="M132">
        <v>0</v>
      </c>
      <c r="N132">
        <v>0</v>
      </c>
      <c r="O132">
        <v>26.555700000000002</v>
      </c>
    </row>
    <row r="133" spans="1:15" x14ac:dyDescent="0.25">
      <c r="A133" t="s">
        <v>21</v>
      </c>
      <c r="B133" t="s">
        <v>16</v>
      </c>
      <c r="C133">
        <v>31</v>
      </c>
      <c r="D133">
        <v>100</v>
      </c>
      <c r="E133">
        <v>3200</v>
      </c>
      <c r="F133" t="str">
        <f t="shared" si="2"/>
        <v>castle256_blurkernel8_31_100_3200</v>
      </c>
      <c r="G133">
        <v>0</v>
      </c>
      <c r="H133">
        <v>0</v>
      </c>
      <c r="I133">
        <v>3.3409100000000001E-4</v>
      </c>
      <c r="J133">
        <v>8.7199999999999995E-6</v>
      </c>
      <c r="K133">
        <v>20.173300000000001</v>
      </c>
      <c r="L133">
        <v>6.6200999999999999</v>
      </c>
      <c r="M133">
        <v>0</v>
      </c>
      <c r="N133">
        <v>0</v>
      </c>
      <c r="O133">
        <v>24.052</v>
      </c>
    </row>
    <row r="134" spans="1:15" x14ac:dyDescent="0.25">
      <c r="A134" t="s">
        <v>21</v>
      </c>
      <c r="B134" t="s">
        <v>16</v>
      </c>
      <c r="C134">
        <v>31</v>
      </c>
      <c r="D134">
        <v>100</v>
      </c>
      <c r="E134">
        <v>6400</v>
      </c>
      <c r="F134" t="str">
        <f t="shared" si="2"/>
        <v>castle256_blurkernel8_31_100_6400</v>
      </c>
      <c r="G134">
        <v>0</v>
      </c>
      <c r="H134">
        <v>0</v>
      </c>
      <c r="I134">
        <v>6.9055699999999995E-4</v>
      </c>
      <c r="J134">
        <v>8.7199999999999995E-6</v>
      </c>
      <c r="K134">
        <v>17.0718</v>
      </c>
      <c r="L134">
        <v>6.6200999999999999</v>
      </c>
      <c r="M134">
        <v>0</v>
      </c>
      <c r="N134">
        <v>0</v>
      </c>
      <c r="O134">
        <v>21.554300000000001</v>
      </c>
    </row>
    <row r="135" spans="1:15" x14ac:dyDescent="0.25">
      <c r="A135" t="s">
        <v>21</v>
      </c>
      <c r="B135" t="s">
        <v>16</v>
      </c>
      <c r="C135">
        <v>31</v>
      </c>
      <c r="D135">
        <v>100</v>
      </c>
      <c r="E135">
        <v>12800</v>
      </c>
      <c r="F135" t="str">
        <f t="shared" si="2"/>
        <v>castle256_blurkernel8_31_100_12800</v>
      </c>
      <c r="G135">
        <v>0</v>
      </c>
      <c r="H135">
        <v>0</v>
      </c>
      <c r="I135">
        <v>1.4593760000000001E-3</v>
      </c>
      <c r="J135">
        <v>8.7199999999999995E-6</v>
      </c>
      <c r="K135">
        <v>13.8956</v>
      </c>
      <c r="L135">
        <v>6.6200999999999999</v>
      </c>
      <c r="M135">
        <v>0</v>
      </c>
      <c r="N135">
        <v>0</v>
      </c>
      <c r="O135">
        <v>19.024899999999999</v>
      </c>
    </row>
    <row r="136" spans="1:15" x14ac:dyDescent="0.25">
      <c r="A136" t="s">
        <v>21</v>
      </c>
      <c r="B136" t="s">
        <v>16</v>
      </c>
      <c r="C136">
        <v>31</v>
      </c>
      <c r="D136">
        <v>100</v>
      </c>
      <c r="E136">
        <v>25600</v>
      </c>
      <c r="F136" t="str">
        <f t="shared" si="2"/>
        <v>castle256_blurkernel8_31_100_25600</v>
      </c>
      <c r="G136">
        <v>0</v>
      </c>
      <c r="H136">
        <v>0</v>
      </c>
      <c r="I136">
        <v>3.2120540000000002E-3</v>
      </c>
      <c r="J136">
        <v>8.7199999999999995E-6</v>
      </c>
      <c r="K136">
        <v>10.6546</v>
      </c>
      <c r="L136">
        <v>6.6200999999999999</v>
      </c>
      <c r="M136">
        <v>0</v>
      </c>
      <c r="N136">
        <v>0</v>
      </c>
      <c r="O136">
        <v>16.744700000000002</v>
      </c>
    </row>
    <row r="137" spans="1:15" x14ac:dyDescent="0.25">
      <c r="A137" t="s">
        <v>21</v>
      </c>
      <c r="B137" t="s">
        <v>16</v>
      </c>
      <c r="C137">
        <v>31</v>
      </c>
      <c r="D137">
        <v>100</v>
      </c>
      <c r="E137">
        <v>102400</v>
      </c>
      <c r="F137" t="str">
        <f t="shared" si="2"/>
        <v>castle256_blurkernel8_31_100_102400</v>
      </c>
      <c r="G137">
        <v>0</v>
      </c>
      <c r="H137">
        <v>0</v>
      </c>
      <c r="I137">
        <v>1.9985403999999998E-2</v>
      </c>
      <c r="J137">
        <v>8.7569999999999993E-6</v>
      </c>
      <c r="K137">
        <v>4.1337000000000002</v>
      </c>
      <c r="L137">
        <v>6.6216999999999997</v>
      </c>
      <c r="M137">
        <v>0</v>
      </c>
      <c r="N137">
        <v>0</v>
      </c>
      <c r="O137">
        <v>12.5426</v>
      </c>
    </row>
    <row r="138" spans="1:15" x14ac:dyDescent="0.25">
      <c r="A138" t="s">
        <v>21</v>
      </c>
      <c r="B138" t="s">
        <v>16</v>
      </c>
      <c r="C138">
        <v>63</v>
      </c>
      <c r="D138">
        <v>100</v>
      </c>
      <c r="E138">
        <v>200</v>
      </c>
      <c r="F138" t="str">
        <f t="shared" si="2"/>
        <v>castle256_blurkernel8_63_100_200</v>
      </c>
      <c r="G138">
        <v>0</v>
      </c>
      <c r="H138">
        <v>0</v>
      </c>
      <c r="I138">
        <v>1.9219E-5</v>
      </c>
      <c r="J138">
        <v>8.7560000000000005E-6</v>
      </c>
      <c r="K138">
        <v>32.537700000000001</v>
      </c>
      <c r="L138">
        <v>4.9108000000000001</v>
      </c>
      <c r="M138">
        <v>0</v>
      </c>
      <c r="N138">
        <v>0</v>
      </c>
      <c r="O138">
        <v>34.4452</v>
      </c>
    </row>
    <row r="139" spans="1:15" x14ac:dyDescent="0.25">
      <c r="A139" t="s">
        <v>21</v>
      </c>
      <c r="B139" t="s">
        <v>16</v>
      </c>
      <c r="C139">
        <v>63</v>
      </c>
      <c r="D139">
        <v>100</v>
      </c>
      <c r="E139">
        <v>400</v>
      </c>
      <c r="F139" t="str">
        <f t="shared" si="2"/>
        <v>castle256_blurkernel8_63_100_400</v>
      </c>
      <c r="G139">
        <v>0</v>
      </c>
      <c r="H139">
        <v>0</v>
      </c>
      <c r="I139">
        <v>4.0008E-5</v>
      </c>
      <c r="J139">
        <v>8.7560000000000005E-6</v>
      </c>
      <c r="K139">
        <v>29.354600000000001</v>
      </c>
      <c r="L139">
        <v>4.9108000000000001</v>
      </c>
      <c r="M139">
        <v>0</v>
      </c>
      <c r="N139">
        <v>0</v>
      </c>
      <c r="O139">
        <v>31.843299999999999</v>
      </c>
    </row>
    <row r="140" spans="1:15" x14ac:dyDescent="0.25">
      <c r="A140" t="s">
        <v>21</v>
      </c>
      <c r="B140" t="s">
        <v>16</v>
      </c>
      <c r="C140">
        <v>63</v>
      </c>
      <c r="D140">
        <v>100</v>
      </c>
      <c r="E140">
        <v>800</v>
      </c>
      <c r="F140" t="str">
        <f t="shared" si="2"/>
        <v>castle256_blurkernel8_63_100_800</v>
      </c>
      <c r="G140">
        <v>0</v>
      </c>
      <c r="H140">
        <v>0</v>
      </c>
      <c r="I140">
        <v>8.1196E-5</v>
      </c>
      <c r="J140">
        <v>8.7560000000000005E-6</v>
      </c>
      <c r="K140">
        <v>26.284500000000001</v>
      </c>
      <c r="L140">
        <v>4.9108000000000001</v>
      </c>
      <c r="M140">
        <v>0</v>
      </c>
      <c r="N140">
        <v>0</v>
      </c>
      <c r="O140">
        <v>29.195900000000002</v>
      </c>
    </row>
    <row r="141" spans="1:15" x14ac:dyDescent="0.25">
      <c r="A141" t="s">
        <v>21</v>
      </c>
      <c r="B141" t="s">
        <v>16</v>
      </c>
      <c r="C141">
        <v>63</v>
      </c>
      <c r="D141">
        <v>100</v>
      </c>
      <c r="E141">
        <v>1600</v>
      </c>
      <c r="F141" t="str">
        <f t="shared" si="2"/>
        <v>castle256_blurkernel8_63_100_1600</v>
      </c>
      <c r="G141">
        <v>0</v>
      </c>
      <c r="H141">
        <v>0</v>
      </c>
      <c r="I141">
        <v>1.6700800000000001E-4</v>
      </c>
      <c r="J141">
        <v>8.7560000000000005E-6</v>
      </c>
      <c r="K141">
        <v>23.166599999999999</v>
      </c>
      <c r="L141">
        <v>4.9108000000000001</v>
      </c>
      <c r="M141">
        <v>0</v>
      </c>
      <c r="N141">
        <v>0</v>
      </c>
      <c r="O141">
        <v>26.5853</v>
      </c>
    </row>
    <row r="142" spans="1:15" x14ac:dyDescent="0.25">
      <c r="A142" t="s">
        <v>21</v>
      </c>
      <c r="B142" t="s">
        <v>16</v>
      </c>
      <c r="C142">
        <v>63</v>
      </c>
      <c r="D142">
        <v>100</v>
      </c>
      <c r="E142">
        <v>3200</v>
      </c>
      <c r="F142" t="str">
        <f t="shared" si="2"/>
        <v>castle256_blurkernel8_63_100_3200</v>
      </c>
      <c r="G142">
        <v>0</v>
      </c>
      <c r="H142">
        <v>0</v>
      </c>
      <c r="I142">
        <v>3.3766299999999998E-4</v>
      </c>
      <c r="J142">
        <v>8.7560000000000005E-6</v>
      </c>
      <c r="K142">
        <v>20.128299999999999</v>
      </c>
      <c r="L142">
        <v>4.9108000000000001</v>
      </c>
      <c r="M142">
        <v>0</v>
      </c>
      <c r="N142">
        <v>0</v>
      </c>
      <c r="O142">
        <v>24.021100000000001</v>
      </c>
    </row>
    <row r="143" spans="1:15" x14ac:dyDescent="0.25">
      <c r="A143" t="s">
        <v>21</v>
      </c>
      <c r="B143" t="s">
        <v>16</v>
      </c>
      <c r="C143">
        <v>63</v>
      </c>
      <c r="D143">
        <v>100</v>
      </c>
      <c r="E143">
        <v>6400</v>
      </c>
      <c r="F143" t="str">
        <f t="shared" si="2"/>
        <v>castle256_blurkernel8_63_100_6400</v>
      </c>
      <c r="G143">
        <v>0</v>
      </c>
      <c r="H143">
        <v>0</v>
      </c>
      <c r="I143">
        <v>7.0498399999999997E-4</v>
      </c>
      <c r="J143">
        <v>8.7560000000000005E-6</v>
      </c>
      <c r="K143">
        <v>16.9663</v>
      </c>
      <c r="L143">
        <v>4.9108000000000001</v>
      </c>
      <c r="M143">
        <v>0</v>
      </c>
      <c r="N143">
        <v>0</v>
      </c>
      <c r="O143">
        <v>21.374300000000002</v>
      </c>
    </row>
    <row r="144" spans="1:15" x14ac:dyDescent="0.25">
      <c r="A144" t="s">
        <v>21</v>
      </c>
      <c r="B144" t="s">
        <v>16</v>
      </c>
      <c r="C144">
        <v>63</v>
      </c>
      <c r="D144">
        <v>100</v>
      </c>
      <c r="E144">
        <v>12800</v>
      </c>
      <c r="F144" t="str">
        <f t="shared" si="2"/>
        <v>castle256_blurkernel8_63_100_12800</v>
      </c>
      <c r="G144">
        <v>0</v>
      </c>
      <c r="H144">
        <v>0</v>
      </c>
      <c r="I144">
        <v>1.4643449999999999E-3</v>
      </c>
      <c r="J144">
        <v>8.7560000000000005E-6</v>
      </c>
      <c r="K144">
        <v>13.8811</v>
      </c>
      <c r="L144">
        <v>4.9108000000000001</v>
      </c>
      <c r="M144">
        <v>0</v>
      </c>
      <c r="N144">
        <v>0</v>
      </c>
      <c r="O144">
        <v>19.024699999999999</v>
      </c>
    </row>
    <row r="145" spans="1:15" x14ac:dyDescent="0.25">
      <c r="A145" t="s">
        <v>21</v>
      </c>
      <c r="B145" t="s">
        <v>16</v>
      </c>
      <c r="C145">
        <v>63</v>
      </c>
      <c r="D145">
        <v>100</v>
      </c>
      <c r="E145">
        <v>25600</v>
      </c>
      <c r="F145" t="str">
        <f t="shared" si="2"/>
        <v>castle256_blurkernel8_63_100_25600</v>
      </c>
      <c r="G145">
        <v>0</v>
      </c>
      <c r="H145">
        <v>0</v>
      </c>
      <c r="I145">
        <v>3.2246359999999999E-3</v>
      </c>
      <c r="J145">
        <v>8.7560000000000005E-6</v>
      </c>
      <c r="K145">
        <v>10.651400000000001</v>
      </c>
      <c r="L145">
        <v>4.9108000000000001</v>
      </c>
      <c r="M145">
        <v>0</v>
      </c>
      <c r="N145">
        <v>0</v>
      </c>
      <c r="O145">
        <v>16.759799999999998</v>
      </c>
    </row>
    <row r="146" spans="1:15" x14ac:dyDescent="0.25">
      <c r="A146" t="s">
        <v>21</v>
      </c>
      <c r="B146" t="s">
        <v>17</v>
      </c>
      <c r="C146">
        <v>3</v>
      </c>
      <c r="D146">
        <v>100</v>
      </c>
      <c r="E146">
        <v>100</v>
      </c>
      <c r="F146" t="str">
        <f t="shared" si="2"/>
        <v>castle256_line_3_100_100</v>
      </c>
      <c r="G146">
        <v>0</v>
      </c>
      <c r="H146">
        <v>0</v>
      </c>
      <c r="I146">
        <v>8.7280000000000001E-6</v>
      </c>
      <c r="J146">
        <v>8.6549999999999993E-6</v>
      </c>
      <c r="K146">
        <v>35.9649</v>
      </c>
      <c r="L146">
        <v>13.1328</v>
      </c>
      <c r="M146">
        <v>0</v>
      </c>
      <c r="N146">
        <v>0</v>
      </c>
      <c r="O146">
        <v>37.3322</v>
      </c>
    </row>
    <row r="147" spans="1:15" x14ac:dyDescent="0.25">
      <c r="A147" t="s">
        <v>21</v>
      </c>
      <c r="B147" t="s">
        <v>17</v>
      </c>
      <c r="C147">
        <v>3</v>
      </c>
      <c r="D147">
        <v>100</v>
      </c>
      <c r="E147">
        <v>200</v>
      </c>
      <c r="F147" t="str">
        <f t="shared" si="2"/>
        <v>castle256_line_3_100_200</v>
      </c>
      <c r="G147">
        <v>0</v>
      </c>
      <c r="H147">
        <v>0</v>
      </c>
      <c r="I147">
        <v>1.8943000000000001E-5</v>
      </c>
      <c r="J147">
        <v>8.6440000000000006E-6</v>
      </c>
      <c r="K147">
        <v>32.600700000000003</v>
      </c>
      <c r="L147">
        <v>13.130699999999999</v>
      </c>
      <c r="M147">
        <v>0</v>
      </c>
      <c r="N147">
        <v>0</v>
      </c>
      <c r="O147">
        <v>34.525599999999997</v>
      </c>
    </row>
    <row r="148" spans="1:15" x14ac:dyDescent="0.25">
      <c r="A148" t="s">
        <v>21</v>
      </c>
      <c r="B148" t="s">
        <v>17</v>
      </c>
      <c r="C148">
        <v>3</v>
      </c>
      <c r="D148">
        <v>100</v>
      </c>
      <c r="E148">
        <v>400</v>
      </c>
      <c r="F148" t="str">
        <f t="shared" si="2"/>
        <v>castle256_line_3_100_400</v>
      </c>
      <c r="G148">
        <v>0</v>
      </c>
      <c r="H148">
        <v>0</v>
      </c>
      <c r="I148">
        <v>3.9650000000000002E-5</v>
      </c>
      <c r="J148">
        <v>8.6440000000000006E-6</v>
      </c>
      <c r="K148">
        <v>29.393899999999999</v>
      </c>
      <c r="L148">
        <v>13.130699999999999</v>
      </c>
      <c r="M148">
        <v>0</v>
      </c>
      <c r="N148">
        <v>0</v>
      </c>
      <c r="O148">
        <v>31.846800000000002</v>
      </c>
    </row>
    <row r="149" spans="1:15" x14ac:dyDescent="0.25">
      <c r="A149" t="s">
        <v>21</v>
      </c>
      <c r="B149" t="s">
        <v>17</v>
      </c>
      <c r="C149">
        <v>3</v>
      </c>
      <c r="D149">
        <v>100</v>
      </c>
      <c r="E149">
        <v>800</v>
      </c>
      <c r="F149" t="str">
        <f t="shared" si="2"/>
        <v>castle256_line_3_100_800</v>
      </c>
      <c r="G149">
        <v>0</v>
      </c>
      <c r="H149">
        <v>0</v>
      </c>
      <c r="I149">
        <v>8.2233999999999999E-5</v>
      </c>
      <c r="J149">
        <v>8.6440000000000006E-6</v>
      </c>
      <c r="K149">
        <v>26.229800000000001</v>
      </c>
      <c r="L149">
        <v>13.130699999999999</v>
      </c>
      <c r="M149">
        <v>0</v>
      </c>
      <c r="N149">
        <v>0</v>
      </c>
      <c r="O149">
        <v>29.172699999999999</v>
      </c>
    </row>
    <row r="150" spans="1:15" x14ac:dyDescent="0.25">
      <c r="A150" t="s">
        <v>21</v>
      </c>
      <c r="B150" t="s">
        <v>17</v>
      </c>
      <c r="C150">
        <v>3</v>
      </c>
      <c r="D150">
        <v>100</v>
      </c>
      <c r="E150">
        <v>1600</v>
      </c>
      <c r="F150" t="str">
        <f t="shared" si="2"/>
        <v>castle256_line_3_100_1600</v>
      </c>
      <c r="G150">
        <v>0</v>
      </c>
      <c r="H150">
        <v>0</v>
      </c>
      <c r="I150">
        <v>1.6649899999999999E-4</v>
      </c>
      <c r="J150">
        <v>8.6440000000000006E-6</v>
      </c>
      <c r="K150">
        <v>23.178599999999999</v>
      </c>
      <c r="L150">
        <v>13.130699999999999</v>
      </c>
      <c r="M150">
        <v>0</v>
      </c>
      <c r="N150">
        <v>0</v>
      </c>
      <c r="O150">
        <v>26.6037</v>
      </c>
    </row>
    <row r="151" spans="1:15" x14ac:dyDescent="0.25">
      <c r="A151" t="s">
        <v>21</v>
      </c>
      <c r="B151" t="s">
        <v>17</v>
      </c>
      <c r="C151">
        <v>3</v>
      </c>
      <c r="D151">
        <v>100</v>
      </c>
      <c r="E151">
        <v>3200</v>
      </c>
      <c r="F151" t="str">
        <f t="shared" si="2"/>
        <v>castle256_line_3_100_3200</v>
      </c>
      <c r="G151">
        <v>0</v>
      </c>
      <c r="H151">
        <v>0</v>
      </c>
      <c r="I151">
        <v>3.3738099999999999E-4</v>
      </c>
      <c r="J151">
        <v>8.6440000000000006E-6</v>
      </c>
      <c r="K151">
        <v>20.135899999999999</v>
      </c>
      <c r="L151">
        <v>13.130699999999999</v>
      </c>
      <c r="M151">
        <v>0</v>
      </c>
      <c r="N151">
        <v>0</v>
      </c>
      <c r="O151">
        <v>23.9816</v>
      </c>
    </row>
    <row r="152" spans="1:15" x14ac:dyDescent="0.25">
      <c r="A152" t="s">
        <v>21</v>
      </c>
      <c r="B152" t="s">
        <v>17</v>
      </c>
      <c r="C152">
        <v>3</v>
      </c>
      <c r="D152">
        <v>100</v>
      </c>
      <c r="E152">
        <v>6400</v>
      </c>
      <c r="F152" t="str">
        <f t="shared" si="2"/>
        <v>castle256_line_3_100_6400</v>
      </c>
      <c r="G152">
        <v>0</v>
      </c>
      <c r="H152">
        <v>0</v>
      </c>
      <c r="I152">
        <v>6.9166699999999998E-4</v>
      </c>
      <c r="J152">
        <v>8.6440000000000006E-6</v>
      </c>
      <c r="K152">
        <v>17.058700000000002</v>
      </c>
      <c r="L152">
        <v>13.130699999999999</v>
      </c>
      <c r="M152">
        <v>0</v>
      </c>
      <c r="N152">
        <v>0</v>
      </c>
      <c r="O152">
        <v>21.465399999999999</v>
      </c>
    </row>
    <row r="153" spans="1:15" x14ac:dyDescent="0.25">
      <c r="A153" t="s">
        <v>21</v>
      </c>
      <c r="B153" t="s">
        <v>17</v>
      </c>
      <c r="C153">
        <v>3</v>
      </c>
      <c r="D153">
        <v>100</v>
      </c>
      <c r="E153">
        <v>12800</v>
      </c>
      <c r="F153" t="str">
        <f t="shared" si="2"/>
        <v>castle256_line_3_100_12800</v>
      </c>
      <c r="G153">
        <v>0</v>
      </c>
      <c r="H153">
        <v>0</v>
      </c>
      <c r="I153">
        <v>1.4548339999999999E-3</v>
      </c>
      <c r="J153">
        <v>8.6440000000000006E-6</v>
      </c>
      <c r="K153">
        <v>13.9031</v>
      </c>
      <c r="L153">
        <v>13.130699999999999</v>
      </c>
      <c r="M153">
        <v>0</v>
      </c>
      <c r="N153">
        <v>0</v>
      </c>
      <c r="O153">
        <v>18.9803</v>
      </c>
    </row>
    <row r="154" spans="1:15" x14ac:dyDescent="0.25">
      <c r="A154" t="s">
        <v>21</v>
      </c>
      <c r="B154" t="s">
        <v>17</v>
      </c>
      <c r="C154">
        <v>3</v>
      </c>
      <c r="D154">
        <v>100</v>
      </c>
      <c r="E154">
        <v>25600</v>
      </c>
      <c r="F154" t="str">
        <f t="shared" si="2"/>
        <v>castle256_line_3_100_25600</v>
      </c>
      <c r="G154">
        <v>0</v>
      </c>
      <c r="H154">
        <v>0</v>
      </c>
      <c r="I154">
        <v>3.1953609999999999E-3</v>
      </c>
      <c r="J154">
        <v>8.6440000000000006E-6</v>
      </c>
      <c r="K154">
        <v>10.6617</v>
      </c>
      <c r="L154">
        <v>13.130699999999999</v>
      </c>
      <c r="M154">
        <v>0</v>
      </c>
      <c r="N154">
        <v>0</v>
      </c>
      <c r="O154">
        <v>16.7394</v>
      </c>
    </row>
    <row r="155" spans="1:15" x14ac:dyDescent="0.25">
      <c r="A155" t="s">
        <v>21</v>
      </c>
      <c r="B155" t="s">
        <v>17</v>
      </c>
      <c r="C155">
        <v>3</v>
      </c>
      <c r="D155">
        <v>100</v>
      </c>
      <c r="E155">
        <v>102400</v>
      </c>
      <c r="F155" t="str">
        <f t="shared" si="2"/>
        <v>castle256_line_3_100_102400</v>
      </c>
      <c r="G155">
        <v>0</v>
      </c>
      <c r="H155">
        <v>0</v>
      </c>
      <c r="I155">
        <v>2.0145351999999998E-2</v>
      </c>
      <c r="J155">
        <v>8.7520000000000002E-6</v>
      </c>
      <c r="K155">
        <v>4.0989000000000004</v>
      </c>
      <c r="L155">
        <v>13.1343</v>
      </c>
      <c r="M155">
        <v>0</v>
      </c>
      <c r="N155">
        <v>0</v>
      </c>
      <c r="O155">
        <v>12.452500000000001</v>
      </c>
    </row>
    <row r="156" spans="1:15" x14ac:dyDescent="0.25">
      <c r="A156" t="s">
        <v>21</v>
      </c>
      <c r="B156" t="s">
        <v>17</v>
      </c>
      <c r="C156">
        <v>7</v>
      </c>
      <c r="D156">
        <v>100</v>
      </c>
      <c r="E156">
        <v>100</v>
      </c>
      <c r="F156" t="str">
        <f t="shared" si="2"/>
        <v>castle256_line_7_100_100</v>
      </c>
      <c r="G156">
        <v>0</v>
      </c>
      <c r="H156">
        <v>0</v>
      </c>
      <c r="I156">
        <v>8.8419999999999994E-6</v>
      </c>
      <c r="J156">
        <v>8.7159999999999992E-6</v>
      </c>
      <c r="K156">
        <v>35.9071</v>
      </c>
      <c r="L156">
        <v>9.6586999999999996</v>
      </c>
      <c r="M156">
        <v>0</v>
      </c>
      <c r="N156">
        <v>0</v>
      </c>
      <c r="O156">
        <v>37.289200000000001</v>
      </c>
    </row>
    <row r="157" spans="1:15" x14ac:dyDescent="0.25">
      <c r="A157" t="s">
        <v>21</v>
      </c>
      <c r="B157" t="s">
        <v>17</v>
      </c>
      <c r="C157">
        <v>7</v>
      </c>
      <c r="D157">
        <v>100</v>
      </c>
      <c r="E157">
        <v>200</v>
      </c>
      <c r="F157" t="str">
        <f t="shared" si="2"/>
        <v>castle256_line_7_100_200</v>
      </c>
      <c r="G157">
        <v>0</v>
      </c>
      <c r="H157">
        <v>0</v>
      </c>
      <c r="I157">
        <v>1.9072999999999998E-5</v>
      </c>
      <c r="J157">
        <v>8.6330000000000002E-6</v>
      </c>
      <c r="K157">
        <v>32.571199999999997</v>
      </c>
      <c r="L157">
        <v>9.6591000000000005</v>
      </c>
      <c r="M157">
        <v>0</v>
      </c>
      <c r="N157">
        <v>0</v>
      </c>
      <c r="O157">
        <v>34.463799999999999</v>
      </c>
    </row>
    <row r="158" spans="1:15" x14ac:dyDescent="0.25">
      <c r="A158" t="s">
        <v>21</v>
      </c>
      <c r="B158" t="s">
        <v>17</v>
      </c>
      <c r="C158">
        <v>7</v>
      </c>
      <c r="D158">
        <v>100</v>
      </c>
      <c r="E158">
        <v>400</v>
      </c>
      <c r="F158" t="str">
        <f t="shared" si="2"/>
        <v>castle256_line_7_100_400</v>
      </c>
      <c r="G158">
        <v>0</v>
      </c>
      <c r="H158">
        <v>0</v>
      </c>
      <c r="I158">
        <v>3.9650000000000002E-5</v>
      </c>
      <c r="J158">
        <v>8.6330000000000002E-6</v>
      </c>
      <c r="K158">
        <v>29.395299999999999</v>
      </c>
      <c r="L158">
        <v>9.6591000000000005</v>
      </c>
      <c r="M158">
        <v>0</v>
      </c>
      <c r="N158">
        <v>0</v>
      </c>
      <c r="O158">
        <v>31.830500000000001</v>
      </c>
    </row>
    <row r="159" spans="1:15" x14ac:dyDescent="0.25">
      <c r="A159" t="s">
        <v>21</v>
      </c>
      <c r="B159" t="s">
        <v>17</v>
      </c>
      <c r="C159">
        <v>7</v>
      </c>
      <c r="D159">
        <v>100</v>
      </c>
      <c r="E159">
        <v>800</v>
      </c>
      <c r="F159" t="str">
        <f t="shared" si="2"/>
        <v>castle256_line_7_100_800</v>
      </c>
      <c r="G159">
        <v>0</v>
      </c>
      <c r="H159">
        <v>0</v>
      </c>
      <c r="I159">
        <v>8.1578999999999999E-5</v>
      </c>
      <c r="J159">
        <v>8.6330000000000002E-6</v>
      </c>
      <c r="K159">
        <v>26.266400000000001</v>
      </c>
      <c r="L159">
        <v>9.6591000000000005</v>
      </c>
      <c r="M159">
        <v>0</v>
      </c>
      <c r="N159">
        <v>0</v>
      </c>
      <c r="O159">
        <v>29.178799999999999</v>
      </c>
    </row>
    <row r="160" spans="1:15" x14ac:dyDescent="0.25">
      <c r="A160" t="s">
        <v>21</v>
      </c>
      <c r="B160" t="s">
        <v>17</v>
      </c>
      <c r="C160">
        <v>7</v>
      </c>
      <c r="D160">
        <v>100</v>
      </c>
      <c r="E160">
        <v>1600</v>
      </c>
      <c r="F160" t="str">
        <f t="shared" si="2"/>
        <v>castle256_line_7_100_1600</v>
      </c>
      <c r="G160">
        <v>0</v>
      </c>
      <c r="H160">
        <v>0</v>
      </c>
      <c r="I160">
        <v>1.6563E-4</v>
      </c>
      <c r="J160">
        <v>8.6330000000000002E-6</v>
      </c>
      <c r="K160">
        <v>23.200900000000001</v>
      </c>
      <c r="L160">
        <v>9.6591000000000005</v>
      </c>
      <c r="M160">
        <v>0</v>
      </c>
      <c r="N160">
        <v>0</v>
      </c>
      <c r="O160">
        <v>26.662600000000001</v>
      </c>
    </row>
    <row r="161" spans="1:15" x14ac:dyDescent="0.25">
      <c r="A161" t="s">
        <v>21</v>
      </c>
      <c r="B161" t="s">
        <v>17</v>
      </c>
      <c r="C161">
        <v>7</v>
      </c>
      <c r="D161">
        <v>100</v>
      </c>
      <c r="E161">
        <v>3200</v>
      </c>
      <c r="F161" t="str">
        <f t="shared" si="2"/>
        <v>castle256_line_7_100_3200</v>
      </c>
      <c r="G161">
        <v>0</v>
      </c>
      <c r="H161">
        <v>0</v>
      </c>
      <c r="I161">
        <v>3.3704399999999999E-4</v>
      </c>
      <c r="J161">
        <v>8.6330000000000002E-6</v>
      </c>
      <c r="K161">
        <v>20.1358</v>
      </c>
      <c r="L161">
        <v>9.6591000000000005</v>
      </c>
      <c r="M161">
        <v>0</v>
      </c>
      <c r="N161">
        <v>0</v>
      </c>
      <c r="O161">
        <v>24.006799999999998</v>
      </c>
    </row>
    <row r="162" spans="1:15" x14ac:dyDescent="0.25">
      <c r="A162" t="s">
        <v>21</v>
      </c>
      <c r="B162" t="s">
        <v>17</v>
      </c>
      <c r="C162">
        <v>7</v>
      </c>
      <c r="D162">
        <v>100</v>
      </c>
      <c r="E162">
        <v>6400</v>
      </c>
      <c r="F162" t="str">
        <f t="shared" si="2"/>
        <v>castle256_line_7_100_6400</v>
      </c>
      <c r="G162">
        <v>0</v>
      </c>
      <c r="H162">
        <v>0</v>
      </c>
      <c r="I162">
        <v>6.96585E-4</v>
      </c>
      <c r="J162">
        <v>8.6330000000000002E-6</v>
      </c>
      <c r="K162">
        <v>17.022200000000002</v>
      </c>
      <c r="L162">
        <v>9.6591000000000005</v>
      </c>
      <c r="M162">
        <v>0</v>
      </c>
      <c r="N162">
        <v>0</v>
      </c>
      <c r="O162">
        <v>21.428000000000001</v>
      </c>
    </row>
    <row r="163" spans="1:15" x14ac:dyDescent="0.25">
      <c r="A163" t="s">
        <v>21</v>
      </c>
      <c r="B163" t="s">
        <v>17</v>
      </c>
      <c r="C163">
        <v>7</v>
      </c>
      <c r="D163">
        <v>100</v>
      </c>
      <c r="E163">
        <v>12800</v>
      </c>
      <c r="F163" t="str">
        <f t="shared" si="2"/>
        <v>castle256_line_7_100_12800</v>
      </c>
      <c r="G163">
        <v>0</v>
      </c>
      <c r="H163">
        <v>0</v>
      </c>
      <c r="I163">
        <v>1.477237E-3</v>
      </c>
      <c r="J163">
        <v>8.6330000000000002E-6</v>
      </c>
      <c r="K163">
        <v>13.8437</v>
      </c>
      <c r="L163">
        <v>9.6591000000000005</v>
      </c>
      <c r="M163">
        <v>0</v>
      </c>
      <c r="N163">
        <v>0</v>
      </c>
      <c r="O163">
        <v>18.999500000000001</v>
      </c>
    </row>
    <row r="164" spans="1:15" x14ac:dyDescent="0.25">
      <c r="A164" t="s">
        <v>21</v>
      </c>
      <c r="B164" t="s">
        <v>17</v>
      </c>
      <c r="C164">
        <v>7</v>
      </c>
      <c r="D164">
        <v>100</v>
      </c>
      <c r="E164">
        <v>25600</v>
      </c>
      <c r="F164" t="str">
        <f t="shared" si="2"/>
        <v>castle256_line_7_100_25600</v>
      </c>
      <c r="G164">
        <v>0</v>
      </c>
      <c r="H164">
        <v>0</v>
      </c>
      <c r="I164">
        <v>3.2109769999999998E-3</v>
      </c>
      <c r="J164">
        <v>8.6330000000000002E-6</v>
      </c>
      <c r="K164">
        <v>10.652200000000001</v>
      </c>
      <c r="L164">
        <v>9.6591000000000005</v>
      </c>
      <c r="M164">
        <v>0</v>
      </c>
      <c r="N164">
        <v>0</v>
      </c>
      <c r="O164">
        <v>16.665800000000001</v>
      </c>
    </row>
    <row r="165" spans="1:15" x14ac:dyDescent="0.25">
      <c r="A165" t="s">
        <v>21</v>
      </c>
      <c r="B165" t="s">
        <v>17</v>
      </c>
      <c r="C165">
        <v>7</v>
      </c>
      <c r="D165">
        <v>100</v>
      </c>
      <c r="E165">
        <v>102400</v>
      </c>
      <c r="F165" t="str">
        <f t="shared" si="2"/>
        <v>castle256_line_7_100_102400</v>
      </c>
      <c r="G165">
        <v>0</v>
      </c>
      <c r="H165">
        <v>0</v>
      </c>
      <c r="I165">
        <v>1.9801907000000001E-2</v>
      </c>
      <c r="J165">
        <v>8.7390000000000005E-6</v>
      </c>
      <c r="K165">
        <v>4.1745999999999999</v>
      </c>
      <c r="L165">
        <v>9.6582000000000008</v>
      </c>
      <c r="M165">
        <v>0</v>
      </c>
      <c r="N165">
        <v>0</v>
      </c>
      <c r="O165">
        <v>12.537599999999999</v>
      </c>
    </row>
    <row r="166" spans="1:15" x14ac:dyDescent="0.25">
      <c r="A166" t="s">
        <v>21</v>
      </c>
      <c r="B166" t="s">
        <v>17</v>
      </c>
      <c r="C166">
        <v>15</v>
      </c>
      <c r="D166">
        <v>100</v>
      </c>
      <c r="E166">
        <v>100</v>
      </c>
      <c r="F166" t="str">
        <f t="shared" si="2"/>
        <v>castle256_line_15_100_100</v>
      </c>
      <c r="G166">
        <v>0</v>
      </c>
      <c r="H166">
        <v>0</v>
      </c>
      <c r="I166">
        <v>8.7309999999999999E-6</v>
      </c>
      <c r="J166">
        <v>8.7369999999999995E-6</v>
      </c>
      <c r="K166">
        <v>35.962400000000002</v>
      </c>
      <c r="L166">
        <v>7.5194999999999999</v>
      </c>
      <c r="M166">
        <v>0</v>
      </c>
      <c r="N166">
        <v>0</v>
      </c>
      <c r="O166">
        <v>37.334699999999998</v>
      </c>
    </row>
    <row r="167" spans="1:15" x14ac:dyDescent="0.25">
      <c r="A167" t="s">
        <v>21</v>
      </c>
      <c r="B167" t="s">
        <v>17</v>
      </c>
      <c r="C167">
        <v>15</v>
      </c>
      <c r="D167">
        <v>100</v>
      </c>
      <c r="E167">
        <v>200</v>
      </c>
      <c r="F167" t="str">
        <f t="shared" si="2"/>
        <v>castle256_line_15_100_200</v>
      </c>
      <c r="G167">
        <v>0</v>
      </c>
      <c r="H167">
        <v>0</v>
      </c>
      <c r="I167">
        <v>1.9168999999999999E-5</v>
      </c>
      <c r="J167">
        <v>8.67E-6</v>
      </c>
      <c r="K167">
        <v>32.548999999999999</v>
      </c>
      <c r="L167">
        <v>7.5205000000000002</v>
      </c>
      <c r="M167">
        <v>0</v>
      </c>
      <c r="N167">
        <v>0</v>
      </c>
      <c r="O167">
        <v>34.461799999999997</v>
      </c>
    </row>
    <row r="168" spans="1:15" x14ac:dyDescent="0.25">
      <c r="A168" t="s">
        <v>21</v>
      </c>
      <c r="B168" t="s">
        <v>17</v>
      </c>
      <c r="C168">
        <v>15</v>
      </c>
      <c r="D168">
        <v>100</v>
      </c>
      <c r="E168">
        <v>400</v>
      </c>
      <c r="F168" t="str">
        <f t="shared" si="2"/>
        <v>castle256_line_15_100_400</v>
      </c>
      <c r="G168">
        <v>0</v>
      </c>
      <c r="H168">
        <v>0</v>
      </c>
      <c r="I168">
        <v>3.9894999999999997E-5</v>
      </c>
      <c r="J168">
        <v>8.67E-6</v>
      </c>
      <c r="K168">
        <v>29.366900000000001</v>
      </c>
      <c r="L168">
        <v>7.5205000000000002</v>
      </c>
      <c r="M168">
        <v>0</v>
      </c>
      <c r="N168">
        <v>0</v>
      </c>
      <c r="O168">
        <v>31.779199999999999</v>
      </c>
    </row>
    <row r="169" spans="1:15" x14ac:dyDescent="0.25">
      <c r="A169" t="s">
        <v>21</v>
      </c>
      <c r="B169" t="s">
        <v>17</v>
      </c>
      <c r="C169">
        <v>15</v>
      </c>
      <c r="D169">
        <v>100</v>
      </c>
      <c r="E169">
        <v>800</v>
      </c>
      <c r="F169" t="str">
        <f t="shared" si="2"/>
        <v>castle256_line_15_100_800</v>
      </c>
      <c r="G169">
        <v>0</v>
      </c>
      <c r="H169">
        <v>0</v>
      </c>
      <c r="I169">
        <v>8.0935999999999999E-5</v>
      </c>
      <c r="J169">
        <v>8.67E-6</v>
      </c>
      <c r="K169">
        <v>26.302700000000002</v>
      </c>
      <c r="L169">
        <v>7.5205000000000002</v>
      </c>
      <c r="M169">
        <v>0</v>
      </c>
      <c r="N169">
        <v>0</v>
      </c>
      <c r="O169">
        <v>29.244499999999999</v>
      </c>
    </row>
    <row r="170" spans="1:15" x14ac:dyDescent="0.25">
      <c r="A170" t="s">
        <v>21</v>
      </c>
      <c r="B170" t="s">
        <v>17</v>
      </c>
      <c r="C170">
        <v>15</v>
      </c>
      <c r="D170">
        <v>100</v>
      </c>
      <c r="E170">
        <v>1600</v>
      </c>
      <c r="F170" t="str">
        <f t="shared" si="2"/>
        <v>castle256_line_15_100_1600</v>
      </c>
      <c r="G170">
        <v>0</v>
      </c>
      <c r="H170">
        <v>0</v>
      </c>
      <c r="I170">
        <v>1.66942E-4</v>
      </c>
      <c r="J170">
        <v>8.67E-6</v>
      </c>
      <c r="K170">
        <v>23.166399999999999</v>
      </c>
      <c r="L170">
        <v>7.5205000000000002</v>
      </c>
      <c r="M170">
        <v>0</v>
      </c>
      <c r="N170">
        <v>0</v>
      </c>
      <c r="O170">
        <v>26.523900000000001</v>
      </c>
    </row>
    <row r="171" spans="1:15" x14ac:dyDescent="0.25">
      <c r="A171" t="s">
        <v>21</v>
      </c>
      <c r="B171" t="s">
        <v>17</v>
      </c>
      <c r="C171">
        <v>15</v>
      </c>
      <c r="D171">
        <v>100</v>
      </c>
      <c r="E171">
        <v>3200</v>
      </c>
      <c r="F171" t="str">
        <f t="shared" si="2"/>
        <v>castle256_line_15_100_3200</v>
      </c>
      <c r="G171">
        <v>0</v>
      </c>
      <c r="H171">
        <v>0</v>
      </c>
      <c r="I171">
        <v>3.3732100000000002E-4</v>
      </c>
      <c r="J171">
        <v>8.67E-6</v>
      </c>
      <c r="K171">
        <v>20.1313</v>
      </c>
      <c r="L171">
        <v>7.5205000000000002</v>
      </c>
      <c r="M171">
        <v>0</v>
      </c>
      <c r="N171">
        <v>0</v>
      </c>
      <c r="O171">
        <v>23.978999999999999</v>
      </c>
    </row>
    <row r="172" spans="1:15" x14ac:dyDescent="0.25">
      <c r="A172" t="s">
        <v>21</v>
      </c>
      <c r="B172" t="s">
        <v>17</v>
      </c>
      <c r="C172">
        <v>15</v>
      </c>
      <c r="D172">
        <v>100</v>
      </c>
      <c r="E172">
        <v>6400</v>
      </c>
      <c r="F172" t="str">
        <f t="shared" si="2"/>
        <v>castle256_line_15_100_6400</v>
      </c>
      <c r="G172">
        <v>0</v>
      </c>
      <c r="H172">
        <v>0</v>
      </c>
      <c r="I172">
        <v>6.87771E-4</v>
      </c>
      <c r="J172">
        <v>8.67E-6</v>
      </c>
      <c r="K172">
        <v>17.071300000000001</v>
      </c>
      <c r="L172">
        <v>7.5205000000000002</v>
      </c>
      <c r="M172">
        <v>0</v>
      </c>
      <c r="N172">
        <v>0</v>
      </c>
      <c r="O172">
        <v>21.442599999999999</v>
      </c>
    </row>
    <row r="173" spans="1:15" x14ac:dyDescent="0.25">
      <c r="A173" t="s">
        <v>21</v>
      </c>
      <c r="B173" t="s">
        <v>17</v>
      </c>
      <c r="C173">
        <v>15</v>
      </c>
      <c r="D173">
        <v>100</v>
      </c>
      <c r="E173">
        <v>12800</v>
      </c>
      <c r="F173" t="str">
        <f t="shared" si="2"/>
        <v>castle256_line_15_100_12800</v>
      </c>
      <c r="G173">
        <v>0</v>
      </c>
      <c r="H173">
        <v>0</v>
      </c>
      <c r="I173">
        <v>1.434154E-3</v>
      </c>
      <c r="J173">
        <v>8.67E-6</v>
      </c>
      <c r="K173">
        <v>13.9673</v>
      </c>
      <c r="L173">
        <v>7.5205000000000002</v>
      </c>
      <c r="M173">
        <v>0</v>
      </c>
      <c r="N173">
        <v>0</v>
      </c>
      <c r="O173">
        <v>19.029399999999999</v>
      </c>
    </row>
    <row r="174" spans="1:15" x14ac:dyDescent="0.25">
      <c r="A174" t="s">
        <v>21</v>
      </c>
      <c r="B174" t="s">
        <v>17</v>
      </c>
      <c r="C174">
        <v>15</v>
      </c>
      <c r="D174">
        <v>100</v>
      </c>
      <c r="E174">
        <v>25600</v>
      </c>
      <c r="F174" t="str">
        <f t="shared" si="2"/>
        <v>castle256_line_15_100_25600</v>
      </c>
      <c r="G174">
        <v>0</v>
      </c>
      <c r="H174">
        <v>0</v>
      </c>
      <c r="I174">
        <v>3.2283300000000002E-3</v>
      </c>
      <c r="J174">
        <v>8.67E-6</v>
      </c>
      <c r="K174">
        <v>10.6348</v>
      </c>
      <c r="L174">
        <v>7.5205000000000002</v>
      </c>
      <c r="M174">
        <v>0</v>
      </c>
      <c r="N174">
        <v>0</v>
      </c>
      <c r="O174">
        <v>16.631599999999999</v>
      </c>
    </row>
    <row r="175" spans="1:15" x14ac:dyDescent="0.25">
      <c r="A175" t="s">
        <v>21</v>
      </c>
      <c r="B175" t="s">
        <v>17</v>
      </c>
      <c r="C175">
        <v>15</v>
      </c>
      <c r="D175">
        <v>100</v>
      </c>
      <c r="E175">
        <v>102400</v>
      </c>
      <c r="F175" t="str">
        <f t="shared" si="2"/>
        <v>castle256_line_15_100_102400</v>
      </c>
      <c r="G175">
        <v>0</v>
      </c>
      <c r="H175">
        <v>0</v>
      </c>
      <c r="I175">
        <v>1.9880353E-2</v>
      </c>
      <c r="J175">
        <v>8.6899999999999998E-6</v>
      </c>
      <c r="K175">
        <v>4.1467000000000001</v>
      </c>
      <c r="L175">
        <v>7.5223000000000004</v>
      </c>
      <c r="M175">
        <v>0</v>
      </c>
      <c r="N175">
        <v>0</v>
      </c>
      <c r="O175">
        <v>12.553100000000001</v>
      </c>
    </row>
    <row r="176" spans="1:15" x14ac:dyDescent="0.25">
      <c r="A176" t="s">
        <v>21</v>
      </c>
      <c r="B176" t="s">
        <v>17</v>
      </c>
      <c r="C176">
        <v>31</v>
      </c>
      <c r="D176">
        <v>100</v>
      </c>
      <c r="E176">
        <v>100</v>
      </c>
      <c r="F176" t="str">
        <f t="shared" si="2"/>
        <v>castle256_line_31_100_100</v>
      </c>
      <c r="G176">
        <v>0</v>
      </c>
      <c r="H176">
        <v>0</v>
      </c>
      <c r="I176">
        <v>8.7839999999999992E-6</v>
      </c>
      <c r="J176">
        <v>8.6940000000000001E-6</v>
      </c>
      <c r="K176">
        <v>35.936399999999999</v>
      </c>
      <c r="L176">
        <v>5.7583000000000002</v>
      </c>
      <c r="M176">
        <v>0</v>
      </c>
      <c r="N176">
        <v>0</v>
      </c>
      <c r="O176">
        <v>37.306100000000001</v>
      </c>
    </row>
    <row r="177" spans="1:15" x14ac:dyDescent="0.25">
      <c r="A177" t="s">
        <v>21</v>
      </c>
      <c r="B177" t="s">
        <v>17</v>
      </c>
      <c r="C177">
        <v>31</v>
      </c>
      <c r="D177">
        <v>100</v>
      </c>
      <c r="E177">
        <v>200</v>
      </c>
      <c r="F177" t="str">
        <f t="shared" si="2"/>
        <v>castle256_line_31_100_200</v>
      </c>
      <c r="G177">
        <v>0</v>
      </c>
      <c r="H177">
        <v>0</v>
      </c>
      <c r="I177">
        <v>1.8836999999999999E-5</v>
      </c>
      <c r="J177">
        <v>8.7930000000000003E-6</v>
      </c>
      <c r="K177">
        <v>32.623699999999999</v>
      </c>
      <c r="L177">
        <v>5.7603999999999997</v>
      </c>
      <c r="M177">
        <v>0</v>
      </c>
      <c r="N177">
        <v>0</v>
      </c>
      <c r="O177">
        <v>34.541200000000003</v>
      </c>
    </row>
    <row r="178" spans="1:15" x14ac:dyDescent="0.25">
      <c r="A178" t="s">
        <v>21</v>
      </c>
      <c r="B178" t="s">
        <v>17</v>
      </c>
      <c r="C178">
        <v>31</v>
      </c>
      <c r="D178">
        <v>100</v>
      </c>
      <c r="E178">
        <v>400</v>
      </c>
      <c r="F178" t="str">
        <f t="shared" si="2"/>
        <v>castle256_line_31_100_400</v>
      </c>
      <c r="G178">
        <v>0</v>
      </c>
      <c r="H178">
        <v>0</v>
      </c>
      <c r="I178">
        <v>3.9681999999999997E-5</v>
      </c>
      <c r="J178">
        <v>8.7930000000000003E-6</v>
      </c>
      <c r="K178">
        <v>29.390699999999999</v>
      </c>
      <c r="L178">
        <v>5.7603999999999997</v>
      </c>
      <c r="M178">
        <v>0</v>
      </c>
      <c r="N178">
        <v>0</v>
      </c>
      <c r="O178">
        <v>31.864100000000001</v>
      </c>
    </row>
    <row r="179" spans="1:15" x14ac:dyDescent="0.25">
      <c r="A179" t="s">
        <v>21</v>
      </c>
      <c r="B179" t="s">
        <v>17</v>
      </c>
      <c r="C179">
        <v>31</v>
      </c>
      <c r="D179">
        <v>100</v>
      </c>
      <c r="E179">
        <v>800</v>
      </c>
      <c r="F179" t="str">
        <f t="shared" si="2"/>
        <v>castle256_line_31_100_800</v>
      </c>
      <c r="G179">
        <v>0</v>
      </c>
      <c r="H179">
        <v>0</v>
      </c>
      <c r="I179">
        <v>8.1261999999999995E-5</v>
      </c>
      <c r="J179">
        <v>8.7930000000000003E-6</v>
      </c>
      <c r="K179">
        <v>26.284500000000001</v>
      </c>
      <c r="L179">
        <v>5.7603999999999997</v>
      </c>
      <c r="M179">
        <v>0</v>
      </c>
      <c r="N179">
        <v>0</v>
      </c>
      <c r="O179">
        <v>29.208100000000002</v>
      </c>
    </row>
    <row r="180" spans="1:15" x14ac:dyDescent="0.25">
      <c r="A180" t="s">
        <v>21</v>
      </c>
      <c r="B180" t="s">
        <v>17</v>
      </c>
      <c r="C180">
        <v>31</v>
      </c>
      <c r="D180">
        <v>100</v>
      </c>
      <c r="E180">
        <v>1600</v>
      </c>
      <c r="F180" t="str">
        <f t="shared" si="2"/>
        <v>castle256_line_31_100_1600</v>
      </c>
      <c r="G180">
        <v>0</v>
      </c>
      <c r="H180">
        <v>0</v>
      </c>
      <c r="I180">
        <v>1.6606600000000001E-4</v>
      </c>
      <c r="J180">
        <v>8.7930000000000003E-6</v>
      </c>
      <c r="K180">
        <v>23.185400000000001</v>
      </c>
      <c r="L180">
        <v>5.7603999999999997</v>
      </c>
      <c r="M180">
        <v>0</v>
      </c>
      <c r="N180">
        <v>0</v>
      </c>
      <c r="O180">
        <v>26.538399999999999</v>
      </c>
    </row>
    <row r="181" spans="1:15" x14ac:dyDescent="0.25">
      <c r="A181" t="s">
        <v>21</v>
      </c>
      <c r="B181" t="s">
        <v>17</v>
      </c>
      <c r="C181">
        <v>31</v>
      </c>
      <c r="D181">
        <v>100</v>
      </c>
      <c r="E181">
        <v>3200</v>
      </c>
      <c r="F181" t="str">
        <f t="shared" si="2"/>
        <v>castle256_line_31_100_3200</v>
      </c>
      <c r="G181">
        <v>0</v>
      </c>
      <c r="H181">
        <v>0</v>
      </c>
      <c r="I181">
        <v>3.3756600000000003E-4</v>
      </c>
      <c r="J181">
        <v>8.7930000000000003E-6</v>
      </c>
      <c r="K181">
        <v>20.128</v>
      </c>
      <c r="L181">
        <v>5.7603999999999997</v>
      </c>
      <c r="M181">
        <v>0</v>
      </c>
      <c r="N181">
        <v>0</v>
      </c>
      <c r="O181">
        <v>24.008299999999998</v>
      </c>
    </row>
    <row r="182" spans="1:15" x14ac:dyDescent="0.25">
      <c r="A182" t="s">
        <v>21</v>
      </c>
      <c r="B182" t="s">
        <v>17</v>
      </c>
      <c r="C182">
        <v>31</v>
      </c>
      <c r="D182">
        <v>100</v>
      </c>
      <c r="E182">
        <v>6400</v>
      </c>
      <c r="F182" t="str">
        <f t="shared" si="2"/>
        <v>castle256_line_31_100_6400</v>
      </c>
      <c r="G182">
        <v>0</v>
      </c>
      <c r="H182">
        <v>0</v>
      </c>
      <c r="I182">
        <v>6.98768E-4</v>
      </c>
      <c r="J182">
        <v>8.7930000000000003E-6</v>
      </c>
      <c r="K182">
        <v>17.0032</v>
      </c>
      <c r="L182">
        <v>5.7603999999999997</v>
      </c>
      <c r="M182">
        <v>0</v>
      </c>
      <c r="N182">
        <v>0</v>
      </c>
      <c r="O182">
        <v>21.377099999999999</v>
      </c>
    </row>
    <row r="183" spans="1:15" x14ac:dyDescent="0.25">
      <c r="A183" t="s">
        <v>21</v>
      </c>
      <c r="B183" t="s">
        <v>17</v>
      </c>
      <c r="C183">
        <v>31</v>
      </c>
      <c r="D183">
        <v>100</v>
      </c>
      <c r="E183">
        <v>12800</v>
      </c>
      <c r="F183" t="str">
        <f t="shared" si="2"/>
        <v>castle256_line_31_100_12800</v>
      </c>
      <c r="G183">
        <v>0</v>
      </c>
      <c r="H183">
        <v>0</v>
      </c>
      <c r="I183">
        <v>1.469489E-3</v>
      </c>
      <c r="J183">
        <v>8.7930000000000003E-6</v>
      </c>
      <c r="K183">
        <v>13.8672</v>
      </c>
      <c r="L183">
        <v>5.7603999999999997</v>
      </c>
      <c r="M183">
        <v>0</v>
      </c>
      <c r="N183">
        <v>0</v>
      </c>
      <c r="O183">
        <v>19.0062</v>
      </c>
    </row>
    <row r="184" spans="1:15" x14ac:dyDescent="0.25">
      <c r="A184" t="s">
        <v>21</v>
      </c>
      <c r="B184" t="s">
        <v>17</v>
      </c>
      <c r="C184">
        <v>31</v>
      </c>
      <c r="D184">
        <v>100</v>
      </c>
      <c r="E184">
        <v>25600</v>
      </c>
      <c r="F184" t="str">
        <f t="shared" si="2"/>
        <v>castle256_line_31_100_25600</v>
      </c>
      <c r="G184">
        <v>0</v>
      </c>
      <c r="H184">
        <v>0</v>
      </c>
      <c r="I184">
        <v>3.2417520000000001E-3</v>
      </c>
      <c r="J184">
        <v>8.7930000000000003E-6</v>
      </c>
      <c r="K184">
        <v>10.6082</v>
      </c>
      <c r="L184">
        <v>5.7603999999999997</v>
      </c>
      <c r="M184">
        <v>0</v>
      </c>
      <c r="N184">
        <v>0</v>
      </c>
      <c r="O184">
        <v>16.7333</v>
      </c>
    </row>
    <row r="185" spans="1:15" x14ac:dyDescent="0.25">
      <c r="A185" t="s">
        <v>21</v>
      </c>
      <c r="B185" t="s">
        <v>17</v>
      </c>
      <c r="C185">
        <v>31</v>
      </c>
      <c r="D185">
        <v>100</v>
      </c>
      <c r="E185">
        <v>102400</v>
      </c>
      <c r="F185" t="str">
        <f t="shared" si="2"/>
        <v>castle256_line_31_100_102400</v>
      </c>
      <c r="G185">
        <v>0</v>
      </c>
      <c r="H185">
        <v>0</v>
      </c>
      <c r="I185">
        <v>1.9953129E-2</v>
      </c>
      <c r="J185">
        <v>8.6759999999999996E-6</v>
      </c>
      <c r="K185">
        <v>4.1364999999999998</v>
      </c>
      <c r="L185">
        <v>5.7594000000000003</v>
      </c>
      <c r="M185">
        <v>0</v>
      </c>
      <c r="N185">
        <v>0</v>
      </c>
      <c r="O185">
        <v>12.490500000000001</v>
      </c>
    </row>
    <row r="186" spans="1:15" x14ac:dyDescent="0.25">
      <c r="A186" t="s">
        <v>21</v>
      </c>
      <c r="B186" t="s">
        <v>17</v>
      </c>
      <c r="C186">
        <v>63</v>
      </c>
      <c r="D186">
        <v>100</v>
      </c>
      <c r="E186">
        <v>200</v>
      </c>
      <c r="F186" t="str">
        <f t="shared" si="2"/>
        <v>castle256_line_63_100_200</v>
      </c>
      <c r="G186">
        <v>0</v>
      </c>
      <c r="H186">
        <v>0</v>
      </c>
      <c r="I186">
        <v>1.8923000000000002E-5</v>
      </c>
      <c r="J186">
        <v>8.636E-6</v>
      </c>
      <c r="K186">
        <v>32.604100000000003</v>
      </c>
      <c r="L186">
        <v>3.9653999999999998</v>
      </c>
      <c r="M186">
        <v>0</v>
      </c>
      <c r="N186">
        <v>0</v>
      </c>
      <c r="O186">
        <v>34.507800000000003</v>
      </c>
    </row>
    <row r="187" spans="1:15" x14ac:dyDescent="0.25">
      <c r="A187" t="s">
        <v>21</v>
      </c>
      <c r="B187" t="s">
        <v>17</v>
      </c>
      <c r="C187">
        <v>63</v>
      </c>
      <c r="D187">
        <v>100</v>
      </c>
      <c r="E187">
        <v>400</v>
      </c>
      <c r="F187" t="str">
        <f t="shared" si="2"/>
        <v>castle256_line_63_100_400</v>
      </c>
      <c r="G187">
        <v>0</v>
      </c>
      <c r="H187">
        <v>0</v>
      </c>
      <c r="I187">
        <v>3.9682999999999999E-5</v>
      </c>
      <c r="J187">
        <v>8.636E-6</v>
      </c>
      <c r="K187">
        <v>29.391300000000001</v>
      </c>
      <c r="L187">
        <v>3.9653999999999998</v>
      </c>
      <c r="M187">
        <v>0</v>
      </c>
      <c r="N187">
        <v>0</v>
      </c>
      <c r="O187">
        <v>31.817299999999999</v>
      </c>
    </row>
    <row r="188" spans="1:15" x14ac:dyDescent="0.25">
      <c r="A188" t="s">
        <v>21</v>
      </c>
      <c r="B188" t="s">
        <v>17</v>
      </c>
      <c r="C188">
        <v>63</v>
      </c>
      <c r="D188">
        <v>100</v>
      </c>
      <c r="E188">
        <v>800</v>
      </c>
      <c r="F188" t="str">
        <f t="shared" si="2"/>
        <v>castle256_line_63_100_800</v>
      </c>
      <c r="G188">
        <v>0</v>
      </c>
      <c r="H188">
        <v>0</v>
      </c>
      <c r="I188">
        <v>8.2064999999999994E-5</v>
      </c>
      <c r="J188">
        <v>8.636E-6</v>
      </c>
      <c r="K188">
        <v>26.239699999999999</v>
      </c>
      <c r="L188">
        <v>3.9653999999999998</v>
      </c>
      <c r="M188">
        <v>0</v>
      </c>
      <c r="N188">
        <v>0</v>
      </c>
      <c r="O188">
        <v>29.206299999999999</v>
      </c>
    </row>
    <row r="189" spans="1:15" x14ac:dyDescent="0.25">
      <c r="A189" t="s">
        <v>21</v>
      </c>
      <c r="B189" t="s">
        <v>17</v>
      </c>
      <c r="C189">
        <v>63</v>
      </c>
      <c r="D189">
        <v>100</v>
      </c>
      <c r="E189">
        <v>1600</v>
      </c>
      <c r="F189" t="str">
        <f t="shared" si="2"/>
        <v>castle256_line_63_100_1600</v>
      </c>
      <c r="G189">
        <v>0</v>
      </c>
      <c r="H189">
        <v>0</v>
      </c>
      <c r="I189">
        <v>1.6496600000000001E-4</v>
      </c>
      <c r="J189">
        <v>8.636E-6</v>
      </c>
      <c r="K189">
        <v>23.22</v>
      </c>
      <c r="L189">
        <v>3.9653999999999998</v>
      </c>
      <c r="M189">
        <v>0</v>
      </c>
      <c r="N189">
        <v>0</v>
      </c>
      <c r="O189">
        <v>26.641999999999999</v>
      </c>
    </row>
    <row r="190" spans="1:15" x14ac:dyDescent="0.25">
      <c r="A190" t="s">
        <v>21</v>
      </c>
      <c r="B190" t="s">
        <v>17</v>
      </c>
      <c r="C190">
        <v>63</v>
      </c>
      <c r="D190">
        <v>100</v>
      </c>
      <c r="E190">
        <v>3200</v>
      </c>
      <c r="F190" t="str">
        <f t="shared" si="2"/>
        <v>castle256_line_63_100_3200</v>
      </c>
      <c r="G190">
        <v>0</v>
      </c>
      <c r="H190">
        <v>0</v>
      </c>
      <c r="I190">
        <v>3.3816100000000002E-4</v>
      </c>
      <c r="J190">
        <v>8.636E-6</v>
      </c>
      <c r="K190">
        <v>20.119900000000001</v>
      </c>
      <c r="L190">
        <v>3.9653999999999998</v>
      </c>
      <c r="M190">
        <v>0</v>
      </c>
      <c r="N190">
        <v>0</v>
      </c>
      <c r="O190">
        <v>23.9938</v>
      </c>
    </row>
    <row r="191" spans="1:15" x14ac:dyDescent="0.25">
      <c r="A191" t="s">
        <v>21</v>
      </c>
      <c r="B191" t="s">
        <v>17</v>
      </c>
      <c r="C191">
        <v>63</v>
      </c>
      <c r="D191">
        <v>100</v>
      </c>
      <c r="E191">
        <v>6400</v>
      </c>
      <c r="F191" t="str">
        <f t="shared" si="2"/>
        <v>castle256_line_63_100_6400</v>
      </c>
      <c r="G191">
        <v>0</v>
      </c>
      <c r="H191">
        <v>0</v>
      </c>
      <c r="I191">
        <v>6.9080699999999999E-4</v>
      </c>
      <c r="J191">
        <v>8.636E-6</v>
      </c>
      <c r="K191">
        <v>17.066099999999999</v>
      </c>
      <c r="L191">
        <v>3.9653999999999998</v>
      </c>
      <c r="M191">
        <v>0</v>
      </c>
      <c r="N191">
        <v>0</v>
      </c>
      <c r="O191">
        <v>21.4785</v>
      </c>
    </row>
    <row r="192" spans="1:15" x14ac:dyDescent="0.25">
      <c r="A192" t="s">
        <v>21</v>
      </c>
      <c r="B192" t="s">
        <v>17</v>
      </c>
      <c r="C192">
        <v>63</v>
      </c>
      <c r="D192">
        <v>100</v>
      </c>
      <c r="E192">
        <v>12800</v>
      </c>
      <c r="F192" t="str">
        <f t="shared" si="2"/>
        <v>castle256_line_63_100_12800</v>
      </c>
      <c r="G192">
        <v>0</v>
      </c>
      <c r="H192">
        <v>0</v>
      </c>
      <c r="I192">
        <v>1.460203E-3</v>
      </c>
      <c r="J192">
        <v>8.636E-6</v>
      </c>
      <c r="K192">
        <v>13.894600000000001</v>
      </c>
      <c r="L192">
        <v>3.9653999999999998</v>
      </c>
      <c r="M192">
        <v>0</v>
      </c>
      <c r="N192">
        <v>0</v>
      </c>
      <c r="O192">
        <v>18.9833</v>
      </c>
    </row>
    <row r="193" spans="1:15" x14ac:dyDescent="0.25">
      <c r="A193" t="s">
        <v>21</v>
      </c>
      <c r="B193" t="s">
        <v>17</v>
      </c>
      <c r="C193">
        <v>63</v>
      </c>
      <c r="D193">
        <v>100</v>
      </c>
      <c r="E193">
        <v>25600</v>
      </c>
      <c r="F193" t="str">
        <f t="shared" si="2"/>
        <v>castle256_line_63_100_25600</v>
      </c>
      <c r="G193">
        <v>0</v>
      </c>
      <c r="H193">
        <v>0</v>
      </c>
      <c r="I193">
        <v>3.2194739999999999E-3</v>
      </c>
      <c r="J193">
        <v>8.636E-6</v>
      </c>
      <c r="K193">
        <v>10.6431</v>
      </c>
      <c r="L193">
        <v>3.9653999999999998</v>
      </c>
      <c r="M193">
        <v>0</v>
      </c>
      <c r="N193">
        <v>0</v>
      </c>
      <c r="O193">
        <v>16.697500000000002</v>
      </c>
    </row>
    <row r="194" spans="1:15" x14ac:dyDescent="0.25">
      <c r="A194" t="s">
        <v>14</v>
      </c>
      <c r="B194" t="s">
        <v>18</v>
      </c>
      <c r="C194">
        <v>3</v>
      </c>
      <c r="D194">
        <v>100</v>
      </c>
      <c r="E194">
        <v>100</v>
      </c>
      <c r="F194" t="str">
        <f t="shared" ref="F194:F257" si="3">A194&amp;"_"&amp;B194&amp;"_"&amp;C194&amp;"_"&amp;D194&amp;"_"&amp;E194</f>
        <v>lena256_blurkernel10_3_100_100</v>
      </c>
      <c r="G194">
        <v>0</v>
      </c>
      <c r="H194">
        <v>0</v>
      </c>
      <c r="I194">
        <v>9.4870000000000008E-6</v>
      </c>
      <c r="J194">
        <v>9.4560000000000006E-6</v>
      </c>
      <c r="K194">
        <v>35.616599999999998</v>
      </c>
      <c r="L194">
        <v>17.639099999999999</v>
      </c>
      <c r="M194">
        <v>0</v>
      </c>
      <c r="N194">
        <v>0</v>
      </c>
      <c r="O194">
        <v>37.619700000000002</v>
      </c>
    </row>
    <row r="195" spans="1:15" x14ac:dyDescent="0.25">
      <c r="A195" t="s">
        <v>14</v>
      </c>
      <c r="B195" t="s">
        <v>18</v>
      </c>
      <c r="C195">
        <v>3</v>
      </c>
      <c r="D195">
        <v>100</v>
      </c>
      <c r="E195">
        <v>200</v>
      </c>
      <c r="F195" t="str">
        <f t="shared" si="3"/>
        <v>lena256_blurkernel10_3_100_200</v>
      </c>
      <c r="G195">
        <v>0</v>
      </c>
      <c r="H195">
        <v>0</v>
      </c>
      <c r="I195">
        <v>2.1036E-5</v>
      </c>
      <c r="J195">
        <v>9.5389999999999996E-6</v>
      </c>
      <c r="K195">
        <v>32.159799999999997</v>
      </c>
      <c r="L195">
        <v>17.640499999999999</v>
      </c>
      <c r="M195">
        <v>0</v>
      </c>
      <c r="N195">
        <v>0</v>
      </c>
      <c r="O195">
        <v>34.822200000000002</v>
      </c>
    </row>
    <row r="196" spans="1:15" x14ac:dyDescent="0.25">
      <c r="A196" t="s">
        <v>14</v>
      </c>
      <c r="B196" t="s">
        <v>18</v>
      </c>
      <c r="C196">
        <v>3</v>
      </c>
      <c r="D196">
        <v>100</v>
      </c>
      <c r="E196">
        <v>400</v>
      </c>
      <c r="F196" t="str">
        <f t="shared" si="3"/>
        <v>lena256_blurkernel10_3_100_400</v>
      </c>
      <c r="G196">
        <v>0</v>
      </c>
      <c r="H196">
        <v>0</v>
      </c>
      <c r="I196">
        <v>4.4329000000000002E-5</v>
      </c>
      <c r="J196">
        <v>9.5389999999999996E-6</v>
      </c>
      <c r="K196">
        <v>28.924800000000001</v>
      </c>
      <c r="L196">
        <v>17.640499999999999</v>
      </c>
      <c r="M196">
        <v>0</v>
      </c>
      <c r="N196">
        <v>0</v>
      </c>
      <c r="O196">
        <v>32.2042</v>
      </c>
    </row>
    <row r="197" spans="1:15" x14ac:dyDescent="0.25">
      <c r="A197" t="s">
        <v>14</v>
      </c>
      <c r="B197" t="s">
        <v>18</v>
      </c>
      <c r="C197">
        <v>3</v>
      </c>
      <c r="D197">
        <v>100</v>
      </c>
      <c r="E197">
        <v>800</v>
      </c>
      <c r="F197" t="str">
        <f t="shared" si="3"/>
        <v>lena256_blurkernel10_3_100_800</v>
      </c>
      <c r="G197">
        <v>0</v>
      </c>
      <c r="H197">
        <v>0</v>
      </c>
      <c r="I197">
        <v>9.0593000000000005E-5</v>
      </c>
      <c r="J197">
        <v>9.5389999999999996E-6</v>
      </c>
      <c r="K197">
        <v>25.826799999999999</v>
      </c>
      <c r="L197">
        <v>17.640499999999999</v>
      </c>
      <c r="M197">
        <v>0</v>
      </c>
      <c r="N197">
        <v>0</v>
      </c>
      <c r="O197">
        <v>29.764700000000001</v>
      </c>
    </row>
    <row r="198" spans="1:15" x14ac:dyDescent="0.25">
      <c r="A198" t="s">
        <v>14</v>
      </c>
      <c r="B198" t="s">
        <v>18</v>
      </c>
      <c r="C198">
        <v>3</v>
      </c>
      <c r="D198">
        <v>100</v>
      </c>
      <c r="E198">
        <v>1600</v>
      </c>
      <c r="F198" t="str">
        <f t="shared" si="3"/>
        <v>lena256_blurkernel10_3_100_1600</v>
      </c>
      <c r="G198">
        <v>0</v>
      </c>
      <c r="H198">
        <v>0</v>
      </c>
      <c r="I198">
        <v>1.8012900000000001E-4</v>
      </c>
      <c r="J198">
        <v>9.5389999999999996E-6</v>
      </c>
      <c r="K198">
        <v>22.852699999999999</v>
      </c>
      <c r="L198">
        <v>17.640499999999999</v>
      </c>
      <c r="M198">
        <v>0</v>
      </c>
      <c r="N198">
        <v>0</v>
      </c>
      <c r="O198">
        <v>27.512799999999999</v>
      </c>
    </row>
    <row r="199" spans="1:15" x14ac:dyDescent="0.25">
      <c r="A199" t="s">
        <v>14</v>
      </c>
      <c r="B199" t="s">
        <v>18</v>
      </c>
      <c r="C199">
        <v>3</v>
      </c>
      <c r="D199">
        <v>100</v>
      </c>
      <c r="E199">
        <v>3200</v>
      </c>
      <c r="F199" t="str">
        <f t="shared" si="3"/>
        <v>lena256_blurkernel10_3_100_3200</v>
      </c>
      <c r="G199">
        <v>0</v>
      </c>
      <c r="H199">
        <v>0</v>
      </c>
      <c r="I199">
        <v>3.6904599999999999E-4</v>
      </c>
      <c r="J199">
        <v>9.5389999999999996E-6</v>
      </c>
      <c r="K199">
        <v>19.761500000000002</v>
      </c>
      <c r="L199">
        <v>17.640499999999999</v>
      </c>
      <c r="M199">
        <v>0</v>
      </c>
      <c r="N199">
        <v>0</v>
      </c>
      <c r="O199">
        <v>25.3005</v>
      </c>
    </row>
    <row r="200" spans="1:15" x14ac:dyDescent="0.25">
      <c r="A200" t="s">
        <v>14</v>
      </c>
      <c r="B200" t="s">
        <v>18</v>
      </c>
      <c r="C200">
        <v>3</v>
      </c>
      <c r="D200">
        <v>100</v>
      </c>
      <c r="E200">
        <v>6400</v>
      </c>
      <c r="F200" t="str">
        <f t="shared" si="3"/>
        <v>lena256_blurkernel10_3_100_6400</v>
      </c>
      <c r="G200">
        <v>0</v>
      </c>
      <c r="H200">
        <v>0</v>
      </c>
      <c r="I200">
        <v>7.6356899999999997E-4</v>
      </c>
      <c r="J200">
        <v>9.5389999999999996E-6</v>
      </c>
      <c r="K200">
        <v>16.652100000000001</v>
      </c>
      <c r="L200">
        <v>17.640499999999999</v>
      </c>
      <c r="M200">
        <v>0</v>
      </c>
      <c r="N200">
        <v>0</v>
      </c>
      <c r="O200">
        <v>22.993099999999998</v>
      </c>
    </row>
    <row r="201" spans="1:15" x14ac:dyDescent="0.25">
      <c r="A201" t="s">
        <v>14</v>
      </c>
      <c r="B201" t="s">
        <v>18</v>
      </c>
      <c r="C201">
        <v>3</v>
      </c>
      <c r="D201">
        <v>100</v>
      </c>
      <c r="E201">
        <v>12800</v>
      </c>
      <c r="F201" t="str">
        <f t="shared" si="3"/>
        <v>lena256_blurkernel10_3_100_12800</v>
      </c>
      <c r="G201">
        <v>0</v>
      </c>
      <c r="H201">
        <v>0</v>
      </c>
      <c r="I201">
        <v>1.6173610000000001E-3</v>
      </c>
      <c r="J201">
        <v>9.5389999999999996E-6</v>
      </c>
      <c r="K201">
        <v>13.501899999999999</v>
      </c>
      <c r="L201">
        <v>17.640499999999999</v>
      </c>
      <c r="M201">
        <v>0</v>
      </c>
      <c r="N201">
        <v>0</v>
      </c>
      <c r="O201">
        <v>20.748999999999999</v>
      </c>
    </row>
    <row r="202" spans="1:15" x14ac:dyDescent="0.25">
      <c r="A202" t="s">
        <v>14</v>
      </c>
      <c r="B202" t="s">
        <v>18</v>
      </c>
      <c r="C202">
        <v>3</v>
      </c>
      <c r="D202">
        <v>100</v>
      </c>
      <c r="E202">
        <v>25600</v>
      </c>
      <c r="F202" t="str">
        <f t="shared" si="3"/>
        <v>lena256_blurkernel10_3_100_25600</v>
      </c>
      <c r="G202">
        <v>0</v>
      </c>
      <c r="H202">
        <v>0</v>
      </c>
      <c r="I202">
        <v>3.56464E-3</v>
      </c>
      <c r="J202">
        <v>9.5389999999999996E-6</v>
      </c>
      <c r="K202">
        <v>10.2913</v>
      </c>
      <c r="L202">
        <v>17.640499999999999</v>
      </c>
      <c r="M202">
        <v>0</v>
      </c>
      <c r="N202">
        <v>0</v>
      </c>
      <c r="O202">
        <v>18.415299999999998</v>
      </c>
    </row>
    <row r="203" spans="1:15" x14ac:dyDescent="0.25">
      <c r="A203" t="s">
        <v>14</v>
      </c>
      <c r="B203" t="s">
        <v>18</v>
      </c>
      <c r="C203">
        <v>3</v>
      </c>
      <c r="D203">
        <v>100</v>
      </c>
      <c r="E203">
        <v>102400</v>
      </c>
      <c r="F203" t="str">
        <f t="shared" si="3"/>
        <v>lena256_blurkernel10_3_100_102400</v>
      </c>
      <c r="G203">
        <v>0</v>
      </c>
      <c r="H203">
        <v>0</v>
      </c>
      <c r="I203">
        <v>2.1042022000000001E-2</v>
      </c>
      <c r="J203">
        <v>9.4660000000000005E-6</v>
      </c>
      <c r="K203">
        <v>4.1284000000000001</v>
      </c>
      <c r="L203">
        <v>17.6389</v>
      </c>
      <c r="M203">
        <v>0</v>
      </c>
      <c r="N203">
        <v>0</v>
      </c>
      <c r="O203">
        <v>13.7737</v>
      </c>
    </row>
    <row r="204" spans="1:15" x14ac:dyDescent="0.25">
      <c r="A204" t="s">
        <v>14</v>
      </c>
      <c r="B204" t="s">
        <v>18</v>
      </c>
      <c r="C204">
        <v>7</v>
      </c>
      <c r="D204">
        <v>100</v>
      </c>
      <c r="E204">
        <v>100</v>
      </c>
      <c r="F204" t="str">
        <f t="shared" si="3"/>
        <v>lena256_blurkernel10_7_100_100</v>
      </c>
      <c r="G204">
        <v>0</v>
      </c>
      <c r="H204">
        <v>0</v>
      </c>
      <c r="I204">
        <v>9.5689999999999994E-6</v>
      </c>
      <c r="J204">
        <v>9.4490000000000005E-6</v>
      </c>
      <c r="K204">
        <v>35.5779</v>
      </c>
      <c r="L204">
        <v>12.008800000000001</v>
      </c>
      <c r="M204">
        <v>0</v>
      </c>
      <c r="N204">
        <v>0</v>
      </c>
      <c r="O204">
        <v>37.622100000000003</v>
      </c>
    </row>
    <row r="205" spans="1:15" x14ac:dyDescent="0.25">
      <c r="A205" t="s">
        <v>14</v>
      </c>
      <c r="B205" t="s">
        <v>18</v>
      </c>
      <c r="C205">
        <v>7</v>
      </c>
      <c r="D205">
        <v>100</v>
      </c>
      <c r="E205">
        <v>200</v>
      </c>
      <c r="F205" t="str">
        <f t="shared" si="3"/>
        <v>lena256_blurkernel10_7_100_200</v>
      </c>
      <c r="G205">
        <v>0</v>
      </c>
      <c r="H205">
        <v>0</v>
      </c>
      <c r="I205">
        <v>2.0730999999999999E-5</v>
      </c>
      <c r="J205">
        <v>9.5130000000000002E-6</v>
      </c>
      <c r="K205">
        <v>32.222700000000003</v>
      </c>
      <c r="L205">
        <v>12.0052</v>
      </c>
      <c r="M205">
        <v>0</v>
      </c>
      <c r="N205">
        <v>0</v>
      </c>
      <c r="O205">
        <v>34.878500000000003</v>
      </c>
    </row>
    <row r="206" spans="1:15" x14ac:dyDescent="0.25">
      <c r="A206" t="s">
        <v>14</v>
      </c>
      <c r="B206" t="s">
        <v>18</v>
      </c>
      <c r="C206">
        <v>7</v>
      </c>
      <c r="D206">
        <v>100</v>
      </c>
      <c r="E206">
        <v>400</v>
      </c>
      <c r="F206" t="str">
        <f t="shared" si="3"/>
        <v>lena256_blurkernel10_7_100_400</v>
      </c>
      <c r="G206">
        <v>0</v>
      </c>
      <c r="H206">
        <v>0</v>
      </c>
      <c r="I206">
        <v>4.3714000000000002E-5</v>
      </c>
      <c r="J206">
        <v>9.5130000000000002E-6</v>
      </c>
      <c r="K206">
        <v>28.985900000000001</v>
      </c>
      <c r="L206">
        <v>12.0052</v>
      </c>
      <c r="M206">
        <v>0</v>
      </c>
      <c r="N206">
        <v>0</v>
      </c>
      <c r="O206">
        <v>32.289499999999997</v>
      </c>
    </row>
    <row r="207" spans="1:15" x14ac:dyDescent="0.25">
      <c r="A207" t="s">
        <v>14</v>
      </c>
      <c r="B207" t="s">
        <v>18</v>
      </c>
      <c r="C207">
        <v>7</v>
      </c>
      <c r="D207">
        <v>100</v>
      </c>
      <c r="E207">
        <v>800</v>
      </c>
      <c r="F207" t="str">
        <f t="shared" si="3"/>
        <v>lena256_blurkernel10_7_100_800</v>
      </c>
      <c r="G207">
        <v>0</v>
      </c>
      <c r="H207">
        <v>0</v>
      </c>
      <c r="I207">
        <v>8.9791999999999997E-5</v>
      </c>
      <c r="J207">
        <v>9.5130000000000002E-6</v>
      </c>
      <c r="K207">
        <v>25.8645</v>
      </c>
      <c r="L207">
        <v>12.0052</v>
      </c>
      <c r="M207">
        <v>0</v>
      </c>
      <c r="N207">
        <v>0</v>
      </c>
      <c r="O207">
        <v>29.844799999999999</v>
      </c>
    </row>
    <row r="208" spans="1:15" x14ac:dyDescent="0.25">
      <c r="A208" t="s">
        <v>14</v>
      </c>
      <c r="B208" t="s">
        <v>18</v>
      </c>
      <c r="C208">
        <v>7</v>
      </c>
      <c r="D208">
        <v>100</v>
      </c>
      <c r="E208">
        <v>1600</v>
      </c>
      <c r="F208" t="str">
        <f t="shared" si="3"/>
        <v>lena256_blurkernel10_7_100_1600</v>
      </c>
      <c r="G208">
        <v>0</v>
      </c>
      <c r="H208">
        <v>0</v>
      </c>
      <c r="I208">
        <v>1.8247599999999999E-4</v>
      </c>
      <c r="J208">
        <v>9.5130000000000002E-6</v>
      </c>
      <c r="K208">
        <v>22.794699999999999</v>
      </c>
      <c r="L208">
        <v>12.0052</v>
      </c>
      <c r="M208">
        <v>0</v>
      </c>
      <c r="N208">
        <v>0</v>
      </c>
      <c r="O208">
        <v>27.477499999999999</v>
      </c>
    </row>
    <row r="209" spans="1:15" x14ac:dyDescent="0.25">
      <c r="A209" t="s">
        <v>14</v>
      </c>
      <c r="B209" t="s">
        <v>18</v>
      </c>
      <c r="C209">
        <v>7</v>
      </c>
      <c r="D209">
        <v>100</v>
      </c>
      <c r="E209">
        <v>3200</v>
      </c>
      <c r="F209" t="str">
        <f t="shared" si="3"/>
        <v>lena256_blurkernel10_7_100_3200</v>
      </c>
      <c r="G209">
        <v>0</v>
      </c>
      <c r="H209">
        <v>0</v>
      </c>
      <c r="I209">
        <v>3.7230299999999999E-4</v>
      </c>
      <c r="J209">
        <v>9.5130000000000002E-6</v>
      </c>
      <c r="K209">
        <v>19.727599999999999</v>
      </c>
      <c r="L209">
        <v>12.0052</v>
      </c>
      <c r="M209">
        <v>0</v>
      </c>
      <c r="N209">
        <v>0</v>
      </c>
      <c r="O209">
        <v>25.222000000000001</v>
      </c>
    </row>
    <row r="210" spans="1:15" x14ac:dyDescent="0.25">
      <c r="A210" t="s">
        <v>14</v>
      </c>
      <c r="B210" t="s">
        <v>18</v>
      </c>
      <c r="C210">
        <v>7</v>
      </c>
      <c r="D210">
        <v>100</v>
      </c>
      <c r="E210">
        <v>6400</v>
      </c>
      <c r="F210" t="str">
        <f t="shared" si="3"/>
        <v>lena256_blurkernel10_7_100_6400</v>
      </c>
      <c r="G210">
        <v>0</v>
      </c>
      <c r="H210">
        <v>0</v>
      </c>
      <c r="I210">
        <v>7.6248799999999997E-4</v>
      </c>
      <c r="J210">
        <v>9.5130000000000002E-6</v>
      </c>
      <c r="K210">
        <v>16.655000000000001</v>
      </c>
      <c r="L210">
        <v>12.0052</v>
      </c>
      <c r="M210">
        <v>0</v>
      </c>
      <c r="N210">
        <v>0</v>
      </c>
      <c r="O210">
        <v>22.975300000000001</v>
      </c>
    </row>
    <row r="211" spans="1:15" x14ac:dyDescent="0.25">
      <c r="A211" t="s">
        <v>14</v>
      </c>
      <c r="B211" t="s">
        <v>18</v>
      </c>
      <c r="C211">
        <v>7</v>
      </c>
      <c r="D211">
        <v>100</v>
      </c>
      <c r="E211">
        <v>12800</v>
      </c>
      <c r="F211" t="str">
        <f t="shared" si="3"/>
        <v>lena256_blurkernel10_7_100_12800</v>
      </c>
      <c r="G211">
        <v>0</v>
      </c>
      <c r="H211">
        <v>0</v>
      </c>
      <c r="I211">
        <v>1.607069E-3</v>
      </c>
      <c r="J211">
        <v>9.5130000000000002E-6</v>
      </c>
      <c r="K211">
        <v>13.5238</v>
      </c>
      <c r="L211">
        <v>12.0052</v>
      </c>
      <c r="M211">
        <v>0</v>
      </c>
      <c r="N211">
        <v>0</v>
      </c>
      <c r="O211">
        <v>20.778500000000001</v>
      </c>
    </row>
    <row r="212" spans="1:15" x14ac:dyDescent="0.25">
      <c r="A212" t="s">
        <v>14</v>
      </c>
      <c r="B212" t="s">
        <v>18</v>
      </c>
      <c r="C212">
        <v>7</v>
      </c>
      <c r="D212">
        <v>100</v>
      </c>
      <c r="E212">
        <v>25600</v>
      </c>
      <c r="F212" t="str">
        <f t="shared" si="3"/>
        <v>lena256_blurkernel10_7_100_25600</v>
      </c>
      <c r="G212">
        <v>0</v>
      </c>
      <c r="H212">
        <v>0</v>
      </c>
      <c r="I212">
        <v>3.546998E-3</v>
      </c>
      <c r="J212">
        <v>9.5130000000000002E-6</v>
      </c>
      <c r="K212">
        <v>10.3157</v>
      </c>
      <c r="L212">
        <v>12.0052</v>
      </c>
      <c r="M212">
        <v>0</v>
      </c>
      <c r="N212">
        <v>0</v>
      </c>
      <c r="O212">
        <v>18.4407</v>
      </c>
    </row>
    <row r="213" spans="1:15" x14ac:dyDescent="0.25">
      <c r="A213" t="s">
        <v>14</v>
      </c>
      <c r="B213" t="s">
        <v>18</v>
      </c>
      <c r="C213">
        <v>7</v>
      </c>
      <c r="D213">
        <v>100</v>
      </c>
      <c r="E213">
        <v>102400</v>
      </c>
      <c r="F213" t="str">
        <f t="shared" si="3"/>
        <v>lena256_blurkernel10_7_100_102400</v>
      </c>
      <c r="G213">
        <v>0</v>
      </c>
      <c r="H213">
        <v>0</v>
      </c>
      <c r="I213">
        <v>2.1236685000000002E-2</v>
      </c>
      <c r="J213">
        <v>9.4450000000000002E-6</v>
      </c>
      <c r="K213">
        <v>4.0980999999999996</v>
      </c>
      <c r="L213">
        <v>12.0152</v>
      </c>
      <c r="M213">
        <v>0</v>
      </c>
      <c r="N213">
        <v>0</v>
      </c>
      <c r="O213">
        <v>13.7456</v>
      </c>
    </row>
    <row r="214" spans="1:15" x14ac:dyDescent="0.25">
      <c r="A214" t="s">
        <v>14</v>
      </c>
      <c r="B214" t="s">
        <v>18</v>
      </c>
      <c r="C214">
        <v>15</v>
      </c>
      <c r="D214">
        <v>100</v>
      </c>
      <c r="E214">
        <v>100</v>
      </c>
      <c r="F214" t="str">
        <f t="shared" si="3"/>
        <v>lena256_blurkernel10_15_100_100</v>
      </c>
      <c r="G214">
        <v>0</v>
      </c>
      <c r="H214">
        <v>0</v>
      </c>
      <c r="I214">
        <v>9.6150000000000003E-6</v>
      </c>
      <c r="J214">
        <v>9.5279999999999992E-6</v>
      </c>
      <c r="K214">
        <v>35.559699999999999</v>
      </c>
      <c r="L214">
        <v>8.4258000000000006</v>
      </c>
      <c r="M214">
        <v>0</v>
      </c>
      <c r="N214">
        <v>0</v>
      </c>
      <c r="O214">
        <v>37.603099999999998</v>
      </c>
    </row>
    <row r="215" spans="1:15" x14ac:dyDescent="0.25">
      <c r="A215" t="s">
        <v>14</v>
      </c>
      <c r="B215" t="s">
        <v>18</v>
      </c>
      <c r="C215">
        <v>15</v>
      </c>
      <c r="D215">
        <v>100</v>
      </c>
      <c r="E215">
        <v>200</v>
      </c>
      <c r="F215" t="str">
        <f t="shared" si="3"/>
        <v>lena256_blurkernel10_15_100_200</v>
      </c>
      <c r="G215">
        <v>0</v>
      </c>
      <c r="H215">
        <v>0</v>
      </c>
      <c r="I215">
        <v>2.0682999999999998E-5</v>
      </c>
      <c r="J215">
        <v>9.5289999999999997E-6</v>
      </c>
      <c r="K215">
        <v>32.231900000000003</v>
      </c>
      <c r="L215">
        <v>8.4278999999999993</v>
      </c>
      <c r="M215">
        <v>0</v>
      </c>
      <c r="N215">
        <v>0</v>
      </c>
      <c r="O215">
        <v>34.883699999999997</v>
      </c>
    </row>
    <row r="216" spans="1:15" x14ac:dyDescent="0.25">
      <c r="A216" t="s">
        <v>14</v>
      </c>
      <c r="B216" t="s">
        <v>18</v>
      </c>
      <c r="C216">
        <v>15</v>
      </c>
      <c r="D216">
        <v>100</v>
      </c>
      <c r="E216">
        <v>400</v>
      </c>
      <c r="F216" t="str">
        <f t="shared" si="3"/>
        <v>lena256_blurkernel10_15_100_400</v>
      </c>
      <c r="G216">
        <v>0</v>
      </c>
      <c r="H216">
        <v>0</v>
      </c>
      <c r="I216">
        <v>4.3467999999999998E-5</v>
      </c>
      <c r="J216">
        <v>9.5289999999999997E-6</v>
      </c>
      <c r="K216">
        <v>29.010899999999999</v>
      </c>
      <c r="L216">
        <v>8.4278999999999993</v>
      </c>
      <c r="M216">
        <v>0</v>
      </c>
      <c r="N216">
        <v>0</v>
      </c>
      <c r="O216">
        <v>32.287799999999997</v>
      </c>
    </row>
    <row r="217" spans="1:15" x14ac:dyDescent="0.25">
      <c r="A217" t="s">
        <v>14</v>
      </c>
      <c r="B217" t="s">
        <v>18</v>
      </c>
      <c r="C217">
        <v>15</v>
      </c>
      <c r="D217">
        <v>100</v>
      </c>
      <c r="E217">
        <v>800</v>
      </c>
      <c r="F217" t="str">
        <f t="shared" si="3"/>
        <v>lena256_blurkernel10_15_100_800</v>
      </c>
      <c r="G217">
        <v>0</v>
      </c>
      <c r="H217">
        <v>0</v>
      </c>
      <c r="I217">
        <v>8.8826999999999995E-5</v>
      </c>
      <c r="J217">
        <v>9.5289999999999997E-6</v>
      </c>
      <c r="K217">
        <v>25.911200000000001</v>
      </c>
      <c r="L217">
        <v>8.4278999999999993</v>
      </c>
      <c r="M217">
        <v>0</v>
      </c>
      <c r="N217">
        <v>0</v>
      </c>
      <c r="O217">
        <v>29.881499999999999</v>
      </c>
    </row>
    <row r="218" spans="1:15" x14ac:dyDescent="0.25">
      <c r="A218" t="s">
        <v>14</v>
      </c>
      <c r="B218" t="s">
        <v>18</v>
      </c>
      <c r="C218">
        <v>15</v>
      </c>
      <c r="D218">
        <v>100</v>
      </c>
      <c r="E218">
        <v>1600</v>
      </c>
      <c r="F218" t="str">
        <f t="shared" si="3"/>
        <v>lena256_blurkernel10_15_100_1600</v>
      </c>
      <c r="G218">
        <v>0</v>
      </c>
      <c r="H218">
        <v>0</v>
      </c>
      <c r="I218">
        <v>1.82654E-4</v>
      </c>
      <c r="J218">
        <v>9.5289999999999997E-6</v>
      </c>
      <c r="K218">
        <v>22.790600000000001</v>
      </c>
      <c r="L218">
        <v>8.4278999999999993</v>
      </c>
      <c r="M218">
        <v>0</v>
      </c>
      <c r="N218">
        <v>0</v>
      </c>
      <c r="O218">
        <v>27.4496</v>
      </c>
    </row>
    <row r="219" spans="1:15" x14ac:dyDescent="0.25">
      <c r="A219" t="s">
        <v>14</v>
      </c>
      <c r="B219" t="s">
        <v>18</v>
      </c>
      <c r="C219">
        <v>15</v>
      </c>
      <c r="D219">
        <v>100</v>
      </c>
      <c r="E219">
        <v>3200</v>
      </c>
      <c r="F219" t="str">
        <f t="shared" si="3"/>
        <v>lena256_blurkernel10_15_100_3200</v>
      </c>
      <c r="G219">
        <v>0</v>
      </c>
      <c r="H219">
        <v>0</v>
      </c>
      <c r="I219">
        <v>3.6700600000000002E-4</v>
      </c>
      <c r="J219">
        <v>9.5289999999999997E-6</v>
      </c>
      <c r="K219">
        <v>19.7895</v>
      </c>
      <c r="L219">
        <v>8.4278999999999993</v>
      </c>
      <c r="M219">
        <v>0</v>
      </c>
      <c r="N219">
        <v>0</v>
      </c>
      <c r="O219">
        <v>25.222100000000001</v>
      </c>
    </row>
    <row r="220" spans="1:15" x14ac:dyDescent="0.25">
      <c r="A220" t="s">
        <v>14</v>
      </c>
      <c r="B220" t="s">
        <v>18</v>
      </c>
      <c r="C220">
        <v>15</v>
      </c>
      <c r="D220">
        <v>100</v>
      </c>
      <c r="E220">
        <v>6400</v>
      </c>
      <c r="F220" t="str">
        <f t="shared" si="3"/>
        <v>lena256_blurkernel10_15_100_6400</v>
      </c>
      <c r="G220">
        <v>0</v>
      </c>
      <c r="H220">
        <v>0</v>
      </c>
      <c r="I220">
        <v>7.6268500000000003E-4</v>
      </c>
      <c r="J220">
        <v>9.5289999999999997E-6</v>
      </c>
      <c r="K220">
        <v>16.657</v>
      </c>
      <c r="L220">
        <v>8.4278999999999993</v>
      </c>
      <c r="M220">
        <v>0</v>
      </c>
      <c r="N220">
        <v>0</v>
      </c>
      <c r="O220">
        <v>23.088100000000001</v>
      </c>
    </row>
    <row r="221" spans="1:15" x14ac:dyDescent="0.25">
      <c r="A221" t="s">
        <v>14</v>
      </c>
      <c r="B221" t="s">
        <v>18</v>
      </c>
      <c r="C221">
        <v>15</v>
      </c>
      <c r="D221">
        <v>100</v>
      </c>
      <c r="E221">
        <v>12800</v>
      </c>
      <c r="F221" t="str">
        <f t="shared" si="3"/>
        <v>lena256_blurkernel10_15_100_12800</v>
      </c>
      <c r="G221">
        <v>0</v>
      </c>
      <c r="H221">
        <v>0</v>
      </c>
      <c r="I221">
        <v>1.621475E-3</v>
      </c>
      <c r="J221">
        <v>9.5289999999999997E-6</v>
      </c>
      <c r="K221">
        <v>13.4923</v>
      </c>
      <c r="L221">
        <v>8.4278999999999993</v>
      </c>
      <c r="M221">
        <v>0</v>
      </c>
      <c r="N221">
        <v>0</v>
      </c>
      <c r="O221">
        <v>20.708100000000002</v>
      </c>
    </row>
    <row r="222" spans="1:15" x14ac:dyDescent="0.25">
      <c r="A222" t="s">
        <v>14</v>
      </c>
      <c r="B222" t="s">
        <v>18</v>
      </c>
      <c r="C222">
        <v>15</v>
      </c>
      <c r="D222">
        <v>100</v>
      </c>
      <c r="E222">
        <v>25600</v>
      </c>
      <c r="F222" t="str">
        <f t="shared" si="3"/>
        <v>lena256_blurkernel10_15_100_25600</v>
      </c>
      <c r="G222">
        <v>0</v>
      </c>
      <c r="H222">
        <v>0</v>
      </c>
      <c r="I222">
        <v>3.5661730000000002E-3</v>
      </c>
      <c r="J222">
        <v>9.5289999999999997E-6</v>
      </c>
      <c r="K222">
        <v>10.292899999999999</v>
      </c>
      <c r="L222">
        <v>8.4278999999999993</v>
      </c>
      <c r="M222">
        <v>0</v>
      </c>
      <c r="N222">
        <v>0</v>
      </c>
      <c r="O222">
        <v>18.391300000000001</v>
      </c>
    </row>
    <row r="223" spans="1:15" x14ac:dyDescent="0.25">
      <c r="A223" t="s">
        <v>14</v>
      </c>
      <c r="B223" t="s">
        <v>18</v>
      </c>
      <c r="C223">
        <v>15</v>
      </c>
      <c r="D223">
        <v>100</v>
      </c>
      <c r="E223">
        <v>102400</v>
      </c>
      <c r="F223" t="str">
        <f t="shared" si="3"/>
        <v>lena256_blurkernel10_15_100_102400</v>
      </c>
      <c r="G223">
        <v>0</v>
      </c>
      <c r="H223">
        <v>0</v>
      </c>
      <c r="I223">
        <v>2.1259394000000001E-2</v>
      </c>
      <c r="J223">
        <v>9.5109999999999992E-6</v>
      </c>
      <c r="K223">
        <v>4.0972999999999997</v>
      </c>
      <c r="L223">
        <v>8.4284999999999997</v>
      </c>
      <c r="M223">
        <v>0</v>
      </c>
      <c r="N223">
        <v>0</v>
      </c>
      <c r="O223">
        <v>13.7279</v>
      </c>
    </row>
    <row r="224" spans="1:15" x14ac:dyDescent="0.25">
      <c r="A224" t="s">
        <v>14</v>
      </c>
      <c r="B224" t="s">
        <v>18</v>
      </c>
      <c r="C224">
        <v>31</v>
      </c>
      <c r="D224">
        <v>100</v>
      </c>
      <c r="E224">
        <v>100</v>
      </c>
      <c r="F224" t="str">
        <f t="shared" si="3"/>
        <v>lena256_blurkernel10_31_100_100</v>
      </c>
      <c r="G224">
        <v>0</v>
      </c>
      <c r="H224">
        <v>0</v>
      </c>
      <c r="I224">
        <v>9.533E-6</v>
      </c>
      <c r="J224">
        <v>9.4520000000000003E-6</v>
      </c>
      <c r="K224">
        <v>35.595700000000001</v>
      </c>
      <c r="L224">
        <v>5.6356999999999999</v>
      </c>
      <c r="M224">
        <v>0</v>
      </c>
      <c r="N224">
        <v>0</v>
      </c>
      <c r="O224">
        <v>37.665300000000002</v>
      </c>
    </row>
    <row r="225" spans="1:15" x14ac:dyDescent="0.25">
      <c r="A225" t="s">
        <v>14</v>
      </c>
      <c r="B225" t="s">
        <v>18</v>
      </c>
      <c r="C225">
        <v>31</v>
      </c>
      <c r="D225">
        <v>100</v>
      </c>
      <c r="E225">
        <v>200</v>
      </c>
      <c r="F225" t="str">
        <f t="shared" si="3"/>
        <v>lena256_blurkernel10_31_100_200</v>
      </c>
      <c r="G225">
        <v>0</v>
      </c>
      <c r="H225">
        <v>0</v>
      </c>
      <c r="I225">
        <v>2.0891999999999999E-5</v>
      </c>
      <c r="J225">
        <v>9.5519999999999993E-6</v>
      </c>
      <c r="K225">
        <v>32.1892</v>
      </c>
      <c r="L225">
        <v>5.6376999999999997</v>
      </c>
      <c r="M225">
        <v>0</v>
      </c>
      <c r="N225">
        <v>0</v>
      </c>
      <c r="O225">
        <v>34.800199999999997</v>
      </c>
    </row>
    <row r="226" spans="1:15" x14ac:dyDescent="0.25">
      <c r="A226" t="s">
        <v>14</v>
      </c>
      <c r="B226" t="s">
        <v>18</v>
      </c>
      <c r="C226">
        <v>31</v>
      </c>
      <c r="D226">
        <v>100</v>
      </c>
      <c r="E226">
        <v>400</v>
      </c>
      <c r="F226" t="str">
        <f t="shared" si="3"/>
        <v>lena256_blurkernel10_31_100_400</v>
      </c>
      <c r="G226">
        <v>0</v>
      </c>
      <c r="H226">
        <v>0</v>
      </c>
      <c r="I226">
        <v>4.4097000000000001E-5</v>
      </c>
      <c r="J226">
        <v>9.5519999999999993E-6</v>
      </c>
      <c r="K226">
        <v>28.949100000000001</v>
      </c>
      <c r="L226">
        <v>5.6376999999999997</v>
      </c>
      <c r="M226">
        <v>0</v>
      </c>
      <c r="N226">
        <v>0</v>
      </c>
      <c r="O226">
        <v>32.215600000000002</v>
      </c>
    </row>
    <row r="227" spans="1:15" x14ac:dyDescent="0.25">
      <c r="A227" t="s">
        <v>14</v>
      </c>
      <c r="B227" t="s">
        <v>18</v>
      </c>
      <c r="C227">
        <v>31</v>
      </c>
      <c r="D227">
        <v>100</v>
      </c>
      <c r="E227">
        <v>800</v>
      </c>
      <c r="F227" t="str">
        <f t="shared" si="3"/>
        <v>lena256_blurkernel10_31_100_800</v>
      </c>
      <c r="G227">
        <v>0</v>
      </c>
      <c r="H227">
        <v>0</v>
      </c>
      <c r="I227">
        <v>8.9752000000000004E-5</v>
      </c>
      <c r="J227">
        <v>9.5519999999999993E-6</v>
      </c>
      <c r="K227">
        <v>25.868400000000001</v>
      </c>
      <c r="L227">
        <v>5.6376999999999997</v>
      </c>
      <c r="M227">
        <v>0</v>
      </c>
      <c r="N227">
        <v>0</v>
      </c>
      <c r="O227">
        <v>29.807300000000001</v>
      </c>
    </row>
    <row r="228" spans="1:15" x14ac:dyDescent="0.25">
      <c r="A228" t="s">
        <v>14</v>
      </c>
      <c r="B228" t="s">
        <v>18</v>
      </c>
      <c r="C228">
        <v>31</v>
      </c>
      <c r="D228">
        <v>100</v>
      </c>
      <c r="E228">
        <v>1600</v>
      </c>
      <c r="F228" t="str">
        <f t="shared" si="3"/>
        <v>lena256_blurkernel10_31_100_1600</v>
      </c>
      <c r="G228">
        <v>0</v>
      </c>
      <c r="H228">
        <v>0</v>
      </c>
      <c r="I228">
        <v>1.8089000000000001E-4</v>
      </c>
      <c r="J228">
        <v>9.5519999999999993E-6</v>
      </c>
      <c r="K228">
        <v>22.834</v>
      </c>
      <c r="L228">
        <v>5.6376999999999997</v>
      </c>
      <c r="M228">
        <v>0</v>
      </c>
      <c r="N228">
        <v>0</v>
      </c>
      <c r="O228">
        <v>27.5351</v>
      </c>
    </row>
    <row r="229" spans="1:15" x14ac:dyDescent="0.25">
      <c r="A229" t="s">
        <v>14</v>
      </c>
      <c r="B229" t="s">
        <v>18</v>
      </c>
      <c r="C229">
        <v>31</v>
      </c>
      <c r="D229">
        <v>100</v>
      </c>
      <c r="E229">
        <v>3200</v>
      </c>
      <c r="F229" t="str">
        <f t="shared" si="3"/>
        <v>lena256_blurkernel10_31_100_3200</v>
      </c>
      <c r="G229">
        <v>0</v>
      </c>
      <c r="H229">
        <v>0</v>
      </c>
      <c r="I229">
        <v>3.7097900000000001E-4</v>
      </c>
      <c r="J229">
        <v>9.5519999999999993E-6</v>
      </c>
      <c r="K229">
        <v>19.737400000000001</v>
      </c>
      <c r="L229">
        <v>5.6376999999999997</v>
      </c>
      <c r="M229">
        <v>0</v>
      </c>
      <c r="N229">
        <v>0</v>
      </c>
      <c r="O229">
        <v>25.197399999999998</v>
      </c>
    </row>
    <row r="230" spans="1:15" x14ac:dyDescent="0.25">
      <c r="A230" t="s">
        <v>14</v>
      </c>
      <c r="B230" t="s">
        <v>18</v>
      </c>
      <c r="C230">
        <v>31</v>
      </c>
      <c r="D230">
        <v>100</v>
      </c>
      <c r="E230">
        <v>6400</v>
      </c>
      <c r="F230" t="str">
        <f t="shared" si="3"/>
        <v>lena256_blurkernel10_31_100_6400</v>
      </c>
      <c r="G230">
        <v>0</v>
      </c>
      <c r="H230">
        <v>0</v>
      </c>
      <c r="I230">
        <v>7.6560199999999999E-4</v>
      </c>
      <c r="J230">
        <v>9.5519999999999993E-6</v>
      </c>
      <c r="K230">
        <v>16.645800000000001</v>
      </c>
      <c r="L230">
        <v>5.6376999999999997</v>
      </c>
      <c r="M230">
        <v>0</v>
      </c>
      <c r="N230">
        <v>0</v>
      </c>
      <c r="O230">
        <v>23.012599999999999</v>
      </c>
    </row>
    <row r="231" spans="1:15" x14ac:dyDescent="0.25">
      <c r="A231" t="s">
        <v>14</v>
      </c>
      <c r="B231" t="s">
        <v>18</v>
      </c>
      <c r="C231">
        <v>31</v>
      </c>
      <c r="D231">
        <v>100</v>
      </c>
      <c r="E231">
        <v>12800</v>
      </c>
      <c r="F231" t="str">
        <f t="shared" si="3"/>
        <v>lena256_blurkernel10_31_100_12800</v>
      </c>
      <c r="G231">
        <v>0</v>
      </c>
      <c r="H231">
        <v>0</v>
      </c>
      <c r="I231">
        <v>1.6186410000000001E-3</v>
      </c>
      <c r="J231">
        <v>9.5519999999999993E-6</v>
      </c>
      <c r="K231">
        <v>13.4869</v>
      </c>
      <c r="L231">
        <v>5.6376999999999997</v>
      </c>
      <c r="M231">
        <v>0</v>
      </c>
      <c r="N231">
        <v>0</v>
      </c>
      <c r="O231">
        <v>20.751300000000001</v>
      </c>
    </row>
    <row r="232" spans="1:15" x14ac:dyDescent="0.25">
      <c r="A232" t="s">
        <v>14</v>
      </c>
      <c r="B232" t="s">
        <v>18</v>
      </c>
      <c r="C232">
        <v>31</v>
      </c>
      <c r="D232">
        <v>100</v>
      </c>
      <c r="E232">
        <v>25600</v>
      </c>
      <c r="F232" t="str">
        <f t="shared" si="3"/>
        <v>lena256_blurkernel10_31_100_25600</v>
      </c>
      <c r="G232">
        <v>0</v>
      </c>
      <c r="H232">
        <v>0</v>
      </c>
      <c r="I232">
        <v>3.5501859999999999E-3</v>
      </c>
      <c r="J232">
        <v>9.5519999999999993E-6</v>
      </c>
      <c r="K232">
        <v>10.296900000000001</v>
      </c>
      <c r="L232">
        <v>5.6376999999999997</v>
      </c>
      <c r="M232">
        <v>0</v>
      </c>
      <c r="N232">
        <v>0</v>
      </c>
      <c r="O232">
        <v>18.4725</v>
      </c>
    </row>
    <row r="233" spans="1:15" x14ac:dyDescent="0.25">
      <c r="A233" t="s">
        <v>14</v>
      </c>
      <c r="B233" t="s">
        <v>18</v>
      </c>
      <c r="C233">
        <v>31</v>
      </c>
      <c r="D233">
        <v>100</v>
      </c>
      <c r="E233">
        <v>102400</v>
      </c>
      <c r="F233" t="str">
        <f t="shared" si="3"/>
        <v>lena256_blurkernel10_31_100_102400</v>
      </c>
      <c r="G233">
        <v>0</v>
      </c>
      <c r="H233">
        <v>0</v>
      </c>
      <c r="I233">
        <v>2.1019784999999999E-2</v>
      </c>
      <c r="J233">
        <v>9.5440000000000004E-6</v>
      </c>
      <c r="K233">
        <v>4.1524000000000001</v>
      </c>
      <c r="L233">
        <v>5.6363000000000003</v>
      </c>
      <c r="M233">
        <v>0</v>
      </c>
      <c r="N233">
        <v>0</v>
      </c>
      <c r="O233">
        <v>13.898</v>
      </c>
    </row>
    <row r="234" spans="1:15" x14ac:dyDescent="0.25">
      <c r="A234" t="s">
        <v>14</v>
      </c>
      <c r="B234" t="s">
        <v>18</v>
      </c>
      <c r="C234">
        <v>63</v>
      </c>
      <c r="D234">
        <v>100</v>
      </c>
      <c r="E234">
        <v>200</v>
      </c>
      <c r="F234" t="str">
        <f t="shared" si="3"/>
        <v>lena256_blurkernel10_63_100_200</v>
      </c>
      <c r="G234">
        <v>0</v>
      </c>
      <c r="H234">
        <v>0</v>
      </c>
      <c r="I234">
        <v>2.0984000000000001E-5</v>
      </c>
      <c r="J234">
        <v>9.6120000000000005E-6</v>
      </c>
      <c r="K234">
        <v>32.168700000000001</v>
      </c>
      <c r="L234">
        <v>3.3489</v>
      </c>
      <c r="M234">
        <v>0</v>
      </c>
      <c r="N234">
        <v>0</v>
      </c>
      <c r="O234">
        <v>34.822899999999997</v>
      </c>
    </row>
    <row r="235" spans="1:15" x14ac:dyDescent="0.25">
      <c r="A235" t="s">
        <v>14</v>
      </c>
      <c r="B235" t="s">
        <v>18</v>
      </c>
      <c r="C235">
        <v>63</v>
      </c>
      <c r="D235">
        <v>100</v>
      </c>
      <c r="E235">
        <v>400</v>
      </c>
      <c r="F235" t="str">
        <f t="shared" si="3"/>
        <v>lena256_blurkernel10_63_100_400</v>
      </c>
      <c r="G235">
        <v>0</v>
      </c>
      <c r="H235">
        <v>0</v>
      </c>
      <c r="I235">
        <v>4.3407E-5</v>
      </c>
      <c r="J235">
        <v>9.6120000000000005E-6</v>
      </c>
      <c r="K235">
        <v>29.016400000000001</v>
      </c>
      <c r="L235">
        <v>3.3489</v>
      </c>
      <c r="M235">
        <v>0</v>
      </c>
      <c r="N235">
        <v>0</v>
      </c>
      <c r="O235">
        <v>32.282699999999998</v>
      </c>
    </row>
    <row r="236" spans="1:15" x14ac:dyDescent="0.25">
      <c r="A236" t="s">
        <v>14</v>
      </c>
      <c r="B236" t="s">
        <v>18</v>
      </c>
      <c r="C236">
        <v>63</v>
      </c>
      <c r="D236">
        <v>100</v>
      </c>
      <c r="E236">
        <v>800</v>
      </c>
      <c r="F236" t="str">
        <f t="shared" si="3"/>
        <v>lena256_blurkernel10_63_100_800</v>
      </c>
      <c r="G236">
        <v>0</v>
      </c>
      <c r="H236">
        <v>0</v>
      </c>
      <c r="I236">
        <v>8.9326999999999994E-5</v>
      </c>
      <c r="J236">
        <v>9.6120000000000005E-6</v>
      </c>
      <c r="K236">
        <v>25.8856</v>
      </c>
      <c r="L236">
        <v>3.3489</v>
      </c>
      <c r="M236">
        <v>0</v>
      </c>
      <c r="N236">
        <v>0</v>
      </c>
      <c r="O236">
        <v>29.836600000000001</v>
      </c>
    </row>
    <row r="237" spans="1:15" x14ac:dyDescent="0.25">
      <c r="A237" t="s">
        <v>14</v>
      </c>
      <c r="B237" t="s">
        <v>18</v>
      </c>
      <c r="C237">
        <v>63</v>
      </c>
      <c r="D237">
        <v>100</v>
      </c>
      <c r="E237">
        <v>1600</v>
      </c>
      <c r="F237" t="str">
        <f t="shared" si="3"/>
        <v>lena256_blurkernel10_63_100_1600</v>
      </c>
      <c r="G237">
        <v>0</v>
      </c>
      <c r="H237">
        <v>0</v>
      </c>
      <c r="I237">
        <v>1.8197100000000001E-4</v>
      </c>
      <c r="J237">
        <v>9.6120000000000005E-6</v>
      </c>
      <c r="K237">
        <v>22.8109</v>
      </c>
      <c r="L237">
        <v>3.3489</v>
      </c>
      <c r="M237">
        <v>0</v>
      </c>
      <c r="N237">
        <v>0</v>
      </c>
      <c r="O237">
        <v>27.5578</v>
      </c>
    </row>
    <row r="238" spans="1:15" x14ac:dyDescent="0.25">
      <c r="A238" t="s">
        <v>14</v>
      </c>
      <c r="B238" t="s">
        <v>18</v>
      </c>
      <c r="C238">
        <v>63</v>
      </c>
      <c r="D238">
        <v>100</v>
      </c>
      <c r="E238">
        <v>3200</v>
      </c>
      <c r="F238" t="str">
        <f t="shared" si="3"/>
        <v>lena256_blurkernel10_63_100_3200</v>
      </c>
      <c r="G238">
        <v>0</v>
      </c>
      <c r="H238">
        <v>0</v>
      </c>
      <c r="I238">
        <v>3.6956400000000001E-4</v>
      </c>
      <c r="J238">
        <v>9.6120000000000005E-6</v>
      </c>
      <c r="K238">
        <v>19.7563</v>
      </c>
      <c r="L238">
        <v>3.3489</v>
      </c>
      <c r="M238">
        <v>0</v>
      </c>
      <c r="N238">
        <v>0</v>
      </c>
      <c r="O238">
        <v>25.2578</v>
      </c>
    </row>
    <row r="239" spans="1:15" x14ac:dyDescent="0.25">
      <c r="A239" t="s">
        <v>14</v>
      </c>
      <c r="B239" t="s">
        <v>18</v>
      </c>
      <c r="C239">
        <v>63</v>
      </c>
      <c r="D239">
        <v>100</v>
      </c>
      <c r="E239">
        <v>6400</v>
      </c>
      <c r="F239" t="str">
        <f t="shared" si="3"/>
        <v>lena256_blurkernel10_63_100_6400</v>
      </c>
      <c r="G239">
        <v>0</v>
      </c>
      <c r="H239">
        <v>0</v>
      </c>
      <c r="I239">
        <v>7.6325799999999995E-4</v>
      </c>
      <c r="J239">
        <v>9.6120000000000005E-6</v>
      </c>
      <c r="K239">
        <v>16.659400000000002</v>
      </c>
      <c r="L239">
        <v>3.3489</v>
      </c>
      <c r="M239">
        <v>0</v>
      </c>
      <c r="N239">
        <v>0</v>
      </c>
      <c r="O239">
        <v>23.044699999999999</v>
      </c>
    </row>
    <row r="240" spans="1:15" x14ac:dyDescent="0.25">
      <c r="A240" t="s">
        <v>14</v>
      </c>
      <c r="B240" t="s">
        <v>18</v>
      </c>
      <c r="C240">
        <v>63</v>
      </c>
      <c r="D240">
        <v>100</v>
      </c>
      <c r="E240">
        <v>12800</v>
      </c>
      <c r="F240" t="str">
        <f t="shared" si="3"/>
        <v>lena256_blurkernel10_63_100_12800</v>
      </c>
      <c r="G240">
        <v>0</v>
      </c>
      <c r="H240">
        <v>0</v>
      </c>
      <c r="I240">
        <v>1.615158E-3</v>
      </c>
      <c r="J240">
        <v>9.6120000000000005E-6</v>
      </c>
      <c r="K240">
        <v>13.5067</v>
      </c>
      <c r="L240">
        <v>3.3489</v>
      </c>
      <c r="M240">
        <v>0</v>
      </c>
      <c r="N240">
        <v>0</v>
      </c>
      <c r="O240">
        <v>20.760300000000001</v>
      </c>
    </row>
    <row r="241" spans="1:15" x14ac:dyDescent="0.25">
      <c r="A241" t="s">
        <v>14</v>
      </c>
      <c r="B241" t="s">
        <v>18</v>
      </c>
      <c r="C241">
        <v>63</v>
      </c>
      <c r="D241">
        <v>100</v>
      </c>
      <c r="E241">
        <v>25600</v>
      </c>
      <c r="F241" t="str">
        <f t="shared" si="3"/>
        <v>lena256_blurkernel10_63_100_25600</v>
      </c>
      <c r="G241">
        <v>0</v>
      </c>
      <c r="H241">
        <v>0</v>
      </c>
      <c r="I241">
        <v>3.5613300000000001E-3</v>
      </c>
      <c r="J241">
        <v>9.6120000000000005E-6</v>
      </c>
      <c r="K241">
        <v>10.299899999999999</v>
      </c>
      <c r="L241">
        <v>3.3489</v>
      </c>
      <c r="M241">
        <v>0</v>
      </c>
      <c r="N241">
        <v>0</v>
      </c>
      <c r="O241">
        <v>18.420200000000001</v>
      </c>
    </row>
    <row r="242" spans="1:15" x14ac:dyDescent="0.25">
      <c r="A242" t="s">
        <v>14</v>
      </c>
      <c r="B242" t="s">
        <v>15</v>
      </c>
      <c r="C242">
        <v>3</v>
      </c>
      <c r="D242">
        <v>100</v>
      </c>
      <c r="E242">
        <v>100</v>
      </c>
      <c r="F242" t="str">
        <f t="shared" si="3"/>
        <v>lena256_blurkernel7_3_100_100</v>
      </c>
      <c r="G242">
        <v>0</v>
      </c>
      <c r="H242">
        <v>0</v>
      </c>
      <c r="I242">
        <v>9.5279999999999992E-6</v>
      </c>
      <c r="J242">
        <v>9.6090000000000007E-6</v>
      </c>
      <c r="K242">
        <v>35.596600000000002</v>
      </c>
      <c r="L242">
        <v>18.034600000000001</v>
      </c>
      <c r="M242">
        <v>0</v>
      </c>
      <c r="N242">
        <v>0</v>
      </c>
      <c r="O242">
        <v>37.664900000000003</v>
      </c>
    </row>
    <row r="243" spans="1:15" x14ac:dyDescent="0.25">
      <c r="A243" t="s">
        <v>14</v>
      </c>
      <c r="B243" t="s">
        <v>15</v>
      </c>
      <c r="C243">
        <v>3</v>
      </c>
      <c r="D243">
        <v>100</v>
      </c>
      <c r="E243">
        <v>200</v>
      </c>
      <c r="F243" t="str">
        <f t="shared" si="3"/>
        <v>lena256_blurkernel7_3_100_200</v>
      </c>
      <c r="G243">
        <v>0</v>
      </c>
      <c r="H243">
        <v>0</v>
      </c>
      <c r="I243">
        <v>2.0869E-5</v>
      </c>
      <c r="J243">
        <v>9.4490000000000005E-6</v>
      </c>
      <c r="K243">
        <v>32.192900000000002</v>
      </c>
      <c r="L243">
        <v>18.027899999999999</v>
      </c>
      <c r="M243">
        <v>0</v>
      </c>
      <c r="N243">
        <v>0</v>
      </c>
      <c r="O243">
        <v>34.8491</v>
      </c>
    </row>
    <row r="244" spans="1:15" x14ac:dyDescent="0.25">
      <c r="A244" t="s">
        <v>14</v>
      </c>
      <c r="B244" t="s">
        <v>15</v>
      </c>
      <c r="C244">
        <v>3</v>
      </c>
      <c r="D244">
        <v>100</v>
      </c>
      <c r="E244">
        <v>400</v>
      </c>
      <c r="F244" t="str">
        <f t="shared" si="3"/>
        <v>lena256_blurkernel7_3_100_400</v>
      </c>
      <c r="G244">
        <v>0</v>
      </c>
      <c r="H244">
        <v>0</v>
      </c>
      <c r="I244">
        <v>4.3532999999999998E-5</v>
      </c>
      <c r="J244">
        <v>9.4490000000000005E-6</v>
      </c>
      <c r="K244">
        <v>29.004000000000001</v>
      </c>
      <c r="L244">
        <v>18.027899999999999</v>
      </c>
      <c r="M244">
        <v>0</v>
      </c>
      <c r="N244">
        <v>0</v>
      </c>
      <c r="O244">
        <v>32.284100000000002</v>
      </c>
    </row>
    <row r="245" spans="1:15" x14ac:dyDescent="0.25">
      <c r="A245" t="s">
        <v>14</v>
      </c>
      <c r="B245" t="s">
        <v>15</v>
      </c>
      <c r="C245">
        <v>3</v>
      </c>
      <c r="D245">
        <v>100</v>
      </c>
      <c r="E245">
        <v>800</v>
      </c>
      <c r="F245" t="str">
        <f t="shared" si="3"/>
        <v>lena256_blurkernel7_3_100_800</v>
      </c>
      <c r="G245">
        <v>0</v>
      </c>
      <c r="H245">
        <v>0</v>
      </c>
      <c r="I245">
        <v>8.9677000000000002E-5</v>
      </c>
      <c r="J245">
        <v>9.4490000000000005E-6</v>
      </c>
      <c r="K245">
        <v>25.869900000000001</v>
      </c>
      <c r="L245">
        <v>18.027899999999999</v>
      </c>
      <c r="M245">
        <v>0</v>
      </c>
      <c r="N245">
        <v>0</v>
      </c>
      <c r="O245">
        <v>29.7971</v>
      </c>
    </row>
    <row r="246" spans="1:15" x14ac:dyDescent="0.25">
      <c r="A246" t="s">
        <v>14</v>
      </c>
      <c r="B246" t="s">
        <v>15</v>
      </c>
      <c r="C246">
        <v>3</v>
      </c>
      <c r="D246">
        <v>100</v>
      </c>
      <c r="E246">
        <v>1600</v>
      </c>
      <c r="F246" t="str">
        <f t="shared" si="3"/>
        <v>lena256_blurkernel7_3_100_1600</v>
      </c>
      <c r="G246">
        <v>0</v>
      </c>
      <c r="H246">
        <v>0</v>
      </c>
      <c r="I246">
        <v>1.81478E-4</v>
      </c>
      <c r="J246">
        <v>9.4490000000000005E-6</v>
      </c>
      <c r="K246">
        <v>22.821100000000001</v>
      </c>
      <c r="L246">
        <v>18.027899999999999</v>
      </c>
      <c r="M246">
        <v>0</v>
      </c>
      <c r="N246">
        <v>0</v>
      </c>
      <c r="O246">
        <v>27.527200000000001</v>
      </c>
    </row>
    <row r="247" spans="1:15" x14ac:dyDescent="0.25">
      <c r="A247" t="s">
        <v>14</v>
      </c>
      <c r="B247" t="s">
        <v>15</v>
      </c>
      <c r="C247">
        <v>3</v>
      </c>
      <c r="D247">
        <v>100</v>
      </c>
      <c r="E247">
        <v>3200</v>
      </c>
      <c r="F247" t="str">
        <f t="shared" si="3"/>
        <v>lena256_blurkernel7_3_100_3200</v>
      </c>
      <c r="G247">
        <v>0</v>
      </c>
      <c r="H247">
        <v>0</v>
      </c>
      <c r="I247">
        <v>3.71016E-4</v>
      </c>
      <c r="J247">
        <v>9.4490000000000005E-6</v>
      </c>
      <c r="K247">
        <v>19.737400000000001</v>
      </c>
      <c r="L247">
        <v>18.027899999999999</v>
      </c>
      <c r="M247">
        <v>0</v>
      </c>
      <c r="N247">
        <v>0</v>
      </c>
      <c r="O247">
        <v>25.249700000000001</v>
      </c>
    </row>
    <row r="248" spans="1:15" x14ac:dyDescent="0.25">
      <c r="A248" t="s">
        <v>14</v>
      </c>
      <c r="B248" t="s">
        <v>15</v>
      </c>
      <c r="C248">
        <v>3</v>
      </c>
      <c r="D248">
        <v>100</v>
      </c>
      <c r="E248">
        <v>6400</v>
      </c>
      <c r="F248" t="str">
        <f t="shared" si="3"/>
        <v>lena256_blurkernel7_3_100_6400</v>
      </c>
      <c r="G248">
        <v>0</v>
      </c>
      <c r="H248">
        <v>0</v>
      </c>
      <c r="I248">
        <v>7.6508399999999997E-4</v>
      </c>
      <c r="J248">
        <v>9.4490000000000005E-6</v>
      </c>
      <c r="K248">
        <v>16.645700000000001</v>
      </c>
      <c r="L248">
        <v>18.027899999999999</v>
      </c>
      <c r="M248">
        <v>0</v>
      </c>
      <c r="N248">
        <v>0</v>
      </c>
      <c r="O248">
        <v>22.936399999999999</v>
      </c>
    </row>
    <row r="249" spans="1:15" x14ac:dyDescent="0.25">
      <c r="A249" t="s">
        <v>14</v>
      </c>
      <c r="B249" t="s">
        <v>15</v>
      </c>
      <c r="C249">
        <v>3</v>
      </c>
      <c r="D249">
        <v>100</v>
      </c>
      <c r="E249">
        <v>12800</v>
      </c>
      <c r="F249" t="str">
        <f t="shared" si="3"/>
        <v>lena256_blurkernel7_3_100_12800</v>
      </c>
      <c r="G249">
        <v>0</v>
      </c>
      <c r="H249">
        <v>0</v>
      </c>
      <c r="I249">
        <v>1.61758E-3</v>
      </c>
      <c r="J249">
        <v>9.4490000000000005E-6</v>
      </c>
      <c r="K249">
        <v>13.5139</v>
      </c>
      <c r="L249">
        <v>18.027899999999999</v>
      </c>
      <c r="M249">
        <v>0</v>
      </c>
      <c r="N249">
        <v>0</v>
      </c>
      <c r="O249">
        <v>20.715399999999999</v>
      </c>
    </row>
    <row r="250" spans="1:15" x14ac:dyDescent="0.25">
      <c r="A250" t="s">
        <v>14</v>
      </c>
      <c r="B250" t="s">
        <v>15</v>
      </c>
      <c r="C250">
        <v>3</v>
      </c>
      <c r="D250">
        <v>100</v>
      </c>
      <c r="E250">
        <v>25600</v>
      </c>
      <c r="F250" t="str">
        <f t="shared" si="3"/>
        <v>lena256_blurkernel7_3_100_25600</v>
      </c>
      <c r="G250">
        <v>0</v>
      </c>
      <c r="H250">
        <v>0</v>
      </c>
      <c r="I250">
        <v>3.5791439999999998E-3</v>
      </c>
      <c r="J250">
        <v>9.4490000000000005E-6</v>
      </c>
      <c r="K250">
        <v>10.270899999999999</v>
      </c>
      <c r="L250">
        <v>18.027899999999999</v>
      </c>
      <c r="M250">
        <v>0</v>
      </c>
      <c r="N250">
        <v>0</v>
      </c>
      <c r="O250">
        <v>18.4175</v>
      </c>
    </row>
    <row r="251" spans="1:15" x14ac:dyDescent="0.25">
      <c r="A251" t="s">
        <v>14</v>
      </c>
      <c r="B251" t="s">
        <v>15</v>
      </c>
      <c r="C251">
        <v>3</v>
      </c>
      <c r="D251">
        <v>100</v>
      </c>
      <c r="E251">
        <v>102400</v>
      </c>
      <c r="F251" t="str">
        <f t="shared" si="3"/>
        <v>lena256_blurkernel7_3_100_102400</v>
      </c>
      <c r="G251">
        <v>0</v>
      </c>
      <c r="H251">
        <v>0</v>
      </c>
      <c r="I251">
        <v>2.1129139000000002E-2</v>
      </c>
      <c r="J251">
        <v>9.6090000000000007E-6</v>
      </c>
      <c r="K251">
        <v>4.0945</v>
      </c>
      <c r="L251">
        <v>18.034600000000001</v>
      </c>
      <c r="M251">
        <v>0</v>
      </c>
      <c r="N251">
        <v>0</v>
      </c>
      <c r="O251">
        <v>13.787100000000001</v>
      </c>
    </row>
    <row r="252" spans="1:15" x14ac:dyDescent="0.25">
      <c r="A252" t="s">
        <v>14</v>
      </c>
      <c r="B252" t="s">
        <v>15</v>
      </c>
      <c r="C252">
        <v>7</v>
      </c>
      <c r="D252">
        <v>100</v>
      </c>
      <c r="E252">
        <v>100</v>
      </c>
      <c r="F252" t="str">
        <f t="shared" si="3"/>
        <v>lena256_blurkernel7_7_100_100</v>
      </c>
      <c r="G252">
        <v>0</v>
      </c>
      <c r="H252">
        <v>0</v>
      </c>
      <c r="I252">
        <v>9.4949999999999997E-6</v>
      </c>
      <c r="J252">
        <v>9.6260000000000007E-6</v>
      </c>
      <c r="K252">
        <v>35.612099999999998</v>
      </c>
      <c r="L252">
        <v>12.1745</v>
      </c>
      <c r="M252">
        <v>0</v>
      </c>
      <c r="N252">
        <v>0</v>
      </c>
      <c r="O252">
        <v>37.657499999999999</v>
      </c>
    </row>
    <row r="253" spans="1:15" x14ac:dyDescent="0.25">
      <c r="A253" t="s">
        <v>14</v>
      </c>
      <c r="B253" t="s">
        <v>15</v>
      </c>
      <c r="C253">
        <v>7</v>
      </c>
      <c r="D253">
        <v>100</v>
      </c>
      <c r="E253">
        <v>200</v>
      </c>
      <c r="F253" t="str">
        <f t="shared" si="3"/>
        <v>lena256_blurkernel7_7_100_200</v>
      </c>
      <c r="G253">
        <v>0</v>
      </c>
      <c r="H253">
        <v>0</v>
      </c>
      <c r="I253">
        <v>2.0894999999999999E-5</v>
      </c>
      <c r="J253">
        <v>9.465E-6</v>
      </c>
      <c r="K253">
        <v>32.189100000000003</v>
      </c>
      <c r="L253">
        <v>12.1751</v>
      </c>
      <c r="M253">
        <v>0</v>
      </c>
      <c r="N253">
        <v>0</v>
      </c>
      <c r="O253">
        <v>34.855600000000003</v>
      </c>
    </row>
    <row r="254" spans="1:15" x14ac:dyDescent="0.25">
      <c r="A254" t="s">
        <v>14</v>
      </c>
      <c r="B254" t="s">
        <v>15</v>
      </c>
      <c r="C254">
        <v>7</v>
      </c>
      <c r="D254">
        <v>100</v>
      </c>
      <c r="E254">
        <v>400</v>
      </c>
      <c r="F254" t="str">
        <f t="shared" si="3"/>
        <v>lena256_blurkernel7_7_100_400</v>
      </c>
      <c r="G254">
        <v>0</v>
      </c>
      <c r="H254">
        <v>0</v>
      </c>
      <c r="I254">
        <v>4.3393000000000003E-5</v>
      </c>
      <c r="J254">
        <v>9.465E-6</v>
      </c>
      <c r="K254">
        <v>29.0167</v>
      </c>
      <c r="L254">
        <v>12.1751</v>
      </c>
      <c r="M254">
        <v>0</v>
      </c>
      <c r="N254">
        <v>0</v>
      </c>
      <c r="O254">
        <v>32.252499999999998</v>
      </c>
    </row>
    <row r="255" spans="1:15" x14ac:dyDescent="0.25">
      <c r="A255" t="s">
        <v>14</v>
      </c>
      <c r="B255" t="s">
        <v>15</v>
      </c>
      <c r="C255">
        <v>7</v>
      </c>
      <c r="D255">
        <v>100</v>
      </c>
      <c r="E255">
        <v>800</v>
      </c>
      <c r="F255" t="str">
        <f t="shared" si="3"/>
        <v>lena256_blurkernel7_7_100_800</v>
      </c>
      <c r="G255">
        <v>0</v>
      </c>
      <c r="H255">
        <v>0</v>
      </c>
      <c r="I255">
        <v>8.8660999999999997E-5</v>
      </c>
      <c r="J255">
        <v>9.465E-6</v>
      </c>
      <c r="K255">
        <v>25.9177</v>
      </c>
      <c r="L255">
        <v>12.1751</v>
      </c>
      <c r="M255">
        <v>0</v>
      </c>
      <c r="N255">
        <v>0</v>
      </c>
      <c r="O255">
        <v>29.849299999999999</v>
      </c>
    </row>
    <row r="256" spans="1:15" x14ac:dyDescent="0.25">
      <c r="A256" t="s">
        <v>14</v>
      </c>
      <c r="B256" t="s">
        <v>15</v>
      </c>
      <c r="C256">
        <v>7</v>
      </c>
      <c r="D256">
        <v>100</v>
      </c>
      <c r="E256">
        <v>1600</v>
      </c>
      <c r="F256" t="str">
        <f t="shared" si="3"/>
        <v>lena256_blurkernel7_7_100_1600</v>
      </c>
      <c r="G256">
        <v>0</v>
      </c>
      <c r="H256">
        <v>0</v>
      </c>
      <c r="I256">
        <v>1.8119800000000001E-4</v>
      </c>
      <c r="J256">
        <v>9.465E-6</v>
      </c>
      <c r="K256">
        <v>22.8264</v>
      </c>
      <c r="L256">
        <v>12.1751</v>
      </c>
      <c r="M256">
        <v>0</v>
      </c>
      <c r="N256">
        <v>0</v>
      </c>
      <c r="O256">
        <v>27.491800000000001</v>
      </c>
    </row>
    <row r="257" spans="1:15" x14ac:dyDescent="0.25">
      <c r="A257" t="s">
        <v>14</v>
      </c>
      <c r="B257" t="s">
        <v>15</v>
      </c>
      <c r="C257">
        <v>7</v>
      </c>
      <c r="D257">
        <v>100</v>
      </c>
      <c r="E257">
        <v>3200</v>
      </c>
      <c r="F257" t="str">
        <f t="shared" si="3"/>
        <v>lena256_blurkernel7_7_100_3200</v>
      </c>
      <c r="G257">
        <v>0</v>
      </c>
      <c r="H257">
        <v>0</v>
      </c>
      <c r="I257">
        <v>3.6665800000000001E-4</v>
      </c>
      <c r="J257">
        <v>9.465E-6</v>
      </c>
      <c r="K257">
        <v>19.794899999999998</v>
      </c>
      <c r="L257">
        <v>12.1751</v>
      </c>
      <c r="M257">
        <v>0</v>
      </c>
      <c r="N257">
        <v>0</v>
      </c>
      <c r="O257">
        <v>25.2683</v>
      </c>
    </row>
    <row r="258" spans="1:15" x14ac:dyDescent="0.25">
      <c r="A258" t="s">
        <v>14</v>
      </c>
      <c r="B258" t="s">
        <v>15</v>
      </c>
      <c r="C258">
        <v>7</v>
      </c>
      <c r="D258">
        <v>100</v>
      </c>
      <c r="E258">
        <v>6400</v>
      </c>
      <c r="F258" t="str">
        <f t="shared" ref="F258:F321" si="4">A258&amp;"_"&amp;B258&amp;"_"&amp;C258&amp;"_"&amp;D258&amp;"_"&amp;E258</f>
        <v>lena256_blurkernel7_7_100_6400</v>
      </c>
      <c r="G258">
        <v>0</v>
      </c>
      <c r="H258">
        <v>0</v>
      </c>
      <c r="I258">
        <v>7.6645599999999999E-4</v>
      </c>
      <c r="J258">
        <v>9.465E-6</v>
      </c>
      <c r="K258">
        <v>16.6326</v>
      </c>
      <c r="L258">
        <v>12.1751</v>
      </c>
      <c r="M258">
        <v>0</v>
      </c>
      <c r="N258">
        <v>0</v>
      </c>
      <c r="O258">
        <v>22.9604</v>
      </c>
    </row>
    <row r="259" spans="1:15" x14ac:dyDescent="0.25">
      <c r="A259" t="s">
        <v>14</v>
      </c>
      <c r="B259" t="s">
        <v>15</v>
      </c>
      <c r="C259">
        <v>7</v>
      </c>
      <c r="D259">
        <v>100</v>
      </c>
      <c r="E259">
        <v>12800</v>
      </c>
      <c r="F259" t="str">
        <f t="shared" si="4"/>
        <v>lena256_blurkernel7_7_100_12800</v>
      </c>
      <c r="G259">
        <v>0</v>
      </c>
      <c r="H259">
        <v>0</v>
      </c>
      <c r="I259">
        <v>1.607271E-3</v>
      </c>
      <c r="J259">
        <v>9.465E-6</v>
      </c>
      <c r="K259">
        <v>13.521000000000001</v>
      </c>
      <c r="L259">
        <v>12.1751</v>
      </c>
      <c r="M259">
        <v>0</v>
      </c>
      <c r="N259">
        <v>0</v>
      </c>
      <c r="O259">
        <v>20.834800000000001</v>
      </c>
    </row>
    <row r="260" spans="1:15" x14ac:dyDescent="0.25">
      <c r="A260" t="s">
        <v>14</v>
      </c>
      <c r="B260" t="s">
        <v>15</v>
      </c>
      <c r="C260">
        <v>7</v>
      </c>
      <c r="D260">
        <v>100</v>
      </c>
      <c r="E260">
        <v>25600</v>
      </c>
      <c r="F260" t="str">
        <f t="shared" si="4"/>
        <v>lena256_blurkernel7_7_100_25600</v>
      </c>
      <c r="G260">
        <v>0</v>
      </c>
      <c r="H260">
        <v>0</v>
      </c>
      <c r="I260">
        <v>3.5810490000000002E-3</v>
      </c>
      <c r="J260">
        <v>9.465E-6</v>
      </c>
      <c r="K260">
        <v>10.2706</v>
      </c>
      <c r="L260">
        <v>12.1751</v>
      </c>
      <c r="M260">
        <v>0</v>
      </c>
      <c r="N260">
        <v>0</v>
      </c>
      <c r="O260">
        <v>18.373200000000001</v>
      </c>
    </row>
    <row r="261" spans="1:15" x14ac:dyDescent="0.25">
      <c r="A261" t="s">
        <v>14</v>
      </c>
      <c r="B261" t="s">
        <v>15</v>
      </c>
      <c r="C261">
        <v>7</v>
      </c>
      <c r="D261">
        <v>100</v>
      </c>
      <c r="E261">
        <v>102400</v>
      </c>
      <c r="F261" t="str">
        <f t="shared" si="4"/>
        <v>lena256_blurkernel7_7_100_102400</v>
      </c>
      <c r="G261">
        <v>0</v>
      </c>
      <c r="H261">
        <v>0</v>
      </c>
      <c r="I261">
        <v>2.1037726E-2</v>
      </c>
      <c r="J261">
        <v>9.6260000000000007E-6</v>
      </c>
      <c r="K261">
        <v>4.1162999999999998</v>
      </c>
      <c r="L261">
        <v>12.1745</v>
      </c>
      <c r="M261">
        <v>0</v>
      </c>
      <c r="N261">
        <v>0</v>
      </c>
      <c r="O261">
        <v>13.760199999999999</v>
      </c>
    </row>
    <row r="262" spans="1:15" x14ac:dyDescent="0.25">
      <c r="A262" t="s">
        <v>14</v>
      </c>
      <c r="B262" t="s">
        <v>15</v>
      </c>
      <c r="C262">
        <v>15</v>
      </c>
      <c r="D262">
        <v>100</v>
      </c>
      <c r="E262">
        <v>100</v>
      </c>
      <c r="F262" t="str">
        <f t="shared" si="4"/>
        <v>lena256_blurkernel7_15_100_100</v>
      </c>
      <c r="G262">
        <v>0</v>
      </c>
      <c r="H262">
        <v>0</v>
      </c>
      <c r="I262">
        <v>9.5210000000000008E-6</v>
      </c>
      <c r="J262">
        <v>9.5370000000000003E-6</v>
      </c>
      <c r="K262">
        <v>35.600999999999999</v>
      </c>
      <c r="L262">
        <v>8.2100000000000009</v>
      </c>
      <c r="M262">
        <v>0</v>
      </c>
      <c r="N262">
        <v>0</v>
      </c>
      <c r="O262">
        <v>37.669600000000003</v>
      </c>
    </row>
    <row r="263" spans="1:15" x14ac:dyDescent="0.25">
      <c r="A263" t="s">
        <v>14</v>
      </c>
      <c r="B263" t="s">
        <v>15</v>
      </c>
      <c r="C263">
        <v>15</v>
      </c>
      <c r="D263">
        <v>100</v>
      </c>
      <c r="E263">
        <v>200</v>
      </c>
      <c r="F263" t="str">
        <f t="shared" si="4"/>
        <v>lena256_blurkernel7_15_100_200</v>
      </c>
      <c r="G263">
        <v>0</v>
      </c>
      <c r="H263">
        <v>0</v>
      </c>
      <c r="I263">
        <v>2.0761999999999999E-5</v>
      </c>
      <c r="J263">
        <v>9.4669999999999993E-6</v>
      </c>
      <c r="K263">
        <v>32.216799999999999</v>
      </c>
      <c r="L263">
        <v>8.2094000000000005</v>
      </c>
      <c r="M263">
        <v>0</v>
      </c>
      <c r="N263">
        <v>0</v>
      </c>
      <c r="O263">
        <v>34.808300000000003</v>
      </c>
    </row>
    <row r="264" spans="1:15" x14ac:dyDescent="0.25">
      <c r="A264" t="s">
        <v>14</v>
      </c>
      <c r="B264" t="s">
        <v>15</v>
      </c>
      <c r="C264">
        <v>15</v>
      </c>
      <c r="D264">
        <v>100</v>
      </c>
      <c r="E264">
        <v>400</v>
      </c>
      <c r="F264" t="str">
        <f t="shared" si="4"/>
        <v>lena256_blurkernel7_15_100_400</v>
      </c>
      <c r="G264">
        <v>0</v>
      </c>
      <c r="H264">
        <v>0</v>
      </c>
      <c r="I264">
        <v>4.3225E-5</v>
      </c>
      <c r="J264">
        <v>9.4669999999999993E-6</v>
      </c>
      <c r="K264">
        <v>29.032800000000002</v>
      </c>
      <c r="L264">
        <v>8.2094000000000005</v>
      </c>
      <c r="M264">
        <v>0</v>
      </c>
      <c r="N264">
        <v>0</v>
      </c>
      <c r="O264">
        <v>32.268900000000002</v>
      </c>
    </row>
    <row r="265" spans="1:15" x14ac:dyDescent="0.25">
      <c r="A265" t="s">
        <v>14</v>
      </c>
      <c r="B265" t="s">
        <v>15</v>
      </c>
      <c r="C265">
        <v>15</v>
      </c>
      <c r="D265">
        <v>100</v>
      </c>
      <c r="E265">
        <v>800</v>
      </c>
      <c r="F265" t="str">
        <f t="shared" si="4"/>
        <v>lena256_blurkernel7_15_100_800</v>
      </c>
      <c r="G265">
        <v>0</v>
      </c>
      <c r="H265">
        <v>0</v>
      </c>
      <c r="I265">
        <v>8.9597000000000003E-5</v>
      </c>
      <c r="J265">
        <v>9.4669999999999993E-6</v>
      </c>
      <c r="K265">
        <v>25.870699999999999</v>
      </c>
      <c r="L265">
        <v>8.2094000000000005</v>
      </c>
      <c r="M265">
        <v>0</v>
      </c>
      <c r="N265">
        <v>0</v>
      </c>
      <c r="O265">
        <v>29.823899999999998</v>
      </c>
    </row>
    <row r="266" spans="1:15" x14ac:dyDescent="0.25">
      <c r="A266" t="s">
        <v>14</v>
      </c>
      <c r="B266" t="s">
        <v>15</v>
      </c>
      <c r="C266">
        <v>15</v>
      </c>
      <c r="D266">
        <v>100</v>
      </c>
      <c r="E266">
        <v>1600</v>
      </c>
      <c r="F266" t="str">
        <f t="shared" si="4"/>
        <v>lena256_blurkernel7_15_100_1600</v>
      </c>
      <c r="G266">
        <v>0</v>
      </c>
      <c r="H266">
        <v>0</v>
      </c>
      <c r="I266">
        <v>1.81404E-4</v>
      </c>
      <c r="J266">
        <v>9.4669999999999993E-6</v>
      </c>
      <c r="K266">
        <v>22.822800000000001</v>
      </c>
      <c r="L266">
        <v>8.2094000000000005</v>
      </c>
      <c r="M266">
        <v>0</v>
      </c>
      <c r="N266">
        <v>0</v>
      </c>
      <c r="O266">
        <v>27.5227</v>
      </c>
    </row>
    <row r="267" spans="1:15" x14ac:dyDescent="0.25">
      <c r="A267" t="s">
        <v>14</v>
      </c>
      <c r="B267" t="s">
        <v>15</v>
      </c>
      <c r="C267">
        <v>15</v>
      </c>
      <c r="D267">
        <v>100</v>
      </c>
      <c r="E267">
        <v>3200</v>
      </c>
      <c r="F267" t="str">
        <f t="shared" si="4"/>
        <v>lena256_blurkernel7_15_100_3200</v>
      </c>
      <c r="G267">
        <v>0</v>
      </c>
      <c r="H267">
        <v>0</v>
      </c>
      <c r="I267">
        <v>3.7330499999999999E-4</v>
      </c>
      <c r="J267">
        <v>9.4669999999999993E-6</v>
      </c>
      <c r="K267">
        <v>19.721399999999999</v>
      </c>
      <c r="L267">
        <v>8.2094000000000005</v>
      </c>
      <c r="M267">
        <v>0</v>
      </c>
      <c r="N267">
        <v>0</v>
      </c>
      <c r="O267">
        <v>25.155799999999999</v>
      </c>
    </row>
    <row r="268" spans="1:15" x14ac:dyDescent="0.25">
      <c r="A268" t="s">
        <v>14</v>
      </c>
      <c r="B268" t="s">
        <v>15</v>
      </c>
      <c r="C268">
        <v>15</v>
      </c>
      <c r="D268">
        <v>100</v>
      </c>
      <c r="E268">
        <v>6400</v>
      </c>
      <c r="F268" t="str">
        <f t="shared" si="4"/>
        <v>lena256_blurkernel7_15_100_6400</v>
      </c>
      <c r="G268">
        <v>0</v>
      </c>
      <c r="H268">
        <v>0</v>
      </c>
      <c r="I268">
        <v>7.5745399999999996E-4</v>
      </c>
      <c r="J268">
        <v>9.4669999999999993E-6</v>
      </c>
      <c r="K268">
        <v>16.682099999999998</v>
      </c>
      <c r="L268">
        <v>8.2094000000000005</v>
      </c>
      <c r="M268">
        <v>0</v>
      </c>
      <c r="N268">
        <v>0</v>
      </c>
      <c r="O268">
        <v>22.9877</v>
      </c>
    </row>
    <row r="269" spans="1:15" x14ac:dyDescent="0.25">
      <c r="A269" t="s">
        <v>14</v>
      </c>
      <c r="B269" t="s">
        <v>15</v>
      </c>
      <c r="C269">
        <v>15</v>
      </c>
      <c r="D269">
        <v>100</v>
      </c>
      <c r="E269">
        <v>12800</v>
      </c>
      <c r="F269" t="str">
        <f t="shared" si="4"/>
        <v>lena256_blurkernel7_15_100_12800</v>
      </c>
      <c r="G269">
        <v>0</v>
      </c>
      <c r="H269">
        <v>0</v>
      </c>
      <c r="I269">
        <v>1.6098390000000001E-3</v>
      </c>
      <c r="J269">
        <v>9.4669999999999993E-6</v>
      </c>
      <c r="K269">
        <v>13.521599999999999</v>
      </c>
      <c r="L269">
        <v>8.2094000000000005</v>
      </c>
      <c r="M269">
        <v>0</v>
      </c>
      <c r="N269">
        <v>0</v>
      </c>
      <c r="O269">
        <v>20.805</v>
      </c>
    </row>
    <row r="270" spans="1:15" x14ac:dyDescent="0.25">
      <c r="A270" t="s">
        <v>14</v>
      </c>
      <c r="B270" t="s">
        <v>15</v>
      </c>
      <c r="C270">
        <v>15</v>
      </c>
      <c r="D270">
        <v>100</v>
      </c>
      <c r="E270">
        <v>25600</v>
      </c>
      <c r="F270" t="str">
        <f t="shared" si="4"/>
        <v>lena256_blurkernel7_15_100_25600</v>
      </c>
      <c r="G270">
        <v>0</v>
      </c>
      <c r="H270">
        <v>0</v>
      </c>
      <c r="I270">
        <v>3.5316000000000002E-3</v>
      </c>
      <c r="J270">
        <v>9.4669999999999993E-6</v>
      </c>
      <c r="K270">
        <v>10.328799999999999</v>
      </c>
      <c r="L270">
        <v>8.2094000000000005</v>
      </c>
      <c r="M270">
        <v>0</v>
      </c>
      <c r="N270">
        <v>0</v>
      </c>
      <c r="O270">
        <v>18.494499999999999</v>
      </c>
    </row>
    <row r="271" spans="1:15" x14ac:dyDescent="0.25">
      <c r="A271" t="s">
        <v>14</v>
      </c>
      <c r="B271" t="s">
        <v>15</v>
      </c>
      <c r="C271">
        <v>15</v>
      </c>
      <c r="D271">
        <v>100</v>
      </c>
      <c r="E271">
        <v>102400</v>
      </c>
      <c r="F271" t="str">
        <f t="shared" si="4"/>
        <v>lena256_blurkernel7_15_100_102400</v>
      </c>
      <c r="G271">
        <v>0</v>
      </c>
      <c r="H271">
        <v>0</v>
      </c>
      <c r="I271">
        <v>2.1018678999999998E-2</v>
      </c>
      <c r="J271">
        <v>9.5370000000000003E-6</v>
      </c>
      <c r="K271">
        <v>4.1410999999999998</v>
      </c>
      <c r="L271">
        <v>8.2100000000000009</v>
      </c>
      <c r="M271">
        <v>0</v>
      </c>
      <c r="N271">
        <v>0</v>
      </c>
      <c r="O271">
        <v>13.7958</v>
      </c>
    </row>
    <row r="272" spans="1:15" x14ac:dyDescent="0.25">
      <c r="A272" t="s">
        <v>14</v>
      </c>
      <c r="B272" t="s">
        <v>15</v>
      </c>
      <c r="C272">
        <v>31</v>
      </c>
      <c r="D272">
        <v>100</v>
      </c>
      <c r="E272">
        <v>100</v>
      </c>
      <c r="F272" t="str">
        <f t="shared" si="4"/>
        <v>lena256_blurkernel7_31_100_100</v>
      </c>
      <c r="G272">
        <v>0</v>
      </c>
      <c r="H272">
        <v>0</v>
      </c>
      <c r="I272">
        <v>9.5359999999999998E-6</v>
      </c>
      <c r="J272">
        <v>9.4530000000000008E-6</v>
      </c>
      <c r="K272">
        <v>35.5931</v>
      </c>
      <c r="L272">
        <v>5.3204000000000002</v>
      </c>
      <c r="M272">
        <v>0</v>
      </c>
      <c r="N272">
        <v>0</v>
      </c>
      <c r="O272">
        <v>37.641599999999997</v>
      </c>
    </row>
    <row r="273" spans="1:15" x14ac:dyDescent="0.25">
      <c r="A273" t="s">
        <v>14</v>
      </c>
      <c r="B273" t="s">
        <v>15</v>
      </c>
      <c r="C273">
        <v>31</v>
      </c>
      <c r="D273">
        <v>100</v>
      </c>
      <c r="E273">
        <v>200</v>
      </c>
      <c r="F273" t="str">
        <f t="shared" si="4"/>
        <v>lena256_blurkernel7_31_100_200</v>
      </c>
      <c r="G273">
        <v>0</v>
      </c>
      <c r="H273">
        <v>0</v>
      </c>
      <c r="I273">
        <v>2.0713999999999999E-5</v>
      </c>
      <c r="J273">
        <v>9.4830000000000005E-6</v>
      </c>
      <c r="K273">
        <v>32.2256</v>
      </c>
      <c r="L273">
        <v>5.3202999999999996</v>
      </c>
      <c r="M273">
        <v>0</v>
      </c>
      <c r="N273">
        <v>0</v>
      </c>
      <c r="O273">
        <v>34.916400000000003</v>
      </c>
    </row>
    <row r="274" spans="1:15" x14ac:dyDescent="0.25">
      <c r="A274" t="s">
        <v>14</v>
      </c>
      <c r="B274" t="s">
        <v>15</v>
      </c>
      <c r="C274">
        <v>31</v>
      </c>
      <c r="D274">
        <v>100</v>
      </c>
      <c r="E274">
        <v>400</v>
      </c>
      <c r="F274" t="str">
        <f t="shared" si="4"/>
        <v>lena256_blurkernel7_31_100_400</v>
      </c>
      <c r="G274">
        <v>0</v>
      </c>
      <c r="H274">
        <v>0</v>
      </c>
      <c r="I274">
        <v>4.3615000000000002E-5</v>
      </c>
      <c r="J274">
        <v>9.4830000000000005E-6</v>
      </c>
      <c r="K274">
        <v>28.995899999999999</v>
      </c>
      <c r="L274">
        <v>5.3202999999999996</v>
      </c>
      <c r="M274">
        <v>0</v>
      </c>
      <c r="N274">
        <v>0</v>
      </c>
      <c r="O274">
        <v>32.2517</v>
      </c>
    </row>
    <row r="275" spans="1:15" x14ac:dyDescent="0.25">
      <c r="A275" t="s">
        <v>14</v>
      </c>
      <c r="B275" t="s">
        <v>15</v>
      </c>
      <c r="C275">
        <v>31</v>
      </c>
      <c r="D275">
        <v>100</v>
      </c>
      <c r="E275">
        <v>800</v>
      </c>
      <c r="F275" t="str">
        <f t="shared" si="4"/>
        <v>lena256_blurkernel7_31_100_800</v>
      </c>
      <c r="G275">
        <v>0</v>
      </c>
      <c r="H275">
        <v>0</v>
      </c>
      <c r="I275">
        <v>8.9926000000000006E-5</v>
      </c>
      <c r="J275">
        <v>9.4830000000000005E-6</v>
      </c>
      <c r="K275">
        <v>25.858599999999999</v>
      </c>
      <c r="L275">
        <v>5.3202999999999996</v>
      </c>
      <c r="M275">
        <v>0</v>
      </c>
      <c r="N275">
        <v>0</v>
      </c>
      <c r="O275">
        <v>29.820599999999999</v>
      </c>
    </row>
    <row r="276" spans="1:15" x14ac:dyDescent="0.25">
      <c r="A276" t="s">
        <v>14</v>
      </c>
      <c r="B276" t="s">
        <v>15</v>
      </c>
      <c r="C276">
        <v>31</v>
      </c>
      <c r="D276">
        <v>100</v>
      </c>
      <c r="E276">
        <v>1600</v>
      </c>
      <c r="F276" t="str">
        <f t="shared" si="4"/>
        <v>lena256_blurkernel7_31_100_1600</v>
      </c>
      <c r="G276">
        <v>0</v>
      </c>
      <c r="H276">
        <v>0</v>
      </c>
      <c r="I276">
        <v>1.8109499999999999E-4</v>
      </c>
      <c r="J276">
        <v>9.4830000000000005E-6</v>
      </c>
      <c r="K276">
        <v>22.8279</v>
      </c>
      <c r="L276">
        <v>5.3202999999999996</v>
      </c>
      <c r="M276">
        <v>0</v>
      </c>
      <c r="N276">
        <v>0</v>
      </c>
      <c r="O276">
        <v>27.479299999999999</v>
      </c>
    </row>
    <row r="277" spans="1:15" x14ac:dyDescent="0.25">
      <c r="A277" t="s">
        <v>14</v>
      </c>
      <c r="B277" t="s">
        <v>15</v>
      </c>
      <c r="C277">
        <v>31</v>
      </c>
      <c r="D277">
        <v>100</v>
      </c>
      <c r="E277">
        <v>3200</v>
      </c>
      <c r="F277" t="str">
        <f t="shared" si="4"/>
        <v>lena256_blurkernel7_31_100_3200</v>
      </c>
      <c r="G277">
        <v>0</v>
      </c>
      <c r="H277">
        <v>0</v>
      </c>
      <c r="I277">
        <v>3.7241500000000002E-4</v>
      </c>
      <c r="J277">
        <v>9.4830000000000005E-6</v>
      </c>
      <c r="K277">
        <v>19.723500000000001</v>
      </c>
      <c r="L277">
        <v>5.3202999999999996</v>
      </c>
      <c r="M277">
        <v>0</v>
      </c>
      <c r="N277">
        <v>0</v>
      </c>
      <c r="O277">
        <v>25.1968</v>
      </c>
    </row>
    <row r="278" spans="1:15" x14ac:dyDescent="0.25">
      <c r="A278" t="s">
        <v>14</v>
      </c>
      <c r="B278" t="s">
        <v>15</v>
      </c>
      <c r="C278">
        <v>31</v>
      </c>
      <c r="D278">
        <v>100</v>
      </c>
      <c r="E278">
        <v>6400</v>
      </c>
      <c r="F278" t="str">
        <f t="shared" si="4"/>
        <v>lena256_blurkernel7_31_100_6400</v>
      </c>
      <c r="G278">
        <v>0</v>
      </c>
      <c r="H278">
        <v>0</v>
      </c>
      <c r="I278">
        <v>7.5834899999999996E-4</v>
      </c>
      <c r="J278">
        <v>9.4830000000000005E-6</v>
      </c>
      <c r="K278">
        <v>16.685700000000001</v>
      </c>
      <c r="L278">
        <v>5.3202999999999996</v>
      </c>
      <c r="M278">
        <v>0</v>
      </c>
      <c r="N278">
        <v>0</v>
      </c>
      <c r="O278">
        <v>22.993099999999998</v>
      </c>
    </row>
    <row r="279" spans="1:15" x14ac:dyDescent="0.25">
      <c r="A279" t="s">
        <v>14</v>
      </c>
      <c r="B279" t="s">
        <v>15</v>
      </c>
      <c r="C279">
        <v>31</v>
      </c>
      <c r="D279">
        <v>100</v>
      </c>
      <c r="E279">
        <v>12800</v>
      </c>
      <c r="F279" t="str">
        <f t="shared" si="4"/>
        <v>lena256_blurkernel7_31_100_12800</v>
      </c>
      <c r="G279">
        <v>0</v>
      </c>
      <c r="H279">
        <v>0</v>
      </c>
      <c r="I279">
        <v>1.5964919999999999E-3</v>
      </c>
      <c r="J279">
        <v>9.4830000000000005E-6</v>
      </c>
      <c r="K279">
        <v>13.5466</v>
      </c>
      <c r="L279">
        <v>5.3202999999999996</v>
      </c>
      <c r="M279">
        <v>0</v>
      </c>
      <c r="N279">
        <v>0</v>
      </c>
      <c r="O279">
        <v>20.793800000000001</v>
      </c>
    </row>
    <row r="280" spans="1:15" x14ac:dyDescent="0.25">
      <c r="A280" t="s">
        <v>14</v>
      </c>
      <c r="B280" t="s">
        <v>15</v>
      </c>
      <c r="C280">
        <v>31</v>
      </c>
      <c r="D280">
        <v>100</v>
      </c>
      <c r="E280">
        <v>25600</v>
      </c>
      <c r="F280" t="str">
        <f t="shared" si="4"/>
        <v>lena256_blurkernel7_31_100_25600</v>
      </c>
      <c r="G280">
        <v>0</v>
      </c>
      <c r="H280">
        <v>0</v>
      </c>
      <c r="I280">
        <v>3.5367720000000001E-3</v>
      </c>
      <c r="J280">
        <v>9.4830000000000005E-6</v>
      </c>
      <c r="K280">
        <v>10.328900000000001</v>
      </c>
      <c r="L280">
        <v>5.3202999999999996</v>
      </c>
      <c r="M280">
        <v>0</v>
      </c>
      <c r="N280">
        <v>0</v>
      </c>
      <c r="O280">
        <v>18.5443</v>
      </c>
    </row>
    <row r="281" spans="1:15" x14ac:dyDescent="0.25">
      <c r="A281" t="s">
        <v>14</v>
      </c>
      <c r="B281" t="s">
        <v>15</v>
      </c>
      <c r="C281">
        <v>31</v>
      </c>
      <c r="D281">
        <v>100</v>
      </c>
      <c r="E281">
        <v>102400</v>
      </c>
      <c r="F281" t="str">
        <f t="shared" si="4"/>
        <v>lena256_blurkernel7_31_100_102400</v>
      </c>
      <c r="G281">
        <v>0</v>
      </c>
      <c r="H281">
        <v>0</v>
      </c>
      <c r="I281">
        <v>2.1043851999999998E-2</v>
      </c>
      <c r="J281">
        <v>9.5089999999999999E-6</v>
      </c>
      <c r="K281">
        <v>4.1128</v>
      </c>
      <c r="L281">
        <v>5.3167</v>
      </c>
      <c r="M281">
        <v>0</v>
      </c>
      <c r="N281">
        <v>0</v>
      </c>
      <c r="O281">
        <v>13.6972</v>
      </c>
    </row>
    <row r="282" spans="1:15" x14ac:dyDescent="0.25">
      <c r="A282" t="s">
        <v>14</v>
      </c>
      <c r="B282" t="s">
        <v>15</v>
      </c>
      <c r="C282">
        <v>63</v>
      </c>
      <c r="D282">
        <v>100</v>
      </c>
      <c r="E282">
        <v>200</v>
      </c>
      <c r="F282" t="str">
        <f t="shared" si="4"/>
        <v>lena256_blurkernel7_63_100_200</v>
      </c>
      <c r="G282">
        <v>0</v>
      </c>
      <c r="H282">
        <v>0</v>
      </c>
      <c r="I282">
        <v>2.0835E-5</v>
      </c>
      <c r="J282">
        <v>9.5449999999999992E-6</v>
      </c>
      <c r="K282">
        <v>32.1995</v>
      </c>
      <c r="L282">
        <v>2.8411</v>
      </c>
      <c r="M282">
        <v>0</v>
      </c>
      <c r="N282">
        <v>0</v>
      </c>
      <c r="O282">
        <v>34.815100000000001</v>
      </c>
    </row>
    <row r="283" spans="1:15" x14ac:dyDescent="0.25">
      <c r="A283" t="s">
        <v>14</v>
      </c>
      <c r="B283" t="s">
        <v>15</v>
      </c>
      <c r="C283">
        <v>63</v>
      </c>
      <c r="D283">
        <v>100</v>
      </c>
      <c r="E283">
        <v>400</v>
      </c>
      <c r="F283" t="str">
        <f t="shared" si="4"/>
        <v>lena256_blurkernel7_63_100_400</v>
      </c>
      <c r="G283">
        <v>0</v>
      </c>
      <c r="H283">
        <v>0</v>
      </c>
      <c r="I283">
        <v>4.3924000000000002E-5</v>
      </c>
      <c r="J283">
        <v>9.5449999999999992E-6</v>
      </c>
      <c r="K283">
        <v>28.965599999999998</v>
      </c>
      <c r="L283">
        <v>2.8411</v>
      </c>
      <c r="M283">
        <v>0</v>
      </c>
      <c r="N283">
        <v>0</v>
      </c>
      <c r="O283">
        <v>32.220500000000001</v>
      </c>
    </row>
    <row r="284" spans="1:15" x14ac:dyDescent="0.25">
      <c r="A284" t="s">
        <v>14</v>
      </c>
      <c r="B284" t="s">
        <v>15</v>
      </c>
      <c r="C284">
        <v>63</v>
      </c>
      <c r="D284">
        <v>100</v>
      </c>
      <c r="E284">
        <v>800</v>
      </c>
      <c r="F284" t="str">
        <f t="shared" si="4"/>
        <v>lena256_blurkernel7_63_100_800</v>
      </c>
      <c r="G284">
        <v>0</v>
      </c>
      <c r="H284">
        <v>0</v>
      </c>
      <c r="I284">
        <v>8.9368000000000002E-5</v>
      </c>
      <c r="J284">
        <v>9.5449999999999992E-6</v>
      </c>
      <c r="K284">
        <v>25.884399999999999</v>
      </c>
      <c r="L284">
        <v>2.8411</v>
      </c>
      <c r="M284">
        <v>0</v>
      </c>
      <c r="N284">
        <v>0</v>
      </c>
      <c r="O284">
        <v>29.819800000000001</v>
      </c>
    </row>
    <row r="285" spans="1:15" x14ac:dyDescent="0.25">
      <c r="A285" t="s">
        <v>14</v>
      </c>
      <c r="B285" t="s">
        <v>15</v>
      </c>
      <c r="C285">
        <v>63</v>
      </c>
      <c r="D285">
        <v>100</v>
      </c>
      <c r="E285">
        <v>1600</v>
      </c>
      <c r="F285" t="str">
        <f t="shared" si="4"/>
        <v>lena256_blurkernel7_63_100_1600</v>
      </c>
      <c r="G285">
        <v>0</v>
      </c>
      <c r="H285">
        <v>0</v>
      </c>
      <c r="I285">
        <v>1.8284799999999999E-4</v>
      </c>
      <c r="J285">
        <v>9.5449999999999992E-6</v>
      </c>
      <c r="K285">
        <v>22.786100000000001</v>
      </c>
      <c r="L285">
        <v>2.8411</v>
      </c>
      <c r="M285">
        <v>0</v>
      </c>
      <c r="N285">
        <v>0</v>
      </c>
      <c r="O285">
        <v>27.451799999999999</v>
      </c>
    </row>
    <row r="286" spans="1:15" x14ac:dyDescent="0.25">
      <c r="A286" t="s">
        <v>14</v>
      </c>
      <c r="B286" t="s">
        <v>15</v>
      </c>
      <c r="C286">
        <v>63</v>
      </c>
      <c r="D286">
        <v>100</v>
      </c>
      <c r="E286">
        <v>3200</v>
      </c>
      <c r="F286" t="str">
        <f t="shared" si="4"/>
        <v>lena256_blurkernel7_63_100_3200</v>
      </c>
      <c r="G286">
        <v>0</v>
      </c>
      <c r="H286">
        <v>0</v>
      </c>
      <c r="I286">
        <v>3.7018799999999997E-4</v>
      </c>
      <c r="J286">
        <v>9.5449999999999992E-6</v>
      </c>
      <c r="K286">
        <v>19.744199999999999</v>
      </c>
      <c r="L286">
        <v>2.8411</v>
      </c>
      <c r="M286">
        <v>0</v>
      </c>
      <c r="N286">
        <v>0</v>
      </c>
      <c r="O286">
        <v>25.2621</v>
      </c>
    </row>
    <row r="287" spans="1:15" x14ac:dyDescent="0.25">
      <c r="A287" t="s">
        <v>14</v>
      </c>
      <c r="B287" t="s">
        <v>15</v>
      </c>
      <c r="C287">
        <v>63</v>
      </c>
      <c r="D287">
        <v>100</v>
      </c>
      <c r="E287">
        <v>6400</v>
      </c>
      <c r="F287" t="str">
        <f t="shared" si="4"/>
        <v>lena256_blurkernel7_63_100_6400</v>
      </c>
      <c r="G287">
        <v>0</v>
      </c>
      <c r="H287">
        <v>0</v>
      </c>
      <c r="I287">
        <v>7.6190000000000003E-4</v>
      </c>
      <c r="J287">
        <v>9.5449999999999992E-6</v>
      </c>
      <c r="K287">
        <v>16.6599</v>
      </c>
      <c r="L287">
        <v>2.8411</v>
      </c>
      <c r="M287">
        <v>0</v>
      </c>
      <c r="N287">
        <v>0</v>
      </c>
      <c r="O287">
        <v>23.0093</v>
      </c>
    </row>
    <row r="288" spans="1:15" x14ac:dyDescent="0.25">
      <c r="A288" t="s">
        <v>14</v>
      </c>
      <c r="B288" t="s">
        <v>15</v>
      </c>
      <c r="C288">
        <v>63</v>
      </c>
      <c r="D288">
        <v>100</v>
      </c>
      <c r="E288">
        <v>12800</v>
      </c>
      <c r="F288" t="str">
        <f t="shared" si="4"/>
        <v>lena256_blurkernel7_63_100_12800</v>
      </c>
      <c r="G288">
        <v>0</v>
      </c>
      <c r="H288">
        <v>0</v>
      </c>
      <c r="I288">
        <v>1.598541E-3</v>
      </c>
      <c r="J288">
        <v>9.5449999999999992E-6</v>
      </c>
      <c r="K288">
        <v>13.541</v>
      </c>
      <c r="L288">
        <v>2.8411</v>
      </c>
      <c r="M288">
        <v>0</v>
      </c>
      <c r="N288">
        <v>0</v>
      </c>
      <c r="O288">
        <v>20.699000000000002</v>
      </c>
    </row>
    <row r="289" spans="1:15" x14ac:dyDescent="0.25">
      <c r="A289" t="s">
        <v>14</v>
      </c>
      <c r="B289" t="s">
        <v>15</v>
      </c>
      <c r="C289">
        <v>63</v>
      </c>
      <c r="D289">
        <v>100</v>
      </c>
      <c r="E289">
        <v>25600</v>
      </c>
      <c r="F289" t="str">
        <f t="shared" si="4"/>
        <v>lena256_blurkernel7_63_100_25600</v>
      </c>
      <c r="G289">
        <v>0</v>
      </c>
      <c r="H289">
        <v>0</v>
      </c>
      <c r="I289">
        <v>3.5369210000000002E-3</v>
      </c>
      <c r="J289">
        <v>9.5449999999999992E-6</v>
      </c>
      <c r="K289">
        <v>10.3383</v>
      </c>
      <c r="L289">
        <v>2.8411</v>
      </c>
      <c r="M289">
        <v>0</v>
      </c>
      <c r="N289">
        <v>0</v>
      </c>
      <c r="O289">
        <v>18.486899999999999</v>
      </c>
    </row>
    <row r="290" spans="1:15" x14ac:dyDescent="0.25">
      <c r="A290" t="s">
        <v>14</v>
      </c>
      <c r="B290" t="s">
        <v>16</v>
      </c>
      <c r="C290">
        <v>3</v>
      </c>
      <c r="D290">
        <v>100</v>
      </c>
      <c r="E290">
        <v>100</v>
      </c>
      <c r="F290" t="str">
        <f t="shared" si="4"/>
        <v>lena256_blurkernel8_3_100_100</v>
      </c>
      <c r="G290">
        <v>0</v>
      </c>
      <c r="H290">
        <v>0</v>
      </c>
      <c r="I290">
        <v>9.577E-6</v>
      </c>
      <c r="J290">
        <v>9.5219999999999996E-6</v>
      </c>
      <c r="K290">
        <v>35.575000000000003</v>
      </c>
      <c r="L290">
        <v>17.593499999999999</v>
      </c>
      <c r="M290">
        <v>0</v>
      </c>
      <c r="N290">
        <v>0</v>
      </c>
      <c r="O290">
        <v>37.6098</v>
      </c>
    </row>
    <row r="291" spans="1:15" x14ac:dyDescent="0.25">
      <c r="A291" t="s">
        <v>14</v>
      </c>
      <c r="B291" t="s">
        <v>16</v>
      </c>
      <c r="C291">
        <v>3</v>
      </c>
      <c r="D291">
        <v>100</v>
      </c>
      <c r="E291">
        <v>200</v>
      </c>
      <c r="F291" t="str">
        <f t="shared" si="4"/>
        <v>lena256_blurkernel8_3_100_200</v>
      </c>
      <c r="G291">
        <v>0</v>
      </c>
      <c r="H291">
        <v>0</v>
      </c>
      <c r="I291">
        <v>2.0803000000000001E-5</v>
      </c>
      <c r="J291">
        <v>9.5419999999999994E-6</v>
      </c>
      <c r="K291">
        <v>32.207299999999996</v>
      </c>
      <c r="L291">
        <v>17.597200000000001</v>
      </c>
      <c r="M291">
        <v>0</v>
      </c>
      <c r="N291">
        <v>0</v>
      </c>
      <c r="O291">
        <v>34.866399999999999</v>
      </c>
    </row>
    <row r="292" spans="1:15" x14ac:dyDescent="0.25">
      <c r="A292" t="s">
        <v>14</v>
      </c>
      <c r="B292" t="s">
        <v>16</v>
      </c>
      <c r="C292">
        <v>3</v>
      </c>
      <c r="D292">
        <v>100</v>
      </c>
      <c r="E292">
        <v>400</v>
      </c>
      <c r="F292" t="str">
        <f t="shared" si="4"/>
        <v>lena256_blurkernel8_3_100_400</v>
      </c>
      <c r="G292">
        <v>0</v>
      </c>
      <c r="H292">
        <v>0</v>
      </c>
      <c r="I292">
        <v>4.3711999999999998E-5</v>
      </c>
      <c r="J292">
        <v>9.5419999999999994E-6</v>
      </c>
      <c r="K292">
        <v>28.986999999999998</v>
      </c>
      <c r="L292">
        <v>17.597200000000001</v>
      </c>
      <c r="M292">
        <v>0</v>
      </c>
      <c r="N292">
        <v>0</v>
      </c>
      <c r="O292">
        <v>32.252200000000002</v>
      </c>
    </row>
    <row r="293" spans="1:15" x14ac:dyDescent="0.25">
      <c r="A293" t="s">
        <v>14</v>
      </c>
      <c r="B293" t="s">
        <v>16</v>
      </c>
      <c r="C293">
        <v>3</v>
      </c>
      <c r="D293">
        <v>100</v>
      </c>
      <c r="E293">
        <v>800</v>
      </c>
      <c r="F293" t="str">
        <f t="shared" si="4"/>
        <v>lena256_blurkernel8_3_100_800</v>
      </c>
      <c r="G293">
        <v>0</v>
      </c>
      <c r="H293">
        <v>0</v>
      </c>
      <c r="I293">
        <v>8.9766999999999996E-5</v>
      </c>
      <c r="J293">
        <v>9.5419999999999994E-6</v>
      </c>
      <c r="K293">
        <v>25.866800000000001</v>
      </c>
      <c r="L293">
        <v>17.597200000000001</v>
      </c>
      <c r="M293">
        <v>0</v>
      </c>
      <c r="N293">
        <v>0</v>
      </c>
      <c r="O293">
        <v>29.7986</v>
      </c>
    </row>
    <row r="294" spans="1:15" x14ac:dyDescent="0.25">
      <c r="A294" t="s">
        <v>14</v>
      </c>
      <c r="B294" t="s">
        <v>16</v>
      </c>
      <c r="C294">
        <v>3</v>
      </c>
      <c r="D294">
        <v>100</v>
      </c>
      <c r="E294">
        <v>1600</v>
      </c>
      <c r="F294" t="str">
        <f t="shared" si="4"/>
        <v>lena256_blurkernel8_3_100_1600</v>
      </c>
      <c r="G294">
        <v>0</v>
      </c>
      <c r="H294">
        <v>0</v>
      </c>
      <c r="I294">
        <v>1.828E-4</v>
      </c>
      <c r="J294">
        <v>9.5419999999999994E-6</v>
      </c>
      <c r="K294">
        <v>22.788</v>
      </c>
      <c r="L294">
        <v>17.597200000000001</v>
      </c>
      <c r="M294">
        <v>0</v>
      </c>
      <c r="N294">
        <v>0</v>
      </c>
      <c r="O294">
        <v>27.455300000000001</v>
      </c>
    </row>
    <row r="295" spans="1:15" x14ac:dyDescent="0.25">
      <c r="A295" t="s">
        <v>14</v>
      </c>
      <c r="B295" t="s">
        <v>16</v>
      </c>
      <c r="C295">
        <v>3</v>
      </c>
      <c r="D295">
        <v>100</v>
      </c>
      <c r="E295">
        <v>3200</v>
      </c>
      <c r="F295" t="str">
        <f t="shared" si="4"/>
        <v>lena256_blurkernel8_3_100_3200</v>
      </c>
      <c r="G295">
        <v>0</v>
      </c>
      <c r="H295">
        <v>0</v>
      </c>
      <c r="I295">
        <v>3.7419100000000001E-4</v>
      </c>
      <c r="J295">
        <v>9.5419999999999994E-6</v>
      </c>
      <c r="K295">
        <v>19.703099999999999</v>
      </c>
      <c r="L295">
        <v>17.597200000000001</v>
      </c>
      <c r="M295">
        <v>0</v>
      </c>
      <c r="N295">
        <v>0</v>
      </c>
      <c r="O295">
        <v>25.235600000000002</v>
      </c>
    </row>
    <row r="296" spans="1:15" x14ac:dyDescent="0.25">
      <c r="A296" t="s">
        <v>14</v>
      </c>
      <c r="B296" t="s">
        <v>16</v>
      </c>
      <c r="C296">
        <v>3</v>
      </c>
      <c r="D296">
        <v>100</v>
      </c>
      <c r="E296">
        <v>6400</v>
      </c>
      <c r="F296" t="str">
        <f t="shared" si="4"/>
        <v>lena256_blurkernel8_3_100_6400</v>
      </c>
      <c r="G296">
        <v>0</v>
      </c>
      <c r="H296">
        <v>0</v>
      </c>
      <c r="I296">
        <v>7.5465700000000005E-4</v>
      </c>
      <c r="J296">
        <v>9.5419999999999994E-6</v>
      </c>
      <c r="K296">
        <v>16.707000000000001</v>
      </c>
      <c r="L296">
        <v>17.597200000000001</v>
      </c>
      <c r="M296">
        <v>0</v>
      </c>
      <c r="N296">
        <v>0</v>
      </c>
      <c r="O296">
        <v>23.015999999999998</v>
      </c>
    </row>
    <row r="297" spans="1:15" x14ac:dyDescent="0.25">
      <c r="A297" t="s">
        <v>14</v>
      </c>
      <c r="B297" t="s">
        <v>16</v>
      </c>
      <c r="C297">
        <v>3</v>
      </c>
      <c r="D297">
        <v>100</v>
      </c>
      <c r="E297">
        <v>12800</v>
      </c>
      <c r="F297" t="str">
        <f t="shared" si="4"/>
        <v>lena256_blurkernel8_3_100_12800</v>
      </c>
      <c r="G297">
        <v>0</v>
      </c>
      <c r="H297">
        <v>0</v>
      </c>
      <c r="I297">
        <v>1.60531E-3</v>
      </c>
      <c r="J297">
        <v>9.5419999999999994E-6</v>
      </c>
      <c r="K297">
        <v>13.5273</v>
      </c>
      <c r="L297">
        <v>17.597200000000001</v>
      </c>
      <c r="M297">
        <v>0</v>
      </c>
      <c r="N297">
        <v>0</v>
      </c>
      <c r="O297">
        <v>20.773199999999999</v>
      </c>
    </row>
    <row r="298" spans="1:15" x14ac:dyDescent="0.25">
      <c r="A298" t="s">
        <v>14</v>
      </c>
      <c r="B298" t="s">
        <v>16</v>
      </c>
      <c r="C298">
        <v>3</v>
      </c>
      <c r="D298">
        <v>100</v>
      </c>
      <c r="E298">
        <v>25600</v>
      </c>
      <c r="F298" t="str">
        <f t="shared" si="4"/>
        <v>lena256_blurkernel8_3_100_25600</v>
      </c>
      <c r="G298">
        <v>0</v>
      </c>
      <c r="H298">
        <v>0</v>
      </c>
      <c r="I298">
        <v>3.5524020000000001E-3</v>
      </c>
      <c r="J298">
        <v>9.5419999999999994E-6</v>
      </c>
      <c r="K298">
        <v>10.3028</v>
      </c>
      <c r="L298">
        <v>17.597200000000001</v>
      </c>
      <c r="M298">
        <v>0</v>
      </c>
      <c r="N298">
        <v>0</v>
      </c>
      <c r="O298">
        <v>18.546299999999999</v>
      </c>
    </row>
    <row r="299" spans="1:15" x14ac:dyDescent="0.25">
      <c r="A299" t="s">
        <v>14</v>
      </c>
      <c r="B299" t="s">
        <v>16</v>
      </c>
      <c r="C299">
        <v>3</v>
      </c>
      <c r="D299">
        <v>100</v>
      </c>
      <c r="E299">
        <v>102400</v>
      </c>
      <c r="F299" t="str">
        <f t="shared" si="4"/>
        <v>lena256_blurkernel8_3_100_102400</v>
      </c>
      <c r="G299">
        <v>0</v>
      </c>
      <c r="H299">
        <v>0</v>
      </c>
      <c r="I299">
        <v>2.1088530000000001E-2</v>
      </c>
      <c r="J299">
        <v>9.4509999999999998E-6</v>
      </c>
      <c r="K299">
        <v>4.1063999999999998</v>
      </c>
      <c r="L299">
        <v>17.587499999999999</v>
      </c>
      <c r="M299">
        <v>0</v>
      </c>
      <c r="N299">
        <v>0</v>
      </c>
      <c r="O299">
        <v>13.6899</v>
      </c>
    </row>
    <row r="300" spans="1:15" x14ac:dyDescent="0.25">
      <c r="A300" t="s">
        <v>14</v>
      </c>
      <c r="B300" t="s">
        <v>16</v>
      </c>
      <c r="C300">
        <v>7</v>
      </c>
      <c r="D300">
        <v>100</v>
      </c>
      <c r="E300">
        <v>100</v>
      </c>
      <c r="F300" t="str">
        <f t="shared" si="4"/>
        <v>lena256_blurkernel8_7_100_100</v>
      </c>
      <c r="G300">
        <v>0</v>
      </c>
      <c r="H300">
        <v>0</v>
      </c>
      <c r="I300">
        <v>9.5550000000000008E-6</v>
      </c>
      <c r="J300">
        <v>9.5449999999999992E-6</v>
      </c>
      <c r="K300">
        <v>35.584699999999998</v>
      </c>
      <c r="L300">
        <v>12.004300000000001</v>
      </c>
      <c r="M300">
        <v>0</v>
      </c>
      <c r="N300">
        <v>0</v>
      </c>
      <c r="O300">
        <v>37.664099999999998</v>
      </c>
    </row>
    <row r="301" spans="1:15" x14ac:dyDescent="0.25">
      <c r="A301" t="s">
        <v>14</v>
      </c>
      <c r="B301" t="s">
        <v>16</v>
      </c>
      <c r="C301">
        <v>7</v>
      </c>
      <c r="D301">
        <v>100</v>
      </c>
      <c r="E301">
        <v>200</v>
      </c>
      <c r="F301" t="str">
        <f t="shared" si="4"/>
        <v>lena256_blurkernel8_7_100_200</v>
      </c>
      <c r="G301">
        <v>0</v>
      </c>
      <c r="H301">
        <v>0</v>
      </c>
      <c r="I301">
        <v>2.0971E-5</v>
      </c>
      <c r="J301">
        <v>9.4909999999999994E-6</v>
      </c>
      <c r="K301">
        <v>32.172600000000003</v>
      </c>
      <c r="L301">
        <v>12.0022</v>
      </c>
      <c r="M301">
        <v>0</v>
      </c>
      <c r="N301">
        <v>0</v>
      </c>
      <c r="O301">
        <v>34.8018</v>
      </c>
    </row>
    <row r="302" spans="1:15" x14ac:dyDescent="0.25">
      <c r="A302" t="s">
        <v>14</v>
      </c>
      <c r="B302" t="s">
        <v>16</v>
      </c>
      <c r="C302">
        <v>7</v>
      </c>
      <c r="D302">
        <v>100</v>
      </c>
      <c r="E302">
        <v>400</v>
      </c>
      <c r="F302" t="str">
        <f t="shared" si="4"/>
        <v>lena256_blurkernel8_7_100_400</v>
      </c>
      <c r="G302">
        <v>0</v>
      </c>
      <c r="H302">
        <v>0</v>
      </c>
      <c r="I302">
        <v>4.3687999999999999E-5</v>
      </c>
      <c r="J302">
        <v>9.4909999999999994E-6</v>
      </c>
      <c r="K302">
        <v>28.989599999999999</v>
      </c>
      <c r="L302">
        <v>12.0022</v>
      </c>
      <c r="M302">
        <v>0</v>
      </c>
      <c r="N302">
        <v>0</v>
      </c>
      <c r="O302">
        <v>32.2545</v>
      </c>
    </row>
    <row r="303" spans="1:15" x14ac:dyDescent="0.25">
      <c r="A303" t="s">
        <v>14</v>
      </c>
      <c r="B303" t="s">
        <v>16</v>
      </c>
      <c r="C303">
        <v>7</v>
      </c>
      <c r="D303">
        <v>100</v>
      </c>
      <c r="E303">
        <v>800</v>
      </c>
      <c r="F303" t="str">
        <f t="shared" si="4"/>
        <v>lena256_blurkernel8_7_100_800</v>
      </c>
      <c r="G303">
        <v>0</v>
      </c>
      <c r="H303">
        <v>0</v>
      </c>
      <c r="I303">
        <v>8.9695000000000001E-5</v>
      </c>
      <c r="J303">
        <v>9.4909999999999994E-6</v>
      </c>
      <c r="K303">
        <v>25.867899999999999</v>
      </c>
      <c r="L303">
        <v>12.0022</v>
      </c>
      <c r="M303">
        <v>0</v>
      </c>
      <c r="N303">
        <v>0</v>
      </c>
      <c r="O303">
        <v>29.8354</v>
      </c>
    </row>
    <row r="304" spans="1:15" x14ac:dyDescent="0.25">
      <c r="A304" t="s">
        <v>14</v>
      </c>
      <c r="B304" t="s">
        <v>16</v>
      </c>
      <c r="C304">
        <v>7</v>
      </c>
      <c r="D304">
        <v>100</v>
      </c>
      <c r="E304">
        <v>1600</v>
      </c>
      <c r="F304" t="str">
        <f t="shared" si="4"/>
        <v>lena256_blurkernel8_7_100_1600</v>
      </c>
      <c r="G304">
        <v>0</v>
      </c>
      <c r="H304">
        <v>0</v>
      </c>
      <c r="I304">
        <v>1.8348600000000001E-4</v>
      </c>
      <c r="J304">
        <v>9.4909999999999994E-6</v>
      </c>
      <c r="K304">
        <v>22.773</v>
      </c>
      <c r="L304">
        <v>12.0022</v>
      </c>
      <c r="M304">
        <v>0</v>
      </c>
      <c r="N304">
        <v>0</v>
      </c>
      <c r="O304">
        <v>27.446400000000001</v>
      </c>
    </row>
    <row r="305" spans="1:15" x14ac:dyDescent="0.25">
      <c r="A305" t="s">
        <v>14</v>
      </c>
      <c r="B305" t="s">
        <v>16</v>
      </c>
      <c r="C305">
        <v>7</v>
      </c>
      <c r="D305">
        <v>100</v>
      </c>
      <c r="E305">
        <v>3200</v>
      </c>
      <c r="F305" t="str">
        <f t="shared" si="4"/>
        <v>lena256_blurkernel8_7_100_3200</v>
      </c>
      <c r="G305">
        <v>0</v>
      </c>
      <c r="H305">
        <v>0</v>
      </c>
      <c r="I305">
        <v>3.69997E-4</v>
      </c>
      <c r="J305">
        <v>9.4909999999999994E-6</v>
      </c>
      <c r="K305">
        <v>19.751200000000001</v>
      </c>
      <c r="L305">
        <v>12.0022</v>
      </c>
      <c r="M305">
        <v>0</v>
      </c>
      <c r="N305">
        <v>0</v>
      </c>
      <c r="O305">
        <v>25.197900000000001</v>
      </c>
    </row>
    <row r="306" spans="1:15" x14ac:dyDescent="0.25">
      <c r="A306" t="s">
        <v>14</v>
      </c>
      <c r="B306" t="s">
        <v>16</v>
      </c>
      <c r="C306">
        <v>7</v>
      </c>
      <c r="D306">
        <v>100</v>
      </c>
      <c r="E306">
        <v>6400</v>
      </c>
      <c r="F306" t="str">
        <f t="shared" si="4"/>
        <v>lena256_blurkernel8_7_100_6400</v>
      </c>
      <c r="G306">
        <v>0</v>
      </c>
      <c r="H306">
        <v>0</v>
      </c>
      <c r="I306">
        <v>7.6647300000000005E-4</v>
      </c>
      <c r="J306">
        <v>9.4909999999999994E-6</v>
      </c>
      <c r="K306">
        <v>16.6403</v>
      </c>
      <c r="L306">
        <v>12.0022</v>
      </c>
      <c r="M306">
        <v>0</v>
      </c>
      <c r="N306">
        <v>0</v>
      </c>
      <c r="O306">
        <v>22.974699999999999</v>
      </c>
    </row>
    <row r="307" spans="1:15" x14ac:dyDescent="0.25">
      <c r="A307" t="s">
        <v>14</v>
      </c>
      <c r="B307" t="s">
        <v>16</v>
      </c>
      <c r="C307">
        <v>7</v>
      </c>
      <c r="D307">
        <v>100</v>
      </c>
      <c r="E307">
        <v>12800</v>
      </c>
      <c r="F307" t="str">
        <f t="shared" si="4"/>
        <v>lena256_blurkernel8_7_100_12800</v>
      </c>
      <c r="G307">
        <v>0</v>
      </c>
      <c r="H307">
        <v>0</v>
      </c>
      <c r="I307">
        <v>1.607994E-3</v>
      </c>
      <c r="J307">
        <v>9.4909999999999994E-6</v>
      </c>
      <c r="K307">
        <v>13.513299999999999</v>
      </c>
      <c r="L307">
        <v>12.0022</v>
      </c>
      <c r="M307">
        <v>0</v>
      </c>
      <c r="N307">
        <v>0</v>
      </c>
      <c r="O307">
        <v>20.745100000000001</v>
      </c>
    </row>
    <row r="308" spans="1:15" x14ac:dyDescent="0.25">
      <c r="A308" t="s">
        <v>14</v>
      </c>
      <c r="B308" t="s">
        <v>16</v>
      </c>
      <c r="C308">
        <v>7</v>
      </c>
      <c r="D308">
        <v>100</v>
      </c>
      <c r="E308">
        <v>25600</v>
      </c>
      <c r="F308" t="str">
        <f t="shared" si="4"/>
        <v>lena256_blurkernel8_7_100_25600</v>
      </c>
      <c r="G308">
        <v>0</v>
      </c>
      <c r="H308">
        <v>0</v>
      </c>
      <c r="I308">
        <v>3.560101E-3</v>
      </c>
      <c r="J308">
        <v>9.4909999999999994E-6</v>
      </c>
      <c r="K308">
        <v>10.2902</v>
      </c>
      <c r="L308">
        <v>12.0022</v>
      </c>
      <c r="M308">
        <v>0</v>
      </c>
      <c r="N308">
        <v>0</v>
      </c>
      <c r="O308">
        <v>18.477399999999999</v>
      </c>
    </row>
    <row r="309" spans="1:15" x14ac:dyDescent="0.25">
      <c r="A309" t="s">
        <v>14</v>
      </c>
      <c r="B309" t="s">
        <v>16</v>
      </c>
      <c r="C309">
        <v>7</v>
      </c>
      <c r="D309">
        <v>100</v>
      </c>
      <c r="E309">
        <v>102400</v>
      </c>
      <c r="F309" t="str">
        <f t="shared" si="4"/>
        <v>lena256_blurkernel8_7_100_102400</v>
      </c>
      <c r="G309">
        <v>0</v>
      </c>
      <c r="H309">
        <v>0</v>
      </c>
      <c r="I309">
        <v>2.1213724E-2</v>
      </c>
      <c r="J309">
        <v>9.5219999999999996E-6</v>
      </c>
      <c r="K309">
        <v>4.0976999999999997</v>
      </c>
      <c r="L309">
        <v>12.004300000000001</v>
      </c>
      <c r="M309">
        <v>0</v>
      </c>
      <c r="N309">
        <v>0</v>
      </c>
      <c r="O309">
        <v>13.7958</v>
      </c>
    </row>
    <row r="310" spans="1:15" x14ac:dyDescent="0.25">
      <c r="A310" t="s">
        <v>14</v>
      </c>
      <c r="B310" t="s">
        <v>16</v>
      </c>
      <c r="C310">
        <v>15</v>
      </c>
      <c r="D310">
        <v>100</v>
      </c>
      <c r="E310">
        <v>100</v>
      </c>
      <c r="F310" t="str">
        <f t="shared" si="4"/>
        <v>lena256_blurkernel8_15_100_100</v>
      </c>
      <c r="G310">
        <v>0</v>
      </c>
      <c r="H310">
        <v>0</v>
      </c>
      <c r="I310">
        <v>9.5859999999999994E-6</v>
      </c>
      <c r="J310">
        <v>9.5619999999999993E-6</v>
      </c>
      <c r="K310">
        <v>35.572800000000001</v>
      </c>
      <c r="L310">
        <v>8.2194000000000003</v>
      </c>
      <c r="M310">
        <v>0</v>
      </c>
      <c r="N310">
        <v>0</v>
      </c>
      <c r="O310">
        <v>37.613599999999998</v>
      </c>
    </row>
    <row r="311" spans="1:15" x14ac:dyDescent="0.25">
      <c r="A311" t="s">
        <v>14</v>
      </c>
      <c r="B311" t="s">
        <v>16</v>
      </c>
      <c r="C311">
        <v>15</v>
      </c>
      <c r="D311">
        <v>100</v>
      </c>
      <c r="E311">
        <v>200</v>
      </c>
      <c r="F311" t="str">
        <f t="shared" si="4"/>
        <v>lena256_blurkernel8_15_100_200</v>
      </c>
      <c r="G311">
        <v>0</v>
      </c>
      <c r="H311">
        <v>0</v>
      </c>
      <c r="I311">
        <v>2.0823E-5</v>
      </c>
      <c r="J311">
        <v>9.4229999999999994E-6</v>
      </c>
      <c r="K311">
        <v>32.202399999999997</v>
      </c>
      <c r="L311">
        <v>8.2184000000000008</v>
      </c>
      <c r="M311">
        <v>0</v>
      </c>
      <c r="N311">
        <v>0</v>
      </c>
      <c r="O311">
        <v>34.867899999999999</v>
      </c>
    </row>
    <row r="312" spans="1:15" x14ac:dyDescent="0.25">
      <c r="A312" t="s">
        <v>14</v>
      </c>
      <c r="B312" t="s">
        <v>16</v>
      </c>
      <c r="C312">
        <v>15</v>
      </c>
      <c r="D312">
        <v>100</v>
      </c>
      <c r="E312">
        <v>400</v>
      </c>
      <c r="F312" t="str">
        <f t="shared" si="4"/>
        <v>lena256_blurkernel8_15_100_400</v>
      </c>
      <c r="G312">
        <v>0</v>
      </c>
      <c r="H312">
        <v>0</v>
      </c>
      <c r="I312">
        <v>4.3476999999999997E-5</v>
      </c>
      <c r="J312">
        <v>9.4229999999999994E-6</v>
      </c>
      <c r="K312">
        <v>29.008199999999999</v>
      </c>
      <c r="L312">
        <v>8.2184000000000008</v>
      </c>
      <c r="M312">
        <v>0</v>
      </c>
      <c r="N312">
        <v>0</v>
      </c>
      <c r="O312">
        <v>32.258299999999998</v>
      </c>
    </row>
    <row r="313" spans="1:15" x14ac:dyDescent="0.25">
      <c r="A313" t="s">
        <v>14</v>
      </c>
      <c r="B313" t="s">
        <v>16</v>
      </c>
      <c r="C313">
        <v>15</v>
      </c>
      <c r="D313">
        <v>100</v>
      </c>
      <c r="E313">
        <v>800</v>
      </c>
      <c r="F313" t="str">
        <f t="shared" si="4"/>
        <v>lena256_blurkernel8_15_100_800</v>
      </c>
      <c r="G313">
        <v>0</v>
      </c>
      <c r="H313">
        <v>0</v>
      </c>
      <c r="I313">
        <v>8.9398E-5</v>
      </c>
      <c r="J313">
        <v>9.4229999999999994E-6</v>
      </c>
      <c r="K313">
        <v>25.8841</v>
      </c>
      <c r="L313">
        <v>8.2184000000000008</v>
      </c>
      <c r="M313">
        <v>0</v>
      </c>
      <c r="N313">
        <v>0</v>
      </c>
      <c r="O313">
        <v>29.855899999999998</v>
      </c>
    </row>
    <row r="314" spans="1:15" x14ac:dyDescent="0.25">
      <c r="A314" t="s">
        <v>14</v>
      </c>
      <c r="B314" t="s">
        <v>16</v>
      </c>
      <c r="C314">
        <v>15</v>
      </c>
      <c r="D314">
        <v>100</v>
      </c>
      <c r="E314">
        <v>1600</v>
      </c>
      <c r="F314" t="str">
        <f t="shared" si="4"/>
        <v>lena256_blurkernel8_15_100_1600</v>
      </c>
      <c r="G314">
        <v>0</v>
      </c>
      <c r="H314">
        <v>0</v>
      </c>
      <c r="I314">
        <v>1.81502E-4</v>
      </c>
      <c r="J314">
        <v>9.4229999999999994E-6</v>
      </c>
      <c r="K314">
        <v>22.8203</v>
      </c>
      <c r="L314">
        <v>8.2184000000000008</v>
      </c>
      <c r="M314">
        <v>0</v>
      </c>
      <c r="N314">
        <v>0</v>
      </c>
      <c r="O314">
        <v>27.5261</v>
      </c>
    </row>
    <row r="315" spans="1:15" x14ac:dyDescent="0.25">
      <c r="A315" t="s">
        <v>14</v>
      </c>
      <c r="B315" t="s">
        <v>16</v>
      </c>
      <c r="C315">
        <v>15</v>
      </c>
      <c r="D315">
        <v>100</v>
      </c>
      <c r="E315">
        <v>3200</v>
      </c>
      <c r="F315" t="str">
        <f t="shared" si="4"/>
        <v>lena256_blurkernel8_15_100_3200</v>
      </c>
      <c r="G315">
        <v>0</v>
      </c>
      <c r="H315">
        <v>0</v>
      </c>
      <c r="I315">
        <v>3.7632399999999998E-4</v>
      </c>
      <c r="J315">
        <v>9.4229999999999994E-6</v>
      </c>
      <c r="K315">
        <v>19.6769</v>
      </c>
      <c r="L315">
        <v>8.2184000000000008</v>
      </c>
      <c r="M315">
        <v>0</v>
      </c>
      <c r="N315">
        <v>0</v>
      </c>
      <c r="O315">
        <v>25.162099999999999</v>
      </c>
    </row>
    <row r="316" spans="1:15" x14ac:dyDescent="0.25">
      <c r="A316" t="s">
        <v>14</v>
      </c>
      <c r="B316" t="s">
        <v>16</v>
      </c>
      <c r="C316">
        <v>15</v>
      </c>
      <c r="D316">
        <v>100</v>
      </c>
      <c r="E316">
        <v>6400</v>
      </c>
      <c r="F316" t="str">
        <f t="shared" si="4"/>
        <v>lena256_blurkernel8_15_100_6400</v>
      </c>
      <c r="G316">
        <v>0</v>
      </c>
      <c r="H316">
        <v>0</v>
      </c>
      <c r="I316">
        <v>7.6393100000000003E-4</v>
      </c>
      <c r="J316">
        <v>9.4229999999999994E-6</v>
      </c>
      <c r="K316">
        <v>16.653400000000001</v>
      </c>
      <c r="L316">
        <v>8.2184000000000008</v>
      </c>
      <c r="M316">
        <v>0</v>
      </c>
      <c r="N316">
        <v>0</v>
      </c>
      <c r="O316">
        <v>22.9467</v>
      </c>
    </row>
    <row r="317" spans="1:15" x14ac:dyDescent="0.25">
      <c r="A317" t="s">
        <v>14</v>
      </c>
      <c r="B317" t="s">
        <v>16</v>
      </c>
      <c r="C317">
        <v>15</v>
      </c>
      <c r="D317">
        <v>100</v>
      </c>
      <c r="E317">
        <v>12800</v>
      </c>
      <c r="F317" t="str">
        <f t="shared" si="4"/>
        <v>lena256_blurkernel8_15_100_12800</v>
      </c>
      <c r="G317">
        <v>0</v>
      </c>
      <c r="H317">
        <v>0</v>
      </c>
      <c r="I317">
        <v>1.6113709999999999E-3</v>
      </c>
      <c r="J317">
        <v>9.4229999999999994E-6</v>
      </c>
      <c r="K317">
        <v>13.504899999999999</v>
      </c>
      <c r="L317">
        <v>8.2184000000000008</v>
      </c>
      <c r="M317">
        <v>0</v>
      </c>
      <c r="N317">
        <v>0</v>
      </c>
      <c r="O317">
        <v>20.764600000000002</v>
      </c>
    </row>
    <row r="318" spans="1:15" x14ac:dyDescent="0.25">
      <c r="A318" t="s">
        <v>14</v>
      </c>
      <c r="B318" t="s">
        <v>16</v>
      </c>
      <c r="C318">
        <v>15</v>
      </c>
      <c r="D318">
        <v>100</v>
      </c>
      <c r="E318">
        <v>25600</v>
      </c>
      <c r="F318" t="str">
        <f t="shared" si="4"/>
        <v>lena256_blurkernel8_15_100_25600</v>
      </c>
      <c r="G318">
        <v>0</v>
      </c>
      <c r="H318">
        <v>0</v>
      </c>
      <c r="I318">
        <v>3.5546549999999999E-3</v>
      </c>
      <c r="J318">
        <v>9.4229999999999994E-6</v>
      </c>
      <c r="K318">
        <v>10.3081</v>
      </c>
      <c r="L318">
        <v>8.2184000000000008</v>
      </c>
      <c r="M318">
        <v>0</v>
      </c>
      <c r="N318">
        <v>0</v>
      </c>
      <c r="O318">
        <v>18.484500000000001</v>
      </c>
    </row>
    <row r="319" spans="1:15" x14ac:dyDescent="0.25">
      <c r="A319" t="s">
        <v>14</v>
      </c>
      <c r="B319" t="s">
        <v>16</v>
      </c>
      <c r="C319">
        <v>15</v>
      </c>
      <c r="D319">
        <v>100</v>
      </c>
      <c r="E319">
        <v>102400</v>
      </c>
      <c r="F319" t="str">
        <f t="shared" si="4"/>
        <v>lena256_blurkernel8_15_100_102400</v>
      </c>
      <c r="G319">
        <v>0</v>
      </c>
      <c r="H319">
        <v>0</v>
      </c>
      <c r="I319">
        <v>2.1188993999999999E-2</v>
      </c>
      <c r="J319">
        <v>9.5480000000000007E-6</v>
      </c>
      <c r="K319">
        <v>4.1041999999999996</v>
      </c>
      <c r="L319">
        <v>8.2194000000000003</v>
      </c>
      <c r="M319">
        <v>0</v>
      </c>
      <c r="N319">
        <v>0</v>
      </c>
      <c r="O319">
        <v>13.7895</v>
      </c>
    </row>
    <row r="320" spans="1:15" x14ac:dyDescent="0.25">
      <c r="A320" t="s">
        <v>14</v>
      </c>
      <c r="B320" t="s">
        <v>16</v>
      </c>
      <c r="C320">
        <v>31</v>
      </c>
      <c r="D320">
        <v>100</v>
      </c>
      <c r="E320">
        <v>100</v>
      </c>
      <c r="F320" t="str">
        <f t="shared" si="4"/>
        <v>lena256_blurkernel8_31_100_100</v>
      </c>
      <c r="G320">
        <v>0</v>
      </c>
      <c r="H320">
        <v>0</v>
      </c>
      <c r="I320">
        <v>9.4639999999999995E-6</v>
      </c>
      <c r="J320">
        <v>9.6439999999999995E-6</v>
      </c>
      <c r="K320">
        <v>35.625799999999998</v>
      </c>
      <c r="L320">
        <v>5.3045</v>
      </c>
      <c r="M320">
        <v>0</v>
      </c>
      <c r="N320">
        <v>0</v>
      </c>
      <c r="O320">
        <v>37.651899999999998</v>
      </c>
    </row>
    <row r="321" spans="1:15" x14ac:dyDescent="0.25">
      <c r="A321" t="s">
        <v>14</v>
      </c>
      <c r="B321" t="s">
        <v>16</v>
      </c>
      <c r="C321">
        <v>31</v>
      </c>
      <c r="D321">
        <v>100</v>
      </c>
      <c r="E321">
        <v>200</v>
      </c>
      <c r="F321" t="str">
        <f t="shared" si="4"/>
        <v>lena256_blurkernel8_31_100_200</v>
      </c>
      <c r="G321">
        <v>0</v>
      </c>
      <c r="H321">
        <v>0</v>
      </c>
      <c r="I321">
        <v>2.0783000000000001E-5</v>
      </c>
      <c r="J321">
        <v>9.6600000000000007E-6</v>
      </c>
      <c r="K321">
        <v>32.212499999999999</v>
      </c>
      <c r="L321">
        <v>5.3064</v>
      </c>
      <c r="M321">
        <v>0</v>
      </c>
      <c r="N321">
        <v>0</v>
      </c>
      <c r="O321">
        <v>34.862299999999998</v>
      </c>
    </row>
    <row r="322" spans="1:15" x14ac:dyDescent="0.25">
      <c r="A322" t="s">
        <v>14</v>
      </c>
      <c r="B322" t="s">
        <v>16</v>
      </c>
      <c r="C322">
        <v>31</v>
      </c>
      <c r="D322">
        <v>100</v>
      </c>
      <c r="E322">
        <v>400</v>
      </c>
      <c r="F322" t="str">
        <f t="shared" ref="F322:F385" si="5">A322&amp;"_"&amp;B322&amp;"_"&amp;C322&amp;"_"&amp;D322&amp;"_"&amp;E322</f>
        <v>lena256_blurkernel8_31_100_400</v>
      </c>
      <c r="G322">
        <v>0</v>
      </c>
      <c r="H322">
        <v>0</v>
      </c>
      <c r="I322">
        <v>4.3894999999999999E-5</v>
      </c>
      <c r="J322">
        <v>9.6600000000000007E-6</v>
      </c>
      <c r="K322">
        <v>28.969799999999999</v>
      </c>
      <c r="L322">
        <v>5.3064</v>
      </c>
      <c r="M322">
        <v>0</v>
      </c>
      <c r="N322">
        <v>0</v>
      </c>
      <c r="O322">
        <v>32.242899999999999</v>
      </c>
    </row>
    <row r="323" spans="1:15" x14ac:dyDescent="0.25">
      <c r="A323" t="s">
        <v>14</v>
      </c>
      <c r="B323" t="s">
        <v>16</v>
      </c>
      <c r="C323">
        <v>31</v>
      </c>
      <c r="D323">
        <v>100</v>
      </c>
      <c r="E323">
        <v>800</v>
      </c>
      <c r="F323" t="str">
        <f t="shared" si="5"/>
        <v>lena256_blurkernel8_31_100_800</v>
      </c>
      <c r="G323">
        <v>0</v>
      </c>
      <c r="H323">
        <v>0</v>
      </c>
      <c r="I323">
        <v>8.9920999999999995E-5</v>
      </c>
      <c r="J323">
        <v>9.6600000000000007E-6</v>
      </c>
      <c r="K323">
        <v>25.856999999999999</v>
      </c>
      <c r="L323">
        <v>5.3064</v>
      </c>
      <c r="M323">
        <v>0</v>
      </c>
      <c r="N323">
        <v>0</v>
      </c>
      <c r="O323">
        <v>29.845600000000001</v>
      </c>
    </row>
    <row r="324" spans="1:15" x14ac:dyDescent="0.25">
      <c r="A324" t="s">
        <v>14</v>
      </c>
      <c r="B324" t="s">
        <v>16</v>
      </c>
      <c r="C324">
        <v>31</v>
      </c>
      <c r="D324">
        <v>100</v>
      </c>
      <c r="E324">
        <v>1600</v>
      </c>
      <c r="F324" t="str">
        <f t="shared" si="5"/>
        <v>lena256_blurkernel8_31_100_1600</v>
      </c>
      <c r="G324">
        <v>0</v>
      </c>
      <c r="H324">
        <v>0</v>
      </c>
      <c r="I324">
        <v>1.80822E-4</v>
      </c>
      <c r="J324">
        <v>9.6600000000000007E-6</v>
      </c>
      <c r="K324">
        <v>22.837700000000002</v>
      </c>
      <c r="L324">
        <v>5.3064</v>
      </c>
      <c r="M324">
        <v>0</v>
      </c>
      <c r="N324">
        <v>0</v>
      </c>
      <c r="O324">
        <v>27.4831</v>
      </c>
    </row>
    <row r="325" spans="1:15" x14ac:dyDescent="0.25">
      <c r="A325" t="s">
        <v>14</v>
      </c>
      <c r="B325" t="s">
        <v>16</v>
      </c>
      <c r="C325">
        <v>31</v>
      </c>
      <c r="D325">
        <v>100</v>
      </c>
      <c r="E325">
        <v>3200</v>
      </c>
      <c r="F325" t="str">
        <f t="shared" si="5"/>
        <v>lena256_blurkernel8_31_100_3200</v>
      </c>
      <c r="G325">
        <v>0</v>
      </c>
      <c r="H325">
        <v>0</v>
      </c>
      <c r="I325">
        <v>3.7215799999999998E-4</v>
      </c>
      <c r="J325">
        <v>9.6600000000000007E-6</v>
      </c>
      <c r="K325">
        <v>19.723500000000001</v>
      </c>
      <c r="L325">
        <v>5.3064</v>
      </c>
      <c r="M325">
        <v>0</v>
      </c>
      <c r="N325">
        <v>0</v>
      </c>
      <c r="O325">
        <v>25.183</v>
      </c>
    </row>
    <row r="326" spans="1:15" x14ac:dyDescent="0.25">
      <c r="A326" t="s">
        <v>14</v>
      </c>
      <c r="B326" t="s">
        <v>16</v>
      </c>
      <c r="C326">
        <v>31</v>
      </c>
      <c r="D326">
        <v>100</v>
      </c>
      <c r="E326">
        <v>6400</v>
      </c>
      <c r="F326" t="str">
        <f t="shared" si="5"/>
        <v>lena256_blurkernel8_31_100_6400</v>
      </c>
      <c r="G326">
        <v>0</v>
      </c>
      <c r="H326">
        <v>0</v>
      </c>
      <c r="I326">
        <v>7.6335900000000002E-4</v>
      </c>
      <c r="J326">
        <v>9.6600000000000007E-6</v>
      </c>
      <c r="K326">
        <v>16.648199999999999</v>
      </c>
      <c r="L326">
        <v>5.3064</v>
      </c>
      <c r="M326">
        <v>0</v>
      </c>
      <c r="N326">
        <v>0</v>
      </c>
      <c r="O326">
        <v>22.959099999999999</v>
      </c>
    </row>
    <row r="327" spans="1:15" x14ac:dyDescent="0.25">
      <c r="A327" t="s">
        <v>14</v>
      </c>
      <c r="B327" t="s">
        <v>16</v>
      </c>
      <c r="C327">
        <v>31</v>
      </c>
      <c r="D327">
        <v>100</v>
      </c>
      <c r="E327">
        <v>12800</v>
      </c>
      <c r="F327" t="str">
        <f t="shared" si="5"/>
        <v>lena256_blurkernel8_31_100_12800</v>
      </c>
      <c r="G327">
        <v>0</v>
      </c>
      <c r="H327">
        <v>0</v>
      </c>
      <c r="I327">
        <v>1.6237070000000001E-3</v>
      </c>
      <c r="J327">
        <v>9.6600000000000007E-6</v>
      </c>
      <c r="K327">
        <v>13.482100000000001</v>
      </c>
      <c r="L327">
        <v>5.3064</v>
      </c>
      <c r="M327">
        <v>0</v>
      </c>
      <c r="N327">
        <v>0</v>
      </c>
      <c r="O327">
        <v>20.724900000000002</v>
      </c>
    </row>
    <row r="328" spans="1:15" x14ac:dyDescent="0.25">
      <c r="A328" t="s">
        <v>14</v>
      </c>
      <c r="B328" t="s">
        <v>16</v>
      </c>
      <c r="C328">
        <v>31</v>
      </c>
      <c r="D328">
        <v>100</v>
      </c>
      <c r="E328">
        <v>25600</v>
      </c>
      <c r="F328" t="str">
        <f t="shared" si="5"/>
        <v>lena256_blurkernel8_31_100_25600</v>
      </c>
      <c r="G328">
        <v>0</v>
      </c>
      <c r="H328">
        <v>0</v>
      </c>
      <c r="I328">
        <v>3.5406729999999998E-3</v>
      </c>
      <c r="J328">
        <v>9.6600000000000007E-6</v>
      </c>
      <c r="K328">
        <v>10.3156</v>
      </c>
      <c r="L328">
        <v>5.3064</v>
      </c>
      <c r="M328">
        <v>0</v>
      </c>
      <c r="N328">
        <v>0</v>
      </c>
      <c r="O328">
        <v>18.4956</v>
      </c>
    </row>
    <row r="329" spans="1:15" x14ac:dyDescent="0.25">
      <c r="A329" t="s">
        <v>14</v>
      </c>
      <c r="B329" t="s">
        <v>16</v>
      </c>
      <c r="C329">
        <v>31</v>
      </c>
      <c r="D329">
        <v>100</v>
      </c>
      <c r="E329">
        <v>102400</v>
      </c>
      <c r="F329" t="str">
        <f t="shared" si="5"/>
        <v>lena256_blurkernel8_31_100_102400</v>
      </c>
      <c r="G329">
        <v>0</v>
      </c>
      <c r="H329">
        <v>0</v>
      </c>
      <c r="I329">
        <v>2.1160854999999999E-2</v>
      </c>
      <c r="J329">
        <v>9.577E-6</v>
      </c>
      <c r="K329">
        <v>4.1304999999999996</v>
      </c>
      <c r="L329">
        <v>5.3036000000000003</v>
      </c>
      <c r="M329">
        <v>0</v>
      </c>
      <c r="N329">
        <v>0</v>
      </c>
      <c r="O329">
        <v>13.786</v>
      </c>
    </row>
    <row r="330" spans="1:15" x14ac:dyDescent="0.25">
      <c r="A330" t="s">
        <v>14</v>
      </c>
      <c r="B330" t="s">
        <v>16</v>
      </c>
      <c r="C330">
        <v>63</v>
      </c>
      <c r="D330">
        <v>100</v>
      </c>
      <c r="E330">
        <v>200</v>
      </c>
      <c r="F330" t="str">
        <f t="shared" si="5"/>
        <v>lena256_blurkernel8_63_100_200</v>
      </c>
      <c r="G330">
        <v>0</v>
      </c>
      <c r="H330">
        <v>0</v>
      </c>
      <c r="I330">
        <v>2.0845000000000001E-5</v>
      </c>
      <c r="J330">
        <v>9.6150000000000003E-6</v>
      </c>
      <c r="K330">
        <v>32.197299999999998</v>
      </c>
      <c r="L330">
        <v>2.8997000000000002</v>
      </c>
      <c r="M330">
        <v>0</v>
      </c>
      <c r="N330">
        <v>0</v>
      </c>
      <c r="O330">
        <v>34.834400000000002</v>
      </c>
    </row>
    <row r="331" spans="1:15" x14ac:dyDescent="0.25">
      <c r="A331" t="s">
        <v>14</v>
      </c>
      <c r="B331" t="s">
        <v>16</v>
      </c>
      <c r="C331">
        <v>63</v>
      </c>
      <c r="D331">
        <v>100</v>
      </c>
      <c r="E331">
        <v>400</v>
      </c>
      <c r="F331" t="str">
        <f t="shared" si="5"/>
        <v>lena256_blurkernel8_63_100_400</v>
      </c>
      <c r="G331">
        <v>0</v>
      </c>
      <c r="H331">
        <v>0</v>
      </c>
      <c r="I331">
        <v>4.3194E-5</v>
      </c>
      <c r="J331">
        <v>9.6150000000000003E-6</v>
      </c>
      <c r="K331">
        <v>29.038799999999998</v>
      </c>
      <c r="L331">
        <v>2.8997000000000002</v>
      </c>
      <c r="M331">
        <v>0</v>
      </c>
      <c r="N331">
        <v>0</v>
      </c>
      <c r="O331">
        <v>32.283799999999999</v>
      </c>
    </row>
    <row r="332" spans="1:15" x14ac:dyDescent="0.25">
      <c r="A332" t="s">
        <v>14</v>
      </c>
      <c r="B332" t="s">
        <v>16</v>
      </c>
      <c r="C332">
        <v>63</v>
      </c>
      <c r="D332">
        <v>100</v>
      </c>
      <c r="E332">
        <v>800</v>
      </c>
      <c r="F332" t="str">
        <f t="shared" si="5"/>
        <v>lena256_blurkernel8_63_100_800</v>
      </c>
      <c r="G332">
        <v>0</v>
      </c>
      <c r="H332">
        <v>0</v>
      </c>
      <c r="I332">
        <v>8.9843E-5</v>
      </c>
      <c r="J332">
        <v>9.6150000000000003E-6</v>
      </c>
      <c r="K332">
        <v>25.864000000000001</v>
      </c>
      <c r="L332">
        <v>2.8997000000000002</v>
      </c>
      <c r="M332">
        <v>0</v>
      </c>
      <c r="N332">
        <v>0</v>
      </c>
      <c r="O332">
        <v>29.814599999999999</v>
      </c>
    </row>
    <row r="333" spans="1:15" x14ac:dyDescent="0.25">
      <c r="A333" t="s">
        <v>14</v>
      </c>
      <c r="B333" t="s">
        <v>16</v>
      </c>
      <c r="C333">
        <v>63</v>
      </c>
      <c r="D333">
        <v>100</v>
      </c>
      <c r="E333">
        <v>1600</v>
      </c>
      <c r="F333" t="str">
        <f t="shared" si="5"/>
        <v>lena256_blurkernel8_63_100_1600</v>
      </c>
      <c r="G333">
        <v>0</v>
      </c>
      <c r="H333">
        <v>0</v>
      </c>
      <c r="I333">
        <v>1.8213699999999999E-4</v>
      </c>
      <c r="J333">
        <v>9.6150000000000003E-6</v>
      </c>
      <c r="K333">
        <v>22.802600000000002</v>
      </c>
      <c r="L333">
        <v>2.8997000000000002</v>
      </c>
      <c r="M333">
        <v>0</v>
      </c>
      <c r="N333">
        <v>0</v>
      </c>
      <c r="O333">
        <v>27.503900000000002</v>
      </c>
    </row>
    <row r="334" spans="1:15" x14ac:dyDescent="0.25">
      <c r="A334" t="s">
        <v>14</v>
      </c>
      <c r="B334" t="s">
        <v>16</v>
      </c>
      <c r="C334">
        <v>63</v>
      </c>
      <c r="D334">
        <v>100</v>
      </c>
      <c r="E334">
        <v>3200</v>
      </c>
      <c r="F334" t="str">
        <f t="shared" si="5"/>
        <v>lena256_blurkernel8_63_100_3200</v>
      </c>
      <c r="G334">
        <v>0</v>
      </c>
      <c r="H334">
        <v>0</v>
      </c>
      <c r="I334">
        <v>3.71939E-4</v>
      </c>
      <c r="J334">
        <v>9.6150000000000003E-6</v>
      </c>
      <c r="K334">
        <v>19.7288</v>
      </c>
      <c r="L334">
        <v>2.8997000000000002</v>
      </c>
      <c r="M334">
        <v>0</v>
      </c>
      <c r="N334">
        <v>0</v>
      </c>
      <c r="O334">
        <v>25.213000000000001</v>
      </c>
    </row>
    <row r="335" spans="1:15" x14ac:dyDescent="0.25">
      <c r="A335" t="s">
        <v>14</v>
      </c>
      <c r="B335" t="s">
        <v>16</v>
      </c>
      <c r="C335">
        <v>63</v>
      </c>
      <c r="D335">
        <v>100</v>
      </c>
      <c r="E335">
        <v>6400</v>
      </c>
      <c r="F335" t="str">
        <f t="shared" si="5"/>
        <v>lena256_blurkernel8_63_100_6400</v>
      </c>
      <c r="G335">
        <v>0</v>
      </c>
      <c r="H335">
        <v>0</v>
      </c>
      <c r="I335">
        <v>7.5819500000000003E-4</v>
      </c>
      <c r="J335">
        <v>9.6150000000000003E-6</v>
      </c>
      <c r="K335">
        <v>16.678999999999998</v>
      </c>
      <c r="L335">
        <v>2.8997000000000002</v>
      </c>
      <c r="M335">
        <v>0</v>
      </c>
      <c r="N335">
        <v>0</v>
      </c>
      <c r="O335">
        <v>23.058900000000001</v>
      </c>
    </row>
    <row r="336" spans="1:15" x14ac:dyDescent="0.25">
      <c r="A336" t="s">
        <v>14</v>
      </c>
      <c r="B336" t="s">
        <v>16</v>
      </c>
      <c r="C336">
        <v>63</v>
      </c>
      <c r="D336">
        <v>100</v>
      </c>
      <c r="E336">
        <v>12800</v>
      </c>
      <c r="F336" t="str">
        <f t="shared" si="5"/>
        <v>lena256_blurkernel8_63_100_12800</v>
      </c>
      <c r="G336">
        <v>0</v>
      </c>
      <c r="H336">
        <v>0</v>
      </c>
      <c r="I336">
        <v>1.6048359999999999E-3</v>
      </c>
      <c r="J336">
        <v>9.6150000000000003E-6</v>
      </c>
      <c r="K336">
        <v>13.535600000000001</v>
      </c>
      <c r="L336">
        <v>2.8997000000000002</v>
      </c>
      <c r="M336">
        <v>0</v>
      </c>
      <c r="N336">
        <v>0</v>
      </c>
      <c r="O336">
        <v>20.803100000000001</v>
      </c>
    </row>
    <row r="337" spans="1:15" x14ac:dyDescent="0.25">
      <c r="A337" t="s">
        <v>14</v>
      </c>
      <c r="B337" t="s">
        <v>16</v>
      </c>
      <c r="C337">
        <v>63</v>
      </c>
      <c r="D337">
        <v>100</v>
      </c>
      <c r="E337">
        <v>25600</v>
      </c>
      <c r="F337" t="str">
        <f t="shared" si="5"/>
        <v>lena256_blurkernel8_63_100_25600</v>
      </c>
      <c r="G337">
        <v>0</v>
      </c>
      <c r="H337">
        <v>0</v>
      </c>
      <c r="I337">
        <v>3.5498299999999999E-3</v>
      </c>
      <c r="J337">
        <v>9.6150000000000003E-6</v>
      </c>
      <c r="K337">
        <v>10.303699999999999</v>
      </c>
      <c r="L337">
        <v>2.8997000000000002</v>
      </c>
      <c r="M337">
        <v>0</v>
      </c>
      <c r="N337">
        <v>0</v>
      </c>
      <c r="O337">
        <v>18.428899999999999</v>
      </c>
    </row>
    <row r="338" spans="1:15" x14ac:dyDescent="0.25">
      <c r="A338" t="s">
        <v>14</v>
      </c>
      <c r="B338" t="s">
        <v>17</v>
      </c>
      <c r="C338">
        <v>3</v>
      </c>
      <c r="D338">
        <v>100</v>
      </c>
      <c r="E338">
        <v>100</v>
      </c>
      <c r="F338" t="str">
        <f t="shared" si="5"/>
        <v>lena256_line_3_100_100</v>
      </c>
      <c r="G338">
        <v>0</v>
      </c>
      <c r="H338">
        <v>0</v>
      </c>
      <c r="I338">
        <v>9.4919999999999999E-6</v>
      </c>
      <c r="J338">
        <v>9.5440000000000004E-6</v>
      </c>
      <c r="K338">
        <v>35.613599999999998</v>
      </c>
      <c r="L338">
        <v>15.0596</v>
      </c>
      <c r="M338">
        <v>0</v>
      </c>
      <c r="N338">
        <v>0</v>
      </c>
      <c r="O338">
        <v>37.647599999999997</v>
      </c>
    </row>
    <row r="339" spans="1:15" x14ac:dyDescent="0.25">
      <c r="A339" t="s">
        <v>14</v>
      </c>
      <c r="B339" t="s">
        <v>17</v>
      </c>
      <c r="C339">
        <v>3</v>
      </c>
      <c r="D339">
        <v>100</v>
      </c>
      <c r="E339">
        <v>200</v>
      </c>
      <c r="F339" t="str">
        <f t="shared" si="5"/>
        <v>lena256_line_3_100_200</v>
      </c>
      <c r="G339">
        <v>0</v>
      </c>
      <c r="H339">
        <v>0</v>
      </c>
      <c r="I339">
        <v>2.0854000000000001E-5</v>
      </c>
      <c r="J339">
        <v>9.5650000000000007E-6</v>
      </c>
      <c r="K339">
        <v>32.195799999999998</v>
      </c>
      <c r="L339">
        <v>15.0648</v>
      </c>
      <c r="M339">
        <v>0</v>
      </c>
      <c r="N339">
        <v>0</v>
      </c>
      <c r="O339">
        <v>34.844799999999999</v>
      </c>
    </row>
    <row r="340" spans="1:15" x14ac:dyDescent="0.25">
      <c r="A340" t="s">
        <v>14</v>
      </c>
      <c r="B340" t="s">
        <v>17</v>
      </c>
      <c r="C340">
        <v>3</v>
      </c>
      <c r="D340">
        <v>100</v>
      </c>
      <c r="E340">
        <v>400</v>
      </c>
      <c r="F340" t="str">
        <f t="shared" si="5"/>
        <v>lena256_line_3_100_400</v>
      </c>
      <c r="G340">
        <v>0</v>
      </c>
      <c r="H340">
        <v>0</v>
      </c>
      <c r="I340">
        <v>4.3621999999999997E-5</v>
      </c>
      <c r="J340">
        <v>9.5650000000000007E-6</v>
      </c>
      <c r="K340">
        <v>28.992599999999999</v>
      </c>
      <c r="L340">
        <v>15.0648</v>
      </c>
      <c r="M340">
        <v>0</v>
      </c>
      <c r="N340">
        <v>0</v>
      </c>
      <c r="O340">
        <v>32.220500000000001</v>
      </c>
    </row>
    <row r="341" spans="1:15" x14ac:dyDescent="0.25">
      <c r="A341" t="s">
        <v>14</v>
      </c>
      <c r="B341" t="s">
        <v>17</v>
      </c>
      <c r="C341">
        <v>3</v>
      </c>
      <c r="D341">
        <v>100</v>
      </c>
      <c r="E341">
        <v>800</v>
      </c>
      <c r="F341" t="str">
        <f t="shared" si="5"/>
        <v>lena256_line_3_100_800</v>
      </c>
      <c r="G341">
        <v>0</v>
      </c>
      <c r="H341">
        <v>0</v>
      </c>
      <c r="I341">
        <v>8.8769000000000003E-5</v>
      </c>
      <c r="J341">
        <v>9.5650000000000007E-6</v>
      </c>
      <c r="K341">
        <v>25.914999999999999</v>
      </c>
      <c r="L341">
        <v>15.0648</v>
      </c>
      <c r="M341">
        <v>0</v>
      </c>
      <c r="N341">
        <v>0</v>
      </c>
      <c r="O341">
        <v>29.8521</v>
      </c>
    </row>
    <row r="342" spans="1:15" x14ac:dyDescent="0.25">
      <c r="A342" t="s">
        <v>14</v>
      </c>
      <c r="B342" t="s">
        <v>17</v>
      </c>
      <c r="C342">
        <v>3</v>
      </c>
      <c r="D342">
        <v>100</v>
      </c>
      <c r="E342">
        <v>1600</v>
      </c>
      <c r="F342" t="str">
        <f t="shared" si="5"/>
        <v>lena256_line_3_100_1600</v>
      </c>
      <c r="G342">
        <v>0</v>
      </c>
      <c r="H342">
        <v>0</v>
      </c>
      <c r="I342">
        <v>1.82459E-4</v>
      </c>
      <c r="J342">
        <v>9.5650000000000007E-6</v>
      </c>
      <c r="K342">
        <v>22.798400000000001</v>
      </c>
      <c r="L342">
        <v>15.0648</v>
      </c>
      <c r="M342">
        <v>0</v>
      </c>
      <c r="N342">
        <v>0</v>
      </c>
      <c r="O342">
        <v>27.427299999999999</v>
      </c>
    </row>
    <row r="343" spans="1:15" x14ac:dyDescent="0.25">
      <c r="A343" t="s">
        <v>14</v>
      </c>
      <c r="B343" t="s">
        <v>17</v>
      </c>
      <c r="C343">
        <v>3</v>
      </c>
      <c r="D343">
        <v>100</v>
      </c>
      <c r="E343">
        <v>3200</v>
      </c>
      <c r="F343" t="str">
        <f t="shared" si="5"/>
        <v>lena256_line_3_100_3200</v>
      </c>
      <c r="G343">
        <v>0</v>
      </c>
      <c r="H343">
        <v>0</v>
      </c>
      <c r="I343">
        <v>3.67246E-4</v>
      </c>
      <c r="J343">
        <v>9.5650000000000007E-6</v>
      </c>
      <c r="K343">
        <v>19.788399999999999</v>
      </c>
      <c r="L343">
        <v>15.0648</v>
      </c>
      <c r="M343">
        <v>0</v>
      </c>
      <c r="N343">
        <v>0</v>
      </c>
      <c r="O343">
        <v>25.217400000000001</v>
      </c>
    </row>
    <row r="344" spans="1:15" x14ac:dyDescent="0.25">
      <c r="A344" t="s">
        <v>14</v>
      </c>
      <c r="B344" t="s">
        <v>17</v>
      </c>
      <c r="C344">
        <v>3</v>
      </c>
      <c r="D344">
        <v>100</v>
      </c>
      <c r="E344">
        <v>6400</v>
      </c>
      <c r="F344" t="str">
        <f t="shared" si="5"/>
        <v>lena256_line_3_100_6400</v>
      </c>
      <c r="G344">
        <v>0</v>
      </c>
      <c r="H344">
        <v>0</v>
      </c>
      <c r="I344">
        <v>7.6862399999999998E-4</v>
      </c>
      <c r="J344">
        <v>9.5650000000000007E-6</v>
      </c>
      <c r="K344">
        <v>16.624199999999998</v>
      </c>
      <c r="L344">
        <v>15.0648</v>
      </c>
      <c r="M344">
        <v>0</v>
      </c>
      <c r="N344">
        <v>0</v>
      </c>
      <c r="O344">
        <v>22.96</v>
      </c>
    </row>
    <row r="345" spans="1:15" x14ac:dyDescent="0.25">
      <c r="A345" t="s">
        <v>14</v>
      </c>
      <c r="B345" t="s">
        <v>17</v>
      </c>
      <c r="C345">
        <v>3</v>
      </c>
      <c r="D345">
        <v>100</v>
      </c>
      <c r="E345">
        <v>12800</v>
      </c>
      <c r="F345" t="str">
        <f t="shared" si="5"/>
        <v>lena256_line_3_100_12800</v>
      </c>
      <c r="G345">
        <v>0</v>
      </c>
      <c r="H345">
        <v>0</v>
      </c>
      <c r="I345">
        <v>1.6045269999999999E-3</v>
      </c>
      <c r="J345">
        <v>9.5650000000000007E-6</v>
      </c>
      <c r="K345">
        <v>13.5214</v>
      </c>
      <c r="L345">
        <v>15.0648</v>
      </c>
      <c r="M345">
        <v>0</v>
      </c>
      <c r="N345">
        <v>0</v>
      </c>
      <c r="O345">
        <v>20.8034</v>
      </c>
    </row>
    <row r="346" spans="1:15" x14ac:dyDescent="0.25">
      <c r="A346" t="s">
        <v>14</v>
      </c>
      <c r="B346" t="s">
        <v>17</v>
      </c>
      <c r="C346">
        <v>3</v>
      </c>
      <c r="D346">
        <v>100</v>
      </c>
      <c r="E346">
        <v>25600</v>
      </c>
      <c r="F346" t="str">
        <f t="shared" si="5"/>
        <v>lena256_line_3_100_25600</v>
      </c>
      <c r="G346">
        <v>0</v>
      </c>
      <c r="H346">
        <v>0</v>
      </c>
      <c r="I346">
        <v>3.5173359999999998E-3</v>
      </c>
      <c r="J346">
        <v>9.5650000000000007E-6</v>
      </c>
      <c r="K346">
        <v>10.3408</v>
      </c>
      <c r="L346">
        <v>15.0648</v>
      </c>
      <c r="M346">
        <v>0</v>
      </c>
      <c r="N346">
        <v>0</v>
      </c>
      <c r="O346">
        <v>18.457100000000001</v>
      </c>
    </row>
    <row r="347" spans="1:15" x14ac:dyDescent="0.25">
      <c r="A347" t="s">
        <v>14</v>
      </c>
      <c r="B347" t="s">
        <v>17</v>
      </c>
      <c r="C347">
        <v>3</v>
      </c>
      <c r="D347">
        <v>100</v>
      </c>
      <c r="E347">
        <v>102400</v>
      </c>
      <c r="F347" t="str">
        <f t="shared" si="5"/>
        <v>lena256_line_3_100_102400</v>
      </c>
      <c r="G347">
        <v>0</v>
      </c>
      <c r="H347">
        <v>0</v>
      </c>
      <c r="I347">
        <v>2.1102335E-2</v>
      </c>
      <c r="J347">
        <v>9.5589999999999994E-6</v>
      </c>
      <c r="K347">
        <v>4.1588000000000003</v>
      </c>
      <c r="L347">
        <v>15.0642</v>
      </c>
      <c r="M347">
        <v>0</v>
      </c>
      <c r="N347">
        <v>0</v>
      </c>
      <c r="O347">
        <v>13.7881</v>
      </c>
    </row>
    <row r="348" spans="1:15" x14ac:dyDescent="0.25">
      <c r="A348" t="s">
        <v>14</v>
      </c>
      <c r="B348" t="s">
        <v>17</v>
      </c>
      <c r="C348">
        <v>7</v>
      </c>
      <c r="D348">
        <v>100</v>
      </c>
      <c r="E348">
        <v>100</v>
      </c>
      <c r="F348" t="str">
        <f t="shared" si="5"/>
        <v>lena256_line_7_100_100</v>
      </c>
      <c r="G348">
        <v>0</v>
      </c>
      <c r="H348">
        <v>0</v>
      </c>
      <c r="I348">
        <v>9.5119999999999997E-6</v>
      </c>
      <c r="J348">
        <v>9.465E-6</v>
      </c>
      <c r="K348">
        <v>35.604399999999998</v>
      </c>
      <c r="L348">
        <v>10.083</v>
      </c>
      <c r="M348">
        <v>0</v>
      </c>
      <c r="N348">
        <v>0</v>
      </c>
      <c r="O348">
        <v>37.6464</v>
      </c>
    </row>
    <row r="349" spans="1:15" x14ac:dyDescent="0.25">
      <c r="A349" t="s">
        <v>14</v>
      </c>
      <c r="B349" t="s">
        <v>17</v>
      </c>
      <c r="C349">
        <v>7</v>
      </c>
      <c r="D349">
        <v>100</v>
      </c>
      <c r="E349">
        <v>200</v>
      </c>
      <c r="F349" t="str">
        <f t="shared" si="5"/>
        <v>lena256_line_7_100_200</v>
      </c>
      <c r="G349">
        <v>0</v>
      </c>
      <c r="H349">
        <v>0</v>
      </c>
      <c r="I349">
        <v>2.0718999999999999E-5</v>
      </c>
      <c r="J349">
        <v>9.6050000000000004E-6</v>
      </c>
      <c r="K349">
        <v>32.225999999999999</v>
      </c>
      <c r="L349">
        <v>10.083</v>
      </c>
      <c r="M349">
        <v>0</v>
      </c>
      <c r="N349">
        <v>0</v>
      </c>
      <c r="O349">
        <v>34.895899999999997</v>
      </c>
    </row>
    <row r="350" spans="1:15" x14ac:dyDescent="0.25">
      <c r="A350" t="s">
        <v>14</v>
      </c>
      <c r="B350" t="s">
        <v>17</v>
      </c>
      <c r="C350">
        <v>7</v>
      </c>
      <c r="D350">
        <v>100</v>
      </c>
      <c r="E350">
        <v>400</v>
      </c>
      <c r="F350" t="str">
        <f t="shared" si="5"/>
        <v>lena256_line_7_100_400</v>
      </c>
      <c r="G350">
        <v>0</v>
      </c>
      <c r="H350">
        <v>0</v>
      </c>
      <c r="I350">
        <v>4.3368000000000002E-5</v>
      </c>
      <c r="J350">
        <v>9.6050000000000004E-6</v>
      </c>
      <c r="K350">
        <v>29.017700000000001</v>
      </c>
      <c r="L350">
        <v>10.083</v>
      </c>
      <c r="M350">
        <v>0</v>
      </c>
      <c r="N350">
        <v>0</v>
      </c>
      <c r="O350">
        <v>32.282600000000002</v>
      </c>
    </row>
    <row r="351" spans="1:15" x14ac:dyDescent="0.25">
      <c r="A351" t="s">
        <v>14</v>
      </c>
      <c r="B351" t="s">
        <v>17</v>
      </c>
      <c r="C351">
        <v>7</v>
      </c>
      <c r="D351">
        <v>100</v>
      </c>
      <c r="E351">
        <v>800</v>
      </c>
      <c r="F351" t="str">
        <f t="shared" si="5"/>
        <v>lena256_line_7_100_800</v>
      </c>
      <c r="G351">
        <v>0</v>
      </c>
      <c r="H351">
        <v>0</v>
      </c>
      <c r="I351">
        <v>8.9297999999999998E-5</v>
      </c>
      <c r="J351">
        <v>9.6050000000000004E-6</v>
      </c>
      <c r="K351">
        <v>25.8887</v>
      </c>
      <c r="L351">
        <v>10.083</v>
      </c>
      <c r="M351">
        <v>0</v>
      </c>
      <c r="N351">
        <v>0</v>
      </c>
      <c r="O351">
        <v>29.772600000000001</v>
      </c>
    </row>
    <row r="352" spans="1:15" x14ac:dyDescent="0.25">
      <c r="A352" t="s">
        <v>14</v>
      </c>
      <c r="B352" t="s">
        <v>17</v>
      </c>
      <c r="C352">
        <v>7</v>
      </c>
      <c r="D352">
        <v>100</v>
      </c>
      <c r="E352">
        <v>1600</v>
      </c>
      <c r="F352" t="str">
        <f t="shared" si="5"/>
        <v>lena256_line_7_100_1600</v>
      </c>
      <c r="G352">
        <v>0</v>
      </c>
      <c r="H352">
        <v>0</v>
      </c>
      <c r="I352">
        <v>1.8168700000000001E-4</v>
      </c>
      <c r="J352">
        <v>9.6050000000000004E-6</v>
      </c>
      <c r="K352">
        <v>22.8139</v>
      </c>
      <c r="L352">
        <v>10.083</v>
      </c>
      <c r="M352">
        <v>0</v>
      </c>
      <c r="N352">
        <v>0</v>
      </c>
      <c r="O352">
        <v>27.542999999999999</v>
      </c>
    </row>
    <row r="353" spans="1:15" x14ac:dyDescent="0.25">
      <c r="A353" t="s">
        <v>14</v>
      </c>
      <c r="B353" t="s">
        <v>17</v>
      </c>
      <c r="C353">
        <v>7</v>
      </c>
      <c r="D353">
        <v>100</v>
      </c>
      <c r="E353">
        <v>3200</v>
      </c>
      <c r="F353" t="str">
        <f t="shared" si="5"/>
        <v>lena256_line_7_100_3200</v>
      </c>
      <c r="G353">
        <v>0</v>
      </c>
      <c r="H353">
        <v>0</v>
      </c>
      <c r="I353">
        <v>3.6874800000000001E-4</v>
      </c>
      <c r="J353">
        <v>9.6050000000000004E-6</v>
      </c>
      <c r="K353">
        <v>19.762799999999999</v>
      </c>
      <c r="L353">
        <v>10.083</v>
      </c>
      <c r="M353">
        <v>0</v>
      </c>
      <c r="N353">
        <v>0</v>
      </c>
      <c r="O353">
        <v>25.278400000000001</v>
      </c>
    </row>
    <row r="354" spans="1:15" x14ac:dyDescent="0.25">
      <c r="A354" t="s">
        <v>14</v>
      </c>
      <c r="B354" t="s">
        <v>17</v>
      </c>
      <c r="C354">
        <v>7</v>
      </c>
      <c r="D354">
        <v>100</v>
      </c>
      <c r="E354">
        <v>6400</v>
      </c>
      <c r="F354" t="str">
        <f t="shared" si="5"/>
        <v>lena256_line_7_100_6400</v>
      </c>
      <c r="G354">
        <v>0</v>
      </c>
      <c r="H354">
        <v>0</v>
      </c>
      <c r="I354">
        <v>7.5782699999999998E-4</v>
      </c>
      <c r="J354">
        <v>9.6050000000000004E-6</v>
      </c>
      <c r="K354">
        <v>16.683499999999999</v>
      </c>
      <c r="L354">
        <v>10.083</v>
      </c>
      <c r="M354">
        <v>0</v>
      </c>
      <c r="N354">
        <v>0</v>
      </c>
      <c r="O354">
        <v>22.996400000000001</v>
      </c>
    </row>
    <row r="355" spans="1:15" x14ac:dyDescent="0.25">
      <c r="A355" t="s">
        <v>14</v>
      </c>
      <c r="B355" t="s">
        <v>17</v>
      </c>
      <c r="C355">
        <v>7</v>
      </c>
      <c r="D355">
        <v>100</v>
      </c>
      <c r="E355">
        <v>12800</v>
      </c>
      <c r="F355" t="str">
        <f t="shared" si="5"/>
        <v>lena256_line_7_100_12800</v>
      </c>
      <c r="G355">
        <v>0</v>
      </c>
      <c r="H355">
        <v>0</v>
      </c>
      <c r="I355">
        <v>1.6005450000000001E-3</v>
      </c>
      <c r="J355">
        <v>9.6050000000000004E-6</v>
      </c>
      <c r="K355">
        <v>13.5319</v>
      </c>
      <c r="L355">
        <v>10.083</v>
      </c>
      <c r="M355">
        <v>0</v>
      </c>
      <c r="N355">
        <v>0</v>
      </c>
      <c r="O355">
        <v>20.741199999999999</v>
      </c>
    </row>
    <row r="356" spans="1:15" x14ac:dyDescent="0.25">
      <c r="A356" t="s">
        <v>14</v>
      </c>
      <c r="B356" t="s">
        <v>17</v>
      </c>
      <c r="C356">
        <v>7</v>
      </c>
      <c r="D356">
        <v>100</v>
      </c>
      <c r="E356">
        <v>25600</v>
      </c>
      <c r="F356" t="str">
        <f t="shared" si="5"/>
        <v>lena256_line_7_100_25600</v>
      </c>
      <c r="G356">
        <v>0</v>
      </c>
      <c r="H356">
        <v>0</v>
      </c>
      <c r="I356">
        <v>3.5390780000000002E-3</v>
      </c>
      <c r="J356">
        <v>9.6050000000000004E-6</v>
      </c>
      <c r="K356">
        <v>10.326599999999999</v>
      </c>
      <c r="L356">
        <v>10.083</v>
      </c>
      <c r="M356">
        <v>0</v>
      </c>
      <c r="N356">
        <v>0</v>
      </c>
      <c r="O356">
        <v>18.524899999999999</v>
      </c>
    </row>
    <row r="357" spans="1:15" x14ac:dyDescent="0.25">
      <c r="A357" t="s">
        <v>14</v>
      </c>
      <c r="B357" t="s">
        <v>17</v>
      </c>
      <c r="C357">
        <v>7</v>
      </c>
      <c r="D357">
        <v>100</v>
      </c>
      <c r="E357">
        <v>102400</v>
      </c>
      <c r="F357" t="str">
        <f t="shared" si="5"/>
        <v>lena256_line_7_100_102400</v>
      </c>
      <c r="G357">
        <v>0</v>
      </c>
      <c r="H357">
        <v>0</v>
      </c>
      <c r="I357">
        <v>2.0992028999999999E-2</v>
      </c>
      <c r="J357">
        <v>9.6269999999999995E-6</v>
      </c>
      <c r="K357">
        <v>4.1063999999999998</v>
      </c>
      <c r="L357">
        <v>10.083299999999999</v>
      </c>
      <c r="M357">
        <v>0</v>
      </c>
      <c r="N357">
        <v>0</v>
      </c>
      <c r="O357">
        <v>13.823700000000001</v>
      </c>
    </row>
    <row r="358" spans="1:15" x14ac:dyDescent="0.25">
      <c r="A358" t="s">
        <v>14</v>
      </c>
      <c r="B358" t="s">
        <v>17</v>
      </c>
      <c r="C358">
        <v>15</v>
      </c>
      <c r="D358">
        <v>100</v>
      </c>
      <c r="E358">
        <v>100</v>
      </c>
      <c r="F358" t="str">
        <f t="shared" si="5"/>
        <v>lena256_line_15_100_100</v>
      </c>
      <c r="G358">
        <v>0</v>
      </c>
      <c r="H358">
        <v>0</v>
      </c>
      <c r="I358">
        <v>9.5789999999999993E-6</v>
      </c>
      <c r="J358">
        <v>9.4369999999999996E-6</v>
      </c>
      <c r="K358">
        <v>35.573599999999999</v>
      </c>
      <c r="L358">
        <v>6.5673000000000004</v>
      </c>
      <c r="M358">
        <v>0</v>
      </c>
      <c r="N358">
        <v>0</v>
      </c>
      <c r="O358">
        <v>37.618200000000002</v>
      </c>
    </row>
    <row r="359" spans="1:15" x14ac:dyDescent="0.25">
      <c r="A359" t="s">
        <v>14</v>
      </c>
      <c r="B359" t="s">
        <v>17</v>
      </c>
      <c r="C359">
        <v>15</v>
      </c>
      <c r="D359">
        <v>100</v>
      </c>
      <c r="E359">
        <v>200</v>
      </c>
      <c r="F359" t="str">
        <f t="shared" si="5"/>
        <v>lena256_line_15_100_200</v>
      </c>
      <c r="G359">
        <v>0</v>
      </c>
      <c r="H359">
        <v>0</v>
      </c>
      <c r="I359">
        <v>2.1166999999999999E-5</v>
      </c>
      <c r="J359">
        <v>9.5699999999999999E-6</v>
      </c>
      <c r="K359">
        <v>32.133400000000002</v>
      </c>
      <c r="L359">
        <v>6.5643000000000002</v>
      </c>
      <c r="M359">
        <v>0</v>
      </c>
      <c r="N359">
        <v>0</v>
      </c>
      <c r="O359">
        <v>34.8354</v>
      </c>
    </row>
    <row r="360" spans="1:15" x14ac:dyDescent="0.25">
      <c r="A360" t="s">
        <v>14</v>
      </c>
      <c r="B360" t="s">
        <v>17</v>
      </c>
      <c r="C360">
        <v>15</v>
      </c>
      <c r="D360">
        <v>100</v>
      </c>
      <c r="E360">
        <v>400</v>
      </c>
      <c r="F360" t="str">
        <f t="shared" si="5"/>
        <v>lena256_line_15_100_400</v>
      </c>
      <c r="G360">
        <v>0</v>
      </c>
      <c r="H360">
        <v>0</v>
      </c>
      <c r="I360">
        <v>4.3637000000000003E-5</v>
      </c>
      <c r="J360">
        <v>9.5699999999999999E-6</v>
      </c>
      <c r="K360">
        <v>28.993500000000001</v>
      </c>
      <c r="L360">
        <v>6.5643000000000002</v>
      </c>
      <c r="M360">
        <v>0</v>
      </c>
      <c r="N360">
        <v>0</v>
      </c>
      <c r="O360">
        <v>32.268900000000002</v>
      </c>
    </row>
    <row r="361" spans="1:15" x14ac:dyDescent="0.25">
      <c r="A361" t="s">
        <v>14</v>
      </c>
      <c r="B361" t="s">
        <v>17</v>
      </c>
      <c r="C361">
        <v>15</v>
      </c>
      <c r="D361">
        <v>100</v>
      </c>
      <c r="E361">
        <v>800</v>
      </c>
      <c r="F361" t="str">
        <f t="shared" si="5"/>
        <v>lena256_line_15_100_800</v>
      </c>
      <c r="G361">
        <v>0</v>
      </c>
      <c r="H361">
        <v>0</v>
      </c>
      <c r="I361">
        <v>8.9198999999999998E-5</v>
      </c>
      <c r="J361">
        <v>9.5699999999999999E-6</v>
      </c>
      <c r="K361">
        <v>25.8948</v>
      </c>
      <c r="L361">
        <v>6.5643000000000002</v>
      </c>
      <c r="M361">
        <v>0</v>
      </c>
      <c r="N361">
        <v>0</v>
      </c>
      <c r="O361">
        <v>29.859500000000001</v>
      </c>
    </row>
    <row r="362" spans="1:15" x14ac:dyDescent="0.25">
      <c r="A362" t="s">
        <v>14</v>
      </c>
      <c r="B362" t="s">
        <v>17</v>
      </c>
      <c r="C362">
        <v>15</v>
      </c>
      <c r="D362">
        <v>100</v>
      </c>
      <c r="E362">
        <v>1600</v>
      </c>
      <c r="F362" t="str">
        <f t="shared" si="5"/>
        <v>lena256_line_15_100_1600</v>
      </c>
      <c r="G362">
        <v>0</v>
      </c>
      <c r="H362">
        <v>0</v>
      </c>
      <c r="I362">
        <v>1.8155600000000001E-4</v>
      </c>
      <c r="J362">
        <v>9.5699999999999999E-6</v>
      </c>
      <c r="K362">
        <v>22.823399999999999</v>
      </c>
      <c r="L362">
        <v>6.5643000000000002</v>
      </c>
      <c r="M362">
        <v>0</v>
      </c>
      <c r="N362">
        <v>0</v>
      </c>
      <c r="O362">
        <v>27.454499999999999</v>
      </c>
    </row>
    <row r="363" spans="1:15" x14ac:dyDescent="0.25">
      <c r="A363" t="s">
        <v>14</v>
      </c>
      <c r="B363" t="s">
        <v>17</v>
      </c>
      <c r="C363">
        <v>15</v>
      </c>
      <c r="D363">
        <v>100</v>
      </c>
      <c r="E363">
        <v>3200</v>
      </c>
      <c r="F363" t="str">
        <f t="shared" si="5"/>
        <v>lena256_line_15_100_3200</v>
      </c>
      <c r="G363">
        <v>0</v>
      </c>
      <c r="H363">
        <v>0</v>
      </c>
      <c r="I363">
        <v>3.7288700000000002E-4</v>
      </c>
      <c r="J363">
        <v>9.5699999999999999E-6</v>
      </c>
      <c r="K363">
        <v>19.722799999999999</v>
      </c>
      <c r="L363">
        <v>6.5643000000000002</v>
      </c>
      <c r="M363">
        <v>0</v>
      </c>
      <c r="N363">
        <v>0</v>
      </c>
      <c r="O363">
        <v>25.247599999999998</v>
      </c>
    </row>
    <row r="364" spans="1:15" x14ac:dyDescent="0.25">
      <c r="A364" t="s">
        <v>14</v>
      </c>
      <c r="B364" t="s">
        <v>17</v>
      </c>
      <c r="C364">
        <v>15</v>
      </c>
      <c r="D364">
        <v>100</v>
      </c>
      <c r="E364">
        <v>6400</v>
      </c>
      <c r="F364" t="str">
        <f t="shared" si="5"/>
        <v>lena256_line_15_100_6400</v>
      </c>
      <c r="G364">
        <v>0</v>
      </c>
      <c r="H364">
        <v>0</v>
      </c>
      <c r="I364">
        <v>7.6376700000000005E-4</v>
      </c>
      <c r="J364">
        <v>9.5699999999999999E-6</v>
      </c>
      <c r="K364">
        <v>16.650300000000001</v>
      </c>
      <c r="L364">
        <v>6.5643000000000002</v>
      </c>
      <c r="M364">
        <v>0</v>
      </c>
      <c r="N364">
        <v>0</v>
      </c>
      <c r="O364">
        <v>23.039400000000001</v>
      </c>
    </row>
    <row r="365" spans="1:15" x14ac:dyDescent="0.25">
      <c r="A365" t="s">
        <v>14</v>
      </c>
      <c r="B365" t="s">
        <v>17</v>
      </c>
      <c r="C365">
        <v>15</v>
      </c>
      <c r="D365">
        <v>100</v>
      </c>
      <c r="E365">
        <v>12800</v>
      </c>
      <c r="F365" t="str">
        <f t="shared" si="5"/>
        <v>lena256_line_15_100_12800</v>
      </c>
      <c r="G365">
        <v>0</v>
      </c>
      <c r="H365">
        <v>0</v>
      </c>
      <c r="I365">
        <v>1.6236930000000001E-3</v>
      </c>
      <c r="J365">
        <v>9.5699999999999999E-6</v>
      </c>
      <c r="K365">
        <v>13.478899999999999</v>
      </c>
      <c r="L365">
        <v>6.5643000000000002</v>
      </c>
      <c r="M365">
        <v>0</v>
      </c>
      <c r="N365">
        <v>0</v>
      </c>
      <c r="O365">
        <v>20.727799999999998</v>
      </c>
    </row>
    <row r="366" spans="1:15" x14ac:dyDescent="0.25">
      <c r="A366" t="s">
        <v>14</v>
      </c>
      <c r="B366" t="s">
        <v>17</v>
      </c>
      <c r="C366">
        <v>15</v>
      </c>
      <c r="D366">
        <v>100</v>
      </c>
      <c r="E366">
        <v>25600</v>
      </c>
      <c r="F366" t="str">
        <f t="shared" si="5"/>
        <v>lena256_line_15_100_25600</v>
      </c>
      <c r="G366">
        <v>0</v>
      </c>
      <c r="H366">
        <v>0</v>
      </c>
      <c r="I366">
        <v>3.5507220000000001E-3</v>
      </c>
      <c r="J366">
        <v>9.5699999999999999E-6</v>
      </c>
      <c r="K366">
        <v>10.305</v>
      </c>
      <c r="L366">
        <v>6.5643000000000002</v>
      </c>
      <c r="M366">
        <v>0</v>
      </c>
      <c r="N366">
        <v>0</v>
      </c>
      <c r="O366">
        <v>18.5227</v>
      </c>
    </row>
    <row r="367" spans="1:15" x14ac:dyDescent="0.25">
      <c r="A367" t="s">
        <v>14</v>
      </c>
      <c r="B367" t="s">
        <v>17</v>
      </c>
      <c r="C367">
        <v>15</v>
      </c>
      <c r="D367">
        <v>100</v>
      </c>
      <c r="E367">
        <v>102400</v>
      </c>
      <c r="F367" t="str">
        <f t="shared" si="5"/>
        <v>lena256_line_15_100_102400</v>
      </c>
      <c r="G367">
        <v>0</v>
      </c>
      <c r="H367">
        <v>0</v>
      </c>
      <c r="I367">
        <v>2.1003108999999999E-2</v>
      </c>
      <c r="J367">
        <v>9.5589999999999994E-6</v>
      </c>
      <c r="K367">
        <v>4.1265000000000001</v>
      </c>
      <c r="L367">
        <v>6.5646000000000004</v>
      </c>
      <c r="M367">
        <v>0</v>
      </c>
      <c r="N367">
        <v>0</v>
      </c>
      <c r="O367">
        <v>13.7987</v>
      </c>
    </row>
    <row r="368" spans="1:15" x14ac:dyDescent="0.25">
      <c r="A368" t="s">
        <v>14</v>
      </c>
      <c r="B368" t="s">
        <v>17</v>
      </c>
      <c r="C368">
        <v>31</v>
      </c>
      <c r="D368">
        <v>100</v>
      </c>
      <c r="E368">
        <v>100</v>
      </c>
      <c r="F368" t="str">
        <f t="shared" si="5"/>
        <v>lena256_line_31_100_100</v>
      </c>
      <c r="G368">
        <v>0</v>
      </c>
      <c r="H368">
        <v>0</v>
      </c>
      <c r="I368">
        <v>9.6360000000000006E-6</v>
      </c>
      <c r="J368">
        <v>9.5219999999999996E-6</v>
      </c>
      <c r="K368">
        <v>35.548099999999998</v>
      </c>
      <c r="L368">
        <v>3.6467000000000001</v>
      </c>
      <c r="M368">
        <v>0</v>
      </c>
      <c r="N368">
        <v>0</v>
      </c>
      <c r="O368">
        <v>37.580100000000002</v>
      </c>
    </row>
    <row r="369" spans="1:15" x14ac:dyDescent="0.25">
      <c r="A369" t="s">
        <v>14</v>
      </c>
      <c r="B369" t="s">
        <v>17</v>
      </c>
      <c r="C369">
        <v>31</v>
      </c>
      <c r="D369">
        <v>100</v>
      </c>
      <c r="E369">
        <v>200</v>
      </c>
      <c r="F369" t="str">
        <f t="shared" si="5"/>
        <v>lena256_line_31_100_200</v>
      </c>
      <c r="G369">
        <v>0</v>
      </c>
      <c r="H369">
        <v>0</v>
      </c>
      <c r="I369">
        <v>2.0792999999999999E-5</v>
      </c>
      <c r="J369">
        <v>9.5179999999999993E-6</v>
      </c>
      <c r="K369">
        <v>32.2087</v>
      </c>
      <c r="L369">
        <v>3.6455000000000002</v>
      </c>
      <c r="M369">
        <v>0</v>
      </c>
      <c r="N369">
        <v>0</v>
      </c>
      <c r="O369">
        <v>34.834699999999998</v>
      </c>
    </row>
    <row r="370" spans="1:15" x14ac:dyDescent="0.25">
      <c r="A370" t="s">
        <v>14</v>
      </c>
      <c r="B370" t="s">
        <v>17</v>
      </c>
      <c r="C370">
        <v>31</v>
      </c>
      <c r="D370">
        <v>100</v>
      </c>
      <c r="E370">
        <v>400</v>
      </c>
      <c r="F370" t="str">
        <f t="shared" si="5"/>
        <v>lena256_line_31_100_400</v>
      </c>
      <c r="G370">
        <v>0</v>
      </c>
      <c r="H370">
        <v>0</v>
      </c>
      <c r="I370">
        <v>4.3562000000000001E-5</v>
      </c>
      <c r="J370">
        <v>9.5179999999999993E-6</v>
      </c>
      <c r="K370">
        <v>29.000599999999999</v>
      </c>
      <c r="L370">
        <v>3.6455000000000002</v>
      </c>
      <c r="M370">
        <v>0</v>
      </c>
      <c r="N370">
        <v>0</v>
      </c>
      <c r="O370">
        <v>32.262099999999997</v>
      </c>
    </row>
    <row r="371" spans="1:15" x14ac:dyDescent="0.25">
      <c r="A371" t="s">
        <v>14</v>
      </c>
      <c r="B371" t="s">
        <v>17</v>
      </c>
      <c r="C371">
        <v>31</v>
      </c>
      <c r="D371">
        <v>100</v>
      </c>
      <c r="E371">
        <v>800</v>
      </c>
      <c r="F371" t="str">
        <f t="shared" si="5"/>
        <v>lena256_line_31_100_800</v>
      </c>
      <c r="G371">
        <v>0</v>
      </c>
      <c r="H371">
        <v>0</v>
      </c>
      <c r="I371">
        <v>8.8953E-5</v>
      </c>
      <c r="J371">
        <v>9.5179999999999993E-6</v>
      </c>
      <c r="K371">
        <v>25.906700000000001</v>
      </c>
      <c r="L371">
        <v>3.6455000000000002</v>
      </c>
      <c r="M371">
        <v>0</v>
      </c>
      <c r="N371">
        <v>0</v>
      </c>
      <c r="O371">
        <v>29.867599999999999</v>
      </c>
    </row>
    <row r="372" spans="1:15" x14ac:dyDescent="0.25">
      <c r="A372" t="s">
        <v>14</v>
      </c>
      <c r="B372" t="s">
        <v>17</v>
      </c>
      <c r="C372">
        <v>31</v>
      </c>
      <c r="D372">
        <v>100</v>
      </c>
      <c r="E372">
        <v>1600</v>
      </c>
      <c r="F372" t="str">
        <f t="shared" si="5"/>
        <v>lena256_line_31_100_1600</v>
      </c>
      <c r="G372">
        <v>0</v>
      </c>
      <c r="H372">
        <v>0</v>
      </c>
      <c r="I372">
        <v>1.8132399999999999E-4</v>
      </c>
      <c r="J372">
        <v>9.5179999999999993E-6</v>
      </c>
      <c r="K372">
        <v>22.825500000000002</v>
      </c>
      <c r="L372">
        <v>3.6455000000000002</v>
      </c>
      <c r="M372">
        <v>0</v>
      </c>
      <c r="N372">
        <v>0</v>
      </c>
      <c r="O372">
        <v>27.472200000000001</v>
      </c>
    </row>
    <row r="373" spans="1:15" x14ac:dyDescent="0.25">
      <c r="A373" t="s">
        <v>14</v>
      </c>
      <c r="B373" t="s">
        <v>17</v>
      </c>
      <c r="C373">
        <v>31</v>
      </c>
      <c r="D373">
        <v>100</v>
      </c>
      <c r="E373">
        <v>3200</v>
      </c>
      <c r="F373" t="str">
        <f t="shared" si="5"/>
        <v>lena256_line_31_100_3200</v>
      </c>
      <c r="G373">
        <v>0</v>
      </c>
      <c r="H373">
        <v>0</v>
      </c>
      <c r="I373">
        <v>3.7032299999999998E-4</v>
      </c>
      <c r="J373">
        <v>9.5179999999999993E-6</v>
      </c>
      <c r="K373">
        <v>19.746099999999998</v>
      </c>
      <c r="L373">
        <v>3.6455000000000002</v>
      </c>
      <c r="M373">
        <v>0</v>
      </c>
      <c r="N373">
        <v>0</v>
      </c>
      <c r="O373">
        <v>25.215699999999998</v>
      </c>
    </row>
    <row r="374" spans="1:15" x14ac:dyDescent="0.25">
      <c r="A374" t="s">
        <v>14</v>
      </c>
      <c r="B374" t="s">
        <v>17</v>
      </c>
      <c r="C374">
        <v>31</v>
      </c>
      <c r="D374">
        <v>100</v>
      </c>
      <c r="E374">
        <v>6400</v>
      </c>
      <c r="F374" t="str">
        <f t="shared" si="5"/>
        <v>lena256_line_31_100_6400</v>
      </c>
      <c r="G374">
        <v>0</v>
      </c>
      <c r="H374">
        <v>0</v>
      </c>
      <c r="I374">
        <v>7.6733300000000003E-4</v>
      </c>
      <c r="J374">
        <v>9.5179999999999993E-6</v>
      </c>
      <c r="K374">
        <v>16.6311</v>
      </c>
      <c r="L374">
        <v>3.6455000000000002</v>
      </c>
      <c r="M374">
        <v>0</v>
      </c>
      <c r="N374">
        <v>0</v>
      </c>
      <c r="O374">
        <v>22.997499999999999</v>
      </c>
    </row>
    <row r="375" spans="1:15" x14ac:dyDescent="0.25">
      <c r="A375" t="s">
        <v>14</v>
      </c>
      <c r="B375" t="s">
        <v>17</v>
      </c>
      <c r="C375">
        <v>31</v>
      </c>
      <c r="D375">
        <v>100</v>
      </c>
      <c r="E375">
        <v>12800</v>
      </c>
      <c r="F375" t="str">
        <f t="shared" si="5"/>
        <v>lena256_line_31_100_12800</v>
      </c>
      <c r="G375">
        <v>0</v>
      </c>
      <c r="H375">
        <v>0</v>
      </c>
      <c r="I375">
        <v>1.6060040000000001E-3</v>
      </c>
      <c r="J375">
        <v>9.5179999999999993E-6</v>
      </c>
      <c r="K375">
        <v>13.523999999999999</v>
      </c>
      <c r="L375">
        <v>3.6455000000000002</v>
      </c>
      <c r="M375">
        <v>0</v>
      </c>
      <c r="N375">
        <v>0</v>
      </c>
      <c r="O375">
        <v>20.751200000000001</v>
      </c>
    </row>
    <row r="376" spans="1:15" x14ac:dyDescent="0.25">
      <c r="A376" t="s">
        <v>14</v>
      </c>
      <c r="B376" t="s">
        <v>17</v>
      </c>
      <c r="C376">
        <v>31</v>
      </c>
      <c r="D376">
        <v>100</v>
      </c>
      <c r="E376">
        <v>25600</v>
      </c>
      <c r="F376" t="str">
        <f t="shared" si="5"/>
        <v>lena256_line_31_100_25600</v>
      </c>
      <c r="G376">
        <v>0</v>
      </c>
      <c r="H376">
        <v>0</v>
      </c>
      <c r="I376">
        <v>3.5438090000000002E-3</v>
      </c>
      <c r="J376">
        <v>9.5179999999999993E-6</v>
      </c>
      <c r="K376">
        <v>10.3025</v>
      </c>
      <c r="L376">
        <v>3.6455000000000002</v>
      </c>
      <c r="M376">
        <v>0</v>
      </c>
      <c r="N376">
        <v>0</v>
      </c>
      <c r="O376">
        <v>18.5017</v>
      </c>
    </row>
    <row r="377" spans="1:15" x14ac:dyDescent="0.25">
      <c r="A377" t="s">
        <v>14</v>
      </c>
      <c r="B377" t="s">
        <v>17</v>
      </c>
      <c r="C377">
        <v>31</v>
      </c>
      <c r="D377">
        <v>100</v>
      </c>
      <c r="E377">
        <v>102400</v>
      </c>
      <c r="F377" t="str">
        <f t="shared" si="5"/>
        <v>lena256_line_31_100_102400</v>
      </c>
      <c r="G377">
        <v>0</v>
      </c>
      <c r="H377">
        <v>0</v>
      </c>
      <c r="I377">
        <v>2.1223367999999999E-2</v>
      </c>
      <c r="J377">
        <v>9.6360000000000006E-6</v>
      </c>
      <c r="K377">
        <v>4.0959000000000003</v>
      </c>
      <c r="L377">
        <v>3.6432000000000002</v>
      </c>
      <c r="M377">
        <v>0</v>
      </c>
      <c r="N377">
        <v>0</v>
      </c>
      <c r="O377">
        <v>13.831200000000001</v>
      </c>
    </row>
    <row r="378" spans="1:15" x14ac:dyDescent="0.25">
      <c r="A378" t="s">
        <v>14</v>
      </c>
      <c r="B378" t="s">
        <v>17</v>
      </c>
      <c r="C378">
        <v>63</v>
      </c>
      <c r="D378">
        <v>100</v>
      </c>
      <c r="E378">
        <v>200</v>
      </c>
      <c r="F378" t="str">
        <f t="shared" si="5"/>
        <v>lena256_line_63_100_200</v>
      </c>
      <c r="G378">
        <v>0</v>
      </c>
      <c r="H378">
        <v>0</v>
      </c>
      <c r="I378">
        <v>2.0890000000000002E-5</v>
      </c>
      <c r="J378">
        <v>9.5670000000000001E-6</v>
      </c>
      <c r="K378">
        <v>32.188800000000001</v>
      </c>
      <c r="L378">
        <v>1.617</v>
      </c>
      <c r="M378">
        <v>0</v>
      </c>
      <c r="N378">
        <v>0</v>
      </c>
      <c r="O378">
        <v>34.822899999999997</v>
      </c>
    </row>
    <row r="379" spans="1:15" x14ac:dyDescent="0.25">
      <c r="A379" t="s">
        <v>14</v>
      </c>
      <c r="B379" t="s">
        <v>17</v>
      </c>
      <c r="C379">
        <v>63</v>
      </c>
      <c r="D379">
        <v>100</v>
      </c>
      <c r="E379">
        <v>400</v>
      </c>
      <c r="F379" t="str">
        <f t="shared" si="5"/>
        <v>lena256_line_63_100_400</v>
      </c>
      <c r="G379">
        <v>0</v>
      </c>
      <c r="H379">
        <v>0</v>
      </c>
      <c r="I379">
        <v>4.3253000000000001E-5</v>
      </c>
      <c r="J379">
        <v>9.5670000000000001E-6</v>
      </c>
      <c r="K379">
        <v>29.031300000000002</v>
      </c>
      <c r="L379">
        <v>1.617</v>
      </c>
      <c r="M379">
        <v>0</v>
      </c>
      <c r="N379">
        <v>0</v>
      </c>
      <c r="O379">
        <v>32.284599999999998</v>
      </c>
    </row>
    <row r="380" spans="1:15" x14ac:dyDescent="0.25">
      <c r="A380" t="s">
        <v>14</v>
      </c>
      <c r="B380" t="s">
        <v>17</v>
      </c>
      <c r="C380">
        <v>63</v>
      </c>
      <c r="D380">
        <v>100</v>
      </c>
      <c r="E380">
        <v>800</v>
      </c>
      <c r="F380" t="str">
        <f t="shared" si="5"/>
        <v>lena256_line_63_100_800</v>
      </c>
      <c r="G380">
        <v>0</v>
      </c>
      <c r="H380">
        <v>0</v>
      </c>
      <c r="I380">
        <v>8.9239000000000004E-5</v>
      </c>
      <c r="J380">
        <v>9.5670000000000001E-6</v>
      </c>
      <c r="K380">
        <v>25.891100000000002</v>
      </c>
      <c r="L380">
        <v>1.617</v>
      </c>
      <c r="M380">
        <v>0</v>
      </c>
      <c r="N380">
        <v>0</v>
      </c>
      <c r="O380">
        <v>29.804200000000002</v>
      </c>
    </row>
    <row r="381" spans="1:15" x14ac:dyDescent="0.25">
      <c r="A381" t="s">
        <v>14</v>
      </c>
      <c r="B381" t="s">
        <v>17</v>
      </c>
      <c r="C381">
        <v>63</v>
      </c>
      <c r="D381">
        <v>100</v>
      </c>
      <c r="E381">
        <v>1600</v>
      </c>
      <c r="F381" t="str">
        <f t="shared" si="5"/>
        <v>lena256_line_63_100_1600</v>
      </c>
      <c r="G381">
        <v>0</v>
      </c>
      <c r="H381">
        <v>0</v>
      </c>
      <c r="I381">
        <v>1.8055100000000001E-4</v>
      </c>
      <c r="J381">
        <v>9.5670000000000001E-6</v>
      </c>
      <c r="K381">
        <v>22.846699999999998</v>
      </c>
      <c r="L381">
        <v>1.617</v>
      </c>
      <c r="M381">
        <v>0</v>
      </c>
      <c r="N381">
        <v>0</v>
      </c>
      <c r="O381">
        <v>27.546500000000002</v>
      </c>
    </row>
    <row r="382" spans="1:15" x14ac:dyDescent="0.25">
      <c r="A382" t="s">
        <v>14</v>
      </c>
      <c r="B382" t="s">
        <v>17</v>
      </c>
      <c r="C382">
        <v>63</v>
      </c>
      <c r="D382">
        <v>100</v>
      </c>
      <c r="E382">
        <v>3200</v>
      </c>
      <c r="F382" t="str">
        <f t="shared" si="5"/>
        <v>lena256_line_63_100_3200</v>
      </c>
      <c r="G382">
        <v>0</v>
      </c>
      <c r="H382">
        <v>0</v>
      </c>
      <c r="I382">
        <v>3.7163799999999998E-4</v>
      </c>
      <c r="J382">
        <v>9.5670000000000001E-6</v>
      </c>
      <c r="K382">
        <v>19.7316</v>
      </c>
      <c r="L382">
        <v>1.617</v>
      </c>
      <c r="M382">
        <v>0</v>
      </c>
      <c r="N382">
        <v>0</v>
      </c>
      <c r="O382">
        <v>25.241099999999999</v>
      </c>
    </row>
    <row r="383" spans="1:15" x14ac:dyDescent="0.25">
      <c r="A383" t="s">
        <v>14</v>
      </c>
      <c r="B383" t="s">
        <v>17</v>
      </c>
      <c r="C383">
        <v>63</v>
      </c>
      <c r="D383">
        <v>100</v>
      </c>
      <c r="E383">
        <v>6400</v>
      </c>
      <c r="F383" t="str">
        <f t="shared" si="5"/>
        <v>lena256_line_63_100_6400</v>
      </c>
      <c r="G383">
        <v>0</v>
      </c>
      <c r="H383">
        <v>0</v>
      </c>
      <c r="I383">
        <v>7.7015199999999997E-4</v>
      </c>
      <c r="J383">
        <v>9.5670000000000001E-6</v>
      </c>
      <c r="K383">
        <v>16.6143</v>
      </c>
      <c r="L383">
        <v>1.617</v>
      </c>
      <c r="M383">
        <v>0</v>
      </c>
      <c r="N383">
        <v>0</v>
      </c>
      <c r="O383">
        <v>22.9099</v>
      </c>
    </row>
    <row r="384" spans="1:15" x14ac:dyDescent="0.25">
      <c r="A384" t="s">
        <v>14</v>
      </c>
      <c r="B384" t="s">
        <v>17</v>
      </c>
      <c r="C384">
        <v>63</v>
      </c>
      <c r="D384">
        <v>100</v>
      </c>
      <c r="E384">
        <v>12800</v>
      </c>
      <c r="F384" t="str">
        <f t="shared" si="5"/>
        <v>lena256_line_63_100_12800</v>
      </c>
      <c r="G384">
        <v>0</v>
      </c>
      <c r="H384">
        <v>0</v>
      </c>
      <c r="I384">
        <v>1.6008319999999999E-3</v>
      </c>
      <c r="J384">
        <v>9.5670000000000001E-6</v>
      </c>
      <c r="K384">
        <v>13.5364</v>
      </c>
      <c r="L384">
        <v>1.617</v>
      </c>
      <c r="M384">
        <v>0</v>
      </c>
      <c r="N384">
        <v>0</v>
      </c>
      <c r="O384">
        <v>20.774999999999999</v>
      </c>
    </row>
    <row r="385" spans="1:15" x14ac:dyDescent="0.25">
      <c r="A385" t="s">
        <v>14</v>
      </c>
      <c r="B385" t="s">
        <v>17</v>
      </c>
      <c r="C385">
        <v>63</v>
      </c>
      <c r="D385">
        <v>100</v>
      </c>
      <c r="E385">
        <v>25600</v>
      </c>
      <c r="F385" t="str">
        <f t="shared" si="5"/>
        <v>lena256_line_63_100_25600</v>
      </c>
      <c r="G385">
        <v>0</v>
      </c>
      <c r="H385">
        <v>0</v>
      </c>
      <c r="I385">
        <v>3.5640229999999999E-3</v>
      </c>
      <c r="J385">
        <v>9.5670000000000001E-6</v>
      </c>
      <c r="K385">
        <v>10.294</v>
      </c>
      <c r="L385">
        <v>1.617</v>
      </c>
      <c r="M385">
        <v>0</v>
      </c>
      <c r="N385">
        <v>0</v>
      </c>
      <c r="O385">
        <v>18.425999999999998</v>
      </c>
    </row>
    <row r="386" spans="1:15" x14ac:dyDescent="0.25">
      <c r="A386" t="s">
        <v>20</v>
      </c>
      <c r="B386" t="s">
        <v>18</v>
      </c>
      <c r="C386">
        <v>3</v>
      </c>
      <c r="D386">
        <v>100</v>
      </c>
      <c r="E386">
        <v>100</v>
      </c>
      <c r="F386" t="str">
        <f t="shared" ref="F386:F449" si="6">A386&amp;"_"&amp;B386&amp;"_"&amp;C386&amp;"_"&amp;D386&amp;"_"&amp;E386</f>
        <v>text256_blurkernel10_3_100_100</v>
      </c>
      <c r="G386">
        <v>0</v>
      </c>
      <c r="H386">
        <v>0</v>
      </c>
      <c r="I386">
        <v>7.6930000000000007E-6</v>
      </c>
      <c r="J386">
        <v>9.7529999999999996E-6</v>
      </c>
      <c r="K386">
        <v>39.0501</v>
      </c>
      <c r="L386">
        <v>7.1303999999999998</v>
      </c>
      <c r="M386">
        <v>0</v>
      </c>
      <c r="N386">
        <v>0</v>
      </c>
      <c r="O386">
        <v>43.117899999999999</v>
      </c>
    </row>
    <row r="387" spans="1:15" x14ac:dyDescent="0.25">
      <c r="A387" t="s">
        <v>20</v>
      </c>
      <c r="B387" t="s">
        <v>18</v>
      </c>
      <c r="C387">
        <v>3</v>
      </c>
      <c r="D387">
        <v>100</v>
      </c>
      <c r="E387">
        <v>200</v>
      </c>
      <c r="F387" t="str">
        <f t="shared" si="6"/>
        <v>text256_blurkernel10_3_100_200</v>
      </c>
      <c r="G387">
        <v>0</v>
      </c>
      <c r="H387">
        <v>0</v>
      </c>
      <c r="I387">
        <v>1.7085999999999999E-5</v>
      </c>
      <c r="J387">
        <v>9.8689999999999999E-6</v>
      </c>
      <c r="K387">
        <v>35.577500000000001</v>
      </c>
      <c r="L387">
        <v>7.1322999999999999</v>
      </c>
      <c r="M387">
        <v>0</v>
      </c>
      <c r="N387">
        <v>0</v>
      </c>
      <c r="O387">
        <v>39.705399999999997</v>
      </c>
    </row>
    <row r="388" spans="1:15" x14ac:dyDescent="0.25">
      <c r="A388" t="s">
        <v>20</v>
      </c>
      <c r="B388" t="s">
        <v>18</v>
      </c>
      <c r="C388">
        <v>3</v>
      </c>
      <c r="D388">
        <v>100</v>
      </c>
      <c r="E388">
        <v>400</v>
      </c>
      <c r="F388" t="str">
        <f t="shared" si="6"/>
        <v>text256_blurkernel10_3_100_400</v>
      </c>
      <c r="G388">
        <v>0</v>
      </c>
      <c r="H388">
        <v>0</v>
      </c>
      <c r="I388">
        <v>3.4686E-5</v>
      </c>
      <c r="J388">
        <v>9.8689999999999999E-6</v>
      </c>
      <c r="K388">
        <v>32.491599999999998</v>
      </c>
      <c r="L388">
        <v>7.1322999999999999</v>
      </c>
      <c r="M388">
        <v>0</v>
      </c>
      <c r="N388">
        <v>0</v>
      </c>
      <c r="O388">
        <v>36.706299999999999</v>
      </c>
    </row>
    <row r="389" spans="1:15" x14ac:dyDescent="0.25">
      <c r="A389" t="s">
        <v>20</v>
      </c>
      <c r="B389" t="s">
        <v>18</v>
      </c>
      <c r="C389">
        <v>3</v>
      </c>
      <c r="D389">
        <v>100</v>
      </c>
      <c r="E389">
        <v>800</v>
      </c>
      <c r="F389" t="str">
        <f t="shared" si="6"/>
        <v>text256_blurkernel10_3_100_800</v>
      </c>
      <c r="G389">
        <v>0</v>
      </c>
      <c r="H389">
        <v>0</v>
      </c>
      <c r="I389">
        <v>7.1732999999999999E-5</v>
      </c>
      <c r="J389">
        <v>9.8689999999999999E-6</v>
      </c>
      <c r="K389">
        <v>29.323599999999999</v>
      </c>
      <c r="L389">
        <v>7.1322999999999999</v>
      </c>
      <c r="M389">
        <v>0</v>
      </c>
      <c r="N389">
        <v>0</v>
      </c>
      <c r="O389">
        <v>33.663899999999998</v>
      </c>
    </row>
    <row r="390" spans="1:15" x14ac:dyDescent="0.25">
      <c r="A390" t="s">
        <v>20</v>
      </c>
      <c r="B390" t="s">
        <v>18</v>
      </c>
      <c r="C390">
        <v>3</v>
      </c>
      <c r="D390">
        <v>100</v>
      </c>
      <c r="E390">
        <v>1600</v>
      </c>
      <c r="F390" t="str">
        <f t="shared" si="6"/>
        <v>text256_blurkernel10_3_100_1600</v>
      </c>
      <c r="G390">
        <v>0</v>
      </c>
      <c r="H390">
        <v>0</v>
      </c>
      <c r="I390">
        <v>1.42941E-4</v>
      </c>
      <c r="J390">
        <v>9.8689999999999999E-6</v>
      </c>
      <c r="K390">
        <v>26.3108</v>
      </c>
      <c r="L390">
        <v>7.1322999999999999</v>
      </c>
      <c r="M390">
        <v>0</v>
      </c>
      <c r="N390">
        <v>0</v>
      </c>
      <c r="O390">
        <v>30.722799999999999</v>
      </c>
    </row>
    <row r="391" spans="1:15" x14ac:dyDescent="0.25">
      <c r="A391" t="s">
        <v>20</v>
      </c>
      <c r="B391" t="s">
        <v>18</v>
      </c>
      <c r="C391">
        <v>3</v>
      </c>
      <c r="D391">
        <v>100</v>
      </c>
      <c r="E391">
        <v>3200</v>
      </c>
      <c r="F391" t="str">
        <f t="shared" si="6"/>
        <v>text256_blurkernel10_3_100_3200</v>
      </c>
      <c r="G391">
        <v>0</v>
      </c>
      <c r="H391">
        <v>0</v>
      </c>
      <c r="I391">
        <v>2.8937899999999998E-4</v>
      </c>
      <c r="J391">
        <v>9.8689999999999999E-6</v>
      </c>
      <c r="K391">
        <v>23.222300000000001</v>
      </c>
      <c r="L391">
        <v>7.1322999999999999</v>
      </c>
      <c r="M391">
        <v>0</v>
      </c>
      <c r="N391">
        <v>0</v>
      </c>
      <c r="O391">
        <v>27.817699999999999</v>
      </c>
    </row>
    <row r="392" spans="1:15" x14ac:dyDescent="0.25">
      <c r="A392" t="s">
        <v>20</v>
      </c>
      <c r="B392" t="s">
        <v>18</v>
      </c>
      <c r="C392">
        <v>3</v>
      </c>
      <c r="D392">
        <v>100</v>
      </c>
      <c r="E392">
        <v>6400</v>
      </c>
      <c r="F392" t="str">
        <f t="shared" si="6"/>
        <v>text256_blurkernel10_3_100_6400</v>
      </c>
      <c r="G392">
        <v>0</v>
      </c>
      <c r="H392">
        <v>0</v>
      </c>
      <c r="I392">
        <v>5.8909700000000001E-4</v>
      </c>
      <c r="J392">
        <v>9.8689999999999999E-6</v>
      </c>
      <c r="K392">
        <v>20.103200000000001</v>
      </c>
      <c r="L392">
        <v>7.1322999999999999</v>
      </c>
      <c r="M392">
        <v>0</v>
      </c>
      <c r="N392">
        <v>0</v>
      </c>
      <c r="O392">
        <v>24.9176</v>
      </c>
    </row>
    <row r="393" spans="1:15" x14ac:dyDescent="0.25">
      <c r="A393" t="s">
        <v>20</v>
      </c>
      <c r="B393" t="s">
        <v>18</v>
      </c>
      <c r="C393">
        <v>3</v>
      </c>
      <c r="D393">
        <v>100</v>
      </c>
      <c r="E393">
        <v>12800</v>
      </c>
      <c r="F393" t="str">
        <f t="shared" si="6"/>
        <v>text256_blurkernel10_3_100_12800</v>
      </c>
      <c r="G393">
        <v>0</v>
      </c>
      <c r="H393">
        <v>0</v>
      </c>
      <c r="I393">
        <v>1.206188E-3</v>
      </c>
      <c r="J393">
        <v>9.8689999999999999E-6</v>
      </c>
      <c r="K393">
        <v>16.9633</v>
      </c>
      <c r="L393">
        <v>7.1322999999999999</v>
      </c>
      <c r="M393">
        <v>0</v>
      </c>
      <c r="N393">
        <v>0</v>
      </c>
      <c r="O393">
        <v>21.904699999999998</v>
      </c>
    </row>
    <row r="394" spans="1:15" x14ac:dyDescent="0.25">
      <c r="A394" t="s">
        <v>20</v>
      </c>
      <c r="B394" t="s">
        <v>18</v>
      </c>
      <c r="C394">
        <v>3</v>
      </c>
      <c r="D394">
        <v>100</v>
      </c>
      <c r="E394">
        <v>25600</v>
      </c>
      <c r="F394" t="str">
        <f t="shared" si="6"/>
        <v>text256_blurkernel10_3_100_25600</v>
      </c>
      <c r="G394">
        <v>0</v>
      </c>
      <c r="H394">
        <v>0</v>
      </c>
      <c r="I394">
        <v>2.5312139999999999E-3</v>
      </c>
      <c r="J394">
        <v>9.8689999999999999E-6</v>
      </c>
      <c r="K394">
        <v>13.718</v>
      </c>
      <c r="L394">
        <v>7.1322999999999999</v>
      </c>
      <c r="M394">
        <v>0</v>
      </c>
      <c r="N394">
        <v>0</v>
      </c>
      <c r="O394">
        <v>18.962900000000001</v>
      </c>
    </row>
    <row r="395" spans="1:15" x14ac:dyDescent="0.25">
      <c r="A395" t="s">
        <v>20</v>
      </c>
      <c r="B395" t="s">
        <v>18</v>
      </c>
      <c r="C395">
        <v>3</v>
      </c>
      <c r="D395">
        <v>100</v>
      </c>
      <c r="E395">
        <v>102400</v>
      </c>
      <c r="F395" t="str">
        <f t="shared" si="6"/>
        <v>text256_blurkernel10_3_100_102400</v>
      </c>
      <c r="G395">
        <v>0</v>
      </c>
      <c r="H395">
        <v>0</v>
      </c>
      <c r="I395">
        <v>1.3393733999999999E-2</v>
      </c>
      <c r="J395">
        <v>9.7410000000000004E-6</v>
      </c>
      <c r="K395">
        <v>6.7244999999999999</v>
      </c>
      <c r="L395">
        <v>7.1303000000000001</v>
      </c>
      <c r="M395">
        <v>0</v>
      </c>
      <c r="N395">
        <v>0</v>
      </c>
      <c r="O395">
        <v>12.2057</v>
      </c>
    </row>
    <row r="396" spans="1:15" x14ac:dyDescent="0.25">
      <c r="A396" t="s">
        <v>20</v>
      </c>
      <c r="B396" t="s">
        <v>18</v>
      </c>
      <c r="C396">
        <v>7</v>
      </c>
      <c r="D396">
        <v>100</v>
      </c>
      <c r="E396">
        <v>100</v>
      </c>
      <c r="F396" t="str">
        <f t="shared" si="6"/>
        <v>text256_blurkernel10_7_100_100</v>
      </c>
      <c r="G396">
        <v>0</v>
      </c>
      <c r="H396">
        <v>0</v>
      </c>
      <c r="I396">
        <v>7.6310000000000003E-6</v>
      </c>
      <c r="J396">
        <v>1.1885999999999999E-5</v>
      </c>
      <c r="K396">
        <v>39.078899999999997</v>
      </c>
      <c r="L396">
        <v>2.1827000000000001</v>
      </c>
      <c r="M396">
        <v>0</v>
      </c>
      <c r="N396">
        <v>0</v>
      </c>
      <c r="O396">
        <v>43.133400000000002</v>
      </c>
    </row>
    <row r="397" spans="1:15" x14ac:dyDescent="0.25">
      <c r="A397" t="s">
        <v>20</v>
      </c>
      <c r="B397" t="s">
        <v>18</v>
      </c>
      <c r="C397">
        <v>7</v>
      </c>
      <c r="D397">
        <v>100</v>
      </c>
      <c r="E397">
        <v>200</v>
      </c>
      <c r="F397" t="str">
        <f t="shared" si="6"/>
        <v>text256_blurkernel10_7_100_200</v>
      </c>
      <c r="G397">
        <v>0</v>
      </c>
      <c r="H397">
        <v>0</v>
      </c>
      <c r="I397">
        <v>1.6733999999999999E-5</v>
      </c>
      <c r="J397">
        <v>1.1922E-5</v>
      </c>
      <c r="K397">
        <v>35.670200000000001</v>
      </c>
      <c r="L397">
        <v>2.1814</v>
      </c>
      <c r="M397">
        <v>0</v>
      </c>
      <c r="N397">
        <v>0</v>
      </c>
      <c r="O397">
        <v>39.814599999999999</v>
      </c>
    </row>
    <row r="398" spans="1:15" x14ac:dyDescent="0.25">
      <c r="A398" t="s">
        <v>20</v>
      </c>
      <c r="B398" t="s">
        <v>18</v>
      </c>
      <c r="C398">
        <v>7</v>
      </c>
      <c r="D398">
        <v>100</v>
      </c>
      <c r="E398">
        <v>400</v>
      </c>
      <c r="F398" t="str">
        <f t="shared" si="6"/>
        <v>text256_blurkernel10_7_100_400</v>
      </c>
      <c r="G398">
        <v>0</v>
      </c>
      <c r="H398">
        <v>0</v>
      </c>
      <c r="I398">
        <v>3.4421000000000001E-5</v>
      </c>
      <c r="J398">
        <v>1.1922E-5</v>
      </c>
      <c r="K398">
        <v>32.521999999999998</v>
      </c>
      <c r="L398">
        <v>2.1814</v>
      </c>
      <c r="M398">
        <v>0</v>
      </c>
      <c r="N398">
        <v>0</v>
      </c>
      <c r="O398">
        <v>36.719299999999997</v>
      </c>
    </row>
    <row r="399" spans="1:15" x14ac:dyDescent="0.25">
      <c r="A399" t="s">
        <v>20</v>
      </c>
      <c r="B399" t="s">
        <v>18</v>
      </c>
      <c r="C399">
        <v>7</v>
      </c>
      <c r="D399">
        <v>100</v>
      </c>
      <c r="E399">
        <v>800</v>
      </c>
      <c r="F399" t="str">
        <f t="shared" si="6"/>
        <v>text256_blurkernel10_7_100_800</v>
      </c>
      <c r="G399">
        <v>0</v>
      </c>
      <c r="H399">
        <v>0</v>
      </c>
      <c r="I399">
        <v>7.1703000000000001E-5</v>
      </c>
      <c r="J399">
        <v>1.1922E-5</v>
      </c>
      <c r="K399">
        <v>29.3186</v>
      </c>
      <c r="L399">
        <v>2.1814</v>
      </c>
      <c r="M399">
        <v>0</v>
      </c>
      <c r="N399">
        <v>0</v>
      </c>
      <c r="O399">
        <v>33.579500000000003</v>
      </c>
    </row>
    <row r="400" spans="1:15" x14ac:dyDescent="0.25">
      <c r="A400" t="s">
        <v>20</v>
      </c>
      <c r="B400" t="s">
        <v>18</v>
      </c>
      <c r="C400">
        <v>7</v>
      </c>
      <c r="D400">
        <v>100</v>
      </c>
      <c r="E400">
        <v>1600</v>
      </c>
      <c r="F400" t="str">
        <f t="shared" si="6"/>
        <v>text256_blurkernel10_7_100_1600</v>
      </c>
      <c r="G400">
        <v>0</v>
      </c>
      <c r="H400">
        <v>0</v>
      </c>
      <c r="I400">
        <v>1.4543100000000001E-4</v>
      </c>
      <c r="J400">
        <v>1.1922E-5</v>
      </c>
      <c r="K400">
        <v>26.2346</v>
      </c>
      <c r="L400">
        <v>2.1814</v>
      </c>
      <c r="M400">
        <v>0</v>
      </c>
      <c r="N400">
        <v>0</v>
      </c>
      <c r="O400">
        <v>30.654299999999999</v>
      </c>
    </row>
    <row r="401" spans="1:15" x14ac:dyDescent="0.25">
      <c r="A401" t="s">
        <v>20</v>
      </c>
      <c r="B401" t="s">
        <v>18</v>
      </c>
      <c r="C401">
        <v>7</v>
      </c>
      <c r="D401">
        <v>100</v>
      </c>
      <c r="E401">
        <v>3200</v>
      </c>
      <c r="F401" t="str">
        <f t="shared" si="6"/>
        <v>text256_blurkernel10_7_100_3200</v>
      </c>
      <c r="G401">
        <v>0</v>
      </c>
      <c r="H401">
        <v>0</v>
      </c>
      <c r="I401">
        <v>2.9415300000000001E-4</v>
      </c>
      <c r="J401">
        <v>1.1922E-5</v>
      </c>
      <c r="K401">
        <v>23.153500000000001</v>
      </c>
      <c r="L401">
        <v>2.1814</v>
      </c>
      <c r="M401">
        <v>0</v>
      </c>
      <c r="N401">
        <v>0</v>
      </c>
      <c r="O401">
        <v>27.7193</v>
      </c>
    </row>
    <row r="402" spans="1:15" x14ac:dyDescent="0.25">
      <c r="A402" t="s">
        <v>20</v>
      </c>
      <c r="B402" t="s">
        <v>18</v>
      </c>
      <c r="C402">
        <v>7</v>
      </c>
      <c r="D402">
        <v>100</v>
      </c>
      <c r="E402">
        <v>6400</v>
      </c>
      <c r="F402" t="str">
        <f t="shared" si="6"/>
        <v>text256_blurkernel10_7_100_6400</v>
      </c>
      <c r="G402">
        <v>0</v>
      </c>
      <c r="H402">
        <v>0</v>
      </c>
      <c r="I402">
        <v>5.8694300000000004E-4</v>
      </c>
      <c r="J402">
        <v>1.1922E-5</v>
      </c>
      <c r="K402">
        <v>20.123899999999999</v>
      </c>
      <c r="L402">
        <v>2.1814</v>
      </c>
      <c r="M402">
        <v>0</v>
      </c>
      <c r="N402">
        <v>0</v>
      </c>
      <c r="O402">
        <v>24.910399999999999</v>
      </c>
    </row>
    <row r="403" spans="1:15" x14ac:dyDescent="0.25">
      <c r="A403" t="s">
        <v>20</v>
      </c>
      <c r="B403" t="s">
        <v>18</v>
      </c>
      <c r="C403">
        <v>7</v>
      </c>
      <c r="D403">
        <v>100</v>
      </c>
      <c r="E403">
        <v>12800</v>
      </c>
      <c r="F403" t="str">
        <f t="shared" si="6"/>
        <v>text256_blurkernel10_7_100_12800</v>
      </c>
      <c r="G403">
        <v>0</v>
      </c>
      <c r="H403">
        <v>0</v>
      </c>
      <c r="I403">
        <v>1.2012990000000001E-3</v>
      </c>
      <c r="J403">
        <v>1.1922E-5</v>
      </c>
      <c r="K403">
        <v>16.9771</v>
      </c>
      <c r="L403">
        <v>2.1814</v>
      </c>
      <c r="M403">
        <v>0</v>
      </c>
      <c r="N403">
        <v>0</v>
      </c>
      <c r="O403">
        <v>21.978999999999999</v>
      </c>
    </row>
    <row r="404" spans="1:15" x14ac:dyDescent="0.25">
      <c r="A404" t="s">
        <v>20</v>
      </c>
      <c r="B404" t="s">
        <v>18</v>
      </c>
      <c r="C404">
        <v>7</v>
      </c>
      <c r="D404">
        <v>100</v>
      </c>
      <c r="E404">
        <v>25600</v>
      </c>
      <c r="F404" t="str">
        <f t="shared" si="6"/>
        <v>text256_blurkernel10_7_100_25600</v>
      </c>
      <c r="G404">
        <v>0</v>
      </c>
      <c r="H404">
        <v>0</v>
      </c>
      <c r="I404">
        <v>2.526899E-3</v>
      </c>
      <c r="J404">
        <v>1.1922E-5</v>
      </c>
      <c r="K404">
        <v>13.725899999999999</v>
      </c>
      <c r="L404">
        <v>2.1814</v>
      </c>
      <c r="M404">
        <v>0</v>
      </c>
      <c r="N404">
        <v>0</v>
      </c>
      <c r="O404">
        <v>19.0274</v>
      </c>
    </row>
    <row r="405" spans="1:15" x14ac:dyDescent="0.25">
      <c r="A405" t="s">
        <v>20</v>
      </c>
      <c r="B405" t="s">
        <v>18</v>
      </c>
      <c r="C405">
        <v>7</v>
      </c>
      <c r="D405">
        <v>100</v>
      </c>
      <c r="E405">
        <v>102400</v>
      </c>
      <c r="F405" t="str">
        <f t="shared" si="6"/>
        <v>text256_blurkernel10_7_100_102400</v>
      </c>
      <c r="G405">
        <v>0</v>
      </c>
      <c r="H405">
        <v>0</v>
      </c>
      <c r="I405">
        <v>1.3474974000000001E-2</v>
      </c>
      <c r="J405">
        <v>1.1943000000000001E-5</v>
      </c>
      <c r="K405">
        <v>6.6994999999999996</v>
      </c>
      <c r="L405">
        <v>2.1821999999999999</v>
      </c>
      <c r="M405">
        <v>0</v>
      </c>
      <c r="N405">
        <v>0</v>
      </c>
      <c r="O405">
        <v>12.1668</v>
      </c>
    </row>
    <row r="406" spans="1:15" x14ac:dyDescent="0.25">
      <c r="A406" t="s">
        <v>20</v>
      </c>
      <c r="B406" t="s">
        <v>18</v>
      </c>
      <c r="C406">
        <v>15</v>
      </c>
      <c r="D406">
        <v>100</v>
      </c>
      <c r="E406">
        <v>100</v>
      </c>
      <c r="F406" t="str">
        <f t="shared" si="6"/>
        <v>text256_blurkernel10_15_100_100</v>
      </c>
      <c r="G406">
        <v>0</v>
      </c>
      <c r="H406">
        <v>0</v>
      </c>
      <c r="I406">
        <v>7.5870000000000004E-6</v>
      </c>
      <c r="J406">
        <v>1.4746000000000001E-5</v>
      </c>
      <c r="K406">
        <v>39.101399999999998</v>
      </c>
      <c r="L406">
        <v>1.3023</v>
      </c>
      <c r="M406">
        <v>0</v>
      </c>
      <c r="N406">
        <v>0</v>
      </c>
      <c r="O406">
        <v>43.116700000000002</v>
      </c>
    </row>
    <row r="407" spans="1:15" x14ac:dyDescent="0.25">
      <c r="A407" t="s">
        <v>20</v>
      </c>
      <c r="B407" t="s">
        <v>18</v>
      </c>
      <c r="C407">
        <v>15</v>
      </c>
      <c r="D407">
        <v>100</v>
      </c>
      <c r="E407">
        <v>200</v>
      </c>
      <c r="F407" t="str">
        <f t="shared" si="6"/>
        <v>text256_blurkernel10_15_100_200</v>
      </c>
      <c r="G407">
        <v>0</v>
      </c>
      <c r="H407">
        <v>0</v>
      </c>
      <c r="I407">
        <v>1.7031E-5</v>
      </c>
      <c r="J407">
        <v>1.4671000000000001E-5</v>
      </c>
      <c r="K407">
        <v>35.596600000000002</v>
      </c>
      <c r="L407">
        <v>1.3008999999999999</v>
      </c>
      <c r="M407">
        <v>0</v>
      </c>
      <c r="N407">
        <v>0</v>
      </c>
      <c r="O407">
        <v>39.736499999999999</v>
      </c>
    </row>
    <row r="408" spans="1:15" x14ac:dyDescent="0.25">
      <c r="A408" t="s">
        <v>20</v>
      </c>
      <c r="B408" t="s">
        <v>18</v>
      </c>
      <c r="C408">
        <v>15</v>
      </c>
      <c r="D408">
        <v>100</v>
      </c>
      <c r="E408">
        <v>400</v>
      </c>
      <c r="F408" t="str">
        <f t="shared" si="6"/>
        <v>text256_blurkernel10_15_100_400</v>
      </c>
      <c r="G408">
        <v>0</v>
      </c>
      <c r="H408">
        <v>0</v>
      </c>
      <c r="I408">
        <v>3.4947999999999998E-5</v>
      </c>
      <c r="J408">
        <v>1.4671000000000001E-5</v>
      </c>
      <c r="K408">
        <v>32.454500000000003</v>
      </c>
      <c r="L408">
        <v>1.3008999999999999</v>
      </c>
      <c r="M408">
        <v>0</v>
      </c>
      <c r="N408">
        <v>0</v>
      </c>
      <c r="O408">
        <v>36.692900000000002</v>
      </c>
    </row>
    <row r="409" spans="1:15" x14ac:dyDescent="0.25">
      <c r="A409" t="s">
        <v>20</v>
      </c>
      <c r="B409" t="s">
        <v>18</v>
      </c>
      <c r="C409">
        <v>15</v>
      </c>
      <c r="D409">
        <v>100</v>
      </c>
      <c r="E409">
        <v>800</v>
      </c>
      <c r="F409" t="str">
        <f t="shared" si="6"/>
        <v>text256_blurkernel10_15_100_800</v>
      </c>
      <c r="G409">
        <v>0</v>
      </c>
      <c r="H409">
        <v>0</v>
      </c>
      <c r="I409">
        <v>7.1291999999999994E-5</v>
      </c>
      <c r="J409">
        <v>1.4671000000000001E-5</v>
      </c>
      <c r="K409">
        <v>29.345600000000001</v>
      </c>
      <c r="L409">
        <v>1.3008999999999999</v>
      </c>
      <c r="M409">
        <v>0</v>
      </c>
      <c r="N409">
        <v>0</v>
      </c>
      <c r="O409">
        <v>33.647500000000001</v>
      </c>
    </row>
    <row r="410" spans="1:15" x14ac:dyDescent="0.25">
      <c r="A410" t="s">
        <v>20</v>
      </c>
      <c r="B410" t="s">
        <v>18</v>
      </c>
      <c r="C410">
        <v>15</v>
      </c>
      <c r="D410">
        <v>100</v>
      </c>
      <c r="E410">
        <v>1600</v>
      </c>
      <c r="F410" t="str">
        <f t="shared" si="6"/>
        <v>text256_blurkernel10_15_100_1600</v>
      </c>
      <c r="G410">
        <v>0</v>
      </c>
      <c r="H410">
        <v>0</v>
      </c>
      <c r="I410">
        <v>1.45463E-4</v>
      </c>
      <c r="J410">
        <v>1.4671000000000001E-5</v>
      </c>
      <c r="K410">
        <v>26.232600000000001</v>
      </c>
      <c r="L410">
        <v>1.3008999999999999</v>
      </c>
      <c r="M410">
        <v>0</v>
      </c>
      <c r="N410">
        <v>0</v>
      </c>
      <c r="O410">
        <v>30.566600000000001</v>
      </c>
    </row>
    <row r="411" spans="1:15" x14ac:dyDescent="0.25">
      <c r="A411" t="s">
        <v>20</v>
      </c>
      <c r="B411" t="s">
        <v>18</v>
      </c>
      <c r="C411">
        <v>15</v>
      </c>
      <c r="D411">
        <v>100</v>
      </c>
      <c r="E411">
        <v>3200</v>
      </c>
      <c r="F411" t="str">
        <f t="shared" si="6"/>
        <v>text256_blurkernel10_15_100_3200</v>
      </c>
      <c r="G411">
        <v>0</v>
      </c>
      <c r="H411">
        <v>0</v>
      </c>
      <c r="I411">
        <v>2.89676E-4</v>
      </c>
      <c r="J411">
        <v>1.4671000000000001E-5</v>
      </c>
      <c r="K411">
        <v>23.219899999999999</v>
      </c>
      <c r="L411">
        <v>1.3008999999999999</v>
      </c>
      <c r="M411">
        <v>0</v>
      </c>
      <c r="N411">
        <v>0</v>
      </c>
      <c r="O411">
        <v>27.8032</v>
      </c>
    </row>
    <row r="412" spans="1:15" x14ac:dyDescent="0.25">
      <c r="A412" t="s">
        <v>20</v>
      </c>
      <c r="B412" t="s">
        <v>18</v>
      </c>
      <c r="C412">
        <v>15</v>
      </c>
      <c r="D412">
        <v>100</v>
      </c>
      <c r="E412">
        <v>6400</v>
      </c>
      <c r="F412" t="str">
        <f t="shared" si="6"/>
        <v>text256_blurkernel10_15_100_6400</v>
      </c>
      <c r="G412">
        <v>0</v>
      </c>
      <c r="H412">
        <v>0</v>
      </c>
      <c r="I412">
        <v>5.8685400000000004E-4</v>
      </c>
      <c r="J412">
        <v>1.4671000000000001E-5</v>
      </c>
      <c r="K412">
        <v>20.12</v>
      </c>
      <c r="L412">
        <v>1.3008999999999999</v>
      </c>
      <c r="M412">
        <v>0</v>
      </c>
      <c r="N412">
        <v>0</v>
      </c>
      <c r="O412">
        <v>24.8369</v>
      </c>
    </row>
    <row r="413" spans="1:15" x14ac:dyDescent="0.25">
      <c r="A413" t="s">
        <v>20</v>
      </c>
      <c r="B413" t="s">
        <v>18</v>
      </c>
      <c r="C413">
        <v>15</v>
      </c>
      <c r="D413">
        <v>100</v>
      </c>
      <c r="E413">
        <v>12800</v>
      </c>
      <c r="F413" t="str">
        <f t="shared" si="6"/>
        <v>text256_blurkernel10_15_100_12800</v>
      </c>
      <c r="G413">
        <v>0</v>
      </c>
      <c r="H413">
        <v>0</v>
      </c>
      <c r="I413">
        <v>1.21412E-3</v>
      </c>
      <c r="J413">
        <v>1.4671000000000001E-5</v>
      </c>
      <c r="K413">
        <v>16.929500000000001</v>
      </c>
      <c r="L413">
        <v>1.3008999999999999</v>
      </c>
      <c r="M413">
        <v>0</v>
      </c>
      <c r="N413">
        <v>0</v>
      </c>
      <c r="O413">
        <v>21.877199999999998</v>
      </c>
    </row>
    <row r="414" spans="1:15" x14ac:dyDescent="0.25">
      <c r="A414" t="s">
        <v>20</v>
      </c>
      <c r="B414" t="s">
        <v>18</v>
      </c>
      <c r="C414">
        <v>15</v>
      </c>
      <c r="D414">
        <v>100</v>
      </c>
      <c r="E414">
        <v>25600</v>
      </c>
      <c r="F414" t="str">
        <f t="shared" si="6"/>
        <v>text256_blurkernel10_15_100_25600</v>
      </c>
      <c r="G414">
        <v>0</v>
      </c>
      <c r="H414">
        <v>0</v>
      </c>
      <c r="I414">
        <v>2.580012E-3</v>
      </c>
      <c r="J414">
        <v>1.4671000000000001E-5</v>
      </c>
      <c r="K414">
        <v>13.6357</v>
      </c>
      <c r="L414">
        <v>1.3008999999999999</v>
      </c>
      <c r="M414">
        <v>0</v>
      </c>
      <c r="N414">
        <v>0</v>
      </c>
      <c r="O414">
        <v>18.8718</v>
      </c>
    </row>
    <row r="415" spans="1:15" x14ac:dyDescent="0.25">
      <c r="A415" t="s">
        <v>20</v>
      </c>
      <c r="B415" t="s">
        <v>18</v>
      </c>
      <c r="C415">
        <v>15</v>
      </c>
      <c r="D415">
        <v>100</v>
      </c>
      <c r="E415">
        <v>102400</v>
      </c>
      <c r="F415" t="str">
        <f t="shared" si="6"/>
        <v>text256_blurkernel10_15_100_102400</v>
      </c>
      <c r="G415">
        <v>0</v>
      </c>
      <c r="H415">
        <v>0</v>
      </c>
      <c r="I415">
        <v>1.3428084999999999E-2</v>
      </c>
      <c r="J415">
        <v>1.4712000000000001E-5</v>
      </c>
      <c r="K415">
        <v>6.7111000000000001</v>
      </c>
      <c r="L415">
        <v>1.3011999999999999</v>
      </c>
      <c r="M415">
        <v>0</v>
      </c>
      <c r="N415">
        <v>0</v>
      </c>
      <c r="O415">
        <v>12.194599999999999</v>
      </c>
    </row>
    <row r="416" spans="1:15" x14ac:dyDescent="0.25">
      <c r="A416" t="s">
        <v>20</v>
      </c>
      <c r="B416" t="s">
        <v>18</v>
      </c>
      <c r="C416">
        <v>31</v>
      </c>
      <c r="D416">
        <v>100</v>
      </c>
      <c r="E416">
        <v>100</v>
      </c>
      <c r="F416" t="str">
        <f t="shared" si="6"/>
        <v>text256_blurkernel10_31_100_100</v>
      </c>
      <c r="G416">
        <v>0</v>
      </c>
      <c r="H416">
        <v>0</v>
      </c>
      <c r="I416">
        <v>7.6380000000000004E-6</v>
      </c>
      <c r="J416">
        <v>1.6245000000000001E-5</v>
      </c>
      <c r="K416">
        <v>39.067500000000003</v>
      </c>
      <c r="L416">
        <v>0.2392</v>
      </c>
      <c r="M416">
        <v>0</v>
      </c>
      <c r="N416">
        <v>0</v>
      </c>
      <c r="O416">
        <v>43.094000000000001</v>
      </c>
    </row>
    <row r="417" spans="1:15" x14ac:dyDescent="0.25">
      <c r="A417" t="s">
        <v>20</v>
      </c>
      <c r="B417" t="s">
        <v>18</v>
      </c>
      <c r="C417">
        <v>31</v>
      </c>
      <c r="D417">
        <v>100</v>
      </c>
      <c r="E417">
        <v>200</v>
      </c>
      <c r="F417" t="str">
        <f t="shared" si="6"/>
        <v>text256_blurkernel10_31_100_200</v>
      </c>
      <c r="G417">
        <v>0</v>
      </c>
      <c r="H417">
        <v>0</v>
      </c>
      <c r="I417">
        <v>1.6997E-5</v>
      </c>
      <c r="J417">
        <v>1.6477000000000002E-5</v>
      </c>
      <c r="K417">
        <v>35.601599999999998</v>
      </c>
      <c r="L417">
        <v>0.2384</v>
      </c>
      <c r="M417">
        <v>0</v>
      </c>
      <c r="N417">
        <v>0</v>
      </c>
      <c r="O417">
        <v>39.706699999999998</v>
      </c>
    </row>
    <row r="418" spans="1:15" x14ac:dyDescent="0.25">
      <c r="A418" t="s">
        <v>20</v>
      </c>
      <c r="B418" t="s">
        <v>18</v>
      </c>
      <c r="C418">
        <v>31</v>
      </c>
      <c r="D418">
        <v>100</v>
      </c>
      <c r="E418">
        <v>400</v>
      </c>
      <c r="F418" t="str">
        <f t="shared" si="6"/>
        <v>text256_blurkernel10_31_100_400</v>
      </c>
      <c r="G418">
        <v>0</v>
      </c>
      <c r="H418">
        <v>0</v>
      </c>
      <c r="I418">
        <v>3.468E-5</v>
      </c>
      <c r="J418">
        <v>1.6477000000000002E-5</v>
      </c>
      <c r="K418">
        <v>32.490299999999998</v>
      </c>
      <c r="L418">
        <v>0.2384</v>
      </c>
      <c r="M418">
        <v>0</v>
      </c>
      <c r="N418">
        <v>0</v>
      </c>
      <c r="O418">
        <v>36.668799999999997</v>
      </c>
    </row>
    <row r="419" spans="1:15" x14ac:dyDescent="0.25">
      <c r="A419" t="s">
        <v>20</v>
      </c>
      <c r="B419" t="s">
        <v>18</v>
      </c>
      <c r="C419">
        <v>31</v>
      </c>
      <c r="D419">
        <v>100</v>
      </c>
      <c r="E419">
        <v>800</v>
      </c>
      <c r="F419" t="str">
        <f t="shared" si="6"/>
        <v>text256_blurkernel10_31_100_800</v>
      </c>
      <c r="G419">
        <v>0</v>
      </c>
      <c r="H419">
        <v>0</v>
      </c>
      <c r="I419">
        <v>7.0038999999999998E-5</v>
      </c>
      <c r="J419">
        <v>1.6477000000000002E-5</v>
      </c>
      <c r="K419">
        <v>29.421199999999999</v>
      </c>
      <c r="L419">
        <v>0.2384</v>
      </c>
      <c r="M419">
        <v>0</v>
      </c>
      <c r="N419">
        <v>0</v>
      </c>
      <c r="O419">
        <v>33.726300000000002</v>
      </c>
    </row>
    <row r="420" spans="1:15" x14ac:dyDescent="0.25">
      <c r="A420" t="s">
        <v>20</v>
      </c>
      <c r="B420" t="s">
        <v>18</v>
      </c>
      <c r="C420">
        <v>31</v>
      </c>
      <c r="D420">
        <v>100</v>
      </c>
      <c r="E420">
        <v>1600</v>
      </c>
      <c r="F420" t="str">
        <f t="shared" si="6"/>
        <v>text256_blurkernel10_31_100_1600</v>
      </c>
      <c r="G420">
        <v>0</v>
      </c>
      <c r="H420">
        <v>0</v>
      </c>
      <c r="I420">
        <v>1.4328499999999999E-4</v>
      </c>
      <c r="J420">
        <v>1.6477000000000002E-5</v>
      </c>
      <c r="K420">
        <v>26.295500000000001</v>
      </c>
      <c r="L420">
        <v>0.2384</v>
      </c>
      <c r="M420">
        <v>0</v>
      </c>
      <c r="N420">
        <v>0</v>
      </c>
      <c r="O420">
        <v>30.6067</v>
      </c>
    </row>
    <row r="421" spans="1:15" x14ac:dyDescent="0.25">
      <c r="A421" t="s">
        <v>20</v>
      </c>
      <c r="B421" t="s">
        <v>18</v>
      </c>
      <c r="C421">
        <v>31</v>
      </c>
      <c r="D421">
        <v>100</v>
      </c>
      <c r="E421">
        <v>3200</v>
      </c>
      <c r="F421" t="str">
        <f t="shared" si="6"/>
        <v>text256_blurkernel10_31_100_3200</v>
      </c>
      <c r="G421">
        <v>0</v>
      </c>
      <c r="H421">
        <v>0</v>
      </c>
      <c r="I421">
        <v>2.9007600000000001E-4</v>
      </c>
      <c r="J421">
        <v>1.6477000000000002E-5</v>
      </c>
      <c r="K421">
        <v>23.2134</v>
      </c>
      <c r="L421">
        <v>0.2384</v>
      </c>
      <c r="M421">
        <v>0</v>
      </c>
      <c r="N421">
        <v>0</v>
      </c>
      <c r="O421">
        <v>27.7879</v>
      </c>
    </row>
    <row r="422" spans="1:15" x14ac:dyDescent="0.25">
      <c r="A422" t="s">
        <v>20</v>
      </c>
      <c r="B422" t="s">
        <v>18</v>
      </c>
      <c r="C422">
        <v>31</v>
      </c>
      <c r="D422">
        <v>100</v>
      </c>
      <c r="E422">
        <v>6400</v>
      </c>
      <c r="F422" t="str">
        <f t="shared" si="6"/>
        <v>text256_blurkernel10_31_100_6400</v>
      </c>
      <c r="G422">
        <v>0</v>
      </c>
      <c r="H422">
        <v>0</v>
      </c>
      <c r="I422">
        <v>5.8874399999999999E-4</v>
      </c>
      <c r="J422">
        <v>1.6477000000000002E-5</v>
      </c>
      <c r="K422">
        <v>20.1065</v>
      </c>
      <c r="L422">
        <v>0.2384</v>
      </c>
      <c r="M422">
        <v>0</v>
      </c>
      <c r="N422">
        <v>0</v>
      </c>
      <c r="O422">
        <v>24.935099999999998</v>
      </c>
    </row>
    <row r="423" spans="1:15" x14ac:dyDescent="0.25">
      <c r="A423" t="s">
        <v>20</v>
      </c>
      <c r="B423" t="s">
        <v>18</v>
      </c>
      <c r="C423">
        <v>31</v>
      </c>
      <c r="D423">
        <v>100</v>
      </c>
      <c r="E423">
        <v>12800</v>
      </c>
      <c r="F423" t="str">
        <f t="shared" si="6"/>
        <v>text256_blurkernel10_31_100_12800</v>
      </c>
      <c r="G423">
        <v>0</v>
      </c>
      <c r="H423">
        <v>0</v>
      </c>
      <c r="I423">
        <v>1.2001080000000001E-3</v>
      </c>
      <c r="J423">
        <v>1.6477000000000002E-5</v>
      </c>
      <c r="K423">
        <v>16.979800000000001</v>
      </c>
      <c r="L423">
        <v>0.2384</v>
      </c>
      <c r="M423">
        <v>0</v>
      </c>
      <c r="N423">
        <v>0</v>
      </c>
      <c r="O423">
        <v>22.0106</v>
      </c>
    </row>
    <row r="424" spans="1:15" x14ac:dyDescent="0.25">
      <c r="A424" t="s">
        <v>20</v>
      </c>
      <c r="B424" t="s">
        <v>18</v>
      </c>
      <c r="C424">
        <v>31</v>
      </c>
      <c r="D424">
        <v>100</v>
      </c>
      <c r="E424">
        <v>25600</v>
      </c>
      <c r="F424" t="str">
        <f t="shared" si="6"/>
        <v>text256_blurkernel10_31_100_25600</v>
      </c>
      <c r="G424">
        <v>0</v>
      </c>
      <c r="H424">
        <v>0</v>
      </c>
      <c r="I424">
        <v>2.5486789999999999E-3</v>
      </c>
      <c r="J424">
        <v>1.6477000000000002E-5</v>
      </c>
      <c r="K424">
        <v>13.6883</v>
      </c>
      <c r="L424">
        <v>0.2384</v>
      </c>
      <c r="M424">
        <v>0</v>
      </c>
      <c r="N424">
        <v>0</v>
      </c>
      <c r="O424">
        <v>18.904199999999999</v>
      </c>
    </row>
    <row r="425" spans="1:15" x14ac:dyDescent="0.25">
      <c r="A425" t="s">
        <v>20</v>
      </c>
      <c r="B425" t="s">
        <v>18</v>
      </c>
      <c r="C425">
        <v>31</v>
      </c>
      <c r="D425">
        <v>100</v>
      </c>
      <c r="E425">
        <v>102400</v>
      </c>
      <c r="F425" t="str">
        <f t="shared" si="6"/>
        <v>text256_blurkernel10_31_100_102400</v>
      </c>
      <c r="G425">
        <v>0</v>
      </c>
      <c r="H425">
        <v>0</v>
      </c>
      <c r="I425">
        <v>1.3282184000000001E-2</v>
      </c>
      <c r="J425">
        <v>1.6341000000000002E-5</v>
      </c>
      <c r="K425">
        <v>6.7629999999999999</v>
      </c>
      <c r="L425">
        <v>0.23899999999999999</v>
      </c>
      <c r="M425">
        <v>0</v>
      </c>
      <c r="N425">
        <v>0</v>
      </c>
      <c r="O425">
        <v>12.186199999999999</v>
      </c>
    </row>
    <row r="426" spans="1:15" x14ac:dyDescent="0.25">
      <c r="A426" t="s">
        <v>20</v>
      </c>
      <c r="B426" t="s">
        <v>18</v>
      </c>
      <c r="C426">
        <v>63</v>
      </c>
      <c r="D426">
        <v>100</v>
      </c>
      <c r="E426">
        <v>200</v>
      </c>
      <c r="F426" t="str">
        <f t="shared" si="6"/>
        <v>text256_blurkernel10_63_100_200</v>
      </c>
      <c r="G426">
        <v>0</v>
      </c>
      <c r="H426">
        <v>0</v>
      </c>
      <c r="I426">
        <v>1.6750000000000001E-5</v>
      </c>
      <c r="J426">
        <v>1.7136999999999999E-5</v>
      </c>
      <c r="K426">
        <v>35.655099999999997</v>
      </c>
      <c r="L426">
        <v>0.44209999999999999</v>
      </c>
      <c r="M426">
        <v>0</v>
      </c>
      <c r="N426">
        <v>0</v>
      </c>
      <c r="O426">
        <v>39.778300000000002</v>
      </c>
    </row>
    <row r="427" spans="1:15" x14ac:dyDescent="0.25">
      <c r="A427" t="s">
        <v>20</v>
      </c>
      <c r="B427" t="s">
        <v>18</v>
      </c>
      <c r="C427">
        <v>63</v>
      </c>
      <c r="D427">
        <v>100</v>
      </c>
      <c r="E427">
        <v>400</v>
      </c>
      <c r="F427" t="str">
        <f t="shared" si="6"/>
        <v>text256_blurkernel10_63_100_400</v>
      </c>
      <c r="G427">
        <v>0</v>
      </c>
      <c r="H427">
        <v>0</v>
      </c>
      <c r="I427">
        <v>3.4759999999999999E-5</v>
      </c>
      <c r="J427">
        <v>1.7136999999999999E-5</v>
      </c>
      <c r="K427">
        <v>32.479199999999999</v>
      </c>
      <c r="L427">
        <v>0.44209999999999999</v>
      </c>
      <c r="M427">
        <v>0</v>
      </c>
      <c r="N427">
        <v>0</v>
      </c>
      <c r="O427">
        <v>36.622100000000003</v>
      </c>
    </row>
    <row r="428" spans="1:15" x14ac:dyDescent="0.25">
      <c r="A428" t="s">
        <v>20</v>
      </c>
      <c r="B428" t="s">
        <v>18</v>
      </c>
      <c r="C428">
        <v>63</v>
      </c>
      <c r="D428">
        <v>100</v>
      </c>
      <c r="E428">
        <v>800</v>
      </c>
      <c r="F428" t="str">
        <f t="shared" si="6"/>
        <v>text256_blurkernel10_63_100_800</v>
      </c>
      <c r="G428">
        <v>0</v>
      </c>
      <c r="H428">
        <v>0</v>
      </c>
      <c r="I428">
        <v>7.1789E-5</v>
      </c>
      <c r="J428">
        <v>1.7136999999999999E-5</v>
      </c>
      <c r="K428">
        <v>29.314900000000002</v>
      </c>
      <c r="L428">
        <v>0.44209999999999999</v>
      </c>
      <c r="M428">
        <v>0</v>
      </c>
      <c r="N428">
        <v>0</v>
      </c>
      <c r="O428">
        <v>33.577500000000001</v>
      </c>
    </row>
    <row r="429" spans="1:15" x14ac:dyDescent="0.25">
      <c r="A429" t="s">
        <v>20</v>
      </c>
      <c r="B429" t="s">
        <v>18</v>
      </c>
      <c r="C429">
        <v>63</v>
      </c>
      <c r="D429">
        <v>100</v>
      </c>
      <c r="E429">
        <v>1600</v>
      </c>
      <c r="F429" t="str">
        <f t="shared" si="6"/>
        <v>text256_blurkernel10_63_100_1600</v>
      </c>
      <c r="G429">
        <v>0</v>
      </c>
      <c r="H429">
        <v>0</v>
      </c>
      <c r="I429">
        <v>1.4362899999999999E-4</v>
      </c>
      <c r="J429">
        <v>1.7136999999999999E-5</v>
      </c>
      <c r="K429">
        <v>26.2926</v>
      </c>
      <c r="L429">
        <v>0.44209999999999999</v>
      </c>
      <c r="M429">
        <v>0</v>
      </c>
      <c r="N429">
        <v>0</v>
      </c>
      <c r="O429">
        <v>30.600200000000001</v>
      </c>
    </row>
    <row r="430" spans="1:15" x14ac:dyDescent="0.25">
      <c r="A430" t="s">
        <v>20</v>
      </c>
      <c r="B430" t="s">
        <v>18</v>
      </c>
      <c r="C430">
        <v>63</v>
      </c>
      <c r="D430">
        <v>100</v>
      </c>
      <c r="E430">
        <v>3200</v>
      </c>
      <c r="F430" t="str">
        <f t="shared" si="6"/>
        <v>text256_blurkernel10_63_100_3200</v>
      </c>
      <c r="G430">
        <v>0</v>
      </c>
      <c r="H430">
        <v>0</v>
      </c>
      <c r="I430">
        <v>2.88595E-4</v>
      </c>
      <c r="J430">
        <v>1.7136999999999999E-5</v>
      </c>
      <c r="K430">
        <v>23.232700000000001</v>
      </c>
      <c r="L430">
        <v>0.44209999999999999</v>
      </c>
      <c r="M430">
        <v>0</v>
      </c>
      <c r="N430">
        <v>0</v>
      </c>
      <c r="O430">
        <v>27.816600000000001</v>
      </c>
    </row>
    <row r="431" spans="1:15" x14ac:dyDescent="0.25">
      <c r="A431" t="s">
        <v>20</v>
      </c>
      <c r="B431" t="s">
        <v>18</v>
      </c>
      <c r="C431">
        <v>63</v>
      </c>
      <c r="D431">
        <v>100</v>
      </c>
      <c r="E431">
        <v>6400</v>
      </c>
      <c r="F431" t="str">
        <f t="shared" si="6"/>
        <v>text256_blurkernel10_63_100_6400</v>
      </c>
      <c r="G431">
        <v>0</v>
      </c>
      <c r="H431">
        <v>0</v>
      </c>
      <c r="I431">
        <v>5.8161900000000002E-4</v>
      </c>
      <c r="J431">
        <v>1.7136999999999999E-5</v>
      </c>
      <c r="K431">
        <v>20.160599999999999</v>
      </c>
      <c r="L431">
        <v>0.44209999999999999</v>
      </c>
      <c r="M431">
        <v>0</v>
      </c>
      <c r="N431">
        <v>0</v>
      </c>
      <c r="O431">
        <v>25.0061</v>
      </c>
    </row>
    <row r="432" spans="1:15" x14ac:dyDescent="0.25">
      <c r="A432" t="s">
        <v>20</v>
      </c>
      <c r="B432" t="s">
        <v>18</v>
      </c>
      <c r="C432">
        <v>63</v>
      </c>
      <c r="D432">
        <v>100</v>
      </c>
      <c r="E432">
        <v>12800</v>
      </c>
      <c r="F432" t="str">
        <f t="shared" si="6"/>
        <v>text256_blurkernel10_63_100_12800</v>
      </c>
      <c r="G432">
        <v>0</v>
      </c>
      <c r="H432">
        <v>0</v>
      </c>
      <c r="I432">
        <v>1.1915490000000001E-3</v>
      </c>
      <c r="J432">
        <v>1.7136999999999999E-5</v>
      </c>
      <c r="K432">
        <v>17.0169</v>
      </c>
      <c r="L432">
        <v>0.44209999999999999</v>
      </c>
      <c r="M432">
        <v>0</v>
      </c>
      <c r="N432">
        <v>0</v>
      </c>
      <c r="O432">
        <v>22.0245</v>
      </c>
    </row>
    <row r="433" spans="1:15" x14ac:dyDescent="0.25">
      <c r="A433" t="s">
        <v>20</v>
      </c>
      <c r="B433" t="s">
        <v>18</v>
      </c>
      <c r="C433">
        <v>63</v>
      </c>
      <c r="D433">
        <v>100</v>
      </c>
      <c r="E433">
        <v>25600</v>
      </c>
      <c r="F433" t="str">
        <f t="shared" si="6"/>
        <v>text256_blurkernel10_63_100_25600</v>
      </c>
      <c r="G433">
        <v>0</v>
      </c>
      <c r="H433">
        <v>0</v>
      </c>
      <c r="I433">
        <v>2.5636819999999999E-3</v>
      </c>
      <c r="J433">
        <v>1.7136999999999999E-5</v>
      </c>
      <c r="K433">
        <v>13.6632</v>
      </c>
      <c r="L433">
        <v>0.44209999999999999</v>
      </c>
      <c r="M433">
        <v>0</v>
      </c>
      <c r="N433">
        <v>0</v>
      </c>
      <c r="O433">
        <v>18.851800000000001</v>
      </c>
    </row>
    <row r="434" spans="1:15" x14ac:dyDescent="0.25">
      <c r="A434" t="s">
        <v>20</v>
      </c>
      <c r="B434" t="s">
        <v>15</v>
      </c>
      <c r="C434">
        <v>3</v>
      </c>
      <c r="D434">
        <v>100</v>
      </c>
      <c r="E434">
        <v>100</v>
      </c>
      <c r="F434" t="str">
        <f t="shared" si="6"/>
        <v>text256_blurkernel7_3_100_100</v>
      </c>
      <c r="G434">
        <v>0</v>
      </c>
      <c r="H434">
        <v>0</v>
      </c>
      <c r="I434">
        <v>7.6249999999999998E-6</v>
      </c>
      <c r="J434">
        <v>9.8789999999999998E-6</v>
      </c>
      <c r="K434">
        <v>39.088200000000001</v>
      </c>
      <c r="L434">
        <v>9.2131000000000007</v>
      </c>
      <c r="M434">
        <v>0</v>
      </c>
      <c r="N434">
        <v>0</v>
      </c>
      <c r="O434">
        <v>43.170099999999998</v>
      </c>
    </row>
    <row r="435" spans="1:15" x14ac:dyDescent="0.25">
      <c r="A435" t="s">
        <v>20</v>
      </c>
      <c r="B435" t="s">
        <v>15</v>
      </c>
      <c r="C435">
        <v>3</v>
      </c>
      <c r="D435">
        <v>100</v>
      </c>
      <c r="E435">
        <v>200</v>
      </c>
      <c r="F435" t="str">
        <f t="shared" si="6"/>
        <v>text256_blurkernel7_3_100_200</v>
      </c>
      <c r="G435">
        <v>0</v>
      </c>
      <c r="H435">
        <v>0</v>
      </c>
      <c r="I435">
        <v>1.6667000000000002E-5</v>
      </c>
      <c r="J435">
        <v>9.7100000000000002E-6</v>
      </c>
      <c r="K435">
        <v>35.686500000000002</v>
      </c>
      <c r="L435">
        <v>9.2123000000000008</v>
      </c>
      <c r="M435">
        <v>0</v>
      </c>
      <c r="N435">
        <v>0</v>
      </c>
      <c r="O435">
        <v>39.868099999999998</v>
      </c>
    </row>
    <row r="436" spans="1:15" x14ac:dyDescent="0.25">
      <c r="A436" t="s">
        <v>20</v>
      </c>
      <c r="B436" t="s">
        <v>15</v>
      </c>
      <c r="C436">
        <v>3</v>
      </c>
      <c r="D436">
        <v>100</v>
      </c>
      <c r="E436">
        <v>400</v>
      </c>
      <c r="F436" t="str">
        <f t="shared" si="6"/>
        <v>text256_blurkernel7_3_100_400</v>
      </c>
      <c r="G436">
        <v>0</v>
      </c>
      <c r="H436">
        <v>0</v>
      </c>
      <c r="I436">
        <v>3.5193E-5</v>
      </c>
      <c r="J436">
        <v>9.7100000000000002E-6</v>
      </c>
      <c r="K436">
        <v>32.4328</v>
      </c>
      <c r="L436">
        <v>9.2123000000000008</v>
      </c>
      <c r="M436">
        <v>0</v>
      </c>
      <c r="N436">
        <v>0</v>
      </c>
      <c r="O436">
        <v>36.671100000000003</v>
      </c>
    </row>
    <row r="437" spans="1:15" x14ac:dyDescent="0.25">
      <c r="A437" t="s">
        <v>20</v>
      </c>
      <c r="B437" t="s">
        <v>15</v>
      </c>
      <c r="C437">
        <v>3</v>
      </c>
      <c r="D437">
        <v>100</v>
      </c>
      <c r="E437">
        <v>800</v>
      </c>
      <c r="F437" t="str">
        <f t="shared" si="6"/>
        <v>text256_blurkernel7_3_100_800</v>
      </c>
      <c r="G437">
        <v>0</v>
      </c>
      <c r="H437">
        <v>0</v>
      </c>
      <c r="I437">
        <v>7.1286999999999997E-5</v>
      </c>
      <c r="J437">
        <v>9.7100000000000002E-6</v>
      </c>
      <c r="K437">
        <v>29.349599999999999</v>
      </c>
      <c r="L437">
        <v>9.2123000000000008</v>
      </c>
      <c r="M437">
        <v>0</v>
      </c>
      <c r="N437">
        <v>0</v>
      </c>
      <c r="O437">
        <v>33.545200000000001</v>
      </c>
    </row>
    <row r="438" spans="1:15" x14ac:dyDescent="0.25">
      <c r="A438" t="s">
        <v>20</v>
      </c>
      <c r="B438" t="s">
        <v>15</v>
      </c>
      <c r="C438">
        <v>3</v>
      </c>
      <c r="D438">
        <v>100</v>
      </c>
      <c r="E438">
        <v>1600</v>
      </c>
      <c r="F438" t="str">
        <f t="shared" si="6"/>
        <v>text256_blurkernel7_3_100_1600</v>
      </c>
      <c r="G438">
        <v>0</v>
      </c>
      <c r="H438">
        <v>0</v>
      </c>
      <c r="I438">
        <v>1.4346000000000001E-4</v>
      </c>
      <c r="J438">
        <v>9.7100000000000002E-6</v>
      </c>
      <c r="K438">
        <v>26.292000000000002</v>
      </c>
      <c r="L438">
        <v>9.2123000000000008</v>
      </c>
      <c r="M438">
        <v>0</v>
      </c>
      <c r="N438">
        <v>0</v>
      </c>
      <c r="O438">
        <v>30.699000000000002</v>
      </c>
    </row>
    <row r="439" spans="1:15" x14ac:dyDescent="0.25">
      <c r="A439" t="s">
        <v>20</v>
      </c>
      <c r="B439" t="s">
        <v>15</v>
      </c>
      <c r="C439">
        <v>3</v>
      </c>
      <c r="D439">
        <v>100</v>
      </c>
      <c r="E439">
        <v>3200</v>
      </c>
      <c r="F439" t="str">
        <f t="shared" si="6"/>
        <v>text256_blurkernel7_3_100_3200</v>
      </c>
      <c r="G439">
        <v>0</v>
      </c>
      <c r="H439">
        <v>0</v>
      </c>
      <c r="I439">
        <v>2.9020499999999998E-4</v>
      </c>
      <c r="J439">
        <v>9.7100000000000002E-6</v>
      </c>
      <c r="K439">
        <v>23.212900000000001</v>
      </c>
      <c r="L439">
        <v>9.2123000000000008</v>
      </c>
      <c r="M439">
        <v>0</v>
      </c>
      <c r="N439">
        <v>0</v>
      </c>
      <c r="O439">
        <v>27.767099999999999</v>
      </c>
    </row>
    <row r="440" spans="1:15" x14ac:dyDescent="0.25">
      <c r="A440" t="s">
        <v>20</v>
      </c>
      <c r="B440" t="s">
        <v>15</v>
      </c>
      <c r="C440">
        <v>3</v>
      </c>
      <c r="D440">
        <v>100</v>
      </c>
      <c r="E440">
        <v>6400</v>
      </c>
      <c r="F440" t="str">
        <f t="shared" si="6"/>
        <v>text256_blurkernel7_3_100_6400</v>
      </c>
      <c r="G440">
        <v>0</v>
      </c>
      <c r="H440">
        <v>0</v>
      </c>
      <c r="I440">
        <v>5.8933499999999997E-4</v>
      </c>
      <c r="J440">
        <v>9.7100000000000002E-6</v>
      </c>
      <c r="K440">
        <v>20.1069</v>
      </c>
      <c r="L440">
        <v>9.2123000000000008</v>
      </c>
      <c r="M440">
        <v>0</v>
      </c>
      <c r="N440">
        <v>0</v>
      </c>
      <c r="O440">
        <v>24.803799999999999</v>
      </c>
    </row>
    <row r="441" spans="1:15" x14ac:dyDescent="0.25">
      <c r="A441" t="s">
        <v>20</v>
      </c>
      <c r="B441" t="s">
        <v>15</v>
      </c>
      <c r="C441">
        <v>3</v>
      </c>
      <c r="D441">
        <v>100</v>
      </c>
      <c r="E441">
        <v>12800</v>
      </c>
      <c r="F441" t="str">
        <f t="shared" si="6"/>
        <v>text256_blurkernel7_3_100_12800</v>
      </c>
      <c r="G441">
        <v>0</v>
      </c>
      <c r="H441">
        <v>0</v>
      </c>
      <c r="I441">
        <v>1.210198E-3</v>
      </c>
      <c r="J441">
        <v>9.7100000000000002E-6</v>
      </c>
      <c r="K441">
        <v>16.946000000000002</v>
      </c>
      <c r="L441">
        <v>9.2123000000000008</v>
      </c>
      <c r="M441">
        <v>0</v>
      </c>
      <c r="N441">
        <v>0</v>
      </c>
      <c r="O441">
        <v>21.9283</v>
      </c>
    </row>
    <row r="442" spans="1:15" x14ac:dyDescent="0.25">
      <c r="A442" t="s">
        <v>20</v>
      </c>
      <c r="B442" t="s">
        <v>15</v>
      </c>
      <c r="C442">
        <v>3</v>
      </c>
      <c r="D442">
        <v>100</v>
      </c>
      <c r="E442">
        <v>25600</v>
      </c>
      <c r="F442" t="str">
        <f t="shared" si="6"/>
        <v>text256_blurkernel7_3_100_25600</v>
      </c>
      <c r="G442">
        <v>0</v>
      </c>
      <c r="H442">
        <v>0</v>
      </c>
      <c r="I442">
        <v>2.5189520000000001E-3</v>
      </c>
      <c r="J442">
        <v>9.7100000000000002E-6</v>
      </c>
      <c r="K442">
        <v>13.739599999999999</v>
      </c>
      <c r="L442">
        <v>9.2123000000000008</v>
      </c>
      <c r="M442">
        <v>0</v>
      </c>
      <c r="N442">
        <v>0</v>
      </c>
      <c r="O442">
        <v>18.995799999999999</v>
      </c>
    </row>
    <row r="443" spans="1:15" x14ac:dyDescent="0.25">
      <c r="A443" t="s">
        <v>20</v>
      </c>
      <c r="B443" t="s">
        <v>15</v>
      </c>
      <c r="C443">
        <v>3</v>
      </c>
      <c r="D443">
        <v>100</v>
      </c>
      <c r="E443">
        <v>102400</v>
      </c>
      <c r="F443" t="str">
        <f t="shared" si="6"/>
        <v>text256_blurkernel7_3_100_102400</v>
      </c>
      <c r="G443">
        <v>0</v>
      </c>
      <c r="H443">
        <v>0</v>
      </c>
      <c r="I443">
        <v>1.3504608E-2</v>
      </c>
      <c r="J443">
        <v>9.7589999999999992E-6</v>
      </c>
      <c r="K443">
        <v>6.6919000000000004</v>
      </c>
      <c r="L443">
        <v>9.2129999999999992</v>
      </c>
      <c r="M443">
        <v>0</v>
      </c>
      <c r="N443">
        <v>0</v>
      </c>
      <c r="O443">
        <v>12.110799999999999</v>
      </c>
    </row>
    <row r="444" spans="1:15" x14ac:dyDescent="0.25">
      <c r="A444" t="s">
        <v>20</v>
      </c>
      <c r="B444" t="s">
        <v>15</v>
      </c>
      <c r="C444">
        <v>7</v>
      </c>
      <c r="D444">
        <v>100</v>
      </c>
      <c r="E444">
        <v>100</v>
      </c>
      <c r="F444" t="str">
        <f t="shared" si="6"/>
        <v>text256_blurkernel7_7_100_100</v>
      </c>
      <c r="G444">
        <v>0</v>
      </c>
      <c r="H444">
        <v>0</v>
      </c>
      <c r="I444">
        <v>7.6109999999999996E-6</v>
      </c>
      <c r="J444">
        <v>1.1718E-5</v>
      </c>
      <c r="K444">
        <v>39.089500000000001</v>
      </c>
      <c r="L444">
        <v>3.1006</v>
      </c>
      <c r="M444">
        <v>0</v>
      </c>
      <c r="N444">
        <v>0</v>
      </c>
      <c r="O444">
        <v>43.188299999999998</v>
      </c>
    </row>
    <row r="445" spans="1:15" x14ac:dyDescent="0.25">
      <c r="A445" t="s">
        <v>20</v>
      </c>
      <c r="B445" t="s">
        <v>15</v>
      </c>
      <c r="C445">
        <v>7</v>
      </c>
      <c r="D445">
        <v>100</v>
      </c>
      <c r="E445">
        <v>200</v>
      </c>
      <c r="F445" t="str">
        <f t="shared" si="6"/>
        <v>text256_blurkernel7_7_100_200</v>
      </c>
      <c r="G445">
        <v>0</v>
      </c>
      <c r="H445">
        <v>0</v>
      </c>
      <c r="I445">
        <v>1.6654E-5</v>
      </c>
      <c r="J445">
        <v>1.1739999999999999E-5</v>
      </c>
      <c r="K445">
        <v>35.6813</v>
      </c>
      <c r="L445">
        <v>3.1013000000000002</v>
      </c>
      <c r="M445">
        <v>0</v>
      </c>
      <c r="N445">
        <v>0</v>
      </c>
      <c r="O445">
        <v>39.770299999999999</v>
      </c>
    </row>
    <row r="446" spans="1:15" x14ac:dyDescent="0.25">
      <c r="A446" t="s">
        <v>20</v>
      </c>
      <c r="B446" t="s">
        <v>15</v>
      </c>
      <c r="C446">
        <v>7</v>
      </c>
      <c r="D446">
        <v>100</v>
      </c>
      <c r="E446">
        <v>400</v>
      </c>
      <c r="F446" t="str">
        <f t="shared" si="6"/>
        <v>text256_blurkernel7_7_100_400</v>
      </c>
      <c r="G446">
        <v>0</v>
      </c>
      <c r="H446">
        <v>0</v>
      </c>
      <c r="I446">
        <v>3.5036999999999997E-5</v>
      </c>
      <c r="J446">
        <v>1.1739999999999999E-5</v>
      </c>
      <c r="K446">
        <v>32.443199999999997</v>
      </c>
      <c r="L446">
        <v>3.1013000000000002</v>
      </c>
      <c r="M446">
        <v>0</v>
      </c>
      <c r="N446">
        <v>0</v>
      </c>
      <c r="O446">
        <v>36.5702</v>
      </c>
    </row>
    <row r="447" spans="1:15" x14ac:dyDescent="0.25">
      <c r="A447" t="s">
        <v>20</v>
      </c>
      <c r="B447" t="s">
        <v>15</v>
      </c>
      <c r="C447">
        <v>7</v>
      </c>
      <c r="D447">
        <v>100</v>
      </c>
      <c r="E447">
        <v>800</v>
      </c>
      <c r="F447" t="str">
        <f t="shared" si="6"/>
        <v>text256_blurkernel7_7_100_800</v>
      </c>
      <c r="G447">
        <v>0</v>
      </c>
      <c r="H447">
        <v>0</v>
      </c>
      <c r="I447">
        <v>7.2033000000000006E-5</v>
      </c>
      <c r="J447">
        <v>1.1739999999999999E-5</v>
      </c>
      <c r="K447">
        <v>29.303899999999999</v>
      </c>
      <c r="L447">
        <v>3.1013000000000002</v>
      </c>
      <c r="M447">
        <v>0</v>
      </c>
      <c r="N447">
        <v>0</v>
      </c>
      <c r="O447">
        <v>33.571199999999997</v>
      </c>
    </row>
    <row r="448" spans="1:15" x14ac:dyDescent="0.25">
      <c r="A448" t="s">
        <v>20</v>
      </c>
      <c r="B448" t="s">
        <v>15</v>
      </c>
      <c r="C448">
        <v>7</v>
      </c>
      <c r="D448">
        <v>100</v>
      </c>
      <c r="E448">
        <v>1600</v>
      </c>
      <c r="F448" t="str">
        <f t="shared" si="6"/>
        <v>text256_blurkernel7_7_100_1600</v>
      </c>
      <c r="G448">
        <v>0</v>
      </c>
      <c r="H448">
        <v>0</v>
      </c>
      <c r="I448">
        <v>1.43774E-4</v>
      </c>
      <c r="J448">
        <v>1.1739999999999999E-5</v>
      </c>
      <c r="K448">
        <v>26.287500000000001</v>
      </c>
      <c r="L448">
        <v>3.1013000000000002</v>
      </c>
      <c r="M448">
        <v>0</v>
      </c>
      <c r="N448">
        <v>0</v>
      </c>
      <c r="O448">
        <v>30.7303</v>
      </c>
    </row>
    <row r="449" spans="1:15" x14ac:dyDescent="0.25">
      <c r="A449" t="s">
        <v>20</v>
      </c>
      <c r="B449" t="s">
        <v>15</v>
      </c>
      <c r="C449">
        <v>7</v>
      </c>
      <c r="D449">
        <v>100</v>
      </c>
      <c r="E449">
        <v>3200</v>
      </c>
      <c r="F449" t="str">
        <f t="shared" si="6"/>
        <v>text256_blurkernel7_7_100_3200</v>
      </c>
      <c r="G449">
        <v>0</v>
      </c>
      <c r="H449">
        <v>0</v>
      </c>
      <c r="I449">
        <v>2.9110600000000001E-4</v>
      </c>
      <c r="J449">
        <v>1.1739999999999999E-5</v>
      </c>
      <c r="K449">
        <v>23.200099999999999</v>
      </c>
      <c r="L449">
        <v>3.1013000000000002</v>
      </c>
      <c r="M449">
        <v>0</v>
      </c>
      <c r="N449">
        <v>0</v>
      </c>
      <c r="O449">
        <v>27.792200000000001</v>
      </c>
    </row>
    <row r="450" spans="1:15" x14ac:dyDescent="0.25">
      <c r="A450" t="s">
        <v>20</v>
      </c>
      <c r="B450" t="s">
        <v>15</v>
      </c>
      <c r="C450">
        <v>7</v>
      </c>
      <c r="D450">
        <v>100</v>
      </c>
      <c r="E450">
        <v>6400</v>
      </c>
      <c r="F450" t="str">
        <f t="shared" ref="F450:F513" si="7">A450&amp;"_"&amp;B450&amp;"_"&amp;C450&amp;"_"&amp;D450&amp;"_"&amp;E450</f>
        <v>text256_blurkernel7_7_100_6400</v>
      </c>
      <c r="G450">
        <v>0</v>
      </c>
      <c r="H450">
        <v>0</v>
      </c>
      <c r="I450">
        <v>5.9167400000000004E-4</v>
      </c>
      <c r="J450">
        <v>1.1739999999999999E-5</v>
      </c>
      <c r="K450">
        <v>20.089099999999998</v>
      </c>
      <c r="L450">
        <v>3.1013000000000002</v>
      </c>
      <c r="M450">
        <v>0</v>
      </c>
      <c r="N450">
        <v>0</v>
      </c>
      <c r="O450">
        <v>24.902100000000001</v>
      </c>
    </row>
    <row r="451" spans="1:15" x14ac:dyDescent="0.25">
      <c r="A451" t="s">
        <v>20</v>
      </c>
      <c r="B451" t="s">
        <v>15</v>
      </c>
      <c r="C451">
        <v>7</v>
      </c>
      <c r="D451">
        <v>100</v>
      </c>
      <c r="E451">
        <v>12800</v>
      </c>
      <c r="F451" t="str">
        <f t="shared" si="7"/>
        <v>text256_blurkernel7_7_100_12800</v>
      </c>
      <c r="G451">
        <v>0</v>
      </c>
      <c r="H451">
        <v>0</v>
      </c>
      <c r="I451">
        <v>1.202732E-3</v>
      </c>
      <c r="J451">
        <v>1.1739999999999999E-5</v>
      </c>
      <c r="K451">
        <v>16.974299999999999</v>
      </c>
      <c r="L451">
        <v>3.1013000000000002</v>
      </c>
      <c r="M451">
        <v>0</v>
      </c>
      <c r="N451">
        <v>0</v>
      </c>
      <c r="O451">
        <v>21.948</v>
      </c>
    </row>
    <row r="452" spans="1:15" x14ac:dyDescent="0.25">
      <c r="A452" t="s">
        <v>20</v>
      </c>
      <c r="B452" t="s">
        <v>15</v>
      </c>
      <c r="C452">
        <v>7</v>
      </c>
      <c r="D452">
        <v>100</v>
      </c>
      <c r="E452">
        <v>25600</v>
      </c>
      <c r="F452" t="str">
        <f t="shared" si="7"/>
        <v>text256_blurkernel7_7_100_25600</v>
      </c>
      <c r="G452">
        <v>0</v>
      </c>
      <c r="H452">
        <v>0</v>
      </c>
      <c r="I452">
        <v>2.544611E-3</v>
      </c>
      <c r="J452">
        <v>1.1739999999999999E-5</v>
      </c>
      <c r="K452">
        <v>13.696300000000001</v>
      </c>
      <c r="L452">
        <v>3.1013000000000002</v>
      </c>
      <c r="M452">
        <v>0</v>
      </c>
      <c r="N452">
        <v>0</v>
      </c>
      <c r="O452">
        <v>18.963999999999999</v>
      </c>
    </row>
    <row r="453" spans="1:15" x14ac:dyDescent="0.25">
      <c r="A453" t="s">
        <v>20</v>
      </c>
      <c r="B453" t="s">
        <v>15</v>
      </c>
      <c r="C453">
        <v>7</v>
      </c>
      <c r="D453">
        <v>100</v>
      </c>
      <c r="E453">
        <v>102400</v>
      </c>
      <c r="F453" t="str">
        <f t="shared" si="7"/>
        <v>text256_blurkernel7_7_100_102400</v>
      </c>
      <c r="G453">
        <v>0</v>
      </c>
      <c r="H453">
        <v>0</v>
      </c>
      <c r="I453">
        <v>1.3610898E-2</v>
      </c>
      <c r="J453">
        <v>1.166E-5</v>
      </c>
      <c r="K453">
        <v>6.6691000000000003</v>
      </c>
      <c r="L453">
        <v>3.1004999999999998</v>
      </c>
      <c r="M453">
        <v>0</v>
      </c>
      <c r="N453">
        <v>0</v>
      </c>
      <c r="O453">
        <v>12.173999999999999</v>
      </c>
    </row>
    <row r="454" spans="1:15" x14ac:dyDescent="0.25">
      <c r="A454" t="s">
        <v>20</v>
      </c>
      <c r="B454" t="s">
        <v>15</v>
      </c>
      <c r="C454">
        <v>15</v>
      </c>
      <c r="D454">
        <v>100</v>
      </c>
      <c r="E454">
        <v>100</v>
      </c>
      <c r="F454" t="str">
        <f t="shared" si="7"/>
        <v>text256_blurkernel7_15_100_100</v>
      </c>
      <c r="G454">
        <v>0</v>
      </c>
      <c r="H454">
        <v>0</v>
      </c>
      <c r="I454">
        <v>7.605E-6</v>
      </c>
      <c r="J454">
        <v>1.428E-5</v>
      </c>
      <c r="K454">
        <v>39.090699999999998</v>
      </c>
      <c r="L454">
        <v>1.5181</v>
      </c>
      <c r="M454">
        <v>0</v>
      </c>
      <c r="N454">
        <v>0</v>
      </c>
      <c r="O454">
        <v>43.1691</v>
      </c>
    </row>
    <row r="455" spans="1:15" x14ac:dyDescent="0.25">
      <c r="A455" t="s">
        <v>20</v>
      </c>
      <c r="B455" t="s">
        <v>15</v>
      </c>
      <c r="C455">
        <v>15</v>
      </c>
      <c r="D455">
        <v>100</v>
      </c>
      <c r="E455">
        <v>200</v>
      </c>
      <c r="F455" t="str">
        <f t="shared" si="7"/>
        <v>text256_blurkernel7_15_100_200</v>
      </c>
      <c r="G455">
        <v>0</v>
      </c>
      <c r="H455">
        <v>0</v>
      </c>
      <c r="I455">
        <v>1.6364000000000001E-5</v>
      </c>
      <c r="J455">
        <v>1.4232E-5</v>
      </c>
      <c r="K455">
        <v>35.758299999999998</v>
      </c>
      <c r="L455">
        <v>1.5173000000000001</v>
      </c>
      <c r="M455">
        <v>0</v>
      </c>
      <c r="N455">
        <v>0</v>
      </c>
      <c r="O455">
        <v>39.8964</v>
      </c>
    </row>
    <row r="456" spans="1:15" x14ac:dyDescent="0.25">
      <c r="A456" t="s">
        <v>20</v>
      </c>
      <c r="B456" t="s">
        <v>15</v>
      </c>
      <c r="C456">
        <v>15</v>
      </c>
      <c r="D456">
        <v>100</v>
      </c>
      <c r="E456">
        <v>400</v>
      </c>
      <c r="F456" t="str">
        <f t="shared" si="7"/>
        <v>text256_blurkernel7_15_100_400</v>
      </c>
      <c r="G456">
        <v>0</v>
      </c>
      <c r="H456">
        <v>0</v>
      </c>
      <c r="I456">
        <v>3.4647999999999998E-5</v>
      </c>
      <c r="J456">
        <v>1.4232E-5</v>
      </c>
      <c r="K456">
        <v>32.496899999999997</v>
      </c>
      <c r="L456">
        <v>1.5173000000000001</v>
      </c>
      <c r="M456">
        <v>0</v>
      </c>
      <c r="N456">
        <v>0</v>
      </c>
      <c r="O456">
        <v>36.665700000000001</v>
      </c>
    </row>
    <row r="457" spans="1:15" x14ac:dyDescent="0.25">
      <c r="A457" t="s">
        <v>20</v>
      </c>
      <c r="B457" t="s">
        <v>15</v>
      </c>
      <c r="C457">
        <v>15</v>
      </c>
      <c r="D457">
        <v>100</v>
      </c>
      <c r="E457">
        <v>800</v>
      </c>
      <c r="F457" t="str">
        <f t="shared" si="7"/>
        <v>text256_blurkernel7_15_100_800</v>
      </c>
      <c r="G457">
        <v>0</v>
      </c>
      <c r="H457">
        <v>0</v>
      </c>
      <c r="I457">
        <v>7.0967E-5</v>
      </c>
      <c r="J457">
        <v>1.4232E-5</v>
      </c>
      <c r="K457">
        <v>29.3688</v>
      </c>
      <c r="L457">
        <v>1.5173000000000001</v>
      </c>
      <c r="M457">
        <v>0</v>
      </c>
      <c r="N457">
        <v>0</v>
      </c>
      <c r="O457">
        <v>33.6006</v>
      </c>
    </row>
    <row r="458" spans="1:15" x14ac:dyDescent="0.25">
      <c r="A458" t="s">
        <v>20</v>
      </c>
      <c r="B458" t="s">
        <v>15</v>
      </c>
      <c r="C458">
        <v>15</v>
      </c>
      <c r="D458">
        <v>100</v>
      </c>
      <c r="E458">
        <v>1600</v>
      </c>
      <c r="F458" t="str">
        <f t="shared" si="7"/>
        <v>text256_blurkernel7_15_100_1600</v>
      </c>
      <c r="G458">
        <v>0</v>
      </c>
      <c r="H458">
        <v>0</v>
      </c>
      <c r="I458">
        <v>1.45322E-4</v>
      </c>
      <c r="J458">
        <v>1.4232E-5</v>
      </c>
      <c r="K458">
        <v>26.237200000000001</v>
      </c>
      <c r="L458">
        <v>1.5173000000000001</v>
      </c>
      <c r="M458">
        <v>0</v>
      </c>
      <c r="N458">
        <v>0</v>
      </c>
      <c r="O458">
        <v>30.6769</v>
      </c>
    </row>
    <row r="459" spans="1:15" x14ac:dyDescent="0.25">
      <c r="A459" t="s">
        <v>20</v>
      </c>
      <c r="B459" t="s">
        <v>15</v>
      </c>
      <c r="C459">
        <v>15</v>
      </c>
      <c r="D459">
        <v>100</v>
      </c>
      <c r="E459">
        <v>3200</v>
      </c>
      <c r="F459" t="str">
        <f t="shared" si="7"/>
        <v>text256_blurkernel7_15_100_3200</v>
      </c>
      <c r="G459">
        <v>0</v>
      </c>
      <c r="H459">
        <v>0</v>
      </c>
      <c r="I459">
        <v>2.8855299999999999E-4</v>
      </c>
      <c r="J459">
        <v>1.4232E-5</v>
      </c>
      <c r="K459">
        <v>23.234000000000002</v>
      </c>
      <c r="L459">
        <v>1.5173000000000001</v>
      </c>
      <c r="M459">
        <v>0</v>
      </c>
      <c r="N459">
        <v>0</v>
      </c>
      <c r="O459">
        <v>27.816099999999999</v>
      </c>
    </row>
    <row r="460" spans="1:15" x14ac:dyDescent="0.25">
      <c r="A460" t="s">
        <v>20</v>
      </c>
      <c r="B460" t="s">
        <v>15</v>
      </c>
      <c r="C460">
        <v>15</v>
      </c>
      <c r="D460">
        <v>100</v>
      </c>
      <c r="E460">
        <v>6400</v>
      </c>
      <c r="F460" t="str">
        <f t="shared" si="7"/>
        <v>text256_blurkernel7_15_100_6400</v>
      </c>
      <c r="G460">
        <v>0</v>
      </c>
      <c r="H460">
        <v>0</v>
      </c>
      <c r="I460">
        <v>5.8540000000000003E-4</v>
      </c>
      <c r="J460">
        <v>1.4232E-5</v>
      </c>
      <c r="K460">
        <v>20.133600000000001</v>
      </c>
      <c r="L460">
        <v>1.5173000000000001</v>
      </c>
      <c r="M460">
        <v>0</v>
      </c>
      <c r="N460">
        <v>0</v>
      </c>
      <c r="O460">
        <v>24.8367</v>
      </c>
    </row>
    <row r="461" spans="1:15" x14ac:dyDescent="0.25">
      <c r="A461" t="s">
        <v>20</v>
      </c>
      <c r="B461" t="s">
        <v>15</v>
      </c>
      <c r="C461">
        <v>15</v>
      </c>
      <c r="D461">
        <v>100</v>
      </c>
      <c r="E461">
        <v>12800</v>
      </c>
      <c r="F461" t="str">
        <f t="shared" si="7"/>
        <v>text256_blurkernel7_15_100_12800</v>
      </c>
      <c r="G461">
        <v>0</v>
      </c>
      <c r="H461">
        <v>0</v>
      </c>
      <c r="I461">
        <v>1.196716E-3</v>
      </c>
      <c r="J461">
        <v>1.4232E-5</v>
      </c>
      <c r="K461">
        <v>16.995100000000001</v>
      </c>
      <c r="L461">
        <v>1.5173000000000001</v>
      </c>
      <c r="M461">
        <v>0</v>
      </c>
      <c r="N461">
        <v>0</v>
      </c>
      <c r="O461">
        <v>22.011099999999999</v>
      </c>
    </row>
    <row r="462" spans="1:15" x14ac:dyDescent="0.25">
      <c r="A462" t="s">
        <v>20</v>
      </c>
      <c r="B462" t="s">
        <v>15</v>
      </c>
      <c r="C462">
        <v>15</v>
      </c>
      <c r="D462">
        <v>100</v>
      </c>
      <c r="E462">
        <v>25600</v>
      </c>
      <c r="F462" t="str">
        <f t="shared" si="7"/>
        <v>text256_blurkernel7_15_100_25600</v>
      </c>
      <c r="G462">
        <v>0</v>
      </c>
      <c r="H462">
        <v>0</v>
      </c>
      <c r="I462">
        <v>2.5532279999999998E-3</v>
      </c>
      <c r="J462">
        <v>1.4232E-5</v>
      </c>
      <c r="K462">
        <v>13.681100000000001</v>
      </c>
      <c r="L462">
        <v>1.5173000000000001</v>
      </c>
      <c r="M462">
        <v>0</v>
      </c>
      <c r="N462">
        <v>0</v>
      </c>
      <c r="O462">
        <v>18.930900000000001</v>
      </c>
    </row>
    <row r="463" spans="1:15" x14ac:dyDescent="0.25">
      <c r="A463" t="s">
        <v>20</v>
      </c>
      <c r="B463" t="s">
        <v>15</v>
      </c>
      <c r="C463">
        <v>15</v>
      </c>
      <c r="D463">
        <v>100</v>
      </c>
      <c r="E463">
        <v>102400</v>
      </c>
      <c r="F463" t="str">
        <f t="shared" si="7"/>
        <v>text256_blurkernel7_15_100_102400</v>
      </c>
      <c r="G463">
        <v>0</v>
      </c>
      <c r="H463">
        <v>0</v>
      </c>
      <c r="I463">
        <v>1.3369315E-2</v>
      </c>
      <c r="J463">
        <v>1.4270000000000001E-5</v>
      </c>
      <c r="K463">
        <v>6.7306999999999997</v>
      </c>
      <c r="L463">
        <v>1.5172000000000001</v>
      </c>
      <c r="M463">
        <v>0</v>
      </c>
      <c r="N463">
        <v>0</v>
      </c>
      <c r="O463">
        <v>12.1235</v>
      </c>
    </row>
    <row r="464" spans="1:15" x14ac:dyDescent="0.25">
      <c r="A464" t="s">
        <v>20</v>
      </c>
      <c r="B464" t="s">
        <v>15</v>
      </c>
      <c r="C464">
        <v>31</v>
      </c>
      <c r="D464">
        <v>100</v>
      </c>
      <c r="E464">
        <v>100</v>
      </c>
      <c r="F464" t="str">
        <f t="shared" si="7"/>
        <v>text256_blurkernel7_31_100_100</v>
      </c>
      <c r="G464">
        <v>0</v>
      </c>
      <c r="H464">
        <v>0</v>
      </c>
      <c r="I464">
        <v>7.5979999999999999E-6</v>
      </c>
      <c r="J464">
        <v>1.6164E-5</v>
      </c>
      <c r="K464">
        <v>39.101700000000001</v>
      </c>
      <c r="L464">
        <v>0.78469999999999995</v>
      </c>
      <c r="M464">
        <v>0</v>
      </c>
      <c r="N464">
        <v>0</v>
      </c>
      <c r="O464">
        <v>43.172899999999998</v>
      </c>
    </row>
    <row r="465" spans="1:15" x14ac:dyDescent="0.25">
      <c r="A465" t="s">
        <v>20</v>
      </c>
      <c r="B465" t="s">
        <v>15</v>
      </c>
      <c r="C465">
        <v>31</v>
      </c>
      <c r="D465">
        <v>100</v>
      </c>
      <c r="E465">
        <v>200</v>
      </c>
      <c r="F465" t="str">
        <f t="shared" si="7"/>
        <v>text256_blurkernel7_31_100_200</v>
      </c>
      <c r="G465">
        <v>0</v>
      </c>
      <c r="H465">
        <v>0</v>
      </c>
      <c r="I465">
        <v>1.6759999999999999E-5</v>
      </c>
      <c r="J465">
        <v>1.6235E-5</v>
      </c>
      <c r="K465">
        <v>35.656199999999998</v>
      </c>
      <c r="L465">
        <v>0.78569999999999995</v>
      </c>
      <c r="M465">
        <v>0</v>
      </c>
      <c r="N465">
        <v>0</v>
      </c>
      <c r="O465">
        <v>39.758499999999998</v>
      </c>
    </row>
    <row r="466" spans="1:15" x14ac:dyDescent="0.25">
      <c r="A466" t="s">
        <v>20</v>
      </c>
      <c r="B466" t="s">
        <v>15</v>
      </c>
      <c r="C466">
        <v>31</v>
      </c>
      <c r="D466">
        <v>100</v>
      </c>
      <c r="E466">
        <v>400</v>
      </c>
      <c r="F466" t="str">
        <f t="shared" si="7"/>
        <v>text256_blurkernel7_31_100_400</v>
      </c>
      <c r="G466">
        <v>0</v>
      </c>
      <c r="H466">
        <v>0</v>
      </c>
      <c r="I466">
        <v>3.4567000000000003E-5</v>
      </c>
      <c r="J466">
        <v>1.6235E-5</v>
      </c>
      <c r="K466">
        <v>32.512</v>
      </c>
      <c r="L466">
        <v>0.78569999999999995</v>
      </c>
      <c r="M466">
        <v>0</v>
      </c>
      <c r="N466">
        <v>0</v>
      </c>
      <c r="O466">
        <v>36.681800000000003</v>
      </c>
    </row>
    <row r="467" spans="1:15" x14ac:dyDescent="0.25">
      <c r="A467" t="s">
        <v>20</v>
      </c>
      <c r="B467" t="s">
        <v>15</v>
      </c>
      <c r="C467">
        <v>31</v>
      </c>
      <c r="D467">
        <v>100</v>
      </c>
      <c r="E467">
        <v>800</v>
      </c>
      <c r="F467" t="str">
        <f t="shared" si="7"/>
        <v>text256_blurkernel7_31_100_800</v>
      </c>
      <c r="G467">
        <v>0</v>
      </c>
      <c r="H467">
        <v>0</v>
      </c>
      <c r="I467">
        <v>7.0653000000000003E-5</v>
      </c>
      <c r="J467">
        <v>1.6235E-5</v>
      </c>
      <c r="K467">
        <v>29.387599999999999</v>
      </c>
      <c r="L467">
        <v>0.78569999999999995</v>
      </c>
      <c r="M467">
        <v>0</v>
      </c>
      <c r="N467">
        <v>0</v>
      </c>
      <c r="O467">
        <v>33.657299999999999</v>
      </c>
    </row>
    <row r="468" spans="1:15" x14ac:dyDescent="0.25">
      <c r="A468" t="s">
        <v>20</v>
      </c>
      <c r="B468" t="s">
        <v>15</v>
      </c>
      <c r="C468">
        <v>31</v>
      </c>
      <c r="D468">
        <v>100</v>
      </c>
      <c r="E468">
        <v>1600</v>
      </c>
      <c r="F468" t="str">
        <f t="shared" si="7"/>
        <v>text256_blurkernel7_31_100_1600</v>
      </c>
      <c r="G468">
        <v>0</v>
      </c>
      <c r="H468">
        <v>0</v>
      </c>
      <c r="I468">
        <v>1.4426700000000001E-4</v>
      </c>
      <c r="J468">
        <v>1.6235E-5</v>
      </c>
      <c r="K468">
        <v>26.2698</v>
      </c>
      <c r="L468">
        <v>0.78569999999999995</v>
      </c>
      <c r="M468">
        <v>0</v>
      </c>
      <c r="N468">
        <v>0</v>
      </c>
      <c r="O468">
        <v>30.707799999999999</v>
      </c>
    </row>
    <row r="469" spans="1:15" x14ac:dyDescent="0.25">
      <c r="A469" t="s">
        <v>20</v>
      </c>
      <c r="B469" t="s">
        <v>15</v>
      </c>
      <c r="C469">
        <v>31</v>
      </c>
      <c r="D469">
        <v>100</v>
      </c>
      <c r="E469">
        <v>3200</v>
      </c>
      <c r="F469" t="str">
        <f t="shared" si="7"/>
        <v>text256_blurkernel7_31_100_3200</v>
      </c>
      <c r="G469">
        <v>0</v>
      </c>
      <c r="H469">
        <v>0</v>
      </c>
      <c r="I469">
        <v>2.9324E-4</v>
      </c>
      <c r="J469">
        <v>1.6235E-5</v>
      </c>
      <c r="K469">
        <v>23.162700000000001</v>
      </c>
      <c r="L469">
        <v>0.78569999999999995</v>
      </c>
      <c r="M469">
        <v>0</v>
      </c>
      <c r="N469">
        <v>0</v>
      </c>
      <c r="O469">
        <v>27.724499999999999</v>
      </c>
    </row>
    <row r="470" spans="1:15" x14ac:dyDescent="0.25">
      <c r="A470" t="s">
        <v>20</v>
      </c>
      <c r="B470" t="s">
        <v>15</v>
      </c>
      <c r="C470">
        <v>31</v>
      </c>
      <c r="D470">
        <v>100</v>
      </c>
      <c r="E470">
        <v>6400</v>
      </c>
      <c r="F470" t="str">
        <f t="shared" si="7"/>
        <v>text256_blurkernel7_31_100_6400</v>
      </c>
      <c r="G470">
        <v>0</v>
      </c>
      <c r="H470">
        <v>0</v>
      </c>
      <c r="I470">
        <v>5.9377699999999998E-4</v>
      </c>
      <c r="J470">
        <v>1.6235E-5</v>
      </c>
      <c r="K470">
        <v>20.070900000000002</v>
      </c>
      <c r="L470">
        <v>0.78569999999999995</v>
      </c>
      <c r="M470">
        <v>0</v>
      </c>
      <c r="N470">
        <v>0</v>
      </c>
      <c r="O470">
        <v>24.816600000000001</v>
      </c>
    </row>
    <row r="471" spans="1:15" x14ac:dyDescent="0.25">
      <c r="A471" t="s">
        <v>20</v>
      </c>
      <c r="B471" t="s">
        <v>15</v>
      </c>
      <c r="C471">
        <v>31</v>
      </c>
      <c r="D471">
        <v>100</v>
      </c>
      <c r="E471">
        <v>12800</v>
      </c>
      <c r="F471" t="str">
        <f t="shared" si="7"/>
        <v>text256_blurkernel7_31_100_12800</v>
      </c>
      <c r="G471">
        <v>0</v>
      </c>
      <c r="H471">
        <v>0</v>
      </c>
      <c r="I471">
        <v>1.2103229999999999E-3</v>
      </c>
      <c r="J471">
        <v>1.6235E-5</v>
      </c>
      <c r="K471">
        <v>16.945599999999999</v>
      </c>
      <c r="L471">
        <v>0.78569999999999995</v>
      </c>
      <c r="M471">
        <v>0</v>
      </c>
      <c r="N471">
        <v>0</v>
      </c>
      <c r="O471">
        <v>21.990600000000001</v>
      </c>
    </row>
    <row r="472" spans="1:15" x14ac:dyDescent="0.25">
      <c r="A472" t="s">
        <v>20</v>
      </c>
      <c r="B472" t="s">
        <v>15</v>
      </c>
      <c r="C472">
        <v>31</v>
      </c>
      <c r="D472">
        <v>100</v>
      </c>
      <c r="E472">
        <v>25600</v>
      </c>
      <c r="F472" t="str">
        <f t="shared" si="7"/>
        <v>text256_blurkernel7_31_100_25600</v>
      </c>
      <c r="G472">
        <v>0</v>
      </c>
      <c r="H472">
        <v>0</v>
      </c>
      <c r="I472">
        <v>2.5613939999999998E-3</v>
      </c>
      <c r="J472">
        <v>1.6235E-5</v>
      </c>
      <c r="K472">
        <v>13.6663</v>
      </c>
      <c r="L472">
        <v>0.78569999999999995</v>
      </c>
      <c r="M472">
        <v>0</v>
      </c>
      <c r="N472">
        <v>0</v>
      </c>
      <c r="O472">
        <v>18.9314</v>
      </c>
    </row>
    <row r="473" spans="1:15" x14ac:dyDescent="0.25">
      <c r="A473" t="s">
        <v>20</v>
      </c>
      <c r="B473" t="s">
        <v>15</v>
      </c>
      <c r="C473">
        <v>31</v>
      </c>
      <c r="D473">
        <v>100</v>
      </c>
      <c r="E473">
        <v>102400</v>
      </c>
      <c r="F473" t="str">
        <f t="shared" si="7"/>
        <v>text256_blurkernel7_31_100_102400</v>
      </c>
      <c r="G473">
        <v>0</v>
      </c>
      <c r="H473">
        <v>0</v>
      </c>
      <c r="I473">
        <v>1.3302189000000001E-2</v>
      </c>
      <c r="J473">
        <v>1.6073999999999999E-5</v>
      </c>
      <c r="K473">
        <v>6.7576000000000001</v>
      </c>
      <c r="L473">
        <v>0.78320000000000001</v>
      </c>
      <c r="M473">
        <v>0</v>
      </c>
      <c r="N473">
        <v>0</v>
      </c>
      <c r="O473">
        <v>12.2254</v>
      </c>
    </row>
    <row r="474" spans="1:15" x14ac:dyDescent="0.25">
      <c r="A474" t="s">
        <v>20</v>
      </c>
      <c r="B474" t="s">
        <v>15</v>
      </c>
      <c r="C474">
        <v>63</v>
      </c>
      <c r="D474">
        <v>100</v>
      </c>
      <c r="E474">
        <v>200</v>
      </c>
      <c r="F474" t="str">
        <f t="shared" si="7"/>
        <v>text256_blurkernel7_63_100_200</v>
      </c>
      <c r="G474">
        <v>0</v>
      </c>
      <c r="H474">
        <v>0</v>
      </c>
      <c r="I474">
        <v>1.6759E-5</v>
      </c>
      <c r="J474">
        <v>1.7382000000000001E-5</v>
      </c>
      <c r="K474">
        <v>35.661700000000003</v>
      </c>
      <c r="L474">
        <v>0.19350000000000001</v>
      </c>
      <c r="M474">
        <v>0</v>
      </c>
      <c r="N474">
        <v>0</v>
      </c>
      <c r="O474">
        <v>39.799999999999997</v>
      </c>
    </row>
    <row r="475" spans="1:15" x14ac:dyDescent="0.25">
      <c r="A475" t="s">
        <v>20</v>
      </c>
      <c r="B475" t="s">
        <v>15</v>
      </c>
      <c r="C475">
        <v>63</v>
      </c>
      <c r="D475">
        <v>100</v>
      </c>
      <c r="E475">
        <v>400</v>
      </c>
      <c r="F475" t="str">
        <f t="shared" si="7"/>
        <v>text256_blurkernel7_63_100_400</v>
      </c>
      <c r="G475">
        <v>0</v>
      </c>
      <c r="H475">
        <v>0</v>
      </c>
      <c r="I475">
        <v>3.5009999999999999E-5</v>
      </c>
      <c r="J475">
        <v>1.7382000000000001E-5</v>
      </c>
      <c r="K475">
        <v>32.450400000000002</v>
      </c>
      <c r="L475">
        <v>0.19350000000000001</v>
      </c>
      <c r="M475">
        <v>0</v>
      </c>
      <c r="N475">
        <v>0</v>
      </c>
      <c r="O475">
        <v>36.677599999999998</v>
      </c>
    </row>
    <row r="476" spans="1:15" x14ac:dyDescent="0.25">
      <c r="A476" t="s">
        <v>20</v>
      </c>
      <c r="B476" t="s">
        <v>15</v>
      </c>
      <c r="C476">
        <v>63</v>
      </c>
      <c r="D476">
        <v>100</v>
      </c>
      <c r="E476">
        <v>800</v>
      </c>
      <c r="F476" t="str">
        <f t="shared" si="7"/>
        <v>text256_blurkernel7_63_100_800</v>
      </c>
      <c r="G476">
        <v>0</v>
      </c>
      <c r="H476">
        <v>0</v>
      </c>
      <c r="I476">
        <v>7.0988000000000005E-5</v>
      </c>
      <c r="J476">
        <v>1.7382000000000001E-5</v>
      </c>
      <c r="K476">
        <v>29.365200000000002</v>
      </c>
      <c r="L476">
        <v>0.19350000000000001</v>
      </c>
      <c r="M476">
        <v>0</v>
      </c>
      <c r="N476">
        <v>0</v>
      </c>
      <c r="O476">
        <v>33.677599999999998</v>
      </c>
    </row>
    <row r="477" spans="1:15" x14ac:dyDescent="0.25">
      <c r="A477" t="s">
        <v>20</v>
      </c>
      <c r="B477" t="s">
        <v>15</v>
      </c>
      <c r="C477">
        <v>63</v>
      </c>
      <c r="D477">
        <v>100</v>
      </c>
      <c r="E477">
        <v>1600</v>
      </c>
      <c r="F477" t="str">
        <f t="shared" si="7"/>
        <v>text256_blurkernel7_63_100_1600</v>
      </c>
      <c r="G477">
        <v>0</v>
      </c>
      <c r="H477">
        <v>0</v>
      </c>
      <c r="I477">
        <v>1.4257199999999999E-4</v>
      </c>
      <c r="J477">
        <v>1.7382000000000001E-5</v>
      </c>
      <c r="K477">
        <v>26.3186</v>
      </c>
      <c r="L477">
        <v>0.19350000000000001</v>
      </c>
      <c r="M477">
        <v>0</v>
      </c>
      <c r="N477">
        <v>0</v>
      </c>
      <c r="O477">
        <v>30.696200000000001</v>
      </c>
    </row>
    <row r="478" spans="1:15" x14ac:dyDescent="0.25">
      <c r="A478" t="s">
        <v>20</v>
      </c>
      <c r="B478" t="s">
        <v>15</v>
      </c>
      <c r="C478">
        <v>63</v>
      </c>
      <c r="D478">
        <v>100</v>
      </c>
      <c r="E478">
        <v>3200</v>
      </c>
      <c r="F478" t="str">
        <f t="shared" si="7"/>
        <v>text256_blurkernel7_63_100_3200</v>
      </c>
      <c r="G478">
        <v>0</v>
      </c>
      <c r="H478">
        <v>0</v>
      </c>
      <c r="I478">
        <v>2.87514E-4</v>
      </c>
      <c r="J478">
        <v>1.7382000000000001E-5</v>
      </c>
      <c r="K478">
        <v>23.246700000000001</v>
      </c>
      <c r="L478">
        <v>0.19350000000000001</v>
      </c>
      <c r="M478">
        <v>0</v>
      </c>
      <c r="N478">
        <v>0</v>
      </c>
      <c r="O478">
        <v>27.802399999999999</v>
      </c>
    </row>
    <row r="479" spans="1:15" x14ac:dyDescent="0.25">
      <c r="A479" t="s">
        <v>20</v>
      </c>
      <c r="B479" t="s">
        <v>15</v>
      </c>
      <c r="C479">
        <v>63</v>
      </c>
      <c r="D479">
        <v>100</v>
      </c>
      <c r="E479">
        <v>6400</v>
      </c>
      <c r="F479" t="str">
        <f t="shared" si="7"/>
        <v>text256_blurkernel7_63_100_6400</v>
      </c>
      <c r="G479">
        <v>0</v>
      </c>
      <c r="H479">
        <v>0</v>
      </c>
      <c r="I479">
        <v>5.8498700000000003E-4</v>
      </c>
      <c r="J479">
        <v>1.7382000000000001E-5</v>
      </c>
      <c r="K479">
        <v>20.137899999999998</v>
      </c>
      <c r="L479">
        <v>0.19350000000000001</v>
      </c>
      <c r="M479">
        <v>0</v>
      </c>
      <c r="N479">
        <v>0</v>
      </c>
      <c r="O479">
        <v>24.934100000000001</v>
      </c>
    </row>
    <row r="480" spans="1:15" x14ac:dyDescent="0.25">
      <c r="A480" t="s">
        <v>20</v>
      </c>
      <c r="B480" t="s">
        <v>15</v>
      </c>
      <c r="C480">
        <v>63</v>
      </c>
      <c r="D480">
        <v>100</v>
      </c>
      <c r="E480">
        <v>12800</v>
      </c>
      <c r="F480" t="str">
        <f t="shared" si="7"/>
        <v>text256_blurkernel7_63_100_12800</v>
      </c>
      <c r="G480">
        <v>0</v>
      </c>
      <c r="H480">
        <v>0</v>
      </c>
      <c r="I480">
        <v>1.2258919999999999E-3</v>
      </c>
      <c r="J480">
        <v>1.7382000000000001E-5</v>
      </c>
      <c r="K480">
        <v>16.887799999999999</v>
      </c>
      <c r="L480">
        <v>0.19350000000000001</v>
      </c>
      <c r="M480">
        <v>0</v>
      </c>
      <c r="N480">
        <v>0</v>
      </c>
      <c r="O480">
        <v>21.9009</v>
      </c>
    </row>
    <row r="481" spans="1:15" x14ac:dyDescent="0.25">
      <c r="A481" t="s">
        <v>20</v>
      </c>
      <c r="B481" t="s">
        <v>15</v>
      </c>
      <c r="C481">
        <v>63</v>
      </c>
      <c r="D481">
        <v>100</v>
      </c>
      <c r="E481">
        <v>25600</v>
      </c>
      <c r="F481" t="str">
        <f t="shared" si="7"/>
        <v>text256_blurkernel7_63_100_25600</v>
      </c>
      <c r="G481">
        <v>0</v>
      </c>
      <c r="H481">
        <v>0</v>
      </c>
      <c r="I481">
        <v>2.531672E-3</v>
      </c>
      <c r="J481">
        <v>1.7382000000000001E-5</v>
      </c>
      <c r="K481">
        <v>13.7171</v>
      </c>
      <c r="L481">
        <v>0.19350000000000001</v>
      </c>
      <c r="M481">
        <v>0</v>
      </c>
      <c r="N481">
        <v>0</v>
      </c>
      <c r="O481">
        <v>18.9267</v>
      </c>
    </row>
    <row r="482" spans="1:15" x14ac:dyDescent="0.25">
      <c r="A482" t="s">
        <v>20</v>
      </c>
      <c r="B482" t="s">
        <v>16</v>
      </c>
      <c r="C482">
        <v>3</v>
      </c>
      <c r="D482">
        <v>100</v>
      </c>
      <c r="E482">
        <v>100</v>
      </c>
      <c r="F482" t="str">
        <f t="shared" si="7"/>
        <v>text256_blurkernel8_3_100_100</v>
      </c>
      <c r="G482">
        <v>0</v>
      </c>
      <c r="H482">
        <v>0</v>
      </c>
      <c r="I482">
        <v>7.6990000000000003E-6</v>
      </c>
      <c r="J482">
        <v>9.764E-6</v>
      </c>
      <c r="K482">
        <v>39.048499999999997</v>
      </c>
      <c r="L482">
        <v>8.6249000000000002</v>
      </c>
      <c r="M482">
        <v>0</v>
      </c>
      <c r="N482">
        <v>0</v>
      </c>
      <c r="O482">
        <v>43.135399999999997</v>
      </c>
    </row>
    <row r="483" spans="1:15" x14ac:dyDescent="0.25">
      <c r="A483" t="s">
        <v>20</v>
      </c>
      <c r="B483" t="s">
        <v>16</v>
      </c>
      <c r="C483">
        <v>3</v>
      </c>
      <c r="D483">
        <v>100</v>
      </c>
      <c r="E483">
        <v>200</v>
      </c>
      <c r="F483" t="str">
        <f t="shared" si="7"/>
        <v>text256_blurkernel8_3_100_200</v>
      </c>
      <c r="G483">
        <v>0</v>
      </c>
      <c r="H483">
        <v>0</v>
      </c>
      <c r="I483">
        <v>1.6903000000000001E-5</v>
      </c>
      <c r="J483">
        <v>9.6350000000000001E-6</v>
      </c>
      <c r="K483">
        <v>35.6252</v>
      </c>
      <c r="L483">
        <v>8.6296999999999997</v>
      </c>
      <c r="M483">
        <v>0</v>
      </c>
      <c r="N483">
        <v>0</v>
      </c>
      <c r="O483">
        <v>39.700699999999998</v>
      </c>
    </row>
    <row r="484" spans="1:15" x14ac:dyDescent="0.25">
      <c r="A484" t="s">
        <v>20</v>
      </c>
      <c r="B484" t="s">
        <v>16</v>
      </c>
      <c r="C484">
        <v>3</v>
      </c>
      <c r="D484">
        <v>100</v>
      </c>
      <c r="E484">
        <v>400</v>
      </c>
      <c r="F484" t="str">
        <f t="shared" si="7"/>
        <v>text256_blurkernel8_3_100_400</v>
      </c>
      <c r="G484">
        <v>0</v>
      </c>
      <c r="H484">
        <v>0</v>
      </c>
      <c r="I484">
        <v>3.4601999999999998E-5</v>
      </c>
      <c r="J484">
        <v>9.6350000000000001E-6</v>
      </c>
      <c r="K484">
        <v>32.505600000000001</v>
      </c>
      <c r="L484">
        <v>8.6296999999999997</v>
      </c>
      <c r="M484">
        <v>0</v>
      </c>
      <c r="N484">
        <v>0</v>
      </c>
      <c r="O484">
        <v>36.69</v>
      </c>
    </row>
    <row r="485" spans="1:15" x14ac:dyDescent="0.25">
      <c r="A485" t="s">
        <v>20</v>
      </c>
      <c r="B485" t="s">
        <v>16</v>
      </c>
      <c r="C485">
        <v>3</v>
      </c>
      <c r="D485">
        <v>100</v>
      </c>
      <c r="E485">
        <v>800</v>
      </c>
      <c r="F485" t="str">
        <f t="shared" si="7"/>
        <v>text256_blurkernel8_3_100_800</v>
      </c>
      <c r="G485">
        <v>0</v>
      </c>
      <c r="H485">
        <v>0</v>
      </c>
      <c r="I485">
        <v>7.0809999999999995E-5</v>
      </c>
      <c r="J485">
        <v>9.6350000000000001E-6</v>
      </c>
      <c r="K485">
        <v>29.375399999999999</v>
      </c>
      <c r="L485">
        <v>8.6296999999999997</v>
      </c>
      <c r="M485">
        <v>0</v>
      </c>
      <c r="N485">
        <v>0</v>
      </c>
      <c r="O485">
        <v>33.7318</v>
      </c>
    </row>
    <row r="486" spans="1:15" x14ac:dyDescent="0.25">
      <c r="A486" t="s">
        <v>20</v>
      </c>
      <c r="B486" t="s">
        <v>16</v>
      </c>
      <c r="C486">
        <v>3</v>
      </c>
      <c r="D486">
        <v>100</v>
      </c>
      <c r="E486">
        <v>1600</v>
      </c>
      <c r="F486" t="str">
        <f t="shared" si="7"/>
        <v>text256_blurkernel8_3_100_1600</v>
      </c>
      <c r="G486">
        <v>0</v>
      </c>
      <c r="H486">
        <v>0</v>
      </c>
      <c r="I486">
        <v>1.44418E-4</v>
      </c>
      <c r="J486">
        <v>9.6350000000000001E-6</v>
      </c>
      <c r="K486">
        <v>26.2636</v>
      </c>
      <c r="L486">
        <v>8.6296999999999997</v>
      </c>
      <c r="M486">
        <v>0</v>
      </c>
      <c r="N486">
        <v>0</v>
      </c>
      <c r="O486">
        <v>30.730399999999999</v>
      </c>
    </row>
    <row r="487" spans="1:15" x14ac:dyDescent="0.25">
      <c r="A487" t="s">
        <v>20</v>
      </c>
      <c r="B487" t="s">
        <v>16</v>
      </c>
      <c r="C487">
        <v>3</v>
      </c>
      <c r="D487">
        <v>100</v>
      </c>
      <c r="E487">
        <v>3200</v>
      </c>
      <c r="F487" t="str">
        <f t="shared" si="7"/>
        <v>text256_blurkernel8_3_100_3200</v>
      </c>
      <c r="G487">
        <v>0</v>
      </c>
      <c r="H487">
        <v>0</v>
      </c>
      <c r="I487">
        <v>2.8582999999999999E-4</v>
      </c>
      <c r="J487">
        <v>9.6350000000000001E-6</v>
      </c>
      <c r="K487">
        <v>23.2761</v>
      </c>
      <c r="L487">
        <v>8.6296999999999997</v>
      </c>
      <c r="M487">
        <v>0</v>
      </c>
      <c r="N487">
        <v>0</v>
      </c>
      <c r="O487">
        <v>27.835899999999999</v>
      </c>
    </row>
    <row r="488" spans="1:15" x14ac:dyDescent="0.25">
      <c r="A488" t="s">
        <v>20</v>
      </c>
      <c r="B488" t="s">
        <v>16</v>
      </c>
      <c r="C488">
        <v>3</v>
      </c>
      <c r="D488">
        <v>100</v>
      </c>
      <c r="E488">
        <v>6400</v>
      </c>
      <c r="F488" t="str">
        <f t="shared" si="7"/>
        <v>text256_blurkernel8_3_100_6400</v>
      </c>
      <c r="G488">
        <v>0</v>
      </c>
      <c r="H488">
        <v>0</v>
      </c>
      <c r="I488">
        <v>5.9642400000000002E-4</v>
      </c>
      <c r="J488">
        <v>9.6350000000000001E-6</v>
      </c>
      <c r="K488">
        <v>20.05</v>
      </c>
      <c r="L488">
        <v>8.6296999999999997</v>
      </c>
      <c r="M488">
        <v>0</v>
      </c>
      <c r="N488">
        <v>0</v>
      </c>
      <c r="O488">
        <v>24.832000000000001</v>
      </c>
    </row>
    <row r="489" spans="1:15" x14ac:dyDescent="0.25">
      <c r="A489" t="s">
        <v>20</v>
      </c>
      <c r="B489" t="s">
        <v>16</v>
      </c>
      <c r="C489">
        <v>3</v>
      </c>
      <c r="D489">
        <v>100</v>
      </c>
      <c r="E489">
        <v>12800</v>
      </c>
      <c r="F489" t="str">
        <f t="shared" si="7"/>
        <v>text256_blurkernel8_3_100_12800</v>
      </c>
      <c r="G489">
        <v>0</v>
      </c>
      <c r="H489">
        <v>0</v>
      </c>
      <c r="I489">
        <v>1.203085E-3</v>
      </c>
      <c r="J489">
        <v>9.6350000000000001E-6</v>
      </c>
      <c r="K489">
        <v>16.9727</v>
      </c>
      <c r="L489">
        <v>8.6296999999999997</v>
      </c>
      <c r="M489">
        <v>0</v>
      </c>
      <c r="N489">
        <v>0</v>
      </c>
      <c r="O489">
        <v>22.037299999999998</v>
      </c>
    </row>
    <row r="490" spans="1:15" x14ac:dyDescent="0.25">
      <c r="A490" t="s">
        <v>20</v>
      </c>
      <c r="B490" t="s">
        <v>16</v>
      </c>
      <c r="C490">
        <v>3</v>
      </c>
      <c r="D490">
        <v>100</v>
      </c>
      <c r="E490">
        <v>25600</v>
      </c>
      <c r="F490" t="str">
        <f t="shared" si="7"/>
        <v>text256_blurkernel8_3_100_25600</v>
      </c>
      <c r="G490">
        <v>0</v>
      </c>
      <c r="H490">
        <v>0</v>
      </c>
      <c r="I490">
        <v>2.5500739999999998E-3</v>
      </c>
      <c r="J490">
        <v>9.6350000000000001E-6</v>
      </c>
      <c r="K490">
        <v>13.685700000000001</v>
      </c>
      <c r="L490">
        <v>8.6296999999999997</v>
      </c>
      <c r="M490">
        <v>0</v>
      </c>
      <c r="N490">
        <v>0</v>
      </c>
      <c r="O490">
        <v>18.908300000000001</v>
      </c>
    </row>
    <row r="491" spans="1:15" x14ac:dyDescent="0.25">
      <c r="A491" t="s">
        <v>20</v>
      </c>
      <c r="B491" t="s">
        <v>16</v>
      </c>
      <c r="C491">
        <v>3</v>
      </c>
      <c r="D491">
        <v>100</v>
      </c>
      <c r="E491">
        <v>102400</v>
      </c>
      <c r="F491" t="str">
        <f t="shared" si="7"/>
        <v>text256_blurkernel8_3_100_102400</v>
      </c>
      <c r="G491">
        <v>0</v>
      </c>
      <c r="H491">
        <v>0</v>
      </c>
      <c r="I491">
        <v>1.3406987E-2</v>
      </c>
      <c r="J491">
        <v>9.6749999999999997E-6</v>
      </c>
      <c r="K491">
        <v>6.7294</v>
      </c>
      <c r="L491">
        <v>8.6318999999999999</v>
      </c>
      <c r="M491">
        <v>0</v>
      </c>
      <c r="N491">
        <v>0</v>
      </c>
      <c r="O491">
        <v>12.213800000000001</v>
      </c>
    </row>
    <row r="492" spans="1:15" x14ac:dyDescent="0.25">
      <c r="A492" t="s">
        <v>20</v>
      </c>
      <c r="B492" t="s">
        <v>16</v>
      </c>
      <c r="C492">
        <v>7</v>
      </c>
      <c r="D492">
        <v>100</v>
      </c>
      <c r="E492">
        <v>100</v>
      </c>
      <c r="F492" t="str">
        <f t="shared" si="7"/>
        <v>text256_blurkernel8_7_100_100</v>
      </c>
      <c r="G492">
        <v>0</v>
      </c>
      <c r="H492">
        <v>0</v>
      </c>
      <c r="I492">
        <v>7.7039999999999994E-6</v>
      </c>
      <c r="J492">
        <v>1.1911E-5</v>
      </c>
      <c r="K492">
        <v>39.036000000000001</v>
      </c>
      <c r="L492">
        <v>2.7496</v>
      </c>
      <c r="M492">
        <v>0</v>
      </c>
      <c r="N492">
        <v>0</v>
      </c>
      <c r="O492">
        <v>43.041899999999998</v>
      </c>
    </row>
    <row r="493" spans="1:15" x14ac:dyDescent="0.25">
      <c r="A493" t="s">
        <v>20</v>
      </c>
      <c r="B493" t="s">
        <v>16</v>
      </c>
      <c r="C493">
        <v>7</v>
      </c>
      <c r="D493">
        <v>100</v>
      </c>
      <c r="E493">
        <v>200</v>
      </c>
      <c r="F493" t="str">
        <f t="shared" si="7"/>
        <v>text256_blurkernel8_7_100_200</v>
      </c>
      <c r="G493">
        <v>0</v>
      </c>
      <c r="H493">
        <v>0</v>
      </c>
      <c r="I493">
        <v>1.6708999999999999E-5</v>
      </c>
      <c r="J493">
        <v>1.1763000000000001E-5</v>
      </c>
      <c r="K493">
        <v>35.670400000000001</v>
      </c>
      <c r="L493">
        <v>2.7492999999999999</v>
      </c>
      <c r="M493">
        <v>0</v>
      </c>
      <c r="N493">
        <v>0</v>
      </c>
      <c r="O493">
        <v>39.785899999999998</v>
      </c>
    </row>
    <row r="494" spans="1:15" x14ac:dyDescent="0.25">
      <c r="A494" t="s">
        <v>20</v>
      </c>
      <c r="B494" t="s">
        <v>16</v>
      </c>
      <c r="C494">
        <v>7</v>
      </c>
      <c r="D494">
        <v>100</v>
      </c>
      <c r="E494">
        <v>400</v>
      </c>
      <c r="F494" t="str">
        <f t="shared" si="7"/>
        <v>text256_blurkernel8_7_100_400</v>
      </c>
      <c r="G494">
        <v>0</v>
      </c>
      <c r="H494">
        <v>0</v>
      </c>
      <c r="I494">
        <v>3.5105999999999999E-5</v>
      </c>
      <c r="J494">
        <v>1.1763000000000001E-5</v>
      </c>
      <c r="K494">
        <v>32.435400000000001</v>
      </c>
      <c r="L494">
        <v>2.7492999999999999</v>
      </c>
      <c r="M494">
        <v>0</v>
      </c>
      <c r="N494">
        <v>0</v>
      </c>
      <c r="O494">
        <v>36.733499999999999</v>
      </c>
    </row>
    <row r="495" spans="1:15" x14ac:dyDescent="0.25">
      <c r="A495" t="s">
        <v>20</v>
      </c>
      <c r="B495" t="s">
        <v>16</v>
      </c>
      <c r="C495">
        <v>7</v>
      </c>
      <c r="D495">
        <v>100</v>
      </c>
      <c r="E495">
        <v>800</v>
      </c>
      <c r="F495" t="str">
        <f t="shared" si="7"/>
        <v>text256_blurkernel8_7_100_800</v>
      </c>
      <c r="G495">
        <v>0</v>
      </c>
      <c r="H495">
        <v>0</v>
      </c>
      <c r="I495">
        <v>7.1379999999999998E-5</v>
      </c>
      <c r="J495">
        <v>1.1763000000000001E-5</v>
      </c>
      <c r="K495">
        <v>29.3431</v>
      </c>
      <c r="L495">
        <v>2.7492999999999999</v>
      </c>
      <c r="M495">
        <v>0</v>
      </c>
      <c r="N495">
        <v>0</v>
      </c>
      <c r="O495">
        <v>33.652299999999997</v>
      </c>
    </row>
    <row r="496" spans="1:15" x14ac:dyDescent="0.25">
      <c r="A496" t="s">
        <v>20</v>
      </c>
      <c r="B496" t="s">
        <v>16</v>
      </c>
      <c r="C496">
        <v>7</v>
      </c>
      <c r="D496">
        <v>100</v>
      </c>
      <c r="E496">
        <v>1600</v>
      </c>
      <c r="F496" t="str">
        <f t="shared" si="7"/>
        <v>text256_blurkernel8_7_100_1600</v>
      </c>
      <c r="G496">
        <v>0</v>
      </c>
      <c r="H496">
        <v>0</v>
      </c>
      <c r="I496">
        <v>1.4369900000000001E-4</v>
      </c>
      <c r="J496">
        <v>1.1763000000000001E-5</v>
      </c>
      <c r="K496">
        <v>26.280899999999999</v>
      </c>
      <c r="L496">
        <v>2.7492999999999999</v>
      </c>
      <c r="M496">
        <v>0</v>
      </c>
      <c r="N496">
        <v>0</v>
      </c>
      <c r="O496">
        <v>30.718699999999998</v>
      </c>
    </row>
    <row r="497" spans="1:15" x14ac:dyDescent="0.25">
      <c r="A497" t="s">
        <v>20</v>
      </c>
      <c r="B497" t="s">
        <v>16</v>
      </c>
      <c r="C497">
        <v>7</v>
      </c>
      <c r="D497">
        <v>100</v>
      </c>
      <c r="E497">
        <v>3200</v>
      </c>
      <c r="F497" t="str">
        <f t="shared" si="7"/>
        <v>text256_blurkernel8_7_100_3200</v>
      </c>
      <c r="G497">
        <v>0</v>
      </c>
      <c r="H497">
        <v>0</v>
      </c>
      <c r="I497">
        <v>2.8972999999999998E-4</v>
      </c>
      <c r="J497">
        <v>1.1763000000000001E-5</v>
      </c>
      <c r="K497">
        <v>23.2121</v>
      </c>
      <c r="L497">
        <v>2.7492999999999999</v>
      </c>
      <c r="M497">
        <v>0</v>
      </c>
      <c r="N497">
        <v>0</v>
      </c>
      <c r="O497">
        <v>27.805</v>
      </c>
    </row>
    <row r="498" spans="1:15" x14ac:dyDescent="0.25">
      <c r="A498" t="s">
        <v>20</v>
      </c>
      <c r="B498" t="s">
        <v>16</v>
      </c>
      <c r="C498">
        <v>7</v>
      </c>
      <c r="D498">
        <v>100</v>
      </c>
      <c r="E498">
        <v>6400</v>
      </c>
      <c r="F498" t="str">
        <f t="shared" si="7"/>
        <v>text256_blurkernel8_7_100_6400</v>
      </c>
      <c r="G498">
        <v>0</v>
      </c>
      <c r="H498">
        <v>0</v>
      </c>
      <c r="I498">
        <v>5.9030900000000002E-4</v>
      </c>
      <c r="J498">
        <v>1.1763000000000001E-5</v>
      </c>
      <c r="K498">
        <v>20.092099999999999</v>
      </c>
      <c r="L498">
        <v>2.7492999999999999</v>
      </c>
      <c r="M498">
        <v>0</v>
      </c>
      <c r="N498">
        <v>0</v>
      </c>
      <c r="O498">
        <v>24.948399999999999</v>
      </c>
    </row>
    <row r="499" spans="1:15" x14ac:dyDescent="0.25">
      <c r="A499" t="s">
        <v>20</v>
      </c>
      <c r="B499" t="s">
        <v>16</v>
      </c>
      <c r="C499">
        <v>7</v>
      </c>
      <c r="D499">
        <v>100</v>
      </c>
      <c r="E499">
        <v>12800</v>
      </c>
      <c r="F499" t="str">
        <f t="shared" si="7"/>
        <v>text256_blurkernel8_7_100_12800</v>
      </c>
      <c r="G499">
        <v>0</v>
      </c>
      <c r="H499">
        <v>0</v>
      </c>
      <c r="I499">
        <v>1.1978539999999999E-3</v>
      </c>
      <c r="J499">
        <v>1.1763000000000001E-5</v>
      </c>
      <c r="K499">
        <v>16.9925</v>
      </c>
      <c r="L499">
        <v>2.7492999999999999</v>
      </c>
      <c r="M499">
        <v>0</v>
      </c>
      <c r="N499">
        <v>0</v>
      </c>
      <c r="O499">
        <v>21.956900000000001</v>
      </c>
    </row>
    <row r="500" spans="1:15" x14ac:dyDescent="0.25">
      <c r="A500" t="s">
        <v>20</v>
      </c>
      <c r="B500" t="s">
        <v>16</v>
      </c>
      <c r="C500">
        <v>7</v>
      </c>
      <c r="D500">
        <v>100</v>
      </c>
      <c r="E500">
        <v>25600</v>
      </c>
      <c r="F500" t="str">
        <f t="shared" si="7"/>
        <v>text256_blurkernel8_7_100_25600</v>
      </c>
      <c r="G500">
        <v>0</v>
      </c>
      <c r="H500">
        <v>0</v>
      </c>
      <c r="I500">
        <v>2.539908E-3</v>
      </c>
      <c r="J500">
        <v>1.1763000000000001E-5</v>
      </c>
      <c r="K500">
        <v>13.7036</v>
      </c>
      <c r="L500">
        <v>2.7492999999999999</v>
      </c>
      <c r="M500">
        <v>0</v>
      </c>
      <c r="N500">
        <v>0</v>
      </c>
      <c r="O500">
        <v>18.869199999999999</v>
      </c>
    </row>
    <row r="501" spans="1:15" x14ac:dyDescent="0.25">
      <c r="A501" t="s">
        <v>20</v>
      </c>
      <c r="B501" t="s">
        <v>16</v>
      </c>
      <c r="C501">
        <v>7</v>
      </c>
      <c r="D501">
        <v>100</v>
      </c>
      <c r="E501">
        <v>102400</v>
      </c>
      <c r="F501" t="str">
        <f t="shared" si="7"/>
        <v>text256_blurkernel8_7_100_102400</v>
      </c>
      <c r="G501">
        <v>0</v>
      </c>
      <c r="H501">
        <v>0</v>
      </c>
      <c r="I501">
        <v>1.3381901999999999E-2</v>
      </c>
      <c r="J501">
        <v>1.1763000000000001E-5</v>
      </c>
      <c r="K501">
        <v>6.7182000000000004</v>
      </c>
      <c r="L501">
        <v>2.7492000000000001</v>
      </c>
      <c r="M501">
        <v>0</v>
      </c>
      <c r="N501">
        <v>0</v>
      </c>
      <c r="O501">
        <v>12.199400000000001</v>
      </c>
    </row>
    <row r="502" spans="1:15" x14ac:dyDescent="0.25">
      <c r="A502" t="s">
        <v>20</v>
      </c>
      <c r="B502" t="s">
        <v>16</v>
      </c>
      <c r="C502">
        <v>15</v>
      </c>
      <c r="D502">
        <v>100</v>
      </c>
      <c r="E502">
        <v>100</v>
      </c>
      <c r="F502" t="str">
        <f t="shared" si="7"/>
        <v>text256_blurkernel8_15_100_100</v>
      </c>
      <c r="G502">
        <v>0</v>
      </c>
      <c r="H502">
        <v>0</v>
      </c>
      <c r="I502">
        <v>7.7130000000000005E-6</v>
      </c>
      <c r="J502">
        <v>1.4059E-5</v>
      </c>
      <c r="K502">
        <v>39.035299999999999</v>
      </c>
      <c r="L502">
        <v>1.6820999999999999</v>
      </c>
      <c r="M502">
        <v>0</v>
      </c>
      <c r="N502">
        <v>0</v>
      </c>
      <c r="O502">
        <v>43.077300000000001</v>
      </c>
    </row>
    <row r="503" spans="1:15" x14ac:dyDescent="0.25">
      <c r="A503" t="s">
        <v>20</v>
      </c>
      <c r="B503" t="s">
        <v>16</v>
      </c>
      <c r="C503">
        <v>15</v>
      </c>
      <c r="D503">
        <v>100</v>
      </c>
      <c r="E503">
        <v>200</v>
      </c>
      <c r="F503" t="str">
        <f t="shared" si="7"/>
        <v>text256_blurkernel8_15_100_200</v>
      </c>
      <c r="G503">
        <v>0</v>
      </c>
      <c r="H503">
        <v>0</v>
      </c>
      <c r="I503">
        <v>1.6945000000000001E-5</v>
      </c>
      <c r="J503">
        <v>1.4097000000000001E-5</v>
      </c>
      <c r="K503">
        <v>35.613100000000003</v>
      </c>
      <c r="L503">
        <v>1.6826000000000001</v>
      </c>
      <c r="M503">
        <v>0</v>
      </c>
      <c r="N503">
        <v>0</v>
      </c>
      <c r="O503">
        <v>39.740299999999998</v>
      </c>
    </row>
    <row r="504" spans="1:15" x14ac:dyDescent="0.25">
      <c r="A504" t="s">
        <v>20</v>
      </c>
      <c r="B504" t="s">
        <v>16</v>
      </c>
      <c r="C504">
        <v>15</v>
      </c>
      <c r="D504">
        <v>100</v>
      </c>
      <c r="E504">
        <v>400</v>
      </c>
      <c r="F504" t="str">
        <f t="shared" si="7"/>
        <v>text256_blurkernel8_15_100_400</v>
      </c>
      <c r="G504">
        <v>0</v>
      </c>
      <c r="H504">
        <v>0</v>
      </c>
      <c r="I504">
        <v>3.5033000000000002E-5</v>
      </c>
      <c r="J504">
        <v>1.4097000000000001E-5</v>
      </c>
      <c r="K504">
        <v>32.449800000000003</v>
      </c>
      <c r="L504">
        <v>1.6826000000000001</v>
      </c>
      <c r="M504">
        <v>0</v>
      </c>
      <c r="N504">
        <v>0</v>
      </c>
      <c r="O504">
        <v>36.6113</v>
      </c>
    </row>
    <row r="505" spans="1:15" x14ac:dyDescent="0.25">
      <c r="A505" t="s">
        <v>20</v>
      </c>
      <c r="B505" t="s">
        <v>16</v>
      </c>
      <c r="C505">
        <v>15</v>
      </c>
      <c r="D505">
        <v>100</v>
      </c>
      <c r="E505">
        <v>800</v>
      </c>
      <c r="F505" t="str">
        <f t="shared" si="7"/>
        <v>text256_blurkernel8_15_100_800</v>
      </c>
      <c r="G505">
        <v>0</v>
      </c>
      <c r="H505">
        <v>0</v>
      </c>
      <c r="I505">
        <v>7.2219999999999996E-5</v>
      </c>
      <c r="J505">
        <v>1.4097000000000001E-5</v>
      </c>
      <c r="K505">
        <v>29.301300000000001</v>
      </c>
      <c r="L505">
        <v>1.6826000000000001</v>
      </c>
      <c r="M505">
        <v>0</v>
      </c>
      <c r="N505">
        <v>0</v>
      </c>
      <c r="O505">
        <v>33.455199999999998</v>
      </c>
    </row>
    <row r="506" spans="1:15" x14ac:dyDescent="0.25">
      <c r="A506" t="s">
        <v>20</v>
      </c>
      <c r="B506" t="s">
        <v>16</v>
      </c>
      <c r="C506">
        <v>15</v>
      </c>
      <c r="D506">
        <v>100</v>
      </c>
      <c r="E506">
        <v>1600</v>
      </c>
      <c r="F506" t="str">
        <f t="shared" si="7"/>
        <v>text256_blurkernel8_15_100_1600</v>
      </c>
      <c r="G506">
        <v>0</v>
      </c>
      <c r="H506">
        <v>0</v>
      </c>
      <c r="I506">
        <v>1.4440199999999999E-4</v>
      </c>
      <c r="J506">
        <v>1.4097000000000001E-5</v>
      </c>
      <c r="K506">
        <v>26.2668</v>
      </c>
      <c r="L506">
        <v>1.6826000000000001</v>
      </c>
      <c r="M506">
        <v>0</v>
      </c>
      <c r="N506">
        <v>0</v>
      </c>
      <c r="O506">
        <v>30.684100000000001</v>
      </c>
    </row>
    <row r="507" spans="1:15" x14ac:dyDescent="0.25">
      <c r="A507" t="s">
        <v>20</v>
      </c>
      <c r="B507" t="s">
        <v>16</v>
      </c>
      <c r="C507">
        <v>15</v>
      </c>
      <c r="D507">
        <v>100</v>
      </c>
      <c r="E507">
        <v>3200</v>
      </c>
      <c r="F507" t="str">
        <f t="shared" si="7"/>
        <v>text256_blurkernel8_15_100_3200</v>
      </c>
      <c r="G507">
        <v>0</v>
      </c>
      <c r="H507">
        <v>0</v>
      </c>
      <c r="I507">
        <v>2.90413E-4</v>
      </c>
      <c r="J507">
        <v>1.4097000000000001E-5</v>
      </c>
      <c r="K507">
        <v>23.207899999999999</v>
      </c>
      <c r="L507">
        <v>1.6826000000000001</v>
      </c>
      <c r="M507">
        <v>0</v>
      </c>
      <c r="N507">
        <v>0</v>
      </c>
      <c r="O507">
        <v>27.698399999999999</v>
      </c>
    </row>
    <row r="508" spans="1:15" x14ac:dyDescent="0.25">
      <c r="A508" t="s">
        <v>20</v>
      </c>
      <c r="B508" t="s">
        <v>16</v>
      </c>
      <c r="C508">
        <v>15</v>
      </c>
      <c r="D508">
        <v>100</v>
      </c>
      <c r="E508">
        <v>6400</v>
      </c>
      <c r="F508" t="str">
        <f t="shared" si="7"/>
        <v>text256_blurkernel8_15_100_6400</v>
      </c>
      <c r="G508">
        <v>0</v>
      </c>
      <c r="H508">
        <v>0</v>
      </c>
      <c r="I508">
        <v>5.8763299999999995E-4</v>
      </c>
      <c r="J508">
        <v>1.4097000000000001E-5</v>
      </c>
      <c r="K508">
        <v>20.113600000000002</v>
      </c>
      <c r="L508">
        <v>1.6826000000000001</v>
      </c>
      <c r="M508">
        <v>0</v>
      </c>
      <c r="N508">
        <v>0</v>
      </c>
      <c r="O508">
        <v>24.8919</v>
      </c>
    </row>
    <row r="509" spans="1:15" x14ac:dyDescent="0.25">
      <c r="A509" t="s">
        <v>20</v>
      </c>
      <c r="B509" t="s">
        <v>16</v>
      </c>
      <c r="C509">
        <v>15</v>
      </c>
      <c r="D509">
        <v>100</v>
      </c>
      <c r="E509">
        <v>12800</v>
      </c>
      <c r="F509" t="str">
        <f t="shared" si="7"/>
        <v>text256_blurkernel8_15_100_12800</v>
      </c>
      <c r="G509">
        <v>0</v>
      </c>
      <c r="H509">
        <v>0</v>
      </c>
      <c r="I509">
        <v>1.1887619999999999E-3</v>
      </c>
      <c r="J509">
        <v>1.4097000000000001E-5</v>
      </c>
      <c r="K509">
        <v>17.0242</v>
      </c>
      <c r="L509">
        <v>1.6826000000000001</v>
      </c>
      <c r="M509">
        <v>0</v>
      </c>
      <c r="N509">
        <v>0</v>
      </c>
      <c r="O509">
        <v>21.981300000000001</v>
      </c>
    </row>
    <row r="510" spans="1:15" x14ac:dyDescent="0.25">
      <c r="A510" t="s">
        <v>20</v>
      </c>
      <c r="B510" t="s">
        <v>16</v>
      </c>
      <c r="C510">
        <v>15</v>
      </c>
      <c r="D510">
        <v>100</v>
      </c>
      <c r="E510">
        <v>25600</v>
      </c>
      <c r="F510" t="str">
        <f t="shared" si="7"/>
        <v>text256_blurkernel8_15_100_25600</v>
      </c>
      <c r="G510">
        <v>0</v>
      </c>
      <c r="H510">
        <v>0</v>
      </c>
      <c r="I510">
        <v>2.5302269999999999E-3</v>
      </c>
      <c r="J510">
        <v>1.4097000000000001E-5</v>
      </c>
      <c r="K510">
        <v>13.720499999999999</v>
      </c>
      <c r="L510">
        <v>1.6826000000000001</v>
      </c>
      <c r="M510">
        <v>0</v>
      </c>
      <c r="N510">
        <v>0</v>
      </c>
      <c r="O510">
        <v>18.968900000000001</v>
      </c>
    </row>
    <row r="511" spans="1:15" x14ac:dyDescent="0.25">
      <c r="A511" t="s">
        <v>20</v>
      </c>
      <c r="B511" t="s">
        <v>16</v>
      </c>
      <c r="C511">
        <v>15</v>
      </c>
      <c r="D511">
        <v>100</v>
      </c>
      <c r="E511">
        <v>102400</v>
      </c>
      <c r="F511" t="str">
        <f t="shared" si="7"/>
        <v>text256_blurkernel8_15_100_102400</v>
      </c>
      <c r="G511">
        <v>0</v>
      </c>
      <c r="H511">
        <v>0</v>
      </c>
      <c r="I511">
        <v>1.3211634999999999E-2</v>
      </c>
      <c r="J511">
        <v>1.4088E-5</v>
      </c>
      <c r="K511">
        <v>6.7789999999999999</v>
      </c>
      <c r="L511">
        <v>1.6831</v>
      </c>
      <c r="M511">
        <v>0</v>
      </c>
      <c r="N511">
        <v>0</v>
      </c>
      <c r="O511">
        <v>12.1959</v>
      </c>
    </row>
    <row r="512" spans="1:15" x14ac:dyDescent="0.25">
      <c r="A512" t="s">
        <v>20</v>
      </c>
      <c r="B512" t="s">
        <v>16</v>
      </c>
      <c r="C512">
        <v>31</v>
      </c>
      <c r="D512">
        <v>100</v>
      </c>
      <c r="E512">
        <v>100</v>
      </c>
      <c r="F512" t="str">
        <f t="shared" si="7"/>
        <v>text256_blurkernel8_31_100_100</v>
      </c>
      <c r="G512">
        <v>0</v>
      </c>
      <c r="H512">
        <v>0</v>
      </c>
      <c r="I512">
        <v>7.712E-6</v>
      </c>
      <c r="J512">
        <v>1.6232999999999999E-5</v>
      </c>
      <c r="K512">
        <v>39.037599999999998</v>
      </c>
      <c r="L512">
        <v>0.86729999999999996</v>
      </c>
      <c r="M512">
        <v>0</v>
      </c>
      <c r="N512">
        <v>0</v>
      </c>
      <c r="O512">
        <v>43.044400000000003</v>
      </c>
    </row>
    <row r="513" spans="1:15" x14ac:dyDescent="0.25">
      <c r="A513" t="s">
        <v>20</v>
      </c>
      <c r="B513" t="s">
        <v>16</v>
      </c>
      <c r="C513">
        <v>31</v>
      </c>
      <c r="D513">
        <v>100</v>
      </c>
      <c r="E513">
        <v>200</v>
      </c>
      <c r="F513" t="str">
        <f t="shared" si="7"/>
        <v>text256_blurkernel8_31_100_200</v>
      </c>
      <c r="G513">
        <v>0</v>
      </c>
      <c r="H513">
        <v>0</v>
      </c>
      <c r="I513">
        <v>1.6711E-5</v>
      </c>
      <c r="J513">
        <v>1.6104E-5</v>
      </c>
      <c r="K513">
        <v>35.674399999999999</v>
      </c>
      <c r="L513">
        <v>0.86629999999999996</v>
      </c>
      <c r="M513">
        <v>0</v>
      </c>
      <c r="N513">
        <v>0</v>
      </c>
      <c r="O513">
        <v>39.8431</v>
      </c>
    </row>
    <row r="514" spans="1:15" x14ac:dyDescent="0.25">
      <c r="A514" t="s">
        <v>20</v>
      </c>
      <c r="B514" t="s">
        <v>16</v>
      </c>
      <c r="C514">
        <v>31</v>
      </c>
      <c r="D514">
        <v>100</v>
      </c>
      <c r="E514">
        <v>400</v>
      </c>
      <c r="F514" t="str">
        <f t="shared" ref="F514:F577" si="8">A514&amp;"_"&amp;B514&amp;"_"&amp;C514&amp;"_"&amp;D514&amp;"_"&amp;E514</f>
        <v>text256_blurkernel8_31_100_400</v>
      </c>
      <c r="G514">
        <v>0</v>
      </c>
      <c r="H514">
        <v>0</v>
      </c>
      <c r="I514">
        <v>3.4783999999999998E-5</v>
      </c>
      <c r="J514">
        <v>1.6104E-5</v>
      </c>
      <c r="K514">
        <v>32.476300000000002</v>
      </c>
      <c r="L514">
        <v>0.86629999999999996</v>
      </c>
      <c r="M514">
        <v>0</v>
      </c>
      <c r="N514">
        <v>0</v>
      </c>
      <c r="O514">
        <v>36.6755</v>
      </c>
    </row>
    <row r="515" spans="1:15" x14ac:dyDescent="0.25">
      <c r="A515" t="s">
        <v>20</v>
      </c>
      <c r="B515" t="s">
        <v>16</v>
      </c>
      <c r="C515">
        <v>31</v>
      </c>
      <c r="D515">
        <v>100</v>
      </c>
      <c r="E515">
        <v>800</v>
      </c>
      <c r="F515" t="str">
        <f t="shared" si="8"/>
        <v>text256_blurkernel8_31_100_800</v>
      </c>
      <c r="G515">
        <v>0</v>
      </c>
      <c r="H515">
        <v>0</v>
      </c>
      <c r="I515">
        <v>7.2927000000000002E-5</v>
      </c>
      <c r="J515">
        <v>1.6104E-5</v>
      </c>
      <c r="K515">
        <v>29.249099999999999</v>
      </c>
      <c r="L515">
        <v>0.86629999999999996</v>
      </c>
      <c r="M515">
        <v>0</v>
      </c>
      <c r="N515">
        <v>0</v>
      </c>
      <c r="O515">
        <v>33.494700000000002</v>
      </c>
    </row>
    <row r="516" spans="1:15" x14ac:dyDescent="0.25">
      <c r="A516" t="s">
        <v>20</v>
      </c>
      <c r="B516" t="s">
        <v>16</v>
      </c>
      <c r="C516">
        <v>31</v>
      </c>
      <c r="D516">
        <v>100</v>
      </c>
      <c r="E516">
        <v>1600</v>
      </c>
      <c r="F516" t="str">
        <f t="shared" si="8"/>
        <v>text256_blurkernel8_31_100_1600</v>
      </c>
      <c r="G516">
        <v>0</v>
      </c>
      <c r="H516">
        <v>0</v>
      </c>
      <c r="I516">
        <v>1.4327900000000001E-4</v>
      </c>
      <c r="J516">
        <v>1.6104E-5</v>
      </c>
      <c r="K516">
        <v>26.293399999999998</v>
      </c>
      <c r="L516">
        <v>0.86629999999999996</v>
      </c>
      <c r="M516">
        <v>0</v>
      </c>
      <c r="N516">
        <v>0</v>
      </c>
      <c r="O516">
        <v>30.694500000000001</v>
      </c>
    </row>
    <row r="517" spans="1:15" x14ac:dyDescent="0.25">
      <c r="A517" t="s">
        <v>20</v>
      </c>
      <c r="B517" t="s">
        <v>16</v>
      </c>
      <c r="C517">
        <v>31</v>
      </c>
      <c r="D517">
        <v>100</v>
      </c>
      <c r="E517">
        <v>3200</v>
      </c>
      <c r="F517" t="str">
        <f t="shared" si="8"/>
        <v>text256_blurkernel8_31_100_3200</v>
      </c>
      <c r="G517">
        <v>0</v>
      </c>
      <c r="H517">
        <v>0</v>
      </c>
      <c r="I517">
        <v>2.9318600000000002E-4</v>
      </c>
      <c r="J517">
        <v>1.6104E-5</v>
      </c>
      <c r="K517">
        <v>23.163699999999999</v>
      </c>
      <c r="L517">
        <v>0.86629999999999996</v>
      </c>
      <c r="M517">
        <v>0</v>
      </c>
      <c r="N517">
        <v>0</v>
      </c>
      <c r="O517">
        <v>27.6494</v>
      </c>
    </row>
    <row r="518" spans="1:15" x14ac:dyDescent="0.25">
      <c r="A518" t="s">
        <v>20</v>
      </c>
      <c r="B518" t="s">
        <v>16</v>
      </c>
      <c r="C518">
        <v>31</v>
      </c>
      <c r="D518">
        <v>100</v>
      </c>
      <c r="E518">
        <v>6400</v>
      </c>
      <c r="F518" t="str">
        <f t="shared" si="8"/>
        <v>text256_blurkernel8_31_100_6400</v>
      </c>
      <c r="G518">
        <v>0</v>
      </c>
      <c r="H518">
        <v>0</v>
      </c>
      <c r="I518">
        <v>5.8777700000000005E-4</v>
      </c>
      <c r="J518">
        <v>1.6104E-5</v>
      </c>
      <c r="K518">
        <v>20.1187</v>
      </c>
      <c r="L518">
        <v>0.86629999999999996</v>
      </c>
      <c r="M518">
        <v>0</v>
      </c>
      <c r="N518">
        <v>0</v>
      </c>
      <c r="O518">
        <v>24.917999999999999</v>
      </c>
    </row>
    <row r="519" spans="1:15" x14ac:dyDescent="0.25">
      <c r="A519" t="s">
        <v>20</v>
      </c>
      <c r="B519" t="s">
        <v>16</v>
      </c>
      <c r="C519">
        <v>31</v>
      </c>
      <c r="D519">
        <v>100</v>
      </c>
      <c r="E519">
        <v>12800</v>
      </c>
      <c r="F519" t="str">
        <f t="shared" si="8"/>
        <v>text256_blurkernel8_31_100_12800</v>
      </c>
      <c r="G519">
        <v>0</v>
      </c>
      <c r="H519">
        <v>0</v>
      </c>
      <c r="I519">
        <v>1.201148E-3</v>
      </c>
      <c r="J519">
        <v>1.6104E-5</v>
      </c>
      <c r="K519">
        <v>16.9801</v>
      </c>
      <c r="L519">
        <v>0.86629999999999996</v>
      </c>
      <c r="M519">
        <v>0</v>
      </c>
      <c r="N519">
        <v>0</v>
      </c>
      <c r="O519">
        <v>21.9575</v>
      </c>
    </row>
    <row r="520" spans="1:15" x14ac:dyDescent="0.25">
      <c r="A520" t="s">
        <v>20</v>
      </c>
      <c r="B520" t="s">
        <v>16</v>
      </c>
      <c r="C520">
        <v>31</v>
      </c>
      <c r="D520">
        <v>100</v>
      </c>
      <c r="E520">
        <v>25600</v>
      </c>
      <c r="F520" t="str">
        <f t="shared" si="8"/>
        <v>text256_blurkernel8_31_100_25600</v>
      </c>
      <c r="G520">
        <v>0</v>
      </c>
      <c r="H520">
        <v>0</v>
      </c>
      <c r="I520">
        <v>2.4970470000000001E-3</v>
      </c>
      <c r="J520">
        <v>1.6104E-5</v>
      </c>
      <c r="K520">
        <v>13.777699999999999</v>
      </c>
      <c r="L520">
        <v>0.86629999999999996</v>
      </c>
      <c r="M520">
        <v>0</v>
      </c>
      <c r="N520">
        <v>0</v>
      </c>
      <c r="O520">
        <v>19.007000000000001</v>
      </c>
    </row>
    <row r="521" spans="1:15" x14ac:dyDescent="0.25">
      <c r="A521" t="s">
        <v>20</v>
      </c>
      <c r="B521" t="s">
        <v>16</v>
      </c>
      <c r="C521">
        <v>31</v>
      </c>
      <c r="D521">
        <v>100</v>
      </c>
      <c r="E521">
        <v>102400</v>
      </c>
      <c r="F521" t="str">
        <f t="shared" si="8"/>
        <v>text256_blurkernel8_31_100_102400</v>
      </c>
      <c r="G521">
        <v>0</v>
      </c>
      <c r="H521">
        <v>0</v>
      </c>
      <c r="I521">
        <v>1.3441305000000001E-2</v>
      </c>
      <c r="J521">
        <v>1.6132000000000001E-5</v>
      </c>
      <c r="K521">
        <v>6.7122999999999999</v>
      </c>
      <c r="L521">
        <v>0.86639999999999995</v>
      </c>
      <c r="M521">
        <v>0</v>
      </c>
      <c r="N521">
        <v>0</v>
      </c>
      <c r="O521">
        <v>12.220599999999999</v>
      </c>
    </row>
    <row r="522" spans="1:15" x14ac:dyDescent="0.25">
      <c r="A522" t="s">
        <v>20</v>
      </c>
      <c r="B522" t="s">
        <v>16</v>
      </c>
      <c r="C522">
        <v>63</v>
      </c>
      <c r="D522">
        <v>100</v>
      </c>
      <c r="E522">
        <v>200</v>
      </c>
      <c r="F522" t="str">
        <f t="shared" si="8"/>
        <v>text256_blurkernel8_63_100_200</v>
      </c>
      <c r="G522">
        <v>0</v>
      </c>
      <c r="H522">
        <v>0</v>
      </c>
      <c r="I522">
        <v>1.6721000000000001E-5</v>
      </c>
      <c r="J522">
        <v>1.7323999999999999E-5</v>
      </c>
      <c r="K522">
        <v>35.665900000000001</v>
      </c>
      <c r="L522">
        <v>0.2888</v>
      </c>
      <c r="M522">
        <v>0</v>
      </c>
      <c r="N522">
        <v>0</v>
      </c>
      <c r="O522">
        <v>39.712499999999999</v>
      </c>
    </row>
    <row r="523" spans="1:15" x14ac:dyDescent="0.25">
      <c r="A523" t="s">
        <v>20</v>
      </c>
      <c r="B523" t="s">
        <v>16</v>
      </c>
      <c r="C523">
        <v>63</v>
      </c>
      <c r="D523">
        <v>100</v>
      </c>
      <c r="E523">
        <v>400</v>
      </c>
      <c r="F523" t="str">
        <f t="shared" si="8"/>
        <v>text256_blurkernel8_63_100_400</v>
      </c>
      <c r="G523">
        <v>0</v>
      </c>
      <c r="H523">
        <v>0</v>
      </c>
      <c r="I523">
        <v>3.4910000000000003E-5</v>
      </c>
      <c r="J523">
        <v>1.7323999999999999E-5</v>
      </c>
      <c r="K523">
        <v>32.465499999999999</v>
      </c>
      <c r="L523">
        <v>0.2888</v>
      </c>
      <c r="M523">
        <v>0</v>
      </c>
      <c r="N523">
        <v>0</v>
      </c>
      <c r="O523">
        <v>36.723799999999997</v>
      </c>
    </row>
    <row r="524" spans="1:15" x14ac:dyDescent="0.25">
      <c r="A524" t="s">
        <v>20</v>
      </c>
      <c r="B524" t="s">
        <v>16</v>
      </c>
      <c r="C524">
        <v>63</v>
      </c>
      <c r="D524">
        <v>100</v>
      </c>
      <c r="E524">
        <v>800</v>
      </c>
      <c r="F524" t="str">
        <f t="shared" si="8"/>
        <v>text256_blurkernel8_63_100_800</v>
      </c>
      <c r="G524">
        <v>0</v>
      </c>
      <c r="H524">
        <v>0</v>
      </c>
      <c r="I524">
        <v>6.9982999999999997E-5</v>
      </c>
      <c r="J524">
        <v>1.7323999999999999E-5</v>
      </c>
      <c r="K524">
        <v>29.431699999999999</v>
      </c>
      <c r="L524">
        <v>0.2888</v>
      </c>
      <c r="M524">
        <v>0</v>
      </c>
      <c r="N524">
        <v>0</v>
      </c>
      <c r="O524">
        <v>33.757100000000001</v>
      </c>
    </row>
    <row r="525" spans="1:15" x14ac:dyDescent="0.25">
      <c r="A525" t="s">
        <v>20</v>
      </c>
      <c r="B525" t="s">
        <v>16</v>
      </c>
      <c r="C525">
        <v>63</v>
      </c>
      <c r="D525">
        <v>100</v>
      </c>
      <c r="E525">
        <v>1600</v>
      </c>
      <c r="F525" t="str">
        <f t="shared" si="8"/>
        <v>text256_blurkernel8_63_100_1600</v>
      </c>
      <c r="G525">
        <v>0</v>
      </c>
      <c r="H525">
        <v>0</v>
      </c>
      <c r="I525">
        <v>1.4395E-4</v>
      </c>
      <c r="J525">
        <v>1.7323999999999999E-5</v>
      </c>
      <c r="K525">
        <v>26.275400000000001</v>
      </c>
      <c r="L525">
        <v>0.2888</v>
      </c>
      <c r="M525">
        <v>0</v>
      </c>
      <c r="N525">
        <v>0</v>
      </c>
      <c r="O525">
        <v>30.743200000000002</v>
      </c>
    </row>
    <row r="526" spans="1:15" x14ac:dyDescent="0.25">
      <c r="A526" t="s">
        <v>20</v>
      </c>
      <c r="B526" t="s">
        <v>16</v>
      </c>
      <c r="C526">
        <v>63</v>
      </c>
      <c r="D526">
        <v>100</v>
      </c>
      <c r="E526">
        <v>3200</v>
      </c>
      <c r="F526" t="str">
        <f t="shared" si="8"/>
        <v>text256_blurkernel8_63_100_3200</v>
      </c>
      <c r="G526">
        <v>0</v>
      </c>
      <c r="H526">
        <v>0</v>
      </c>
      <c r="I526">
        <v>2.85314E-4</v>
      </c>
      <c r="J526">
        <v>1.7323999999999999E-5</v>
      </c>
      <c r="K526">
        <v>23.280899999999999</v>
      </c>
      <c r="L526">
        <v>0.2888</v>
      </c>
      <c r="M526">
        <v>0</v>
      </c>
      <c r="N526">
        <v>0</v>
      </c>
      <c r="O526">
        <v>27.7943</v>
      </c>
    </row>
    <row r="527" spans="1:15" x14ac:dyDescent="0.25">
      <c r="A527" t="s">
        <v>20</v>
      </c>
      <c r="B527" t="s">
        <v>16</v>
      </c>
      <c r="C527">
        <v>63</v>
      </c>
      <c r="D527">
        <v>100</v>
      </c>
      <c r="E527">
        <v>6400</v>
      </c>
      <c r="F527" t="str">
        <f t="shared" si="8"/>
        <v>text256_blurkernel8_63_100_6400</v>
      </c>
      <c r="G527">
        <v>0</v>
      </c>
      <c r="H527">
        <v>0</v>
      </c>
      <c r="I527">
        <v>5.8847900000000004E-4</v>
      </c>
      <c r="J527">
        <v>1.7323999999999999E-5</v>
      </c>
      <c r="K527">
        <v>20.1114</v>
      </c>
      <c r="L527">
        <v>0.2888</v>
      </c>
      <c r="M527">
        <v>0</v>
      </c>
      <c r="N527">
        <v>0</v>
      </c>
      <c r="O527">
        <v>24.965900000000001</v>
      </c>
    </row>
    <row r="528" spans="1:15" x14ac:dyDescent="0.25">
      <c r="A528" t="s">
        <v>20</v>
      </c>
      <c r="B528" t="s">
        <v>16</v>
      </c>
      <c r="C528">
        <v>63</v>
      </c>
      <c r="D528">
        <v>100</v>
      </c>
      <c r="E528">
        <v>12800</v>
      </c>
      <c r="F528" t="str">
        <f t="shared" si="8"/>
        <v>text256_blurkernel8_63_100_12800</v>
      </c>
      <c r="G528">
        <v>0</v>
      </c>
      <c r="H528">
        <v>0</v>
      </c>
      <c r="I528">
        <v>1.2177189999999999E-3</v>
      </c>
      <c r="J528">
        <v>1.7323999999999999E-5</v>
      </c>
      <c r="K528">
        <v>16.918500000000002</v>
      </c>
      <c r="L528">
        <v>0.2888</v>
      </c>
      <c r="M528">
        <v>0</v>
      </c>
      <c r="N528">
        <v>0</v>
      </c>
      <c r="O528">
        <v>21.884899999999998</v>
      </c>
    </row>
    <row r="529" spans="1:15" x14ac:dyDescent="0.25">
      <c r="A529" t="s">
        <v>20</v>
      </c>
      <c r="B529" t="s">
        <v>16</v>
      </c>
      <c r="C529">
        <v>63</v>
      </c>
      <c r="D529">
        <v>100</v>
      </c>
      <c r="E529">
        <v>25600</v>
      </c>
      <c r="F529" t="str">
        <f t="shared" si="8"/>
        <v>text256_blurkernel8_63_100_25600</v>
      </c>
      <c r="G529">
        <v>0</v>
      </c>
      <c r="H529">
        <v>0</v>
      </c>
      <c r="I529">
        <v>2.536197E-3</v>
      </c>
      <c r="J529">
        <v>1.7323999999999999E-5</v>
      </c>
      <c r="K529">
        <v>13.7103</v>
      </c>
      <c r="L529">
        <v>0.2888</v>
      </c>
      <c r="M529">
        <v>0</v>
      </c>
      <c r="N529">
        <v>0</v>
      </c>
      <c r="O529">
        <v>18.957100000000001</v>
      </c>
    </row>
    <row r="530" spans="1:15" x14ac:dyDescent="0.25">
      <c r="A530" t="s">
        <v>20</v>
      </c>
      <c r="B530" t="s">
        <v>17</v>
      </c>
      <c r="C530">
        <v>3</v>
      </c>
      <c r="D530">
        <v>100</v>
      </c>
      <c r="E530">
        <v>100</v>
      </c>
      <c r="F530" t="str">
        <f t="shared" si="8"/>
        <v>text256_line_3_100_100</v>
      </c>
      <c r="G530">
        <v>0</v>
      </c>
      <c r="H530">
        <v>0</v>
      </c>
      <c r="I530">
        <v>7.7319999999999998E-6</v>
      </c>
      <c r="J530">
        <v>9.4900000000000006E-6</v>
      </c>
      <c r="K530">
        <v>39.031399999999998</v>
      </c>
      <c r="L530">
        <v>5.9850000000000003</v>
      </c>
      <c r="M530">
        <v>0</v>
      </c>
      <c r="N530">
        <v>0</v>
      </c>
      <c r="O530">
        <v>43.033499999999997</v>
      </c>
    </row>
    <row r="531" spans="1:15" x14ac:dyDescent="0.25">
      <c r="A531" t="s">
        <v>20</v>
      </c>
      <c r="B531" t="s">
        <v>17</v>
      </c>
      <c r="C531">
        <v>3</v>
      </c>
      <c r="D531">
        <v>100</v>
      </c>
      <c r="E531">
        <v>200</v>
      </c>
      <c r="F531" t="str">
        <f t="shared" si="8"/>
        <v>text256_line_3_100_200</v>
      </c>
      <c r="G531">
        <v>0</v>
      </c>
      <c r="H531">
        <v>0</v>
      </c>
      <c r="I531">
        <v>1.6463000000000001E-5</v>
      </c>
      <c r="J531">
        <v>9.4199999999999996E-6</v>
      </c>
      <c r="K531">
        <v>35.730699999999999</v>
      </c>
      <c r="L531">
        <v>5.9851000000000001</v>
      </c>
      <c r="M531">
        <v>0</v>
      </c>
      <c r="N531">
        <v>0</v>
      </c>
      <c r="O531">
        <v>39.8185</v>
      </c>
    </row>
    <row r="532" spans="1:15" x14ac:dyDescent="0.25">
      <c r="A532" t="s">
        <v>20</v>
      </c>
      <c r="B532" t="s">
        <v>17</v>
      </c>
      <c r="C532">
        <v>3</v>
      </c>
      <c r="D532">
        <v>100</v>
      </c>
      <c r="E532">
        <v>400</v>
      </c>
      <c r="F532" t="str">
        <f t="shared" si="8"/>
        <v>text256_line_3_100_400</v>
      </c>
      <c r="G532">
        <v>0</v>
      </c>
      <c r="H532">
        <v>0</v>
      </c>
      <c r="I532">
        <v>3.4783999999999998E-5</v>
      </c>
      <c r="J532">
        <v>9.4199999999999996E-6</v>
      </c>
      <c r="K532">
        <v>32.477600000000002</v>
      </c>
      <c r="L532">
        <v>5.9851000000000001</v>
      </c>
      <c r="M532">
        <v>0</v>
      </c>
      <c r="N532">
        <v>0</v>
      </c>
      <c r="O532">
        <v>36.607700000000001</v>
      </c>
    </row>
    <row r="533" spans="1:15" x14ac:dyDescent="0.25">
      <c r="A533" t="s">
        <v>20</v>
      </c>
      <c r="B533" t="s">
        <v>17</v>
      </c>
      <c r="C533">
        <v>3</v>
      </c>
      <c r="D533">
        <v>100</v>
      </c>
      <c r="E533">
        <v>800</v>
      </c>
      <c r="F533" t="str">
        <f t="shared" si="8"/>
        <v>text256_line_3_100_800</v>
      </c>
      <c r="G533">
        <v>0</v>
      </c>
      <c r="H533">
        <v>0</v>
      </c>
      <c r="I533">
        <v>6.9926999999999996E-5</v>
      </c>
      <c r="J533">
        <v>9.4199999999999996E-6</v>
      </c>
      <c r="K533">
        <v>29.431699999999999</v>
      </c>
      <c r="L533">
        <v>5.9851000000000001</v>
      </c>
      <c r="M533">
        <v>0</v>
      </c>
      <c r="N533">
        <v>0</v>
      </c>
      <c r="O533">
        <v>33.778500000000001</v>
      </c>
    </row>
    <row r="534" spans="1:15" x14ac:dyDescent="0.25">
      <c r="A534" t="s">
        <v>20</v>
      </c>
      <c r="B534" t="s">
        <v>17</v>
      </c>
      <c r="C534">
        <v>3</v>
      </c>
      <c r="D534">
        <v>100</v>
      </c>
      <c r="E534">
        <v>1600</v>
      </c>
      <c r="F534" t="str">
        <f t="shared" si="8"/>
        <v>text256_line_3_100_1600</v>
      </c>
      <c r="G534">
        <v>0</v>
      </c>
      <c r="H534">
        <v>0</v>
      </c>
      <c r="I534">
        <v>1.4292100000000001E-4</v>
      </c>
      <c r="J534">
        <v>9.4199999999999996E-6</v>
      </c>
      <c r="K534">
        <v>26.308299999999999</v>
      </c>
      <c r="L534">
        <v>5.9851000000000001</v>
      </c>
      <c r="M534">
        <v>0</v>
      </c>
      <c r="N534">
        <v>0</v>
      </c>
      <c r="O534">
        <v>30.7288</v>
      </c>
    </row>
    <row r="535" spans="1:15" x14ac:dyDescent="0.25">
      <c r="A535" t="s">
        <v>20</v>
      </c>
      <c r="B535" t="s">
        <v>17</v>
      </c>
      <c r="C535">
        <v>3</v>
      </c>
      <c r="D535">
        <v>100</v>
      </c>
      <c r="E535">
        <v>3200</v>
      </c>
      <c r="F535" t="str">
        <f t="shared" si="8"/>
        <v>text256_line_3_100_3200</v>
      </c>
      <c r="G535">
        <v>0</v>
      </c>
      <c r="H535">
        <v>0</v>
      </c>
      <c r="I535">
        <v>2.9111000000000002E-4</v>
      </c>
      <c r="J535">
        <v>9.4199999999999996E-6</v>
      </c>
      <c r="K535">
        <v>23.196999999999999</v>
      </c>
      <c r="L535">
        <v>5.9851000000000001</v>
      </c>
      <c r="M535">
        <v>0</v>
      </c>
      <c r="N535">
        <v>0</v>
      </c>
      <c r="O535">
        <v>27.680099999999999</v>
      </c>
    </row>
    <row r="536" spans="1:15" x14ac:dyDescent="0.25">
      <c r="A536" t="s">
        <v>20</v>
      </c>
      <c r="B536" t="s">
        <v>17</v>
      </c>
      <c r="C536">
        <v>3</v>
      </c>
      <c r="D536">
        <v>100</v>
      </c>
      <c r="E536">
        <v>6400</v>
      </c>
      <c r="F536" t="str">
        <f t="shared" si="8"/>
        <v>text256_line_3_100_6400</v>
      </c>
      <c r="G536">
        <v>0</v>
      </c>
      <c r="H536">
        <v>0</v>
      </c>
      <c r="I536">
        <v>5.8387399999999996E-4</v>
      </c>
      <c r="J536">
        <v>9.4199999999999996E-6</v>
      </c>
      <c r="K536">
        <v>20.141999999999999</v>
      </c>
      <c r="L536">
        <v>5.9851000000000001</v>
      </c>
      <c r="M536">
        <v>0</v>
      </c>
      <c r="N536">
        <v>0</v>
      </c>
      <c r="O536">
        <v>24.908200000000001</v>
      </c>
    </row>
    <row r="537" spans="1:15" x14ac:dyDescent="0.25">
      <c r="A537" t="s">
        <v>20</v>
      </c>
      <c r="B537" t="s">
        <v>17</v>
      </c>
      <c r="C537">
        <v>3</v>
      </c>
      <c r="D537">
        <v>100</v>
      </c>
      <c r="E537">
        <v>12800</v>
      </c>
      <c r="F537" t="str">
        <f t="shared" si="8"/>
        <v>text256_line_3_100_12800</v>
      </c>
      <c r="G537">
        <v>0</v>
      </c>
      <c r="H537">
        <v>0</v>
      </c>
      <c r="I537">
        <v>1.2060689999999999E-3</v>
      </c>
      <c r="J537">
        <v>9.4199999999999996E-6</v>
      </c>
      <c r="K537">
        <v>16.9636</v>
      </c>
      <c r="L537">
        <v>5.9851000000000001</v>
      </c>
      <c r="M537">
        <v>0</v>
      </c>
      <c r="N537">
        <v>0</v>
      </c>
      <c r="O537">
        <v>21.855499999999999</v>
      </c>
    </row>
    <row r="538" spans="1:15" x14ac:dyDescent="0.25">
      <c r="A538" t="s">
        <v>20</v>
      </c>
      <c r="B538" t="s">
        <v>17</v>
      </c>
      <c r="C538">
        <v>3</v>
      </c>
      <c r="D538">
        <v>100</v>
      </c>
      <c r="E538">
        <v>25600</v>
      </c>
      <c r="F538" t="str">
        <f t="shared" si="8"/>
        <v>text256_line_3_100_25600</v>
      </c>
      <c r="G538">
        <v>0</v>
      </c>
      <c r="H538">
        <v>0</v>
      </c>
      <c r="I538">
        <v>2.5520220000000001E-3</v>
      </c>
      <c r="J538">
        <v>9.4199999999999996E-6</v>
      </c>
      <c r="K538">
        <v>13.683</v>
      </c>
      <c r="L538">
        <v>5.9851000000000001</v>
      </c>
      <c r="M538">
        <v>0</v>
      </c>
      <c r="N538">
        <v>0</v>
      </c>
      <c r="O538">
        <v>18.898</v>
      </c>
    </row>
    <row r="539" spans="1:15" x14ac:dyDescent="0.25">
      <c r="A539" t="s">
        <v>20</v>
      </c>
      <c r="B539" t="s">
        <v>17</v>
      </c>
      <c r="C539">
        <v>3</v>
      </c>
      <c r="D539">
        <v>100</v>
      </c>
      <c r="E539">
        <v>102400</v>
      </c>
      <c r="F539" t="str">
        <f t="shared" si="8"/>
        <v>text256_line_3_100_102400</v>
      </c>
      <c r="G539">
        <v>0</v>
      </c>
      <c r="H539">
        <v>0</v>
      </c>
      <c r="I539">
        <v>1.3300126000000001E-2</v>
      </c>
      <c r="J539">
        <v>9.4590000000000004E-6</v>
      </c>
      <c r="K539">
        <v>6.7508999999999997</v>
      </c>
      <c r="L539">
        <v>5.9846000000000004</v>
      </c>
      <c r="M539">
        <v>0</v>
      </c>
      <c r="N539">
        <v>0</v>
      </c>
      <c r="O539">
        <v>12.130100000000001</v>
      </c>
    </row>
    <row r="540" spans="1:15" x14ac:dyDescent="0.25">
      <c r="A540" t="s">
        <v>20</v>
      </c>
      <c r="B540" t="s">
        <v>17</v>
      </c>
      <c r="C540">
        <v>7</v>
      </c>
      <c r="D540">
        <v>100</v>
      </c>
      <c r="E540">
        <v>100</v>
      </c>
      <c r="F540" t="str">
        <f t="shared" si="8"/>
        <v>text256_line_7_100_100</v>
      </c>
      <c r="G540">
        <v>0</v>
      </c>
      <c r="H540">
        <v>0</v>
      </c>
      <c r="I540">
        <v>7.7190000000000001E-6</v>
      </c>
      <c r="J540">
        <v>1.1416E-5</v>
      </c>
      <c r="K540">
        <v>39.032600000000002</v>
      </c>
      <c r="L540">
        <v>1.8163</v>
      </c>
      <c r="M540">
        <v>0</v>
      </c>
      <c r="N540">
        <v>0</v>
      </c>
      <c r="O540">
        <v>43.077800000000003</v>
      </c>
    </row>
    <row r="541" spans="1:15" x14ac:dyDescent="0.25">
      <c r="A541" t="s">
        <v>20</v>
      </c>
      <c r="B541" t="s">
        <v>17</v>
      </c>
      <c r="C541">
        <v>7</v>
      </c>
      <c r="D541">
        <v>100</v>
      </c>
      <c r="E541">
        <v>200</v>
      </c>
      <c r="F541" t="str">
        <f t="shared" si="8"/>
        <v>text256_line_7_100_200</v>
      </c>
      <c r="G541">
        <v>0</v>
      </c>
      <c r="H541">
        <v>0</v>
      </c>
      <c r="I541">
        <v>1.6690000000000001E-5</v>
      </c>
      <c r="J541">
        <v>1.1449E-5</v>
      </c>
      <c r="K541">
        <v>35.6751</v>
      </c>
      <c r="L541">
        <v>1.8164</v>
      </c>
      <c r="M541">
        <v>0</v>
      </c>
      <c r="N541">
        <v>0</v>
      </c>
      <c r="O541">
        <v>39.760399999999997</v>
      </c>
    </row>
    <row r="542" spans="1:15" x14ac:dyDescent="0.25">
      <c r="A542" t="s">
        <v>20</v>
      </c>
      <c r="B542" t="s">
        <v>17</v>
      </c>
      <c r="C542">
        <v>7</v>
      </c>
      <c r="D542">
        <v>100</v>
      </c>
      <c r="E542">
        <v>400</v>
      </c>
      <c r="F542" t="str">
        <f t="shared" si="8"/>
        <v>text256_line_7_100_400</v>
      </c>
      <c r="G542">
        <v>0</v>
      </c>
      <c r="H542">
        <v>0</v>
      </c>
      <c r="I542">
        <v>3.5092999999999998E-5</v>
      </c>
      <c r="J542">
        <v>1.1449E-5</v>
      </c>
      <c r="K542">
        <v>32.436199999999999</v>
      </c>
      <c r="L542">
        <v>1.8164</v>
      </c>
      <c r="M542">
        <v>0</v>
      </c>
      <c r="N542">
        <v>0</v>
      </c>
      <c r="O542">
        <v>36.662700000000001</v>
      </c>
    </row>
    <row r="543" spans="1:15" x14ac:dyDescent="0.25">
      <c r="A543" t="s">
        <v>20</v>
      </c>
      <c r="B543" t="s">
        <v>17</v>
      </c>
      <c r="C543">
        <v>7</v>
      </c>
      <c r="D543">
        <v>100</v>
      </c>
      <c r="E543">
        <v>800</v>
      </c>
      <c r="F543" t="str">
        <f t="shared" si="8"/>
        <v>text256_line_7_100_800</v>
      </c>
      <c r="G543">
        <v>0</v>
      </c>
      <c r="H543">
        <v>0</v>
      </c>
      <c r="I543">
        <v>7.1389000000000004E-5</v>
      </c>
      <c r="J543">
        <v>1.1449E-5</v>
      </c>
      <c r="K543">
        <v>29.3399</v>
      </c>
      <c r="L543">
        <v>1.8164</v>
      </c>
      <c r="M543">
        <v>0</v>
      </c>
      <c r="N543">
        <v>0</v>
      </c>
      <c r="O543">
        <v>33.644799999999996</v>
      </c>
    </row>
    <row r="544" spans="1:15" x14ac:dyDescent="0.25">
      <c r="A544" t="s">
        <v>20</v>
      </c>
      <c r="B544" t="s">
        <v>17</v>
      </c>
      <c r="C544">
        <v>7</v>
      </c>
      <c r="D544">
        <v>100</v>
      </c>
      <c r="E544">
        <v>1600</v>
      </c>
      <c r="F544" t="str">
        <f t="shared" si="8"/>
        <v>text256_line_7_100_1600</v>
      </c>
      <c r="G544">
        <v>0</v>
      </c>
      <c r="H544">
        <v>0</v>
      </c>
      <c r="I544">
        <v>1.4429199999999999E-4</v>
      </c>
      <c r="J544">
        <v>1.1449E-5</v>
      </c>
      <c r="K544">
        <v>26.270800000000001</v>
      </c>
      <c r="L544">
        <v>1.8164</v>
      </c>
      <c r="M544">
        <v>0</v>
      </c>
      <c r="N544">
        <v>0</v>
      </c>
      <c r="O544">
        <v>30.715900000000001</v>
      </c>
    </row>
    <row r="545" spans="1:15" x14ac:dyDescent="0.25">
      <c r="A545" t="s">
        <v>20</v>
      </c>
      <c r="B545" t="s">
        <v>17</v>
      </c>
      <c r="C545">
        <v>7</v>
      </c>
      <c r="D545">
        <v>100</v>
      </c>
      <c r="E545">
        <v>3200</v>
      </c>
      <c r="F545" t="str">
        <f t="shared" si="8"/>
        <v>text256_line_7_100_3200</v>
      </c>
      <c r="G545">
        <v>0</v>
      </c>
      <c r="H545">
        <v>0</v>
      </c>
      <c r="I545">
        <v>2.8788000000000002E-4</v>
      </c>
      <c r="J545">
        <v>1.1449E-5</v>
      </c>
      <c r="K545">
        <v>23.2454</v>
      </c>
      <c r="L545">
        <v>1.8164</v>
      </c>
      <c r="M545">
        <v>0</v>
      </c>
      <c r="N545">
        <v>0</v>
      </c>
      <c r="O545">
        <v>27.7941</v>
      </c>
    </row>
    <row r="546" spans="1:15" x14ac:dyDescent="0.25">
      <c r="A546" t="s">
        <v>20</v>
      </c>
      <c r="B546" t="s">
        <v>17</v>
      </c>
      <c r="C546">
        <v>7</v>
      </c>
      <c r="D546">
        <v>100</v>
      </c>
      <c r="E546">
        <v>6400</v>
      </c>
      <c r="F546" t="str">
        <f t="shared" si="8"/>
        <v>text256_line_7_100_6400</v>
      </c>
      <c r="G546">
        <v>0</v>
      </c>
      <c r="H546">
        <v>0</v>
      </c>
      <c r="I546">
        <v>5.8908699999999997E-4</v>
      </c>
      <c r="J546">
        <v>1.1449E-5</v>
      </c>
      <c r="K546">
        <v>20.105799999999999</v>
      </c>
      <c r="L546">
        <v>1.8164</v>
      </c>
      <c r="M546">
        <v>0</v>
      </c>
      <c r="N546">
        <v>0</v>
      </c>
      <c r="O546">
        <v>24.883500000000002</v>
      </c>
    </row>
    <row r="547" spans="1:15" x14ac:dyDescent="0.25">
      <c r="A547" t="s">
        <v>20</v>
      </c>
      <c r="B547" t="s">
        <v>17</v>
      </c>
      <c r="C547">
        <v>7</v>
      </c>
      <c r="D547">
        <v>100</v>
      </c>
      <c r="E547">
        <v>12800</v>
      </c>
      <c r="F547" t="str">
        <f t="shared" si="8"/>
        <v>text256_line_7_100_12800</v>
      </c>
      <c r="G547">
        <v>0</v>
      </c>
      <c r="H547">
        <v>0</v>
      </c>
      <c r="I547">
        <v>1.190331E-3</v>
      </c>
      <c r="J547">
        <v>1.1449E-5</v>
      </c>
      <c r="K547">
        <v>17.0182</v>
      </c>
      <c r="L547">
        <v>1.8164</v>
      </c>
      <c r="M547">
        <v>0</v>
      </c>
      <c r="N547">
        <v>0</v>
      </c>
      <c r="O547">
        <v>21.991800000000001</v>
      </c>
    </row>
    <row r="548" spans="1:15" x14ac:dyDescent="0.25">
      <c r="A548" t="s">
        <v>20</v>
      </c>
      <c r="B548" t="s">
        <v>17</v>
      </c>
      <c r="C548">
        <v>7</v>
      </c>
      <c r="D548">
        <v>100</v>
      </c>
      <c r="E548">
        <v>25600</v>
      </c>
      <c r="F548" t="str">
        <f t="shared" si="8"/>
        <v>text256_line_7_100_25600</v>
      </c>
      <c r="G548">
        <v>0</v>
      </c>
      <c r="H548">
        <v>0</v>
      </c>
      <c r="I548">
        <v>2.5082220000000001E-3</v>
      </c>
      <c r="J548">
        <v>1.1449E-5</v>
      </c>
      <c r="K548">
        <v>13.7585</v>
      </c>
      <c r="L548">
        <v>1.8164</v>
      </c>
      <c r="M548">
        <v>0</v>
      </c>
      <c r="N548">
        <v>0</v>
      </c>
      <c r="O548">
        <v>18.906700000000001</v>
      </c>
    </row>
    <row r="549" spans="1:15" x14ac:dyDescent="0.25">
      <c r="A549" t="s">
        <v>20</v>
      </c>
      <c r="B549" t="s">
        <v>17</v>
      </c>
      <c r="C549">
        <v>7</v>
      </c>
      <c r="D549">
        <v>100</v>
      </c>
      <c r="E549">
        <v>102400</v>
      </c>
      <c r="F549" t="str">
        <f t="shared" si="8"/>
        <v>text256_line_7_100_102400</v>
      </c>
      <c r="G549">
        <v>0</v>
      </c>
      <c r="H549">
        <v>0</v>
      </c>
      <c r="I549">
        <v>1.3431863E-2</v>
      </c>
      <c r="J549">
        <v>1.1386000000000001E-5</v>
      </c>
      <c r="K549">
        <v>6.7205000000000004</v>
      </c>
      <c r="L549">
        <v>1.8152999999999999</v>
      </c>
      <c r="M549">
        <v>0</v>
      </c>
      <c r="N549">
        <v>0</v>
      </c>
      <c r="O549">
        <v>12.1396</v>
      </c>
    </row>
    <row r="550" spans="1:15" x14ac:dyDescent="0.25">
      <c r="A550" t="s">
        <v>20</v>
      </c>
      <c r="B550" t="s">
        <v>17</v>
      </c>
      <c r="C550">
        <v>15</v>
      </c>
      <c r="D550">
        <v>100</v>
      </c>
      <c r="E550">
        <v>100</v>
      </c>
      <c r="F550" t="str">
        <f t="shared" si="8"/>
        <v>text256_line_15_100_100</v>
      </c>
      <c r="G550">
        <v>0</v>
      </c>
      <c r="H550">
        <v>0</v>
      </c>
      <c r="I550">
        <v>7.7309999999999993E-6</v>
      </c>
      <c r="J550">
        <v>1.4299E-5</v>
      </c>
      <c r="K550">
        <v>39.0212</v>
      </c>
      <c r="L550">
        <v>1.3428</v>
      </c>
      <c r="M550">
        <v>0</v>
      </c>
      <c r="N550">
        <v>0</v>
      </c>
      <c r="O550">
        <v>43.052199999999999</v>
      </c>
    </row>
    <row r="551" spans="1:15" x14ac:dyDescent="0.25">
      <c r="A551" t="s">
        <v>20</v>
      </c>
      <c r="B551" t="s">
        <v>17</v>
      </c>
      <c r="C551">
        <v>15</v>
      </c>
      <c r="D551">
        <v>100</v>
      </c>
      <c r="E551">
        <v>200</v>
      </c>
      <c r="F551" t="str">
        <f t="shared" si="8"/>
        <v>text256_line_15_100_200</v>
      </c>
      <c r="G551">
        <v>0</v>
      </c>
      <c r="H551">
        <v>0</v>
      </c>
      <c r="I551">
        <v>1.6668E-5</v>
      </c>
      <c r="J551">
        <v>1.4295E-5</v>
      </c>
      <c r="K551">
        <v>35.677399999999999</v>
      </c>
      <c r="L551">
        <v>1.3436999999999999</v>
      </c>
      <c r="M551">
        <v>0</v>
      </c>
      <c r="N551">
        <v>0</v>
      </c>
      <c r="O551">
        <v>39.765099999999997</v>
      </c>
    </row>
    <row r="552" spans="1:15" x14ac:dyDescent="0.25">
      <c r="A552" t="s">
        <v>20</v>
      </c>
      <c r="B552" t="s">
        <v>17</v>
      </c>
      <c r="C552">
        <v>15</v>
      </c>
      <c r="D552">
        <v>100</v>
      </c>
      <c r="E552">
        <v>400</v>
      </c>
      <c r="F552" t="str">
        <f t="shared" si="8"/>
        <v>text256_line_15_100_400</v>
      </c>
      <c r="G552">
        <v>0</v>
      </c>
      <c r="H552">
        <v>0</v>
      </c>
      <c r="I552">
        <v>3.4697999999999999E-5</v>
      </c>
      <c r="J552">
        <v>1.4295E-5</v>
      </c>
      <c r="K552">
        <v>32.492100000000001</v>
      </c>
      <c r="L552">
        <v>1.3436999999999999</v>
      </c>
      <c r="M552">
        <v>0</v>
      </c>
      <c r="N552">
        <v>0</v>
      </c>
      <c r="O552">
        <v>36.761800000000001</v>
      </c>
    </row>
    <row r="553" spans="1:15" x14ac:dyDescent="0.25">
      <c r="A553" t="s">
        <v>20</v>
      </c>
      <c r="B553" t="s">
        <v>17</v>
      </c>
      <c r="C553">
        <v>15</v>
      </c>
      <c r="D553">
        <v>100</v>
      </c>
      <c r="E553">
        <v>800</v>
      </c>
      <c r="F553" t="str">
        <f t="shared" si="8"/>
        <v>text256_line_15_100_800</v>
      </c>
      <c r="G553">
        <v>0</v>
      </c>
      <c r="H553">
        <v>0</v>
      </c>
      <c r="I553">
        <v>7.0947999999999999E-5</v>
      </c>
      <c r="J553">
        <v>1.4295E-5</v>
      </c>
      <c r="K553">
        <v>29.369199999999999</v>
      </c>
      <c r="L553">
        <v>1.3436999999999999</v>
      </c>
      <c r="M553">
        <v>0</v>
      </c>
      <c r="N553">
        <v>0</v>
      </c>
      <c r="O553">
        <v>33.709800000000001</v>
      </c>
    </row>
    <row r="554" spans="1:15" x14ac:dyDescent="0.25">
      <c r="A554" t="s">
        <v>20</v>
      </c>
      <c r="B554" t="s">
        <v>17</v>
      </c>
      <c r="C554">
        <v>15</v>
      </c>
      <c r="D554">
        <v>100</v>
      </c>
      <c r="E554">
        <v>1600</v>
      </c>
      <c r="F554" t="str">
        <f t="shared" si="8"/>
        <v>text256_line_15_100_1600</v>
      </c>
      <c r="G554">
        <v>0</v>
      </c>
      <c r="H554">
        <v>0</v>
      </c>
      <c r="I554">
        <v>1.4312299999999999E-4</v>
      </c>
      <c r="J554">
        <v>1.4295E-5</v>
      </c>
      <c r="K554">
        <v>26.304500000000001</v>
      </c>
      <c r="L554">
        <v>1.3436999999999999</v>
      </c>
      <c r="M554">
        <v>0</v>
      </c>
      <c r="N554">
        <v>0</v>
      </c>
      <c r="O554">
        <v>30.672000000000001</v>
      </c>
    </row>
    <row r="555" spans="1:15" x14ac:dyDescent="0.25">
      <c r="A555" t="s">
        <v>20</v>
      </c>
      <c r="B555" t="s">
        <v>17</v>
      </c>
      <c r="C555">
        <v>15</v>
      </c>
      <c r="D555">
        <v>100</v>
      </c>
      <c r="E555">
        <v>3200</v>
      </c>
      <c r="F555" t="str">
        <f t="shared" si="8"/>
        <v>text256_line_15_100_3200</v>
      </c>
      <c r="G555">
        <v>0</v>
      </c>
      <c r="H555">
        <v>0</v>
      </c>
      <c r="I555">
        <v>2.9078099999999999E-4</v>
      </c>
      <c r="J555">
        <v>1.4295E-5</v>
      </c>
      <c r="K555">
        <v>23.1953</v>
      </c>
      <c r="L555">
        <v>1.3436999999999999</v>
      </c>
      <c r="M555">
        <v>0</v>
      </c>
      <c r="N555">
        <v>0</v>
      </c>
      <c r="O555">
        <v>27.713899999999999</v>
      </c>
    </row>
    <row r="556" spans="1:15" x14ac:dyDescent="0.25">
      <c r="A556" t="s">
        <v>20</v>
      </c>
      <c r="B556" t="s">
        <v>17</v>
      </c>
      <c r="C556">
        <v>15</v>
      </c>
      <c r="D556">
        <v>100</v>
      </c>
      <c r="E556">
        <v>6400</v>
      </c>
      <c r="F556" t="str">
        <f t="shared" si="8"/>
        <v>text256_line_15_100_6400</v>
      </c>
      <c r="G556">
        <v>0</v>
      </c>
      <c r="H556">
        <v>0</v>
      </c>
      <c r="I556">
        <v>5.8686299999999997E-4</v>
      </c>
      <c r="J556">
        <v>1.4295E-5</v>
      </c>
      <c r="K556">
        <v>20.123899999999999</v>
      </c>
      <c r="L556">
        <v>1.3436999999999999</v>
      </c>
      <c r="M556">
        <v>0</v>
      </c>
      <c r="N556">
        <v>0</v>
      </c>
      <c r="O556">
        <v>24.835100000000001</v>
      </c>
    </row>
    <row r="557" spans="1:15" x14ac:dyDescent="0.25">
      <c r="A557" t="s">
        <v>20</v>
      </c>
      <c r="B557" t="s">
        <v>17</v>
      </c>
      <c r="C557">
        <v>15</v>
      </c>
      <c r="D557">
        <v>100</v>
      </c>
      <c r="E557">
        <v>12800</v>
      </c>
      <c r="F557" t="str">
        <f t="shared" si="8"/>
        <v>text256_line_15_100_12800</v>
      </c>
      <c r="G557">
        <v>0</v>
      </c>
      <c r="H557">
        <v>0</v>
      </c>
      <c r="I557">
        <v>1.2069310000000001E-3</v>
      </c>
      <c r="J557">
        <v>1.4295E-5</v>
      </c>
      <c r="K557">
        <v>16.956900000000001</v>
      </c>
      <c r="L557">
        <v>1.3436999999999999</v>
      </c>
      <c r="M557">
        <v>0</v>
      </c>
      <c r="N557">
        <v>0</v>
      </c>
      <c r="O557">
        <v>21.9558</v>
      </c>
    </row>
    <row r="558" spans="1:15" x14ac:dyDescent="0.25">
      <c r="A558" t="s">
        <v>20</v>
      </c>
      <c r="B558" t="s">
        <v>17</v>
      </c>
      <c r="C558">
        <v>15</v>
      </c>
      <c r="D558">
        <v>100</v>
      </c>
      <c r="E558">
        <v>25600</v>
      </c>
      <c r="F558" t="str">
        <f t="shared" si="8"/>
        <v>text256_line_15_100_25600</v>
      </c>
      <c r="G558">
        <v>0</v>
      </c>
      <c r="H558">
        <v>0</v>
      </c>
      <c r="I558">
        <v>2.5677880000000001E-3</v>
      </c>
      <c r="J558">
        <v>1.4295E-5</v>
      </c>
      <c r="K558">
        <v>13.655799999999999</v>
      </c>
      <c r="L558">
        <v>1.3436999999999999</v>
      </c>
      <c r="M558">
        <v>0</v>
      </c>
      <c r="N558">
        <v>0</v>
      </c>
      <c r="O558">
        <v>18.845199999999998</v>
      </c>
    </row>
    <row r="559" spans="1:15" x14ac:dyDescent="0.25">
      <c r="A559" t="s">
        <v>20</v>
      </c>
      <c r="B559" t="s">
        <v>17</v>
      </c>
      <c r="C559">
        <v>15</v>
      </c>
      <c r="D559">
        <v>100</v>
      </c>
      <c r="E559">
        <v>102400</v>
      </c>
      <c r="F559" t="str">
        <f t="shared" si="8"/>
        <v>text256_line_15_100_102400</v>
      </c>
      <c r="G559">
        <v>0</v>
      </c>
      <c r="H559">
        <v>0</v>
      </c>
      <c r="I559">
        <v>1.3456536E-2</v>
      </c>
      <c r="J559">
        <v>1.4316E-5</v>
      </c>
      <c r="K559">
        <v>6.7050999999999998</v>
      </c>
      <c r="L559">
        <v>1.3428</v>
      </c>
      <c r="M559">
        <v>0</v>
      </c>
      <c r="N559">
        <v>0</v>
      </c>
      <c r="O559">
        <v>12.164999999999999</v>
      </c>
    </row>
    <row r="560" spans="1:15" x14ac:dyDescent="0.25">
      <c r="A560" t="s">
        <v>20</v>
      </c>
      <c r="B560" t="s">
        <v>17</v>
      </c>
      <c r="C560">
        <v>31</v>
      </c>
      <c r="D560">
        <v>100</v>
      </c>
      <c r="E560">
        <v>100</v>
      </c>
      <c r="F560" t="str">
        <f t="shared" si="8"/>
        <v>text256_line_31_100_100</v>
      </c>
      <c r="G560">
        <v>0</v>
      </c>
      <c r="H560">
        <v>0</v>
      </c>
      <c r="I560">
        <v>7.8280000000000003E-6</v>
      </c>
      <c r="J560">
        <v>1.6161999999999999E-5</v>
      </c>
      <c r="K560">
        <v>38.974299999999999</v>
      </c>
      <c r="L560">
        <v>0.17749999999999999</v>
      </c>
      <c r="M560">
        <v>0</v>
      </c>
      <c r="N560">
        <v>0</v>
      </c>
      <c r="O560">
        <v>43.037700000000001</v>
      </c>
    </row>
    <row r="561" spans="1:15" x14ac:dyDescent="0.25">
      <c r="A561" t="s">
        <v>20</v>
      </c>
      <c r="B561" t="s">
        <v>17</v>
      </c>
      <c r="C561">
        <v>31</v>
      </c>
      <c r="D561">
        <v>100</v>
      </c>
      <c r="E561">
        <v>200</v>
      </c>
      <c r="F561" t="str">
        <f t="shared" si="8"/>
        <v>text256_line_31_100_200</v>
      </c>
      <c r="G561">
        <v>0</v>
      </c>
      <c r="H561">
        <v>0</v>
      </c>
      <c r="I561">
        <v>1.6857000000000001E-5</v>
      </c>
      <c r="J561">
        <v>1.6324000000000002E-5</v>
      </c>
      <c r="K561">
        <v>35.631999999999998</v>
      </c>
      <c r="L561">
        <v>0.1762</v>
      </c>
      <c r="M561">
        <v>0</v>
      </c>
      <c r="N561">
        <v>0</v>
      </c>
      <c r="O561">
        <v>39.737000000000002</v>
      </c>
    </row>
    <row r="562" spans="1:15" x14ac:dyDescent="0.25">
      <c r="A562" t="s">
        <v>20</v>
      </c>
      <c r="B562" t="s">
        <v>17</v>
      </c>
      <c r="C562">
        <v>31</v>
      </c>
      <c r="D562">
        <v>100</v>
      </c>
      <c r="E562">
        <v>400</v>
      </c>
      <c r="F562" t="str">
        <f t="shared" si="8"/>
        <v>text256_line_31_100_400</v>
      </c>
      <c r="G562">
        <v>0</v>
      </c>
      <c r="H562">
        <v>0</v>
      </c>
      <c r="I562">
        <v>3.4885000000000002E-5</v>
      </c>
      <c r="J562">
        <v>1.6324000000000002E-5</v>
      </c>
      <c r="K562">
        <v>32.463500000000003</v>
      </c>
      <c r="L562">
        <v>0.1762</v>
      </c>
      <c r="M562">
        <v>0</v>
      </c>
      <c r="N562">
        <v>0</v>
      </c>
      <c r="O562">
        <v>36.692900000000002</v>
      </c>
    </row>
    <row r="563" spans="1:15" x14ac:dyDescent="0.25">
      <c r="A563" t="s">
        <v>20</v>
      </c>
      <c r="B563" t="s">
        <v>17</v>
      </c>
      <c r="C563">
        <v>31</v>
      </c>
      <c r="D563">
        <v>100</v>
      </c>
      <c r="E563">
        <v>800</v>
      </c>
      <c r="F563" t="str">
        <f t="shared" si="8"/>
        <v>text256_line_31_100_800</v>
      </c>
      <c r="G563">
        <v>0</v>
      </c>
      <c r="H563">
        <v>0</v>
      </c>
      <c r="I563">
        <v>7.0957999999999994E-5</v>
      </c>
      <c r="J563">
        <v>1.6324000000000002E-5</v>
      </c>
      <c r="K563">
        <v>29.366700000000002</v>
      </c>
      <c r="L563">
        <v>0.1762</v>
      </c>
      <c r="M563">
        <v>0</v>
      </c>
      <c r="N563">
        <v>0</v>
      </c>
      <c r="O563">
        <v>33.657899999999998</v>
      </c>
    </row>
    <row r="564" spans="1:15" x14ac:dyDescent="0.25">
      <c r="A564" t="s">
        <v>20</v>
      </c>
      <c r="B564" t="s">
        <v>17</v>
      </c>
      <c r="C564">
        <v>31</v>
      </c>
      <c r="D564">
        <v>100</v>
      </c>
      <c r="E564">
        <v>1600</v>
      </c>
      <c r="F564" t="str">
        <f t="shared" si="8"/>
        <v>text256_line_31_100_1600</v>
      </c>
      <c r="G564">
        <v>0</v>
      </c>
      <c r="H564">
        <v>0</v>
      </c>
      <c r="I564">
        <v>1.4286600000000001E-4</v>
      </c>
      <c r="J564">
        <v>1.6324000000000002E-5</v>
      </c>
      <c r="K564">
        <v>26.311399999999999</v>
      </c>
      <c r="L564">
        <v>0.1762</v>
      </c>
      <c r="M564">
        <v>0</v>
      </c>
      <c r="N564">
        <v>0</v>
      </c>
      <c r="O564">
        <v>30.6538</v>
      </c>
    </row>
    <row r="565" spans="1:15" x14ac:dyDescent="0.25">
      <c r="A565" t="s">
        <v>20</v>
      </c>
      <c r="B565" t="s">
        <v>17</v>
      </c>
      <c r="C565">
        <v>31</v>
      </c>
      <c r="D565">
        <v>100</v>
      </c>
      <c r="E565">
        <v>3200</v>
      </c>
      <c r="F565" t="str">
        <f t="shared" si="8"/>
        <v>text256_line_31_100_3200</v>
      </c>
      <c r="G565">
        <v>0</v>
      </c>
      <c r="H565">
        <v>0</v>
      </c>
      <c r="I565">
        <v>2.9382300000000002E-4</v>
      </c>
      <c r="J565">
        <v>1.6324000000000002E-5</v>
      </c>
      <c r="K565">
        <v>23.151499999999999</v>
      </c>
      <c r="L565">
        <v>0.1762</v>
      </c>
      <c r="M565">
        <v>0</v>
      </c>
      <c r="N565">
        <v>0</v>
      </c>
      <c r="O565">
        <v>27.780100000000001</v>
      </c>
    </row>
    <row r="566" spans="1:15" x14ac:dyDescent="0.25">
      <c r="A566" t="s">
        <v>20</v>
      </c>
      <c r="B566" t="s">
        <v>17</v>
      </c>
      <c r="C566">
        <v>31</v>
      </c>
      <c r="D566">
        <v>100</v>
      </c>
      <c r="E566">
        <v>6400</v>
      </c>
      <c r="F566" t="str">
        <f t="shared" si="8"/>
        <v>text256_line_31_100_6400</v>
      </c>
      <c r="G566">
        <v>0</v>
      </c>
      <c r="H566">
        <v>0</v>
      </c>
      <c r="I566">
        <v>5.8637299999999995E-4</v>
      </c>
      <c r="J566">
        <v>1.6324000000000002E-5</v>
      </c>
      <c r="K566">
        <v>20.127800000000001</v>
      </c>
      <c r="L566">
        <v>0.1762</v>
      </c>
      <c r="M566">
        <v>0</v>
      </c>
      <c r="N566">
        <v>0</v>
      </c>
      <c r="O566">
        <v>24.897200000000002</v>
      </c>
    </row>
    <row r="567" spans="1:15" x14ac:dyDescent="0.25">
      <c r="A567" t="s">
        <v>20</v>
      </c>
      <c r="B567" t="s">
        <v>17</v>
      </c>
      <c r="C567">
        <v>31</v>
      </c>
      <c r="D567">
        <v>100</v>
      </c>
      <c r="E567">
        <v>12800</v>
      </c>
      <c r="F567" t="str">
        <f t="shared" si="8"/>
        <v>text256_line_31_100_12800</v>
      </c>
      <c r="G567">
        <v>0</v>
      </c>
      <c r="H567">
        <v>0</v>
      </c>
      <c r="I567">
        <v>1.206599E-3</v>
      </c>
      <c r="J567">
        <v>1.6324000000000002E-5</v>
      </c>
      <c r="K567">
        <v>16.961300000000001</v>
      </c>
      <c r="L567">
        <v>0.1762</v>
      </c>
      <c r="M567">
        <v>0</v>
      </c>
      <c r="N567">
        <v>0</v>
      </c>
      <c r="O567">
        <v>22.0627</v>
      </c>
    </row>
    <row r="568" spans="1:15" x14ac:dyDescent="0.25">
      <c r="A568" t="s">
        <v>20</v>
      </c>
      <c r="B568" t="s">
        <v>17</v>
      </c>
      <c r="C568">
        <v>31</v>
      </c>
      <c r="D568">
        <v>100</v>
      </c>
      <c r="E568">
        <v>25600</v>
      </c>
      <c r="F568" t="str">
        <f t="shared" si="8"/>
        <v>text256_line_31_100_25600</v>
      </c>
      <c r="G568">
        <v>0</v>
      </c>
      <c r="H568">
        <v>0</v>
      </c>
      <c r="I568">
        <v>2.5604109999999999E-3</v>
      </c>
      <c r="J568">
        <v>1.6324000000000002E-5</v>
      </c>
      <c r="K568">
        <v>13.6684</v>
      </c>
      <c r="L568">
        <v>0.1762</v>
      </c>
      <c r="M568">
        <v>0</v>
      </c>
      <c r="N568">
        <v>0</v>
      </c>
      <c r="O568">
        <v>18.857299999999999</v>
      </c>
    </row>
    <row r="569" spans="1:15" x14ac:dyDescent="0.25">
      <c r="A569" t="s">
        <v>20</v>
      </c>
      <c r="B569" t="s">
        <v>17</v>
      </c>
      <c r="C569">
        <v>31</v>
      </c>
      <c r="D569">
        <v>100</v>
      </c>
      <c r="E569">
        <v>102400</v>
      </c>
      <c r="F569" t="str">
        <f t="shared" si="8"/>
        <v>text256_line_31_100_102400</v>
      </c>
      <c r="G569">
        <v>0</v>
      </c>
      <c r="H569">
        <v>0</v>
      </c>
      <c r="I569">
        <v>1.3351602000000001E-2</v>
      </c>
      <c r="J569">
        <v>1.6223999999999999E-5</v>
      </c>
      <c r="K569">
        <v>6.7385000000000002</v>
      </c>
      <c r="L569">
        <v>0.17760000000000001</v>
      </c>
      <c r="M569">
        <v>0</v>
      </c>
      <c r="N569">
        <v>0</v>
      </c>
      <c r="O569">
        <v>12.1105</v>
      </c>
    </row>
    <row r="570" spans="1:15" x14ac:dyDescent="0.25">
      <c r="A570" t="s">
        <v>20</v>
      </c>
      <c r="B570" t="s">
        <v>17</v>
      </c>
      <c r="C570">
        <v>63</v>
      </c>
      <c r="D570">
        <v>100</v>
      </c>
      <c r="E570">
        <v>200</v>
      </c>
      <c r="F570" t="str">
        <f t="shared" si="8"/>
        <v>text256_line_63_100_200</v>
      </c>
      <c r="G570">
        <v>0</v>
      </c>
      <c r="H570">
        <v>0</v>
      </c>
      <c r="I570">
        <v>1.6969999999999998E-5</v>
      </c>
      <c r="J570">
        <v>1.7448E-5</v>
      </c>
      <c r="K570">
        <v>35.606200000000001</v>
      </c>
      <c r="L570">
        <v>0.3503</v>
      </c>
      <c r="M570">
        <v>0</v>
      </c>
      <c r="N570">
        <v>0</v>
      </c>
      <c r="O570">
        <v>39.713700000000003</v>
      </c>
    </row>
    <row r="571" spans="1:15" x14ac:dyDescent="0.25">
      <c r="A571" t="s">
        <v>20</v>
      </c>
      <c r="B571" t="s">
        <v>17</v>
      </c>
      <c r="C571">
        <v>63</v>
      </c>
      <c r="D571">
        <v>100</v>
      </c>
      <c r="E571">
        <v>400</v>
      </c>
      <c r="F571" t="str">
        <f t="shared" si="8"/>
        <v>text256_line_63_100_400</v>
      </c>
      <c r="G571">
        <v>0</v>
      </c>
      <c r="H571">
        <v>0</v>
      </c>
      <c r="I571">
        <v>3.4461000000000001E-5</v>
      </c>
      <c r="J571">
        <v>1.7448E-5</v>
      </c>
      <c r="K571">
        <v>32.515700000000002</v>
      </c>
      <c r="L571">
        <v>0.3503</v>
      </c>
      <c r="M571">
        <v>0</v>
      </c>
      <c r="N571">
        <v>0</v>
      </c>
      <c r="O571">
        <v>36.661700000000003</v>
      </c>
    </row>
    <row r="572" spans="1:15" x14ac:dyDescent="0.25">
      <c r="A572" t="s">
        <v>20</v>
      </c>
      <c r="B572" t="s">
        <v>17</v>
      </c>
      <c r="C572">
        <v>63</v>
      </c>
      <c r="D572">
        <v>100</v>
      </c>
      <c r="E572">
        <v>800</v>
      </c>
      <c r="F572" t="str">
        <f t="shared" si="8"/>
        <v>text256_line_63_100_800</v>
      </c>
      <c r="G572">
        <v>0</v>
      </c>
      <c r="H572">
        <v>0</v>
      </c>
      <c r="I572">
        <v>7.1816999999999994E-5</v>
      </c>
      <c r="J572">
        <v>1.7448E-5</v>
      </c>
      <c r="K572">
        <v>29.317</v>
      </c>
      <c r="L572">
        <v>0.3503</v>
      </c>
      <c r="M572">
        <v>0</v>
      </c>
      <c r="N572">
        <v>0</v>
      </c>
      <c r="O572">
        <v>33.609000000000002</v>
      </c>
    </row>
    <row r="573" spans="1:15" x14ac:dyDescent="0.25">
      <c r="A573" t="s">
        <v>20</v>
      </c>
      <c r="B573" t="s">
        <v>17</v>
      </c>
      <c r="C573">
        <v>63</v>
      </c>
      <c r="D573">
        <v>100</v>
      </c>
      <c r="E573">
        <v>1600</v>
      </c>
      <c r="F573" t="str">
        <f t="shared" si="8"/>
        <v>text256_line_63_100_1600</v>
      </c>
      <c r="G573">
        <v>0</v>
      </c>
      <c r="H573">
        <v>0</v>
      </c>
      <c r="I573">
        <v>1.4540700000000001E-4</v>
      </c>
      <c r="J573">
        <v>1.7448E-5</v>
      </c>
      <c r="K573">
        <v>26.237500000000001</v>
      </c>
      <c r="L573">
        <v>0.3503</v>
      </c>
      <c r="M573">
        <v>0</v>
      </c>
      <c r="N573">
        <v>0</v>
      </c>
      <c r="O573">
        <v>30.741800000000001</v>
      </c>
    </row>
    <row r="574" spans="1:15" x14ac:dyDescent="0.25">
      <c r="A574" t="s">
        <v>20</v>
      </c>
      <c r="B574" t="s">
        <v>17</v>
      </c>
      <c r="C574">
        <v>63</v>
      </c>
      <c r="D574">
        <v>100</v>
      </c>
      <c r="E574">
        <v>3200</v>
      </c>
      <c r="F574" t="str">
        <f t="shared" si="8"/>
        <v>text256_line_63_100_3200</v>
      </c>
      <c r="G574">
        <v>0</v>
      </c>
      <c r="H574">
        <v>0</v>
      </c>
      <c r="I574">
        <v>2.8969899999999998E-4</v>
      </c>
      <c r="J574">
        <v>1.7448E-5</v>
      </c>
      <c r="K574">
        <v>23.218499999999999</v>
      </c>
      <c r="L574">
        <v>0.3503</v>
      </c>
      <c r="M574">
        <v>0</v>
      </c>
      <c r="N574">
        <v>0</v>
      </c>
      <c r="O574">
        <v>27.7912</v>
      </c>
    </row>
    <row r="575" spans="1:15" x14ac:dyDescent="0.25">
      <c r="A575" t="s">
        <v>20</v>
      </c>
      <c r="B575" t="s">
        <v>17</v>
      </c>
      <c r="C575">
        <v>63</v>
      </c>
      <c r="D575">
        <v>100</v>
      </c>
      <c r="E575">
        <v>6400</v>
      </c>
      <c r="F575" t="str">
        <f t="shared" si="8"/>
        <v>text256_line_63_100_6400</v>
      </c>
      <c r="G575">
        <v>0</v>
      </c>
      <c r="H575">
        <v>0</v>
      </c>
      <c r="I575">
        <v>5.7521500000000001E-4</v>
      </c>
      <c r="J575">
        <v>1.7448E-5</v>
      </c>
      <c r="K575">
        <v>20.211099999999998</v>
      </c>
      <c r="L575">
        <v>0.3503</v>
      </c>
      <c r="M575">
        <v>0</v>
      </c>
      <c r="N575">
        <v>0</v>
      </c>
      <c r="O575">
        <v>24.980599999999999</v>
      </c>
    </row>
    <row r="576" spans="1:15" x14ac:dyDescent="0.25">
      <c r="A576" t="s">
        <v>20</v>
      </c>
      <c r="B576" t="s">
        <v>17</v>
      </c>
      <c r="C576">
        <v>63</v>
      </c>
      <c r="D576">
        <v>100</v>
      </c>
      <c r="E576">
        <v>12800</v>
      </c>
      <c r="F576" t="str">
        <f t="shared" si="8"/>
        <v>text256_line_63_100_12800</v>
      </c>
      <c r="G576">
        <v>0</v>
      </c>
      <c r="H576">
        <v>0</v>
      </c>
      <c r="I576">
        <v>1.2126999999999999E-3</v>
      </c>
      <c r="J576">
        <v>1.7448E-5</v>
      </c>
      <c r="K576">
        <v>16.936599999999999</v>
      </c>
      <c r="L576">
        <v>0.3503</v>
      </c>
      <c r="M576">
        <v>0</v>
      </c>
      <c r="N576">
        <v>0</v>
      </c>
      <c r="O576">
        <v>21.9619</v>
      </c>
    </row>
    <row r="577" spans="1:15" x14ac:dyDescent="0.25">
      <c r="A577" t="s">
        <v>20</v>
      </c>
      <c r="B577" t="s">
        <v>17</v>
      </c>
      <c r="C577">
        <v>63</v>
      </c>
      <c r="D577">
        <v>100</v>
      </c>
      <c r="E577">
        <v>25600</v>
      </c>
      <c r="F577" t="str">
        <f t="shared" si="8"/>
        <v>text256_line_63_100_25600</v>
      </c>
      <c r="G577">
        <v>0</v>
      </c>
      <c r="H577">
        <v>0</v>
      </c>
      <c r="I577">
        <v>2.5443520000000002E-3</v>
      </c>
      <c r="J577">
        <v>1.7448E-5</v>
      </c>
      <c r="K577">
        <v>13.6966</v>
      </c>
      <c r="L577">
        <v>0.3503</v>
      </c>
      <c r="M577">
        <v>0</v>
      </c>
      <c r="N577">
        <v>0</v>
      </c>
      <c r="O577">
        <v>18.873699999999999</v>
      </c>
    </row>
    <row r="578" spans="1:15" x14ac:dyDescent="0.25">
      <c r="A578" t="s">
        <v>19</v>
      </c>
      <c r="B578" t="s">
        <v>18</v>
      </c>
      <c r="C578">
        <v>3</v>
      </c>
      <c r="D578">
        <v>100</v>
      </c>
      <c r="E578">
        <v>100</v>
      </c>
      <c r="F578" t="str">
        <f t="shared" ref="F578:F641" si="9">A578&amp;"_"&amp;B578&amp;"_"&amp;C578&amp;"_"&amp;D578&amp;"_"&amp;E578</f>
        <v>tree256_blurkernel10_3_100_100</v>
      </c>
      <c r="G578">
        <v>0</v>
      </c>
      <c r="H578">
        <v>0</v>
      </c>
      <c r="I578">
        <v>8.9109999999999999E-6</v>
      </c>
      <c r="J578">
        <v>9.1649999999999995E-6</v>
      </c>
      <c r="K578">
        <v>36.082299999999996</v>
      </c>
      <c r="L578">
        <v>10.565300000000001</v>
      </c>
      <c r="M578">
        <v>0</v>
      </c>
      <c r="N578">
        <v>0</v>
      </c>
      <c r="O578">
        <v>36.078899999999997</v>
      </c>
    </row>
    <row r="579" spans="1:15" x14ac:dyDescent="0.25">
      <c r="A579" t="s">
        <v>19</v>
      </c>
      <c r="B579" t="s">
        <v>18</v>
      </c>
      <c r="C579">
        <v>3</v>
      </c>
      <c r="D579">
        <v>100</v>
      </c>
      <c r="E579">
        <v>200</v>
      </c>
      <c r="F579" t="str">
        <f t="shared" si="9"/>
        <v>tree256_blurkernel10_3_100_200</v>
      </c>
      <c r="G579">
        <v>0</v>
      </c>
      <c r="H579">
        <v>0</v>
      </c>
      <c r="I579">
        <v>1.9711000000000002E-5</v>
      </c>
      <c r="J579">
        <v>9.0429999999999996E-6</v>
      </c>
      <c r="K579">
        <v>32.635399999999997</v>
      </c>
      <c r="L579">
        <v>10.5588</v>
      </c>
      <c r="M579">
        <v>0</v>
      </c>
      <c r="N579">
        <v>0</v>
      </c>
      <c r="O579">
        <v>32.647100000000002</v>
      </c>
    </row>
    <row r="580" spans="1:15" x14ac:dyDescent="0.25">
      <c r="A580" t="s">
        <v>19</v>
      </c>
      <c r="B580" t="s">
        <v>18</v>
      </c>
      <c r="C580">
        <v>3</v>
      </c>
      <c r="D580">
        <v>100</v>
      </c>
      <c r="E580">
        <v>400</v>
      </c>
      <c r="F580" t="str">
        <f t="shared" si="9"/>
        <v>tree256_blurkernel10_3_100_400</v>
      </c>
      <c r="G580">
        <v>0</v>
      </c>
      <c r="H580">
        <v>0</v>
      </c>
      <c r="I580">
        <v>4.1328000000000001E-5</v>
      </c>
      <c r="J580">
        <v>9.0429999999999996E-6</v>
      </c>
      <c r="K580">
        <v>29.421700000000001</v>
      </c>
      <c r="L580">
        <v>10.5588</v>
      </c>
      <c r="M580">
        <v>0</v>
      </c>
      <c r="N580">
        <v>0</v>
      </c>
      <c r="O580">
        <v>29.456399999999999</v>
      </c>
    </row>
    <row r="581" spans="1:15" x14ac:dyDescent="0.25">
      <c r="A581" t="s">
        <v>19</v>
      </c>
      <c r="B581" t="s">
        <v>18</v>
      </c>
      <c r="C581">
        <v>3</v>
      </c>
      <c r="D581">
        <v>100</v>
      </c>
      <c r="E581">
        <v>800</v>
      </c>
      <c r="F581" t="str">
        <f t="shared" si="9"/>
        <v>tree256_blurkernel10_3_100_800</v>
      </c>
      <c r="G581">
        <v>0</v>
      </c>
      <c r="H581">
        <v>0</v>
      </c>
      <c r="I581">
        <v>8.4458999999999999E-5</v>
      </c>
      <c r="J581">
        <v>9.0429999999999996E-6</v>
      </c>
      <c r="K581">
        <v>26.319800000000001</v>
      </c>
      <c r="L581">
        <v>10.5588</v>
      </c>
      <c r="M581">
        <v>0</v>
      </c>
      <c r="N581">
        <v>0</v>
      </c>
      <c r="O581">
        <v>26.4085</v>
      </c>
    </row>
    <row r="582" spans="1:15" x14ac:dyDescent="0.25">
      <c r="A582" t="s">
        <v>19</v>
      </c>
      <c r="B582" t="s">
        <v>18</v>
      </c>
      <c r="C582">
        <v>3</v>
      </c>
      <c r="D582">
        <v>100</v>
      </c>
      <c r="E582">
        <v>1600</v>
      </c>
      <c r="F582" t="str">
        <f t="shared" si="9"/>
        <v>tree256_blurkernel10_3_100_1600</v>
      </c>
      <c r="G582">
        <v>0</v>
      </c>
      <c r="H582">
        <v>0</v>
      </c>
      <c r="I582">
        <v>1.7219800000000001E-4</v>
      </c>
      <c r="J582">
        <v>9.0429999999999996E-6</v>
      </c>
      <c r="K582">
        <v>23.237100000000002</v>
      </c>
      <c r="L582">
        <v>10.5588</v>
      </c>
      <c r="M582">
        <v>0</v>
      </c>
      <c r="N582">
        <v>0</v>
      </c>
      <c r="O582">
        <v>23.416599999999999</v>
      </c>
    </row>
    <row r="583" spans="1:15" x14ac:dyDescent="0.25">
      <c r="A583" t="s">
        <v>19</v>
      </c>
      <c r="B583" t="s">
        <v>18</v>
      </c>
      <c r="C583">
        <v>3</v>
      </c>
      <c r="D583">
        <v>100</v>
      </c>
      <c r="E583">
        <v>3200</v>
      </c>
      <c r="F583" t="str">
        <f t="shared" si="9"/>
        <v>tree256_blurkernel10_3_100_3200</v>
      </c>
      <c r="G583">
        <v>0</v>
      </c>
      <c r="H583">
        <v>0</v>
      </c>
      <c r="I583">
        <v>3.5052599999999998E-4</v>
      </c>
      <c r="J583">
        <v>9.0429999999999996E-6</v>
      </c>
      <c r="K583">
        <v>20.165299999999998</v>
      </c>
      <c r="L583">
        <v>10.5588</v>
      </c>
      <c r="M583">
        <v>0</v>
      </c>
      <c r="N583">
        <v>0</v>
      </c>
      <c r="O583">
        <v>20.539899999999999</v>
      </c>
    </row>
    <row r="584" spans="1:15" x14ac:dyDescent="0.25">
      <c r="A584" t="s">
        <v>19</v>
      </c>
      <c r="B584" t="s">
        <v>18</v>
      </c>
      <c r="C584">
        <v>3</v>
      </c>
      <c r="D584">
        <v>100</v>
      </c>
      <c r="E584">
        <v>6400</v>
      </c>
      <c r="F584" t="str">
        <f t="shared" si="9"/>
        <v>tree256_blurkernel10_3_100_6400</v>
      </c>
      <c r="G584">
        <v>0</v>
      </c>
      <c r="H584">
        <v>0</v>
      </c>
      <c r="I584">
        <v>7.1535999999999995E-4</v>
      </c>
      <c r="J584">
        <v>9.0429999999999996E-6</v>
      </c>
      <c r="K584">
        <v>17.101099999999999</v>
      </c>
      <c r="L584">
        <v>10.5588</v>
      </c>
      <c r="M584">
        <v>0</v>
      </c>
      <c r="N584">
        <v>0</v>
      </c>
      <c r="O584">
        <v>17.7742</v>
      </c>
    </row>
    <row r="585" spans="1:15" x14ac:dyDescent="0.25">
      <c r="A585" t="s">
        <v>19</v>
      </c>
      <c r="B585" t="s">
        <v>18</v>
      </c>
      <c r="C585">
        <v>3</v>
      </c>
      <c r="D585">
        <v>100</v>
      </c>
      <c r="E585">
        <v>12800</v>
      </c>
      <c r="F585" t="str">
        <f t="shared" si="9"/>
        <v>tree256_blurkernel10_3_100_12800</v>
      </c>
      <c r="G585">
        <v>0</v>
      </c>
      <c r="H585">
        <v>0</v>
      </c>
      <c r="I585">
        <v>1.510466E-3</v>
      </c>
      <c r="J585">
        <v>9.0429999999999996E-6</v>
      </c>
      <c r="K585">
        <v>13.9452</v>
      </c>
      <c r="L585">
        <v>10.5588</v>
      </c>
      <c r="M585">
        <v>0</v>
      </c>
      <c r="N585">
        <v>0</v>
      </c>
      <c r="O585">
        <v>15.1166</v>
      </c>
    </row>
    <row r="586" spans="1:15" x14ac:dyDescent="0.25">
      <c r="A586" t="s">
        <v>19</v>
      </c>
      <c r="B586" t="s">
        <v>18</v>
      </c>
      <c r="C586">
        <v>3</v>
      </c>
      <c r="D586">
        <v>100</v>
      </c>
      <c r="E586">
        <v>25600</v>
      </c>
      <c r="F586" t="str">
        <f t="shared" si="9"/>
        <v>tree256_blurkernel10_3_100_25600</v>
      </c>
      <c r="G586">
        <v>0</v>
      </c>
      <c r="H586">
        <v>0</v>
      </c>
      <c r="I586">
        <v>3.3614109999999999E-3</v>
      </c>
      <c r="J586">
        <v>9.0429999999999996E-6</v>
      </c>
      <c r="K586">
        <v>10.6486</v>
      </c>
      <c r="L586">
        <v>10.5588</v>
      </c>
      <c r="M586">
        <v>0</v>
      </c>
      <c r="N586">
        <v>0</v>
      </c>
      <c r="O586">
        <v>12.568</v>
      </c>
    </row>
    <row r="587" spans="1:15" x14ac:dyDescent="0.25">
      <c r="A587" t="s">
        <v>19</v>
      </c>
      <c r="B587" t="s">
        <v>18</v>
      </c>
      <c r="C587">
        <v>3</v>
      </c>
      <c r="D587">
        <v>100</v>
      </c>
      <c r="E587">
        <v>102400</v>
      </c>
      <c r="F587" t="str">
        <f t="shared" si="9"/>
        <v>tree256_blurkernel10_3_100_102400</v>
      </c>
      <c r="G587">
        <v>0</v>
      </c>
      <c r="H587">
        <v>0</v>
      </c>
      <c r="I587">
        <v>2.0568848000000001E-2</v>
      </c>
      <c r="J587">
        <v>9.0529999999999996E-6</v>
      </c>
      <c r="K587">
        <v>4.1978999999999997</v>
      </c>
      <c r="L587">
        <v>10.557399999999999</v>
      </c>
      <c r="M587">
        <v>0</v>
      </c>
      <c r="N587">
        <v>0</v>
      </c>
      <c r="O587">
        <v>7.9870000000000001</v>
      </c>
    </row>
    <row r="588" spans="1:15" x14ac:dyDescent="0.25">
      <c r="A588" t="s">
        <v>19</v>
      </c>
      <c r="B588" t="s">
        <v>18</v>
      </c>
      <c r="C588">
        <v>7</v>
      </c>
      <c r="D588">
        <v>100</v>
      </c>
      <c r="E588">
        <v>100</v>
      </c>
      <c r="F588" t="str">
        <f t="shared" si="9"/>
        <v>tree256_blurkernel10_7_100_100</v>
      </c>
      <c r="G588">
        <v>0</v>
      </c>
      <c r="H588">
        <v>0</v>
      </c>
      <c r="I588">
        <v>9.0319999999999992E-6</v>
      </c>
      <c r="J588">
        <v>9.0359999999999995E-6</v>
      </c>
      <c r="K588">
        <v>36.023800000000001</v>
      </c>
      <c r="L588">
        <v>5.9912999999999998</v>
      </c>
      <c r="M588">
        <v>0</v>
      </c>
      <c r="N588">
        <v>0</v>
      </c>
      <c r="O588">
        <v>36.022199999999998</v>
      </c>
    </row>
    <row r="589" spans="1:15" x14ac:dyDescent="0.25">
      <c r="A589" t="s">
        <v>19</v>
      </c>
      <c r="B589" t="s">
        <v>18</v>
      </c>
      <c r="C589">
        <v>7</v>
      </c>
      <c r="D589">
        <v>100</v>
      </c>
      <c r="E589">
        <v>200</v>
      </c>
      <c r="F589" t="str">
        <f t="shared" si="9"/>
        <v>tree256_blurkernel10_7_100_200</v>
      </c>
      <c r="G589">
        <v>0</v>
      </c>
      <c r="H589">
        <v>0</v>
      </c>
      <c r="I589">
        <v>1.9772999999999999E-5</v>
      </c>
      <c r="J589">
        <v>9.0869999999999996E-6</v>
      </c>
      <c r="K589">
        <v>32.620800000000003</v>
      </c>
      <c r="L589">
        <v>5.9939999999999998</v>
      </c>
      <c r="M589">
        <v>0</v>
      </c>
      <c r="N589">
        <v>0</v>
      </c>
      <c r="O589">
        <v>32.6295</v>
      </c>
    </row>
    <row r="590" spans="1:15" x14ac:dyDescent="0.25">
      <c r="A590" t="s">
        <v>19</v>
      </c>
      <c r="B590" t="s">
        <v>18</v>
      </c>
      <c r="C590">
        <v>7</v>
      </c>
      <c r="D590">
        <v>100</v>
      </c>
      <c r="E590">
        <v>400</v>
      </c>
      <c r="F590" t="str">
        <f t="shared" si="9"/>
        <v>tree256_blurkernel10_7_100_400</v>
      </c>
      <c r="G590">
        <v>0</v>
      </c>
      <c r="H590">
        <v>0</v>
      </c>
      <c r="I590">
        <v>4.1020999999999999E-5</v>
      </c>
      <c r="J590">
        <v>9.0869999999999996E-6</v>
      </c>
      <c r="K590">
        <v>29.454699999999999</v>
      </c>
      <c r="L590">
        <v>5.9939999999999998</v>
      </c>
      <c r="M590">
        <v>0</v>
      </c>
      <c r="N590">
        <v>0</v>
      </c>
      <c r="O590">
        <v>29.481999999999999</v>
      </c>
    </row>
    <row r="591" spans="1:15" x14ac:dyDescent="0.25">
      <c r="A591" t="s">
        <v>19</v>
      </c>
      <c r="B591" t="s">
        <v>18</v>
      </c>
      <c r="C591">
        <v>7</v>
      </c>
      <c r="D591">
        <v>100</v>
      </c>
      <c r="E591">
        <v>800</v>
      </c>
      <c r="F591" t="str">
        <f t="shared" si="9"/>
        <v>tree256_blurkernel10_7_100_800</v>
      </c>
      <c r="G591">
        <v>0</v>
      </c>
      <c r="H591">
        <v>0</v>
      </c>
      <c r="I591">
        <v>8.4115000000000004E-5</v>
      </c>
      <c r="J591">
        <v>9.0869999999999996E-6</v>
      </c>
      <c r="K591">
        <v>26.3367</v>
      </c>
      <c r="L591">
        <v>5.9939999999999998</v>
      </c>
      <c r="M591">
        <v>0</v>
      </c>
      <c r="N591">
        <v>0</v>
      </c>
      <c r="O591">
        <v>26.4312</v>
      </c>
    </row>
    <row r="592" spans="1:15" x14ac:dyDescent="0.25">
      <c r="A592" t="s">
        <v>19</v>
      </c>
      <c r="B592" t="s">
        <v>18</v>
      </c>
      <c r="C592">
        <v>7</v>
      </c>
      <c r="D592">
        <v>100</v>
      </c>
      <c r="E592">
        <v>1600</v>
      </c>
      <c r="F592" t="str">
        <f t="shared" si="9"/>
        <v>tree256_blurkernel10_7_100_1600</v>
      </c>
      <c r="G592">
        <v>0</v>
      </c>
      <c r="H592">
        <v>0</v>
      </c>
      <c r="I592">
        <v>1.72027E-4</v>
      </c>
      <c r="J592">
        <v>9.0869999999999996E-6</v>
      </c>
      <c r="K592">
        <v>23.239000000000001</v>
      </c>
      <c r="L592">
        <v>5.9939999999999998</v>
      </c>
      <c r="M592">
        <v>0</v>
      </c>
      <c r="N592">
        <v>0</v>
      </c>
      <c r="O592">
        <v>23.4131</v>
      </c>
    </row>
    <row r="593" spans="1:15" x14ac:dyDescent="0.25">
      <c r="A593" t="s">
        <v>19</v>
      </c>
      <c r="B593" t="s">
        <v>18</v>
      </c>
      <c r="C593">
        <v>7</v>
      </c>
      <c r="D593">
        <v>100</v>
      </c>
      <c r="E593">
        <v>3200</v>
      </c>
      <c r="F593" t="str">
        <f t="shared" si="9"/>
        <v>tree256_blurkernel10_7_100_3200</v>
      </c>
      <c r="G593">
        <v>0</v>
      </c>
      <c r="H593">
        <v>0</v>
      </c>
      <c r="I593">
        <v>3.4708100000000001E-4</v>
      </c>
      <c r="J593">
        <v>9.0869999999999996E-6</v>
      </c>
      <c r="K593">
        <v>20.204799999999999</v>
      </c>
      <c r="L593">
        <v>5.9939999999999998</v>
      </c>
      <c r="M593">
        <v>0</v>
      </c>
      <c r="N593">
        <v>0</v>
      </c>
      <c r="O593">
        <v>20.569099999999999</v>
      </c>
    </row>
    <row r="594" spans="1:15" x14ac:dyDescent="0.25">
      <c r="A594" t="s">
        <v>19</v>
      </c>
      <c r="B594" t="s">
        <v>18</v>
      </c>
      <c r="C594">
        <v>7</v>
      </c>
      <c r="D594">
        <v>100</v>
      </c>
      <c r="E594">
        <v>6400</v>
      </c>
      <c r="F594" t="str">
        <f t="shared" si="9"/>
        <v>tree256_blurkernel10_7_100_6400</v>
      </c>
      <c r="G594">
        <v>0</v>
      </c>
      <c r="H594">
        <v>0</v>
      </c>
      <c r="I594">
        <v>7.1827999999999996E-4</v>
      </c>
      <c r="J594">
        <v>9.0869999999999996E-6</v>
      </c>
      <c r="K594">
        <v>17.087</v>
      </c>
      <c r="L594">
        <v>5.9939999999999998</v>
      </c>
      <c r="M594">
        <v>0</v>
      </c>
      <c r="N594">
        <v>0</v>
      </c>
      <c r="O594">
        <v>17.7315</v>
      </c>
    </row>
    <row r="595" spans="1:15" x14ac:dyDescent="0.25">
      <c r="A595" t="s">
        <v>19</v>
      </c>
      <c r="B595" t="s">
        <v>18</v>
      </c>
      <c r="C595">
        <v>7</v>
      </c>
      <c r="D595">
        <v>100</v>
      </c>
      <c r="E595">
        <v>12800</v>
      </c>
      <c r="F595" t="str">
        <f t="shared" si="9"/>
        <v>tree256_blurkernel10_7_100_12800</v>
      </c>
      <c r="G595">
        <v>0</v>
      </c>
      <c r="H595">
        <v>0</v>
      </c>
      <c r="I595">
        <v>1.502153E-3</v>
      </c>
      <c r="J595">
        <v>9.0869999999999996E-6</v>
      </c>
      <c r="K595">
        <v>13.958399999999999</v>
      </c>
      <c r="L595">
        <v>5.9939999999999998</v>
      </c>
      <c r="M595">
        <v>0</v>
      </c>
      <c r="N595">
        <v>0</v>
      </c>
      <c r="O595">
        <v>15.121700000000001</v>
      </c>
    </row>
    <row r="596" spans="1:15" x14ac:dyDescent="0.25">
      <c r="A596" t="s">
        <v>19</v>
      </c>
      <c r="B596" t="s">
        <v>18</v>
      </c>
      <c r="C596">
        <v>7</v>
      </c>
      <c r="D596">
        <v>100</v>
      </c>
      <c r="E596">
        <v>25600</v>
      </c>
      <c r="F596" t="str">
        <f t="shared" si="9"/>
        <v>tree256_blurkernel10_7_100_25600</v>
      </c>
      <c r="G596">
        <v>0</v>
      </c>
      <c r="H596">
        <v>0</v>
      </c>
      <c r="I596">
        <v>3.3506679999999998E-3</v>
      </c>
      <c r="J596">
        <v>9.0869999999999996E-6</v>
      </c>
      <c r="K596">
        <v>10.6645</v>
      </c>
      <c r="L596">
        <v>5.9939999999999998</v>
      </c>
      <c r="M596">
        <v>0</v>
      </c>
      <c r="N596">
        <v>0</v>
      </c>
      <c r="O596">
        <v>12.6218</v>
      </c>
    </row>
    <row r="597" spans="1:15" x14ac:dyDescent="0.25">
      <c r="A597" t="s">
        <v>19</v>
      </c>
      <c r="B597" t="s">
        <v>18</v>
      </c>
      <c r="C597">
        <v>7</v>
      </c>
      <c r="D597">
        <v>100</v>
      </c>
      <c r="E597">
        <v>102400</v>
      </c>
      <c r="F597" t="str">
        <f t="shared" si="9"/>
        <v>tree256_blurkernel10_7_100_102400</v>
      </c>
      <c r="G597">
        <v>0</v>
      </c>
      <c r="H597">
        <v>0</v>
      </c>
      <c r="I597">
        <v>2.0379765000000001E-2</v>
      </c>
      <c r="J597">
        <v>9.0589999999999992E-6</v>
      </c>
      <c r="K597">
        <v>4.2587999999999999</v>
      </c>
      <c r="L597">
        <v>5.9927999999999999</v>
      </c>
      <c r="M597">
        <v>0</v>
      </c>
      <c r="N597">
        <v>0</v>
      </c>
      <c r="O597">
        <v>7.9371</v>
      </c>
    </row>
    <row r="598" spans="1:15" x14ac:dyDescent="0.25">
      <c r="A598" t="s">
        <v>19</v>
      </c>
      <c r="B598" t="s">
        <v>18</v>
      </c>
      <c r="C598">
        <v>15</v>
      </c>
      <c r="D598">
        <v>100</v>
      </c>
      <c r="E598">
        <v>100</v>
      </c>
      <c r="F598" t="str">
        <f t="shared" si="9"/>
        <v>tree256_blurkernel10_15_100_100</v>
      </c>
      <c r="G598">
        <v>0</v>
      </c>
      <c r="H598">
        <v>0</v>
      </c>
      <c r="I598">
        <v>9.0580000000000004E-6</v>
      </c>
      <c r="J598">
        <v>9.0620000000000007E-6</v>
      </c>
      <c r="K598">
        <v>36.011600000000001</v>
      </c>
      <c r="L598">
        <v>3.7458999999999998</v>
      </c>
      <c r="M598">
        <v>0</v>
      </c>
      <c r="N598">
        <v>0</v>
      </c>
      <c r="O598">
        <v>36.013100000000001</v>
      </c>
    </row>
    <row r="599" spans="1:15" x14ac:dyDescent="0.25">
      <c r="A599" t="s">
        <v>19</v>
      </c>
      <c r="B599" t="s">
        <v>18</v>
      </c>
      <c r="C599">
        <v>15</v>
      </c>
      <c r="D599">
        <v>100</v>
      </c>
      <c r="E599">
        <v>200</v>
      </c>
      <c r="F599" t="str">
        <f t="shared" si="9"/>
        <v>tree256_blurkernel10_15_100_200</v>
      </c>
      <c r="G599">
        <v>0</v>
      </c>
      <c r="H599">
        <v>0</v>
      </c>
      <c r="I599">
        <v>1.9752999999999999E-5</v>
      </c>
      <c r="J599">
        <v>9.0489999999999993E-6</v>
      </c>
      <c r="K599">
        <v>32.626800000000003</v>
      </c>
      <c r="L599">
        <v>3.7448000000000001</v>
      </c>
      <c r="M599">
        <v>0</v>
      </c>
      <c r="N599">
        <v>0</v>
      </c>
      <c r="O599">
        <v>32.643500000000003</v>
      </c>
    </row>
    <row r="600" spans="1:15" x14ac:dyDescent="0.25">
      <c r="A600" t="s">
        <v>19</v>
      </c>
      <c r="B600" t="s">
        <v>18</v>
      </c>
      <c r="C600">
        <v>15</v>
      </c>
      <c r="D600">
        <v>100</v>
      </c>
      <c r="E600">
        <v>400</v>
      </c>
      <c r="F600" t="str">
        <f t="shared" si="9"/>
        <v>tree256_blurkernel10_15_100_400</v>
      </c>
      <c r="G600">
        <v>0</v>
      </c>
      <c r="H600">
        <v>0</v>
      </c>
      <c r="I600">
        <v>4.1390000000000002E-5</v>
      </c>
      <c r="J600">
        <v>9.0489999999999993E-6</v>
      </c>
      <c r="K600">
        <v>29.417000000000002</v>
      </c>
      <c r="L600">
        <v>3.7448000000000001</v>
      </c>
      <c r="M600">
        <v>0</v>
      </c>
      <c r="N600">
        <v>0</v>
      </c>
      <c r="O600">
        <v>29.452400000000001</v>
      </c>
    </row>
    <row r="601" spans="1:15" x14ac:dyDescent="0.25">
      <c r="A601" t="s">
        <v>19</v>
      </c>
      <c r="B601" t="s">
        <v>18</v>
      </c>
      <c r="C601">
        <v>15</v>
      </c>
      <c r="D601">
        <v>100</v>
      </c>
      <c r="E601">
        <v>800</v>
      </c>
      <c r="F601" t="str">
        <f t="shared" si="9"/>
        <v>tree256_blurkernel10_15_100_800</v>
      </c>
      <c r="G601">
        <v>0</v>
      </c>
      <c r="H601">
        <v>0</v>
      </c>
      <c r="I601">
        <v>8.4241999999999997E-5</v>
      </c>
      <c r="J601">
        <v>9.0489999999999993E-6</v>
      </c>
      <c r="K601">
        <v>26.330200000000001</v>
      </c>
      <c r="L601">
        <v>3.7448000000000001</v>
      </c>
      <c r="M601">
        <v>0</v>
      </c>
      <c r="N601">
        <v>0</v>
      </c>
      <c r="O601">
        <v>26.417000000000002</v>
      </c>
    </row>
    <row r="602" spans="1:15" x14ac:dyDescent="0.25">
      <c r="A602" t="s">
        <v>19</v>
      </c>
      <c r="B602" t="s">
        <v>18</v>
      </c>
      <c r="C602">
        <v>15</v>
      </c>
      <c r="D602">
        <v>100</v>
      </c>
      <c r="E602">
        <v>1600</v>
      </c>
      <c r="F602" t="str">
        <f t="shared" si="9"/>
        <v>tree256_blurkernel10_15_100_1600</v>
      </c>
      <c r="G602">
        <v>0</v>
      </c>
      <c r="H602">
        <v>0</v>
      </c>
      <c r="I602">
        <v>1.71173E-4</v>
      </c>
      <c r="J602">
        <v>9.0489999999999993E-6</v>
      </c>
      <c r="K602">
        <v>23.258900000000001</v>
      </c>
      <c r="L602">
        <v>3.7448000000000001</v>
      </c>
      <c r="M602">
        <v>0</v>
      </c>
      <c r="N602">
        <v>0</v>
      </c>
      <c r="O602">
        <v>23.438800000000001</v>
      </c>
    </row>
    <row r="603" spans="1:15" x14ac:dyDescent="0.25">
      <c r="A603" t="s">
        <v>19</v>
      </c>
      <c r="B603" t="s">
        <v>18</v>
      </c>
      <c r="C603">
        <v>15</v>
      </c>
      <c r="D603">
        <v>100</v>
      </c>
      <c r="E603">
        <v>3200</v>
      </c>
      <c r="F603" t="str">
        <f t="shared" si="9"/>
        <v>tree256_blurkernel10_15_100_3200</v>
      </c>
      <c r="G603">
        <v>0</v>
      </c>
      <c r="H603">
        <v>0</v>
      </c>
      <c r="I603">
        <v>3.5167E-4</v>
      </c>
      <c r="J603">
        <v>9.0489999999999993E-6</v>
      </c>
      <c r="K603">
        <v>20.154199999999999</v>
      </c>
      <c r="L603">
        <v>3.7448000000000001</v>
      </c>
      <c r="M603">
        <v>0</v>
      </c>
      <c r="N603">
        <v>0</v>
      </c>
      <c r="O603">
        <v>20.5213</v>
      </c>
    </row>
    <row r="604" spans="1:15" x14ac:dyDescent="0.25">
      <c r="A604" t="s">
        <v>19</v>
      </c>
      <c r="B604" t="s">
        <v>18</v>
      </c>
      <c r="C604">
        <v>15</v>
      </c>
      <c r="D604">
        <v>100</v>
      </c>
      <c r="E604">
        <v>6400</v>
      </c>
      <c r="F604" t="str">
        <f t="shared" si="9"/>
        <v>tree256_blurkernel10_15_100_6400</v>
      </c>
      <c r="G604">
        <v>0</v>
      </c>
      <c r="H604">
        <v>0</v>
      </c>
      <c r="I604">
        <v>7.1888200000000001E-4</v>
      </c>
      <c r="J604">
        <v>9.0489999999999993E-6</v>
      </c>
      <c r="K604">
        <v>17.081900000000001</v>
      </c>
      <c r="L604">
        <v>3.7448000000000001</v>
      </c>
      <c r="M604">
        <v>0</v>
      </c>
      <c r="N604">
        <v>0</v>
      </c>
      <c r="O604">
        <v>17.723199999999999</v>
      </c>
    </row>
    <row r="605" spans="1:15" x14ac:dyDescent="0.25">
      <c r="A605" t="s">
        <v>19</v>
      </c>
      <c r="B605" t="s">
        <v>18</v>
      </c>
      <c r="C605">
        <v>15</v>
      </c>
      <c r="D605">
        <v>100</v>
      </c>
      <c r="E605">
        <v>12800</v>
      </c>
      <c r="F605" t="str">
        <f t="shared" si="9"/>
        <v>tree256_blurkernel10_15_100_12800</v>
      </c>
      <c r="G605">
        <v>0</v>
      </c>
      <c r="H605">
        <v>0</v>
      </c>
      <c r="I605">
        <v>1.5146479999999999E-3</v>
      </c>
      <c r="J605">
        <v>9.0489999999999993E-6</v>
      </c>
      <c r="K605">
        <v>13.9374</v>
      </c>
      <c r="L605">
        <v>3.7448000000000001</v>
      </c>
      <c r="M605">
        <v>0</v>
      </c>
      <c r="N605">
        <v>0</v>
      </c>
      <c r="O605">
        <v>15.1007</v>
      </c>
    </row>
    <row r="606" spans="1:15" x14ac:dyDescent="0.25">
      <c r="A606" t="s">
        <v>19</v>
      </c>
      <c r="B606" t="s">
        <v>18</v>
      </c>
      <c r="C606">
        <v>15</v>
      </c>
      <c r="D606">
        <v>100</v>
      </c>
      <c r="E606">
        <v>25600</v>
      </c>
      <c r="F606" t="str">
        <f t="shared" si="9"/>
        <v>tree256_blurkernel10_15_100_25600</v>
      </c>
      <c r="G606">
        <v>0</v>
      </c>
      <c r="H606">
        <v>0</v>
      </c>
      <c r="I606">
        <v>3.3518850000000002E-3</v>
      </c>
      <c r="J606">
        <v>9.0489999999999993E-6</v>
      </c>
      <c r="K606">
        <v>10.681100000000001</v>
      </c>
      <c r="L606">
        <v>3.7448000000000001</v>
      </c>
      <c r="M606">
        <v>0</v>
      </c>
      <c r="N606">
        <v>0</v>
      </c>
      <c r="O606">
        <v>12.594099999999999</v>
      </c>
    </row>
    <row r="607" spans="1:15" x14ac:dyDescent="0.25">
      <c r="A607" t="s">
        <v>19</v>
      </c>
      <c r="B607" t="s">
        <v>18</v>
      </c>
      <c r="C607">
        <v>15</v>
      </c>
      <c r="D607">
        <v>100</v>
      </c>
      <c r="E607">
        <v>102400</v>
      </c>
      <c r="F607" t="str">
        <f t="shared" si="9"/>
        <v>tree256_blurkernel10_15_100_102400</v>
      </c>
      <c r="G607">
        <v>0</v>
      </c>
      <c r="H607">
        <v>0</v>
      </c>
      <c r="I607">
        <v>2.0277625000000001E-2</v>
      </c>
      <c r="J607">
        <v>9.0250000000000008E-6</v>
      </c>
      <c r="K607">
        <v>4.2629000000000001</v>
      </c>
      <c r="L607">
        <v>3.7452000000000001</v>
      </c>
      <c r="M607">
        <v>0</v>
      </c>
      <c r="N607">
        <v>0</v>
      </c>
      <c r="O607">
        <v>7.9744999999999999</v>
      </c>
    </row>
    <row r="608" spans="1:15" x14ac:dyDescent="0.25">
      <c r="A608" t="s">
        <v>19</v>
      </c>
      <c r="B608" t="s">
        <v>18</v>
      </c>
      <c r="C608">
        <v>31</v>
      </c>
      <c r="D608">
        <v>100</v>
      </c>
      <c r="E608">
        <v>100</v>
      </c>
      <c r="F608" t="str">
        <f t="shared" si="9"/>
        <v>tree256_blurkernel10_31_100_100</v>
      </c>
      <c r="G608">
        <v>0</v>
      </c>
      <c r="H608">
        <v>0</v>
      </c>
      <c r="I608">
        <v>9.0059999999999998E-6</v>
      </c>
      <c r="J608">
        <v>9.0790000000000007E-6</v>
      </c>
      <c r="K608">
        <v>36.036499999999997</v>
      </c>
      <c r="L608">
        <v>2.5842000000000001</v>
      </c>
      <c r="M608">
        <v>0</v>
      </c>
      <c r="N608">
        <v>0</v>
      </c>
      <c r="O608">
        <v>36.040900000000001</v>
      </c>
    </row>
    <row r="609" spans="1:15" x14ac:dyDescent="0.25">
      <c r="A609" t="s">
        <v>19</v>
      </c>
      <c r="B609" t="s">
        <v>18</v>
      </c>
      <c r="C609">
        <v>31</v>
      </c>
      <c r="D609">
        <v>100</v>
      </c>
      <c r="E609">
        <v>200</v>
      </c>
      <c r="F609" t="str">
        <f t="shared" si="9"/>
        <v>tree256_blurkernel10_31_100_200</v>
      </c>
      <c r="G609">
        <v>0</v>
      </c>
      <c r="H609">
        <v>0</v>
      </c>
      <c r="I609">
        <v>1.9814E-5</v>
      </c>
      <c r="J609">
        <v>8.9970000000000004E-6</v>
      </c>
      <c r="K609">
        <v>32.612099999999998</v>
      </c>
      <c r="L609">
        <v>2.5832999999999999</v>
      </c>
      <c r="M609">
        <v>0</v>
      </c>
      <c r="N609">
        <v>0</v>
      </c>
      <c r="O609">
        <v>32.629899999999999</v>
      </c>
    </row>
    <row r="610" spans="1:15" x14ac:dyDescent="0.25">
      <c r="A610" t="s">
        <v>19</v>
      </c>
      <c r="B610" t="s">
        <v>18</v>
      </c>
      <c r="C610">
        <v>31</v>
      </c>
      <c r="D610">
        <v>100</v>
      </c>
      <c r="E610">
        <v>400</v>
      </c>
      <c r="F610" t="str">
        <f t="shared" si="9"/>
        <v>tree256_blurkernel10_31_100_400</v>
      </c>
      <c r="G610">
        <v>0</v>
      </c>
      <c r="H610">
        <v>0</v>
      </c>
      <c r="I610">
        <v>4.1063000000000003E-5</v>
      </c>
      <c r="J610">
        <v>8.9970000000000004E-6</v>
      </c>
      <c r="K610">
        <v>29.450199999999999</v>
      </c>
      <c r="L610">
        <v>2.5832999999999999</v>
      </c>
      <c r="M610">
        <v>0</v>
      </c>
      <c r="N610">
        <v>0</v>
      </c>
      <c r="O610">
        <v>29.4863</v>
      </c>
    </row>
    <row r="611" spans="1:15" x14ac:dyDescent="0.25">
      <c r="A611" t="s">
        <v>19</v>
      </c>
      <c r="B611" t="s">
        <v>18</v>
      </c>
      <c r="C611">
        <v>31</v>
      </c>
      <c r="D611">
        <v>100</v>
      </c>
      <c r="E611">
        <v>800</v>
      </c>
      <c r="F611" t="str">
        <f t="shared" si="9"/>
        <v>tree256_blurkernel10_31_100_800</v>
      </c>
      <c r="G611">
        <v>0</v>
      </c>
      <c r="H611">
        <v>0</v>
      </c>
      <c r="I611">
        <v>8.4810999999999998E-5</v>
      </c>
      <c r="J611">
        <v>8.9970000000000004E-6</v>
      </c>
      <c r="K611">
        <v>26.3035</v>
      </c>
      <c r="L611">
        <v>2.5832999999999999</v>
      </c>
      <c r="M611">
        <v>0</v>
      </c>
      <c r="N611">
        <v>0</v>
      </c>
      <c r="O611">
        <v>26.384499999999999</v>
      </c>
    </row>
    <row r="612" spans="1:15" x14ac:dyDescent="0.25">
      <c r="A612" t="s">
        <v>19</v>
      </c>
      <c r="B612" t="s">
        <v>18</v>
      </c>
      <c r="C612">
        <v>31</v>
      </c>
      <c r="D612">
        <v>100</v>
      </c>
      <c r="E612">
        <v>1600</v>
      </c>
      <c r="F612" t="str">
        <f t="shared" si="9"/>
        <v>tree256_blurkernel10_31_100_1600</v>
      </c>
      <c r="G612">
        <v>0</v>
      </c>
      <c r="H612">
        <v>0</v>
      </c>
      <c r="I612">
        <v>1.70872E-4</v>
      </c>
      <c r="J612">
        <v>8.9970000000000004E-6</v>
      </c>
      <c r="K612">
        <v>23.266500000000001</v>
      </c>
      <c r="L612">
        <v>2.5832999999999999</v>
      </c>
      <c r="M612">
        <v>0</v>
      </c>
      <c r="N612">
        <v>0</v>
      </c>
      <c r="O612">
        <v>23.4481</v>
      </c>
    </row>
    <row r="613" spans="1:15" x14ac:dyDescent="0.25">
      <c r="A613" t="s">
        <v>19</v>
      </c>
      <c r="B613" t="s">
        <v>18</v>
      </c>
      <c r="C613">
        <v>31</v>
      </c>
      <c r="D613">
        <v>100</v>
      </c>
      <c r="E613">
        <v>3200</v>
      </c>
      <c r="F613" t="str">
        <f t="shared" si="9"/>
        <v>tree256_blurkernel10_31_100_3200</v>
      </c>
      <c r="G613">
        <v>0</v>
      </c>
      <c r="H613">
        <v>0</v>
      </c>
      <c r="I613">
        <v>3.4166399999999999E-4</v>
      </c>
      <c r="J613">
        <v>8.9970000000000004E-6</v>
      </c>
      <c r="K613">
        <v>20.274699999999999</v>
      </c>
      <c r="L613">
        <v>2.5832999999999999</v>
      </c>
      <c r="M613">
        <v>0</v>
      </c>
      <c r="N613">
        <v>0</v>
      </c>
      <c r="O613">
        <v>20.633800000000001</v>
      </c>
    </row>
    <row r="614" spans="1:15" x14ac:dyDescent="0.25">
      <c r="A614" t="s">
        <v>19</v>
      </c>
      <c r="B614" t="s">
        <v>18</v>
      </c>
      <c r="C614">
        <v>31</v>
      </c>
      <c r="D614">
        <v>100</v>
      </c>
      <c r="E614">
        <v>6400</v>
      </c>
      <c r="F614" t="str">
        <f t="shared" si="9"/>
        <v>tree256_blurkernel10_31_100_6400</v>
      </c>
      <c r="G614">
        <v>0</v>
      </c>
      <c r="H614">
        <v>0</v>
      </c>
      <c r="I614">
        <v>7.2164899999999999E-4</v>
      </c>
      <c r="J614">
        <v>8.9970000000000004E-6</v>
      </c>
      <c r="K614">
        <v>17.065200000000001</v>
      </c>
      <c r="L614">
        <v>2.5832999999999999</v>
      </c>
      <c r="M614">
        <v>0</v>
      </c>
      <c r="N614">
        <v>0</v>
      </c>
      <c r="O614">
        <v>17.719200000000001</v>
      </c>
    </row>
    <row r="615" spans="1:15" x14ac:dyDescent="0.25">
      <c r="A615" t="s">
        <v>19</v>
      </c>
      <c r="B615" t="s">
        <v>18</v>
      </c>
      <c r="C615">
        <v>31</v>
      </c>
      <c r="D615">
        <v>100</v>
      </c>
      <c r="E615">
        <v>12800</v>
      </c>
      <c r="F615" t="str">
        <f t="shared" si="9"/>
        <v>tree256_blurkernel10_31_100_12800</v>
      </c>
      <c r="G615">
        <v>0</v>
      </c>
      <c r="H615">
        <v>0</v>
      </c>
      <c r="I615">
        <v>1.52911E-3</v>
      </c>
      <c r="J615">
        <v>8.9970000000000004E-6</v>
      </c>
      <c r="K615">
        <v>13.881600000000001</v>
      </c>
      <c r="L615">
        <v>2.5832999999999999</v>
      </c>
      <c r="M615">
        <v>0</v>
      </c>
      <c r="N615">
        <v>0</v>
      </c>
      <c r="O615">
        <v>15.0616</v>
      </c>
    </row>
    <row r="616" spans="1:15" x14ac:dyDescent="0.25">
      <c r="A616" t="s">
        <v>19</v>
      </c>
      <c r="B616" t="s">
        <v>18</v>
      </c>
      <c r="C616">
        <v>31</v>
      </c>
      <c r="D616">
        <v>100</v>
      </c>
      <c r="E616">
        <v>25600</v>
      </c>
      <c r="F616" t="str">
        <f t="shared" si="9"/>
        <v>tree256_blurkernel10_31_100_25600</v>
      </c>
      <c r="G616">
        <v>0</v>
      </c>
      <c r="H616">
        <v>0</v>
      </c>
      <c r="I616">
        <v>3.3321869999999999E-3</v>
      </c>
      <c r="J616">
        <v>8.9970000000000004E-6</v>
      </c>
      <c r="K616">
        <v>10.6844</v>
      </c>
      <c r="L616">
        <v>2.5832999999999999</v>
      </c>
      <c r="M616">
        <v>0</v>
      </c>
      <c r="N616">
        <v>0</v>
      </c>
      <c r="O616">
        <v>12.6122</v>
      </c>
    </row>
    <row r="617" spans="1:15" x14ac:dyDescent="0.25">
      <c r="A617" t="s">
        <v>19</v>
      </c>
      <c r="B617" t="s">
        <v>18</v>
      </c>
      <c r="C617">
        <v>31</v>
      </c>
      <c r="D617">
        <v>100</v>
      </c>
      <c r="E617">
        <v>102400</v>
      </c>
      <c r="F617" t="str">
        <f t="shared" si="9"/>
        <v>tree256_blurkernel10_31_100_102400</v>
      </c>
      <c r="G617">
        <v>0</v>
      </c>
      <c r="H617">
        <v>0</v>
      </c>
      <c r="I617">
        <v>2.0331970000000001E-2</v>
      </c>
      <c r="J617">
        <v>8.9809999999999992E-6</v>
      </c>
      <c r="K617">
        <v>4.2477999999999998</v>
      </c>
      <c r="L617">
        <v>2.5838000000000001</v>
      </c>
      <c r="M617">
        <v>0</v>
      </c>
      <c r="N617">
        <v>0</v>
      </c>
      <c r="O617">
        <v>7.9747000000000003</v>
      </c>
    </row>
    <row r="618" spans="1:15" x14ac:dyDescent="0.25">
      <c r="A618" t="s">
        <v>19</v>
      </c>
      <c r="B618" t="s">
        <v>18</v>
      </c>
      <c r="C618">
        <v>63</v>
      </c>
      <c r="D618">
        <v>100</v>
      </c>
      <c r="E618">
        <v>200</v>
      </c>
      <c r="F618" t="str">
        <f t="shared" si="9"/>
        <v>tree256_blurkernel10_63_100_200</v>
      </c>
      <c r="G618">
        <v>0</v>
      </c>
      <c r="H618">
        <v>0</v>
      </c>
      <c r="I618">
        <v>1.9684E-5</v>
      </c>
      <c r="J618">
        <v>8.9579999999999996E-6</v>
      </c>
      <c r="K618">
        <v>32.642200000000003</v>
      </c>
      <c r="L618">
        <v>2.0015000000000001</v>
      </c>
      <c r="M618">
        <v>0</v>
      </c>
      <c r="N618">
        <v>0</v>
      </c>
      <c r="O618">
        <v>32.6571</v>
      </c>
    </row>
    <row r="619" spans="1:15" x14ac:dyDescent="0.25">
      <c r="A619" t="s">
        <v>19</v>
      </c>
      <c r="B619" t="s">
        <v>18</v>
      </c>
      <c r="C619">
        <v>63</v>
      </c>
      <c r="D619">
        <v>100</v>
      </c>
      <c r="E619">
        <v>400</v>
      </c>
      <c r="F619" t="str">
        <f t="shared" si="9"/>
        <v>tree256_blurkernel10_63_100_400</v>
      </c>
      <c r="G619">
        <v>0</v>
      </c>
      <c r="H619">
        <v>0</v>
      </c>
      <c r="I619">
        <v>4.1446999999999998E-5</v>
      </c>
      <c r="J619">
        <v>8.9579999999999996E-6</v>
      </c>
      <c r="K619">
        <v>29.4084</v>
      </c>
      <c r="L619">
        <v>2.0015000000000001</v>
      </c>
      <c r="M619">
        <v>0</v>
      </c>
      <c r="N619">
        <v>0</v>
      </c>
      <c r="O619">
        <v>29.446999999999999</v>
      </c>
    </row>
    <row r="620" spans="1:15" x14ac:dyDescent="0.25">
      <c r="A620" t="s">
        <v>19</v>
      </c>
      <c r="B620" t="s">
        <v>18</v>
      </c>
      <c r="C620">
        <v>63</v>
      </c>
      <c r="D620">
        <v>100</v>
      </c>
      <c r="E620">
        <v>800</v>
      </c>
      <c r="F620" t="str">
        <f t="shared" si="9"/>
        <v>tree256_blurkernel10_63_100_800</v>
      </c>
      <c r="G620">
        <v>0</v>
      </c>
      <c r="H620">
        <v>0</v>
      </c>
      <c r="I620">
        <v>8.4704999999999996E-5</v>
      </c>
      <c r="J620">
        <v>8.9579999999999996E-6</v>
      </c>
      <c r="K620">
        <v>26.308299999999999</v>
      </c>
      <c r="L620">
        <v>2.0015000000000001</v>
      </c>
      <c r="M620">
        <v>0</v>
      </c>
      <c r="N620">
        <v>0</v>
      </c>
      <c r="O620">
        <v>26.386600000000001</v>
      </c>
    </row>
    <row r="621" spans="1:15" x14ac:dyDescent="0.25">
      <c r="A621" t="s">
        <v>19</v>
      </c>
      <c r="B621" t="s">
        <v>18</v>
      </c>
      <c r="C621">
        <v>63</v>
      </c>
      <c r="D621">
        <v>100</v>
      </c>
      <c r="E621">
        <v>1600</v>
      </c>
      <c r="F621" t="str">
        <f t="shared" si="9"/>
        <v>tree256_blurkernel10_63_100_1600</v>
      </c>
      <c r="G621">
        <v>0</v>
      </c>
      <c r="H621">
        <v>0</v>
      </c>
      <c r="I621">
        <v>1.7061800000000001E-4</v>
      </c>
      <c r="J621">
        <v>8.9579999999999996E-6</v>
      </c>
      <c r="K621">
        <v>23.273499999999999</v>
      </c>
      <c r="L621">
        <v>2.0015000000000001</v>
      </c>
      <c r="M621">
        <v>0</v>
      </c>
      <c r="N621">
        <v>0</v>
      </c>
      <c r="O621">
        <v>23.4603</v>
      </c>
    </row>
    <row r="622" spans="1:15" x14ac:dyDescent="0.25">
      <c r="A622" t="s">
        <v>19</v>
      </c>
      <c r="B622" t="s">
        <v>18</v>
      </c>
      <c r="C622">
        <v>63</v>
      </c>
      <c r="D622">
        <v>100</v>
      </c>
      <c r="E622">
        <v>3200</v>
      </c>
      <c r="F622" t="str">
        <f t="shared" si="9"/>
        <v>tree256_blurkernel10_63_100_3200</v>
      </c>
      <c r="G622">
        <v>0</v>
      </c>
      <c r="H622">
        <v>0</v>
      </c>
      <c r="I622">
        <v>3.4912399999999997E-4</v>
      </c>
      <c r="J622">
        <v>8.9579999999999996E-6</v>
      </c>
      <c r="K622">
        <v>20.182099999999998</v>
      </c>
      <c r="L622">
        <v>2.0015000000000001</v>
      </c>
      <c r="M622">
        <v>0</v>
      </c>
      <c r="N622">
        <v>0</v>
      </c>
      <c r="O622">
        <v>20.5199</v>
      </c>
    </row>
    <row r="623" spans="1:15" x14ac:dyDescent="0.25">
      <c r="A623" t="s">
        <v>19</v>
      </c>
      <c r="B623" t="s">
        <v>18</v>
      </c>
      <c r="C623">
        <v>63</v>
      </c>
      <c r="D623">
        <v>100</v>
      </c>
      <c r="E623">
        <v>6400</v>
      </c>
      <c r="F623" t="str">
        <f t="shared" si="9"/>
        <v>tree256_blurkernel10_63_100_6400</v>
      </c>
      <c r="G623">
        <v>0</v>
      </c>
      <c r="H623">
        <v>0</v>
      </c>
      <c r="I623">
        <v>7.1527199999999998E-4</v>
      </c>
      <c r="J623">
        <v>8.9579999999999996E-6</v>
      </c>
      <c r="K623">
        <v>17.106999999999999</v>
      </c>
      <c r="L623">
        <v>2.0015000000000001</v>
      </c>
      <c r="M623">
        <v>0</v>
      </c>
      <c r="N623">
        <v>0</v>
      </c>
      <c r="O623">
        <v>17.783100000000001</v>
      </c>
    </row>
    <row r="624" spans="1:15" x14ac:dyDescent="0.25">
      <c r="A624" t="s">
        <v>19</v>
      </c>
      <c r="B624" t="s">
        <v>18</v>
      </c>
      <c r="C624">
        <v>63</v>
      </c>
      <c r="D624">
        <v>100</v>
      </c>
      <c r="E624">
        <v>12800</v>
      </c>
      <c r="F624" t="str">
        <f t="shared" si="9"/>
        <v>tree256_blurkernel10_63_100_12800</v>
      </c>
      <c r="G624">
        <v>0</v>
      </c>
      <c r="H624">
        <v>0</v>
      </c>
      <c r="I624">
        <v>1.500681E-3</v>
      </c>
      <c r="J624">
        <v>8.9579999999999996E-6</v>
      </c>
      <c r="K624">
        <v>13.9695</v>
      </c>
      <c r="L624">
        <v>2.0015000000000001</v>
      </c>
      <c r="M624">
        <v>0</v>
      </c>
      <c r="N624">
        <v>0</v>
      </c>
      <c r="O624">
        <v>15.103</v>
      </c>
    </row>
    <row r="625" spans="1:15" x14ac:dyDescent="0.25">
      <c r="A625" t="s">
        <v>19</v>
      </c>
      <c r="B625" t="s">
        <v>18</v>
      </c>
      <c r="C625">
        <v>63</v>
      </c>
      <c r="D625">
        <v>100</v>
      </c>
      <c r="E625">
        <v>25600</v>
      </c>
      <c r="F625" t="str">
        <f t="shared" si="9"/>
        <v>tree256_blurkernel10_63_100_25600</v>
      </c>
      <c r="G625">
        <v>0</v>
      </c>
      <c r="H625">
        <v>0</v>
      </c>
      <c r="I625">
        <v>3.359529E-3</v>
      </c>
      <c r="J625">
        <v>8.9579999999999996E-6</v>
      </c>
      <c r="K625">
        <v>10.665699999999999</v>
      </c>
      <c r="L625">
        <v>2.0015000000000001</v>
      </c>
      <c r="M625">
        <v>0</v>
      </c>
      <c r="N625">
        <v>0</v>
      </c>
      <c r="O625">
        <v>12.574</v>
      </c>
    </row>
    <row r="626" spans="1:15" x14ac:dyDescent="0.25">
      <c r="A626" t="s">
        <v>19</v>
      </c>
      <c r="B626" t="s">
        <v>15</v>
      </c>
      <c r="C626">
        <v>3</v>
      </c>
      <c r="D626">
        <v>100</v>
      </c>
      <c r="E626">
        <v>100</v>
      </c>
      <c r="F626" t="str">
        <f t="shared" si="9"/>
        <v>tree256_blurkernel7_3_100_100</v>
      </c>
      <c r="G626">
        <v>0</v>
      </c>
      <c r="H626">
        <v>0</v>
      </c>
      <c r="I626">
        <v>8.9830000000000002E-6</v>
      </c>
      <c r="J626">
        <v>9.0170000000000002E-6</v>
      </c>
      <c r="K626">
        <v>36.047899999999998</v>
      </c>
      <c r="L626">
        <v>12.269500000000001</v>
      </c>
      <c r="M626">
        <v>0</v>
      </c>
      <c r="N626">
        <v>0</v>
      </c>
      <c r="O626">
        <v>36.048499999999997</v>
      </c>
    </row>
    <row r="627" spans="1:15" x14ac:dyDescent="0.25">
      <c r="A627" t="s">
        <v>19</v>
      </c>
      <c r="B627" t="s">
        <v>15</v>
      </c>
      <c r="C627">
        <v>3</v>
      </c>
      <c r="D627">
        <v>100</v>
      </c>
      <c r="E627">
        <v>200</v>
      </c>
      <c r="F627" t="str">
        <f t="shared" si="9"/>
        <v>tree256_blurkernel7_3_100_200</v>
      </c>
      <c r="G627">
        <v>0</v>
      </c>
      <c r="H627">
        <v>0</v>
      </c>
      <c r="I627">
        <v>1.9947999999999999E-5</v>
      </c>
      <c r="J627">
        <v>9.1710000000000008E-6</v>
      </c>
      <c r="K627">
        <v>32.583599999999997</v>
      </c>
      <c r="L627">
        <v>12.2722</v>
      </c>
      <c r="M627">
        <v>0</v>
      </c>
      <c r="N627">
        <v>0</v>
      </c>
      <c r="O627">
        <v>32.603200000000001</v>
      </c>
    </row>
    <row r="628" spans="1:15" x14ac:dyDescent="0.25">
      <c r="A628" t="s">
        <v>19</v>
      </c>
      <c r="B628" t="s">
        <v>15</v>
      </c>
      <c r="C628">
        <v>3</v>
      </c>
      <c r="D628">
        <v>100</v>
      </c>
      <c r="E628">
        <v>400</v>
      </c>
      <c r="F628" t="str">
        <f t="shared" si="9"/>
        <v>tree256_blurkernel7_3_100_400</v>
      </c>
      <c r="G628">
        <v>0</v>
      </c>
      <c r="H628">
        <v>0</v>
      </c>
      <c r="I628">
        <v>4.1263000000000001E-5</v>
      </c>
      <c r="J628">
        <v>9.1710000000000008E-6</v>
      </c>
      <c r="K628">
        <v>29.428599999999999</v>
      </c>
      <c r="L628">
        <v>12.2722</v>
      </c>
      <c r="M628">
        <v>0</v>
      </c>
      <c r="N628">
        <v>0</v>
      </c>
      <c r="O628">
        <v>29.463899999999999</v>
      </c>
    </row>
    <row r="629" spans="1:15" x14ac:dyDescent="0.25">
      <c r="A629" t="s">
        <v>19</v>
      </c>
      <c r="B629" t="s">
        <v>15</v>
      </c>
      <c r="C629">
        <v>3</v>
      </c>
      <c r="D629">
        <v>100</v>
      </c>
      <c r="E629">
        <v>800</v>
      </c>
      <c r="F629" t="str">
        <f t="shared" si="9"/>
        <v>tree256_blurkernel7_3_100_800</v>
      </c>
      <c r="G629">
        <v>0</v>
      </c>
      <c r="H629">
        <v>0</v>
      </c>
      <c r="I629">
        <v>8.4278999999999997E-5</v>
      </c>
      <c r="J629">
        <v>9.1710000000000008E-6</v>
      </c>
      <c r="K629">
        <v>26.330400000000001</v>
      </c>
      <c r="L629">
        <v>12.2722</v>
      </c>
      <c r="M629">
        <v>0</v>
      </c>
      <c r="N629">
        <v>0</v>
      </c>
      <c r="O629">
        <v>26.417400000000001</v>
      </c>
    </row>
    <row r="630" spans="1:15" x14ac:dyDescent="0.25">
      <c r="A630" t="s">
        <v>19</v>
      </c>
      <c r="B630" t="s">
        <v>15</v>
      </c>
      <c r="C630">
        <v>3</v>
      </c>
      <c r="D630">
        <v>100</v>
      </c>
      <c r="E630">
        <v>1600</v>
      </c>
      <c r="F630" t="str">
        <f t="shared" si="9"/>
        <v>tree256_blurkernel7_3_100_1600</v>
      </c>
      <c r="G630">
        <v>0</v>
      </c>
      <c r="H630">
        <v>0</v>
      </c>
      <c r="I630">
        <v>1.6992299999999999E-4</v>
      </c>
      <c r="J630">
        <v>9.1710000000000008E-6</v>
      </c>
      <c r="K630">
        <v>23.291499999999999</v>
      </c>
      <c r="L630">
        <v>12.2722</v>
      </c>
      <c r="M630">
        <v>0</v>
      </c>
      <c r="N630">
        <v>0</v>
      </c>
      <c r="O630">
        <v>23.468299999999999</v>
      </c>
    </row>
    <row r="631" spans="1:15" x14ac:dyDescent="0.25">
      <c r="A631" t="s">
        <v>19</v>
      </c>
      <c r="B631" t="s">
        <v>15</v>
      </c>
      <c r="C631">
        <v>3</v>
      </c>
      <c r="D631">
        <v>100</v>
      </c>
      <c r="E631">
        <v>3200</v>
      </c>
      <c r="F631" t="str">
        <f t="shared" si="9"/>
        <v>tree256_blurkernel7_3_100_3200</v>
      </c>
      <c r="G631">
        <v>0</v>
      </c>
      <c r="H631">
        <v>0</v>
      </c>
      <c r="I631">
        <v>3.4841899999999999E-4</v>
      </c>
      <c r="J631">
        <v>9.1710000000000008E-6</v>
      </c>
      <c r="K631">
        <v>20.189299999999999</v>
      </c>
      <c r="L631">
        <v>12.2722</v>
      </c>
      <c r="M631">
        <v>0</v>
      </c>
      <c r="N631">
        <v>0</v>
      </c>
      <c r="O631">
        <v>20.544599999999999</v>
      </c>
    </row>
    <row r="632" spans="1:15" x14ac:dyDescent="0.25">
      <c r="A632" t="s">
        <v>19</v>
      </c>
      <c r="B632" t="s">
        <v>15</v>
      </c>
      <c r="C632">
        <v>3</v>
      </c>
      <c r="D632">
        <v>100</v>
      </c>
      <c r="E632">
        <v>6400</v>
      </c>
      <c r="F632" t="str">
        <f t="shared" si="9"/>
        <v>tree256_blurkernel7_3_100_6400</v>
      </c>
      <c r="G632">
        <v>0</v>
      </c>
      <c r="H632">
        <v>0</v>
      </c>
      <c r="I632">
        <v>7.1406200000000001E-4</v>
      </c>
      <c r="J632">
        <v>9.1710000000000008E-6</v>
      </c>
      <c r="K632">
        <v>17.108899999999998</v>
      </c>
      <c r="L632">
        <v>12.2722</v>
      </c>
      <c r="M632">
        <v>0</v>
      </c>
      <c r="N632">
        <v>0</v>
      </c>
      <c r="O632">
        <v>17.776800000000001</v>
      </c>
    </row>
    <row r="633" spans="1:15" x14ac:dyDescent="0.25">
      <c r="A633" t="s">
        <v>19</v>
      </c>
      <c r="B633" t="s">
        <v>15</v>
      </c>
      <c r="C633">
        <v>3</v>
      </c>
      <c r="D633">
        <v>100</v>
      </c>
      <c r="E633">
        <v>12800</v>
      </c>
      <c r="F633" t="str">
        <f t="shared" si="9"/>
        <v>tree256_blurkernel7_3_100_12800</v>
      </c>
      <c r="G633">
        <v>0</v>
      </c>
      <c r="H633">
        <v>0</v>
      </c>
      <c r="I633">
        <v>1.5066210000000001E-3</v>
      </c>
      <c r="J633">
        <v>9.1710000000000008E-6</v>
      </c>
      <c r="K633">
        <v>13.963200000000001</v>
      </c>
      <c r="L633">
        <v>12.2722</v>
      </c>
      <c r="M633">
        <v>0</v>
      </c>
      <c r="N633">
        <v>0</v>
      </c>
      <c r="O633">
        <v>15.139699999999999</v>
      </c>
    </row>
    <row r="634" spans="1:15" x14ac:dyDescent="0.25">
      <c r="A634" t="s">
        <v>19</v>
      </c>
      <c r="B634" t="s">
        <v>15</v>
      </c>
      <c r="C634">
        <v>3</v>
      </c>
      <c r="D634">
        <v>100</v>
      </c>
      <c r="E634">
        <v>25600</v>
      </c>
      <c r="F634" t="str">
        <f t="shared" si="9"/>
        <v>tree256_blurkernel7_3_100_25600</v>
      </c>
      <c r="G634">
        <v>0</v>
      </c>
      <c r="H634">
        <v>0</v>
      </c>
      <c r="I634">
        <v>3.3630859999999999E-3</v>
      </c>
      <c r="J634">
        <v>9.1710000000000008E-6</v>
      </c>
      <c r="K634">
        <v>10.6533</v>
      </c>
      <c r="L634">
        <v>12.2722</v>
      </c>
      <c r="M634">
        <v>0</v>
      </c>
      <c r="N634">
        <v>0</v>
      </c>
      <c r="O634">
        <v>12.5762</v>
      </c>
    </row>
    <row r="635" spans="1:15" x14ac:dyDescent="0.25">
      <c r="A635" t="s">
        <v>19</v>
      </c>
      <c r="B635" t="s">
        <v>15</v>
      </c>
      <c r="C635">
        <v>3</v>
      </c>
      <c r="D635">
        <v>100</v>
      </c>
      <c r="E635">
        <v>102400</v>
      </c>
      <c r="F635" t="str">
        <f t="shared" si="9"/>
        <v>tree256_blurkernel7_3_100_102400</v>
      </c>
      <c r="G635">
        <v>0</v>
      </c>
      <c r="H635">
        <v>0</v>
      </c>
      <c r="I635">
        <v>2.0383229999999999E-2</v>
      </c>
      <c r="J635">
        <v>9.0899999999999994E-6</v>
      </c>
      <c r="K635">
        <v>4.2544000000000004</v>
      </c>
      <c r="L635">
        <v>12.2674</v>
      </c>
      <c r="M635">
        <v>0</v>
      </c>
      <c r="N635">
        <v>0</v>
      </c>
      <c r="O635">
        <v>7.9701000000000004</v>
      </c>
    </row>
    <row r="636" spans="1:15" x14ac:dyDescent="0.25">
      <c r="A636" t="s">
        <v>19</v>
      </c>
      <c r="B636" t="s">
        <v>15</v>
      </c>
      <c r="C636">
        <v>7</v>
      </c>
      <c r="D636">
        <v>100</v>
      </c>
      <c r="E636">
        <v>100</v>
      </c>
      <c r="F636" t="str">
        <f t="shared" si="9"/>
        <v>tree256_blurkernel7_7_100_100</v>
      </c>
      <c r="G636">
        <v>0</v>
      </c>
      <c r="H636">
        <v>0</v>
      </c>
      <c r="I636">
        <v>9.0250000000000008E-6</v>
      </c>
      <c r="J636">
        <v>9.0010000000000007E-6</v>
      </c>
      <c r="K636">
        <v>36.027200000000001</v>
      </c>
      <c r="L636">
        <v>6.883</v>
      </c>
      <c r="M636">
        <v>0</v>
      </c>
      <c r="N636">
        <v>0</v>
      </c>
      <c r="O636">
        <v>36.027200000000001</v>
      </c>
    </row>
    <row r="637" spans="1:15" x14ac:dyDescent="0.25">
      <c r="A637" t="s">
        <v>19</v>
      </c>
      <c r="B637" t="s">
        <v>15</v>
      </c>
      <c r="C637">
        <v>7</v>
      </c>
      <c r="D637">
        <v>100</v>
      </c>
      <c r="E637">
        <v>200</v>
      </c>
      <c r="F637" t="str">
        <f t="shared" si="9"/>
        <v>tree256_blurkernel7_7_100_200</v>
      </c>
      <c r="G637">
        <v>0</v>
      </c>
      <c r="H637">
        <v>0</v>
      </c>
      <c r="I637">
        <v>1.9942999999999999E-5</v>
      </c>
      <c r="J637">
        <v>9.0890000000000006E-6</v>
      </c>
      <c r="K637">
        <v>32.584899999999998</v>
      </c>
      <c r="L637">
        <v>6.8818999999999999</v>
      </c>
      <c r="M637">
        <v>0</v>
      </c>
      <c r="N637">
        <v>0</v>
      </c>
      <c r="O637">
        <v>32.6</v>
      </c>
    </row>
    <row r="638" spans="1:15" x14ac:dyDescent="0.25">
      <c r="A638" t="s">
        <v>19</v>
      </c>
      <c r="B638" t="s">
        <v>15</v>
      </c>
      <c r="C638">
        <v>7</v>
      </c>
      <c r="D638">
        <v>100</v>
      </c>
      <c r="E638">
        <v>400</v>
      </c>
      <c r="F638" t="str">
        <f t="shared" si="9"/>
        <v>tree256_blurkernel7_7_100_400</v>
      </c>
      <c r="G638">
        <v>0</v>
      </c>
      <c r="H638">
        <v>0</v>
      </c>
      <c r="I638">
        <v>4.1440999999999998E-5</v>
      </c>
      <c r="J638">
        <v>9.0890000000000006E-6</v>
      </c>
      <c r="K638">
        <v>29.409099999999999</v>
      </c>
      <c r="L638">
        <v>6.8818999999999999</v>
      </c>
      <c r="M638">
        <v>0</v>
      </c>
      <c r="N638">
        <v>0</v>
      </c>
      <c r="O638">
        <v>29.4392</v>
      </c>
    </row>
    <row r="639" spans="1:15" x14ac:dyDescent="0.25">
      <c r="A639" t="s">
        <v>19</v>
      </c>
      <c r="B639" t="s">
        <v>15</v>
      </c>
      <c r="C639">
        <v>7</v>
      </c>
      <c r="D639">
        <v>100</v>
      </c>
      <c r="E639">
        <v>800</v>
      </c>
      <c r="F639" t="str">
        <f t="shared" si="9"/>
        <v>tree256_blurkernel7_7_100_800</v>
      </c>
      <c r="G639">
        <v>0</v>
      </c>
      <c r="H639">
        <v>0</v>
      </c>
      <c r="I639">
        <v>8.4717999999999998E-5</v>
      </c>
      <c r="J639">
        <v>9.0890000000000006E-6</v>
      </c>
      <c r="K639">
        <v>26.310300000000002</v>
      </c>
      <c r="L639">
        <v>6.8818999999999999</v>
      </c>
      <c r="M639">
        <v>0</v>
      </c>
      <c r="N639">
        <v>0</v>
      </c>
      <c r="O639">
        <v>26.398700000000002</v>
      </c>
    </row>
    <row r="640" spans="1:15" x14ac:dyDescent="0.25">
      <c r="A640" t="s">
        <v>19</v>
      </c>
      <c r="B640" t="s">
        <v>15</v>
      </c>
      <c r="C640">
        <v>7</v>
      </c>
      <c r="D640">
        <v>100</v>
      </c>
      <c r="E640">
        <v>1600</v>
      </c>
      <c r="F640" t="str">
        <f t="shared" si="9"/>
        <v>tree256_blurkernel7_7_100_1600</v>
      </c>
      <c r="G640">
        <v>0</v>
      </c>
      <c r="H640">
        <v>0</v>
      </c>
      <c r="I640">
        <v>1.70917E-4</v>
      </c>
      <c r="J640">
        <v>9.0890000000000006E-6</v>
      </c>
      <c r="K640">
        <v>23.265899999999998</v>
      </c>
      <c r="L640">
        <v>6.8818999999999999</v>
      </c>
      <c r="M640">
        <v>0</v>
      </c>
      <c r="N640">
        <v>0</v>
      </c>
      <c r="O640">
        <v>23.436499999999999</v>
      </c>
    </row>
    <row r="641" spans="1:15" x14ac:dyDescent="0.25">
      <c r="A641" t="s">
        <v>19</v>
      </c>
      <c r="B641" t="s">
        <v>15</v>
      </c>
      <c r="C641">
        <v>7</v>
      </c>
      <c r="D641">
        <v>100</v>
      </c>
      <c r="E641">
        <v>3200</v>
      </c>
      <c r="F641" t="str">
        <f t="shared" si="9"/>
        <v>tree256_blurkernel7_7_100_3200</v>
      </c>
      <c r="G641">
        <v>0</v>
      </c>
      <c r="H641">
        <v>0</v>
      </c>
      <c r="I641">
        <v>3.47993E-4</v>
      </c>
      <c r="J641">
        <v>9.0890000000000006E-6</v>
      </c>
      <c r="K641">
        <v>20.1965</v>
      </c>
      <c r="L641">
        <v>6.8818999999999999</v>
      </c>
      <c r="M641">
        <v>0</v>
      </c>
      <c r="N641">
        <v>0</v>
      </c>
      <c r="O641">
        <v>20.5701</v>
      </c>
    </row>
    <row r="642" spans="1:15" x14ac:dyDescent="0.25">
      <c r="A642" t="s">
        <v>19</v>
      </c>
      <c r="B642" t="s">
        <v>15</v>
      </c>
      <c r="C642">
        <v>7</v>
      </c>
      <c r="D642">
        <v>100</v>
      </c>
      <c r="E642">
        <v>6400</v>
      </c>
      <c r="F642" t="str">
        <f t="shared" ref="F642:F705" si="10">A642&amp;"_"&amp;B642&amp;"_"&amp;C642&amp;"_"&amp;D642&amp;"_"&amp;E642</f>
        <v>tree256_blurkernel7_7_100_6400</v>
      </c>
      <c r="G642">
        <v>0</v>
      </c>
      <c r="H642">
        <v>0</v>
      </c>
      <c r="I642">
        <v>7.13304E-4</v>
      </c>
      <c r="J642">
        <v>9.0890000000000006E-6</v>
      </c>
      <c r="K642">
        <v>17.1157</v>
      </c>
      <c r="L642">
        <v>6.8818999999999999</v>
      </c>
      <c r="M642">
        <v>0</v>
      </c>
      <c r="N642">
        <v>0</v>
      </c>
      <c r="O642">
        <v>17.777799999999999</v>
      </c>
    </row>
    <row r="643" spans="1:15" x14ac:dyDescent="0.25">
      <c r="A643" t="s">
        <v>19</v>
      </c>
      <c r="B643" t="s">
        <v>15</v>
      </c>
      <c r="C643">
        <v>7</v>
      </c>
      <c r="D643">
        <v>100</v>
      </c>
      <c r="E643">
        <v>12800</v>
      </c>
      <c r="F643" t="str">
        <f t="shared" si="10"/>
        <v>tree256_blurkernel7_7_100_12800</v>
      </c>
      <c r="G643">
        <v>0</v>
      </c>
      <c r="H643">
        <v>0</v>
      </c>
      <c r="I643">
        <v>1.5060150000000001E-3</v>
      </c>
      <c r="J643">
        <v>9.0890000000000006E-6</v>
      </c>
      <c r="K643">
        <v>13.959199999999999</v>
      </c>
      <c r="L643">
        <v>6.8818999999999999</v>
      </c>
      <c r="M643">
        <v>0</v>
      </c>
      <c r="N643">
        <v>0</v>
      </c>
      <c r="O643">
        <v>15.127800000000001</v>
      </c>
    </row>
    <row r="644" spans="1:15" x14ac:dyDescent="0.25">
      <c r="A644" t="s">
        <v>19</v>
      </c>
      <c r="B644" t="s">
        <v>15</v>
      </c>
      <c r="C644">
        <v>7</v>
      </c>
      <c r="D644">
        <v>100</v>
      </c>
      <c r="E644">
        <v>25600</v>
      </c>
      <c r="F644" t="str">
        <f t="shared" si="10"/>
        <v>tree256_blurkernel7_7_100_25600</v>
      </c>
      <c r="G644">
        <v>0</v>
      </c>
      <c r="H644">
        <v>0</v>
      </c>
      <c r="I644">
        <v>3.323108E-3</v>
      </c>
      <c r="J644">
        <v>9.0890000000000006E-6</v>
      </c>
      <c r="K644">
        <v>10.6983</v>
      </c>
      <c r="L644">
        <v>6.8818999999999999</v>
      </c>
      <c r="M644">
        <v>0</v>
      </c>
      <c r="N644">
        <v>0</v>
      </c>
      <c r="O644">
        <v>12.599299999999999</v>
      </c>
    </row>
    <row r="645" spans="1:15" x14ac:dyDescent="0.25">
      <c r="A645" t="s">
        <v>19</v>
      </c>
      <c r="B645" t="s">
        <v>15</v>
      </c>
      <c r="C645">
        <v>7</v>
      </c>
      <c r="D645">
        <v>100</v>
      </c>
      <c r="E645">
        <v>102400</v>
      </c>
      <c r="F645" t="str">
        <f t="shared" si="10"/>
        <v>tree256_blurkernel7_7_100_102400</v>
      </c>
      <c r="G645">
        <v>0</v>
      </c>
      <c r="H645">
        <v>0</v>
      </c>
      <c r="I645">
        <v>2.0126128E-2</v>
      </c>
      <c r="J645">
        <v>9.0960000000000007E-6</v>
      </c>
      <c r="K645">
        <v>4.2965999999999998</v>
      </c>
      <c r="L645">
        <v>6.8848000000000003</v>
      </c>
      <c r="M645">
        <v>0</v>
      </c>
      <c r="N645">
        <v>0</v>
      </c>
      <c r="O645">
        <v>8.0015000000000001</v>
      </c>
    </row>
    <row r="646" spans="1:15" x14ac:dyDescent="0.25">
      <c r="A646" t="s">
        <v>19</v>
      </c>
      <c r="B646" t="s">
        <v>15</v>
      </c>
      <c r="C646">
        <v>15</v>
      </c>
      <c r="D646">
        <v>100</v>
      </c>
      <c r="E646">
        <v>100</v>
      </c>
      <c r="F646" t="str">
        <f t="shared" si="10"/>
        <v>tree256_blurkernel7_15_100_100</v>
      </c>
      <c r="G646">
        <v>0</v>
      </c>
      <c r="H646">
        <v>0</v>
      </c>
      <c r="I646">
        <v>9.0040000000000005E-6</v>
      </c>
      <c r="J646">
        <v>9.1579999999999994E-6</v>
      </c>
      <c r="K646">
        <v>36.037300000000002</v>
      </c>
      <c r="L646">
        <v>3.9241999999999999</v>
      </c>
      <c r="M646">
        <v>0</v>
      </c>
      <c r="N646">
        <v>0</v>
      </c>
      <c r="O646">
        <v>36.039700000000003</v>
      </c>
    </row>
    <row r="647" spans="1:15" x14ac:dyDescent="0.25">
      <c r="A647" t="s">
        <v>19</v>
      </c>
      <c r="B647" t="s">
        <v>15</v>
      </c>
      <c r="C647">
        <v>15</v>
      </c>
      <c r="D647">
        <v>100</v>
      </c>
      <c r="E647">
        <v>200</v>
      </c>
      <c r="F647" t="str">
        <f t="shared" si="10"/>
        <v>tree256_blurkernel7_15_100_200</v>
      </c>
      <c r="G647">
        <v>0</v>
      </c>
      <c r="H647">
        <v>0</v>
      </c>
      <c r="I647">
        <v>1.9777999999999999E-5</v>
      </c>
      <c r="J647">
        <v>9.0189999999999995E-6</v>
      </c>
      <c r="K647">
        <v>32.620199999999997</v>
      </c>
      <c r="L647">
        <v>3.9243000000000001</v>
      </c>
      <c r="M647">
        <v>0</v>
      </c>
      <c r="N647">
        <v>0</v>
      </c>
      <c r="O647">
        <v>32.631700000000002</v>
      </c>
    </row>
    <row r="648" spans="1:15" x14ac:dyDescent="0.25">
      <c r="A648" t="s">
        <v>19</v>
      </c>
      <c r="B648" t="s">
        <v>15</v>
      </c>
      <c r="C648">
        <v>15</v>
      </c>
      <c r="D648">
        <v>100</v>
      </c>
      <c r="E648">
        <v>400</v>
      </c>
      <c r="F648" t="str">
        <f t="shared" si="10"/>
        <v>tree256_blurkernel7_15_100_400</v>
      </c>
      <c r="G648">
        <v>0</v>
      </c>
      <c r="H648">
        <v>0</v>
      </c>
      <c r="I648">
        <v>4.1619000000000003E-5</v>
      </c>
      <c r="J648">
        <v>9.0189999999999995E-6</v>
      </c>
      <c r="K648">
        <v>29.392399999999999</v>
      </c>
      <c r="L648">
        <v>3.9243000000000001</v>
      </c>
      <c r="M648">
        <v>0</v>
      </c>
      <c r="N648">
        <v>0</v>
      </c>
      <c r="O648">
        <v>29.427199999999999</v>
      </c>
    </row>
    <row r="649" spans="1:15" x14ac:dyDescent="0.25">
      <c r="A649" t="s">
        <v>19</v>
      </c>
      <c r="B649" t="s">
        <v>15</v>
      </c>
      <c r="C649">
        <v>15</v>
      </c>
      <c r="D649">
        <v>100</v>
      </c>
      <c r="E649">
        <v>800</v>
      </c>
      <c r="F649" t="str">
        <f t="shared" si="10"/>
        <v>tree256_blurkernel7_15_100_800</v>
      </c>
      <c r="G649">
        <v>0</v>
      </c>
      <c r="H649">
        <v>0</v>
      </c>
      <c r="I649">
        <v>8.4210999999999997E-5</v>
      </c>
      <c r="J649">
        <v>9.0189999999999995E-6</v>
      </c>
      <c r="K649">
        <v>26.335699999999999</v>
      </c>
      <c r="L649">
        <v>3.9243000000000001</v>
      </c>
      <c r="M649">
        <v>0</v>
      </c>
      <c r="N649">
        <v>0</v>
      </c>
      <c r="O649">
        <v>26.427099999999999</v>
      </c>
    </row>
    <row r="650" spans="1:15" x14ac:dyDescent="0.25">
      <c r="A650" t="s">
        <v>19</v>
      </c>
      <c r="B650" t="s">
        <v>15</v>
      </c>
      <c r="C650">
        <v>15</v>
      </c>
      <c r="D650">
        <v>100</v>
      </c>
      <c r="E650">
        <v>1600</v>
      </c>
      <c r="F650" t="str">
        <f t="shared" si="10"/>
        <v>tree256_blurkernel7_15_100_1600</v>
      </c>
      <c r="G650">
        <v>0</v>
      </c>
      <c r="H650">
        <v>0</v>
      </c>
      <c r="I650">
        <v>1.71965E-4</v>
      </c>
      <c r="J650">
        <v>9.0189999999999995E-6</v>
      </c>
      <c r="K650">
        <v>23.2407</v>
      </c>
      <c r="L650">
        <v>3.9243000000000001</v>
      </c>
      <c r="M650">
        <v>0</v>
      </c>
      <c r="N650">
        <v>0</v>
      </c>
      <c r="O650">
        <v>23.410299999999999</v>
      </c>
    </row>
    <row r="651" spans="1:15" x14ac:dyDescent="0.25">
      <c r="A651" t="s">
        <v>19</v>
      </c>
      <c r="B651" t="s">
        <v>15</v>
      </c>
      <c r="C651">
        <v>15</v>
      </c>
      <c r="D651">
        <v>100</v>
      </c>
      <c r="E651">
        <v>3200</v>
      </c>
      <c r="F651" t="str">
        <f t="shared" si="10"/>
        <v>tree256_blurkernel7_15_100_3200</v>
      </c>
      <c r="G651">
        <v>0</v>
      </c>
      <c r="H651">
        <v>0</v>
      </c>
      <c r="I651">
        <v>3.4940500000000001E-4</v>
      </c>
      <c r="J651">
        <v>9.0189999999999995E-6</v>
      </c>
      <c r="K651">
        <v>20.176600000000001</v>
      </c>
      <c r="L651">
        <v>3.9243000000000001</v>
      </c>
      <c r="M651">
        <v>0</v>
      </c>
      <c r="N651">
        <v>0</v>
      </c>
      <c r="O651">
        <v>20.551600000000001</v>
      </c>
    </row>
    <row r="652" spans="1:15" x14ac:dyDescent="0.25">
      <c r="A652" t="s">
        <v>19</v>
      </c>
      <c r="B652" t="s">
        <v>15</v>
      </c>
      <c r="C652">
        <v>15</v>
      </c>
      <c r="D652">
        <v>100</v>
      </c>
      <c r="E652">
        <v>6400</v>
      </c>
      <c r="F652" t="str">
        <f t="shared" si="10"/>
        <v>tree256_blurkernel7_15_100_6400</v>
      </c>
      <c r="G652">
        <v>0</v>
      </c>
      <c r="H652">
        <v>0</v>
      </c>
      <c r="I652">
        <v>7.2371299999999996E-4</v>
      </c>
      <c r="J652">
        <v>9.0189999999999995E-6</v>
      </c>
      <c r="K652">
        <v>17.049299999999999</v>
      </c>
      <c r="L652">
        <v>3.9243000000000001</v>
      </c>
      <c r="M652">
        <v>0</v>
      </c>
      <c r="N652">
        <v>0</v>
      </c>
      <c r="O652">
        <v>17.7087</v>
      </c>
    </row>
    <row r="653" spans="1:15" x14ac:dyDescent="0.25">
      <c r="A653" t="s">
        <v>19</v>
      </c>
      <c r="B653" t="s">
        <v>15</v>
      </c>
      <c r="C653">
        <v>15</v>
      </c>
      <c r="D653">
        <v>100</v>
      </c>
      <c r="E653">
        <v>12800</v>
      </c>
      <c r="F653" t="str">
        <f t="shared" si="10"/>
        <v>tree256_blurkernel7_15_100_12800</v>
      </c>
      <c r="G653">
        <v>0</v>
      </c>
      <c r="H653">
        <v>0</v>
      </c>
      <c r="I653">
        <v>1.5226440000000001E-3</v>
      </c>
      <c r="J653">
        <v>9.0189999999999995E-6</v>
      </c>
      <c r="K653">
        <v>13.9001</v>
      </c>
      <c r="L653">
        <v>3.9243000000000001</v>
      </c>
      <c r="M653">
        <v>0</v>
      </c>
      <c r="N653">
        <v>0</v>
      </c>
      <c r="O653">
        <v>15.083500000000001</v>
      </c>
    </row>
    <row r="654" spans="1:15" x14ac:dyDescent="0.25">
      <c r="A654" t="s">
        <v>19</v>
      </c>
      <c r="B654" t="s">
        <v>15</v>
      </c>
      <c r="C654">
        <v>15</v>
      </c>
      <c r="D654">
        <v>100</v>
      </c>
      <c r="E654">
        <v>25600</v>
      </c>
      <c r="F654" t="str">
        <f t="shared" si="10"/>
        <v>tree256_blurkernel7_15_100_25600</v>
      </c>
      <c r="G654">
        <v>0</v>
      </c>
      <c r="H654">
        <v>0</v>
      </c>
      <c r="I654">
        <v>3.3492420000000001E-3</v>
      </c>
      <c r="J654">
        <v>9.0189999999999995E-6</v>
      </c>
      <c r="K654">
        <v>10.6693</v>
      </c>
      <c r="L654">
        <v>3.9243000000000001</v>
      </c>
      <c r="M654">
        <v>0</v>
      </c>
      <c r="N654">
        <v>0</v>
      </c>
      <c r="O654">
        <v>12.614800000000001</v>
      </c>
    </row>
    <row r="655" spans="1:15" x14ac:dyDescent="0.25">
      <c r="A655" t="s">
        <v>19</v>
      </c>
      <c r="B655" t="s">
        <v>15</v>
      </c>
      <c r="C655">
        <v>15</v>
      </c>
      <c r="D655">
        <v>100</v>
      </c>
      <c r="E655">
        <v>102400</v>
      </c>
      <c r="F655" t="str">
        <f t="shared" si="10"/>
        <v>tree256_blurkernel7_15_100_102400</v>
      </c>
      <c r="G655">
        <v>0</v>
      </c>
      <c r="H655">
        <v>0</v>
      </c>
      <c r="I655">
        <v>2.0195129999999999E-2</v>
      </c>
      <c r="J655">
        <v>9.1050000000000001E-6</v>
      </c>
      <c r="K655">
        <v>4.2447999999999997</v>
      </c>
      <c r="L655">
        <v>3.9245999999999999</v>
      </c>
      <c r="M655">
        <v>0</v>
      </c>
      <c r="N655">
        <v>0</v>
      </c>
      <c r="O655">
        <v>7.9470999999999998</v>
      </c>
    </row>
    <row r="656" spans="1:15" x14ac:dyDescent="0.25">
      <c r="A656" t="s">
        <v>19</v>
      </c>
      <c r="B656" t="s">
        <v>15</v>
      </c>
      <c r="C656">
        <v>31</v>
      </c>
      <c r="D656">
        <v>100</v>
      </c>
      <c r="E656">
        <v>100</v>
      </c>
      <c r="F656" t="str">
        <f t="shared" si="10"/>
        <v>tree256_blurkernel7_31_100_100</v>
      </c>
      <c r="G656">
        <v>0</v>
      </c>
      <c r="H656">
        <v>0</v>
      </c>
      <c r="I656">
        <v>8.9970000000000004E-6</v>
      </c>
      <c r="J656">
        <v>9.1239999999999994E-6</v>
      </c>
      <c r="K656">
        <v>36.040900000000001</v>
      </c>
      <c r="L656">
        <v>2.4220999999999999</v>
      </c>
      <c r="M656">
        <v>0</v>
      </c>
      <c r="N656">
        <v>0</v>
      </c>
      <c r="O656">
        <v>36.039200000000001</v>
      </c>
    </row>
    <row r="657" spans="1:15" x14ac:dyDescent="0.25">
      <c r="A657" t="s">
        <v>19</v>
      </c>
      <c r="B657" t="s">
        <v>15</v>
      </c>
      <c r="C657">
        <v>31</v>
      </c>
      <c r="D657">
        <v>100</v>
      </c>
      <c r="E657">
        <v>200</v>
      </c>
      <c r="F657" t="str">
        <f t="shared" si="10"/>
        <v>tree256_blurkernel7_31_100_200</v>
      </c>
      <c r="G657">
        <v>0</v>
      </c>
      <c r="H657">
        <v>0</v>
      </c>
      <c r="I657">
        <v>1.9826E-5</v>
      </c>
      <c r="J657">
        <v>8.9879999999999993E-6</v>
      </c>
      <c r="K657">
        <v>32.610599999999998</v>
      </c>
      <c r="L657">
        <v>2.4209999999999998</v>
      </c>
      <c r="M657">
        <v>0</v>
      </c>
      <c r="N657">
        <v>0</v>
      </c>
      <c r="O657">
        <v>32.621899999999997</v>
      </c>
    </row>
    <row r="658" spans="1:15" x14ac:dyDescent="0.25">
      <c r="A658" t="s">
        <v>19</v>
      </c>
      <c r="B658" t="s">
        <v>15</v>
      </c>
      <c r="C658">
        <v>31</v>
      </c>
      <c r="D658">
        <v>100</v>
      </c>
      <c r="E658">
        <v>400</v>
      </c>
      <c r="F658" t="str">
        <f t="shared" si="10"/>
        <v>tree256_blurkernel7_31_100_400</v>
      </c>
      <c r="G658">
        <v>0</v>
      </c>
      <c r="H658">
        <v>0</v>
      </c>
      <c r="I658">
        <v>4.087E-5</v>
      </c>
      <c r="J658">
        <v>8.9879999999999993E-6</v>
      </c>
      <c r="K658">
        <v>29.470600000000001</v>
      </c>
      <c r="L658">
        <v>2.4209999999999998</v>
      </c>
      <c r="M658">
        <v>0</v>
      </c>
      <c r="N658">
        <v>0</v>
      </c>
      <c r="O658">
        <v>29.501899999999999</v>
      </c>
    </row>
    <row r="659" spans="1:15" x14ac:dyDescent="0.25">
      <c r="A659" t="s">
        <v>19</v>
      </c>
      <c r="B659" t="s">
        <v>15</v>
      </c>
      <c r="C659">
        <v>31</v>
      </c>
      <c r="D659">
        <v>100</v>
      </c>
      <c r="E659">
        <v>800</v>
      </c>
      <c r="F659" t="str">
        <f t="shared" si="10"/>
        <v>tree256_blurkernel7_31_100_800</v>
      </c>
      <c r="G659">
        <v>0</v>
      </c>
      <c r="H659">
        <v>0</v>
      </c>
      <c r="I659">
        <v>8.4773999999999998E-5</v>
      </c>
      <c r="J659">
        <v>8.9879999999999993E-6</v>
      </c>
      <c r="K659">
        <v>26.305399999999999</v>
      </c>
      <c r="L659">
        <v>2.4209999999999998</v>
      </c>
      <c r="M659">
        <v>0</v>
      </c>
      <c r="N659">
        <v>0</v>
      </c>
      <c r="O659">
        <v>26.4008</v>
      </c>
    </row>
    <row r="660" spans="1:15" x14ac:dyDescent="0.25">
      <c r="A660" t="s">
        <v>19</v>
      </c>
      <c r="B660" t="s">
        <v>15</v>
      </c>
      <c r="C660">
        <v>31</v>
      </c>
      <c r="D660">
        <v>100</v>
      </c>
      <c r="E660">
        <v>1600</v>
      </c>
      <c r="F660" t="str">
        <f t="shared" si="10"/>
        <v>tree256_blurkernel7_31_100_1600</v>
      </c>
      <c r="G660">
        <v>0</v>
      </c>
      <c r="H660">
        <v>0</v>
      </c>
      <c r="I660">
        <v>1.7073899999999999E-4</v>
      </c>
      <c r="J660">
        <v>8.9879999999999993E-6</v>
      </c>
      <c r="K660">
        <v>23.272400000000001</v>
      </c>
      <c r="L660">
        <v>2.4209999999999998</v>
      </c>
      <c r="M660">
        <v>0</v>
      </c>
      <c r="N660">
        <v>0</v>
      </c>
      <c r="O660">
        <v>23.446899999999999</v>
      </c>
    </row>
    <row r="661" spans="1:15" x14ac:dyDescent="0.25">
      <c r="A661" t="s">
        <v>19</v>
      </c>
      <c r="B661" t="s">
        <v>15</v>
      </c>
      <c r="C661">
        <v>31</v>
      </c>
      <c r="D661">
        <v>100</v>
      </c>
      <c r="E661">
        <v>3200</v>
      </c>
      <c r="F661" t="str">
        <f t="shared" si="10"/>
        <v>tree256_blurkernel7_31_100_3200</v>
      </c>
      <c r="G661">
        <v>0</v>
      </c>
      <c r="H661">
        <v>0</v>
      </c>
      <c r="I661">
        <v>3.4849600000000001E-4</v>
      </c>
      <c r="J661">
        <v>8.9879999999999993E-6</v>
      </c>
      <c r="K661">
        <v>20.187999999999999</v>
      </c>
      <c r="L661">
        <v>2.4209999999999998</v>
      </c>
      <c r="M661">
        <v>0</v>
      </c>
      <c r="N661">
        <v>0</v>
      </c>
      <c r="O661">
        <v>20.558900000000001</v>
      </c>
    </row>
    <row r="662" spans="1:15" x14ac:dyDescent="0.25">
      <c r="A662" t="s">
        <v>19</v>
      </c>
      <c r="B662" t="s">
        <v>15</v>
      </c>
      <c r="C662">
        <v>31</v>
      </c>
      <c r="D662">
        <v>100</v>
      </c>
      <c r="E662">
        <v>6400</v>
      </c>
      <c r="F662" t="str">
        <f t="shared" si="10"/>
        <v>tree256_blurkernel7_31_100_6400</v>
      </c>
      <c r="G662">
        <v>0</v>
      </c>
      <c r="H662">
        <v>0</v>
      </c>
      <c r="I662">
        <v>7.2265000000000003E-4</v>
      </c>
      <c r="J662">
        <v>8.9879999999999993E-6</v>
      </c>
      <c r="K662">
        <v>17.064599999999999</v>
      </c>
      <c r="L662">
        <v>2.4209999999999998</v>
      </c>
      <c r="M662">
        <v>0</v>
      </c>
      <c r="N662">
        <v>0</v>
      </c>
      <c r="O662">
        <v>17.7179</v>
      </c>
    </row>
    <row r="663" spans="1:15" x14ac:dyDescent="0.25">
      <c r="A663" t="s">
        <v>19</v>
      </c>
      <c r="B663" t="s">
        <v>15</v>
      </c>
      <c r="C663">
        <v>31</v>
      </c>
      <c r="D663">
        <v>100</v>
      </c>
      <c r="E663">
        <v>12800</v>
      </c>
      <c r="F663" t="str">
        <f t="shared" si="10"/>
        <v>tree256_blurkernel7_31_100_12800</v>
      </c>
      <c r="G663">
        <v>0</v>
      </c>
      <c r="H663">
        <v>0</v>
      </c>
      <c r="I663">
        <v>1.5186069999999999E-3</v>
      </c>
      <c r="J663">
        <v>8.9879999999999993E-6</v>
      </c>
      <c r="K663">
        <v>13.9095</v>
      </c>
      <c r="L663">
        <v>2.4209999999999998</v>
      </c>
      <c r="M663">
        <v>0</v>
      </c>
      <c r="N663">
        <v>0</v>
      </c>
      <c r="O663">
        <v>15.0914</v>
      </c>
    </row>
    <row r="664" spans="1:15" x14ac:dyDescent="0.25">
      <c r="A664" t="s">
        <v>19</v>
      </c>
      <c r="B664" t="s">
        <v>15</v>
      </c>
      <c r="C664">
        <v>31</v>
      </c>
      <c r="D664">
        <v>100</v>
      </c>
      <c r="E664">
        <v>25600</v>
      </c>
      <c r="F664" t="str">
        <f t="shared" si="10"/>
        <v>tree256_blurkernel7_31_100_25600</v>
      </c>
      <c r="G664">
        <v>0</v>
      </c>
      <c r="H664">
        <v>0</v>
      </c>
      <c r="I664">
        <v>3.379141E-3</v>
      </c>
      <c r="J664">
        <v>8.9879999999999993E-6</v>
      </c>
      <c r="K664">
        <v>10.624700000000001</v>
      </c>
      <c r="L664">
        <v>2.4209999999999998</v>
      </c>
      <c r="M664">
        <v>0</v>
      </c>
      <c r="N664">
        <v>0</v>
      </c>
      <c r="O664">
        <v>12.5474</v>
      </c>
    </row>
    <row r="665" spans="1:15" x14ac:dyDescent="0.25">
      <c r="A665" t="s">
        <v>19</v>
      </c>
      <c r="B665" t="s">
        <v>15</v>
      </c>
      <c r="C665">
        <v>31</v>
      </c>
      <c r="D665">
        <v>100</v>
      </c>
      <c r="E665">
        <v>102400</v>
      </c>
      <c r="F665" t="str">
        <f t="shared" si="10"/>
        <v>tree256_blurkernel7_31_100_102400</v>
      </c>
      <c r="G665">
        <v>0</v>
      </c>
      <c r="H665">
        <v>0</v>
      </c>
      <c r="I665">
        <v>2.0391401E-2</v>
      </c>
      <c r="J665">
        <v>9.1190000000000003E-6</v>
      </c>
      <c r="K665">
        <v>4.2527999999999997</v>
      </c>
      <c r="L665">
        <v>2.4199000000000002</v>
      </c>
      <c r="M665">
        <v>0</v>
      </c>
      <c r="N665">
        <v>0</v>
      </c>
      <c r="O665">
        <v>7.9572000000000003</v>
      </c>
    </row>
    <row r="666" spans="1:15" x14ac:dyDescent="0.25">
      <c r="A666" t="s">
        <v>19</v>
      </c>
      <c r="B666" t="s">
        <v>15</v>
      </c>
      <c r="C666">
        <v>63</v>
      </c>
      <c r="D666">
        <v>100</v>
      </c>
      <c r="E666">
        <v>200</v>
      </c>
      <c r="F666" t="str">
        <f t="shared" si="10"/>
        <v>tree256_blurkernel7_63_100_200</v>
      </c>
      <c r="G666">
        <v>0</v>
      </c>
      <c r="H666">
        <v>0</v>
      </c>
      <c r="I666">
        <v>1.9879999999999999E-5</v>
      </c>
      <c r="J666">
        <v>9.0380000000000005E-6</v>
      </c>
      <c r="K666">
        <v>32.5989</v>
      </c>
      <c r="L666">
        <v>1.6869000000000001</v>
      </c>
      <c r="M666">
        <v>0</v>
      </c>
      <c r="N666">
        <v>0</v>
      </c>
      <c r="O666">
        <v>32.611800000000002</v>
      </c>
    </row>
    <row r="667" spans="1:15" x14ac:dyDescent="0.25">
      <c r="A667" t="s">
        <v>19</v>
      </c>
      <c r="B667" t="s">
        <v>15</v>
      </c>
      <c r="C667">
        <v>63</v>
      </c>
      <c r="D667">
        <v>100</v>
      </c>
      <c r="E667">
        <v>400</v>
      </c>
      <c r="F667" t="str">
        <f t="shared" si="10"/>
        <v>tree256_blurkernel7_63_100_400</v>
      </c>
      <c r="G667">
        <v>0</v>
      </c>
      <c r="H667">
        <v>0</v>
      </c>
      <c r="I667">
        <v>4.1226000000000001E-5</v>
      </c>
      <c r="J667">
        <v>9.0380000000000005E-6</v>
      </c>
      <c r="K667">
        <v>29.433800000000002</v>
      </c>
      <c r="L667">
        <v>1.6869000000000001</v>
      </c>
      <c r="M667">
        <v>0</v>
      </c>
      <c r="N667">
        <v>0</v>
      </c>
      <c r="O667">
        <v>29.477599999999999</v>
      </c>
    </row>
    <row r="668" spans="1:15" x14ac:dyDescent="0.25">
      <c r="A668" t="s">
        <v>19</v>
      </c>
      <c r="B668" t="s">
        <v>15</v>
      </c>
      <c r="C668">
        <v>63</v>
      </c>
      <c r="D668">
        <v>100</v>
      </c>
      <c r="E668">
        <v>800</v>
      </c>
      <c r="F668" t="str">
        <f t="shared" si="10"/>
        <v>tree256_blurkernel7_63_100_800</v>
      </c>
      <c r="G668">
        <v>0</v>
      </c>
      <c r="H668">
        <v>0</v>
      </c>
      <c r="I668">
        <v>8.3932999999999998E-5</v>
      </c>
      <c r="J668">
        <v>9.0380000000000005E-6</v>
      </c>
      <c r="K668">
        <v>26.348299999999998</v>
      </c>
      <c r="L668">
        <v>1.6869000000000001</v>
      </c>
      <c r="M668">
        <v>0</v>
      </c>
      <c r="N668">
        <v>0</v>
      </c>
      <c r="O668">
        <v>26.425599999999999</v>
      </c>
    </row>
    <row r="669" spans="1:15" x14ac:dyDescent="0.25">
      <c r="A669" t="s">
        <v>19</v>
      </c>
      <c r="B669" t="s">
        <v>15</v>
      </c>
      <c r="C669">
        <v>63</v>
      </c>
      <c r="D669">
        <v>100</v>
      </c>
      <c r="E669">
        <v>1600</v>
      </c>
      <c r="F669" t="str">
        <f t="shared" si="10"/>
        <v>tree256_blurkernel7_63_100_1600</v>
      </c>
      <c r="G669">
        <v>0</v>
      </c>
      <c r="H669">
        <v>0</v>
      </c>
      <c r="I669">
        <v>1.6983699999999999E-4</v>
      </c>
      <c r="J669">
        <v>9.0380000000000005E-6</v>
      </c>
      <c r="K669">
        <v>23.297599999999999</v>
      </c>
      <c r="L669">
        <v>1.6869000000000001</v>
      </c>
      <c r="M669">
        <v>0</v>
      </c>
      <c r="N669">
        <v>0</v>
      </c>
      <c r="O669">
        <v>23.475100000000001</v>
      </c>
    </row>
    <row r="670" spans="1:15" x14ac:dyDescent="0.25">
      <c r="A670" t="s">
        <v>19</v>
      </c>
      <c r="B670" t="s">
        <v>15</v>
      </c>
      <c r="C670">
        <v>63</v>
      </c>
      <c r="D670">
        <v>100</v>
      </c>
      <c r="E670">
        <v>3200</v>
      </c>
      <c r="F670" t="str">
        <f t="shared" si="10"/>
        <v>tree256_blurkernel7_63_100_3200</v>
      </c>
      <c r="G670">
        <v>0</v>
      </c>
      <c r="H670">
        <v>0</v>
      </c>
      <c r="I670">
        <v>3.45741E-4</v>
      </c>
      <c r="J670">
        <v>9.0380000000000005E-6</v>
      </c>
      <c r="K670">
        <v>20.227</v>
      </c>
      <c r="L670">
        <v>1.6869000000000001</v>
      </c>
      <c r="M670">
        <v>0</v>
      </c>
      <c r="N670">
        <v>0</v>
      </c>
      <c r="O670">
        <v>20.583300000000001</v>
      </c>
    </row>
    <row r="671" spans="1:15" x14ac:dyDescent="0.25">
      <c r="A671" t="s">
        <v>19</v>
      </c>
      <c r="B671" t="s">
        <v>15</v>
      </c>
      <c r="C671">
        <v>63</v>
      </c>
      <c r="D671">
        <v>100</v>
      </c>
      <c r="E671">
        <v>6400</v>
      </c>
      <c r="F671" t="str">
        <f t="shared" si="10"/>
        <v>tree256_blurkernel7_63_100_6400</v>
      </c>
      <c r="G671">
        <v>0</v>
      </c>
      <c r="H671">
        <v>0</v>
      </c>
      <c r="I671">
        <v>7.1258400000000005E-4</v>
      </c>
      <c r="J671">
        <v>9.0380000000000005E-6</v>
      </c>
      <c r="K671">
        <v>17.116199999999999</v>
      </c>
      <c r="L671">
        <v>1.6869000000000001</v>
      </c>
      <c r="M671">
        <v>0</v>
      </c>
      <c r="N671">
        <v>0</v>
      </c>
      <c r="O671">
        <v>17.770199999999999</v>
      </c>
    </row>
    <row r="672" spans="1:15" x14ac:dyDescent="0.25">
      <c r="A672" t="s">
        <v>19</v>
      </c>
      <c r="B672" t="s">
        <v>15</v>
      </c>
      <c r="C672">
        <v>63</v>
      </c>
      <c r="D672">
        <v>100</v>
      </c>
      <c r="E672">
        <v>12800</v>
      </c>
      <c r="F672" t="str">
        <f t="shared" si="10"/>
        <v>tree256_blurkernel7_63_100_12800</v>
      </c>
      <c r="G672">
        <v>0</v>
      </c>
      <c r="H672">
        <v>0</v>
      </c>
      <c r="I672">
        <v>1.5097870000000001E-3</v>
      </c>
      <c r="J672">
        <v>9.0380000000000005E-6</v>
      </c>
      <c r="K672">
        <v>13.9472</v>
      </c>
      <c r="L672">
        <v>1.6869000000000001</v>
      </c>
      <c r="M672">
        <v>0</v>
      </c>
      <c r="N672">
        <v>0</v>
      </c>
      <c r="O672">
        <v>15.126300000000001</v>
      </c>
    </row>
    <row r="673" spans="1:15" x14ac:dyDescent="0.25">
      <c r="A673" t="s">
        <v>19</v>
      </c>
      <c r="B673" t="s">
        <v>15</v>
      </c>
      <c r="C673">
        <v>63</v>
      </c>
      <c r="D673">
        <v>100</v>
      </c>
      <c r="E673">
        <v>25600</v>
      </c>
      <c r="F673" t="str">
        <f t="shared" si="10"/>
        <v>tree256_blurkernel7_63_100_25600</v>
      </c>
      <c r="G673">
        <v>0</v>
      </c>
      <c r="H673">
        <v>0</v>
      </c>
      <c r="I673">
        <v>3.365987E-3</v>
      </c>
      <c r="J673">
        <v>9.0380000000000005E-6</v>
      </c>
      <c r="K673">
        <v>10.6502</v>
      </c>
      <c r="L673">
        <v>1.6869000000000001</v>
      </c>
      <c r="M673">
        <v>0</v>
      </c>
      <c r="N673">
        <v>0</v>
      </c>
      <c r="O673">
        <v>12.581899999999999</v>
      </c>
    </row>
    <row r="674" spans="1:15" x14ac:dyDescent="0.25">
      <c r="A674" t="s">
        <v>19</v>
      </c>
      <c r="B674" t="s">
        <v>16</v>
      </c>
      <c r="C674">
        <v>3</v>
      </c>
      <c r="D674">
        <v>100</v>
      </c>
      <c r="E674">
        <v>100</v>
      </c>
      <c r="F674" t="str">
        <f t="shared" si="10"/>
        <v>tree256_blurkernel8_3_100_100</v>
      </c>
      <c r="G674">
        <v>0</v>
      </c>
      <c r="H674">
        <v>0</v>
      </c>
      <c r="I674">
        <v>9.0119999999999994E-6</v>
      </c>
      <c r="J674">
        <v>8.9639999999999992E-6</v>
      </c>
      <c r="K674">
        <v>36.033799999999999</v>
      </c>
      <c r="L674">
        <v>12.2738</v>
      </c>
      <c r="M674">
        <v>0</v>
      </c>
      <c r="N674">
        <v>0</v>
      </c>
      <c r="O674">
        <v>36.035299999999999</v>
      </c>
    </row>
    <row r="675" spans="1:15" x14ac:dyDescent="0.25">
      <c r="A675" t="s">
        <v>19</v>
      </c>
      <c r="B675" t="s">
        <v>16</v>
      </c>
      <c r="C675">
        <v>3</v>
      </c>
      <c r="D675">
        <v>100</v>
      </c>
      <c r="E675">
        <v>200</v>
      </c>
      <c r="F675" t="str">
        <f t="shared" si="10"/>
        <v>tree256_blurkernel8_3_100_200</v>
      </c>
      <c r="G675">
        <v>0</v>
      </c>
      <c r="H675">
        <v>0</v>
      </c>
      <c r="I675">
        <v>1.9728000000000002E-5</v>
      </c>
      <c r="J675">
        <v>9.064E-6</v>
      </c>
      <c r="K675">
        <v>32.631799999999998</v>
      </c>
      <c r="L675">
        <v>12.274699999999999</v>
      </c>
      <c r="M675">
        <v>0</v>
      </c>
      <c r="N675">
        <v>0</v>
      </c>
      <c r="O675">
        <v>32.644599999999997</v>
      </c>
    </row>
    <row r="676" spans="1:15" x14ac:dyDescent="0.25">
      <c r="A676" t="s">
        <v>19</v>
      </c>
      <c r="B676" t="s">
        <v>16</v>
      </c>
      <c r="C676">
        <v>3</v>
      </c>
      <c r="D676">
        <v>100</v>
      </c>
      <c r="E676">
        <v>400</v>
      </c>
      <c r="F676" t="str">
        <f t="shared" si="10"/>
        <v>tree256_blurkernel8_3_100_400</v>
      </c>
      <c r="G676">
        <v>0</v>
      </c>
      <c r="H676">
        <v>0</v>
      </c>
      <c r="I676">
        <v>4.0618999999999999E-5</v>
      </c>
      <c r="J676">
        <v>9.064E-6</v>
      </c>
      <c r="K676">
        <v>29.498200000000001</v>
      </c>
      <c r="L676">
        <v>12.274699999999999</v>
      </c>
      <c r="M676">
        <v>0</v>
      </c>
      <c r="N676">
        <v>0</v>
      </c>
      <c r="O676">
        <v>29.535499999999999</v>
      </c>
    </row>
    <row r="677" spans="1:15" x14ac:dyDescent="0.25">
      <c r="A677" t="s">
        <v>19</v>
      </c>
      <c r="B677" t="s">
        <v>16</v>
      </c>
      <c r="C677">
        <v>3</v>
      </c>
      <c r="D677">
        <v>100</v>
      </c>
      <c r="E677">
        <v>800</v>
      </c>
      <c r="F677" t="str">
        <f t="shared" si="10"/>
        <v>tree256_blurkernel8_3_100_800</v>
      </c>
      <c r="G677">
        <v>0</v>
      </c>
      <c r="H677">
        <v>0</v>
      </c>
      <c r="I677">
        <v>8.5000999999999995E-5</v>
      </c>
      <c r="J677">
        <v>9.064E-6</v>
      </c>
      <c r="K677">
        <v>26.295200000000001</v>
      </c>
      <c r="L677">
        <v>12.274699999999999</v>
      </c>
      <c r="M677">
        <v>0</v>
      </c>
      <c r="N677">
        <v>0</v>
      </c>
      <c r="O677">
        <v>26.3858</v>
      </c>
    </row>
    <row r="678" spans="1:15" x14ac:dyDescent="0.25">
      <c r="A678" t="s">
        <v>19</v>
      </c>
      <c r="B678" t="s">
        <v>16</v>
      </c>
      <c r="C678">
        <v>3</v>
      </c>
      <c r="D678">
        <v>100</v>
      </c>
      <c r="E678">
        <v>1600</v>
      </c>
      <c r="F678" t="str">
        <f t="shared" si="10"/>
        <v>tree256_blurkernel8_3_100_1600</v>
      </c>
      <c r="G678">
        <v>0</v>
      </c>
      <c r="H678">
        <v>0</v>
      </c>
      <c r="I678">
        <v>1.7183300000000001E-4</v>
      </c>
      <c r="J678">
        <v>9.064E-6</v>
      </c>
      <c r="K678">
        <v>23.246200000000002</v>
      </c>
      <c r="L678">
        <v>12.274699999999999</v>
      </c>
      <c r="M678">
        <v>0</v>
      </c>
      <c r="N678">
        <v>0</v>
      </c>
      <c r="O678">
        <v>23.427499999999998</v>
      </c>
    </row>
    <row r="679" spans="1:15" x14ac:dyDescent="0.25">
      <c r="A679" t="s">
        <v>19</v>
      </c>
      <c r="B679" t="s">
        <v>16</v>
      </c>
      <c r="C679">
        <v>3</v>
      </c>
      <c r="D679">
        <v>100</v>
      </c>
      <c r="E679">
        <v>3200</v>
      </c>
      <c r="F679" t="str">
        <f t="shared" si="10"/>
        <v>tree256_blurkernel8_3_100_3200</v>
      </c>
      <c r="G679">
        <v>0</v>
      </c>
      <c r="H679">
        <v>0</v>
      </c>
      <c r="I679">
        <v>3.5049700000000002E-4</v>
      </c>
      <c r="J679">
        <v>9.064E-6</v>
      </c>
      <c r="K679">
        <v>20.166599999999999</v>
      </c>
      <c r="L679">
        <v>12.274699999999999</v>
      </c>
      <c r="M679">
        <v>0</v>
      </c>
      <c r="N679">
        <v>0</v>
      </c>
      <c r="O679">
        <v>20.5213</v>
      </c>
    </row>
    <row r="680" spans="1:15" x14ac:dyDescent="0.25">
      <c r="A680" t="s">
        <v>19</v>
      </c>
      <c r="B680" t="s">
        <v>16</v>
      </c>
      <c r="C680">
        <v>3</v>
      </c>
      <c r="D680">
        <v>100</v>
      </c>
      <c r="E680">
        <v>6400</v>
      </c>
      <c r="F680" t="str">
        <f t="shared" si="10"/>
        <v>tree256_blurkernel8_3_100_6400</v>
      </c>
      <c r="G680">
        <v>0</v>
      </c>
      <c r="H680">
        <v>0</v>
      </c>
      <c r="I680">
        <v>7.1650800000000003E-4</v>
      </c>
      <c r="J680">
        <v>9.064E-6</v>
      </c>
      <c r="K680">
        <v>17.0946</v>
      </c>
      <c r="L680">
        <v>12.274699999999999</v>
      </c>
      <c r="M680">
        <v>0</v>
      </c>
      <c r="N680">
        <v>0</v>
      </c>
      <c r="O680">
        <v>17.756699999999999</v>
      </c>
    </row>
    <row r="681" spans="1:15" x14ac:dyDescent="0.25">
      <c r="A681" t="s">
        <v>19</v>
      </c>
      <c r="B681" t="s">
        <v>16</v>
      </c>
      <c r="C681">
        <v>3</v>
      </c>
      <c r="D681">
        <v>100</v>
      </c>
      <c r="E681">
        <v>12800</v>
      </c>
      <c r="F681" t="str">
        <f t="shared" si="10"/>
        <v>tree256_blurkernel8_3_100_12800</v>
      </c>
      <c r="G681">
        <v>0</v>
      </c>
      <c r="H681">
        <v>0</v>
      </c>
      <c r="I681">
        <v>1.5152290000000001E-3</v>
      </c>
      <c r="J681">
        <v>9.064E-6</v>
      </c>
      <c r="K681">
        <v>13.918699999999999</v>
      </c>
      <c r="L681">
        <v>12.274699999999999</v>
      </c>
      <c r="M681">
        <v>0</v>
      </c>
      <c r="N681">
        <v>0</v>
      </c>
      <c r="O681">
        <v>15.0817</v>
      </c>
    </row>
    <row r="682" spans="1:15" x14ac:dyDescent="0.25">
      <c r="A682" t="s">
        <v>19</v>
      </c>
      <c r="B682" t="s">
        <v>16</v>
      </c>
      <c r="C682">
        <v>3</v>
      </c>
      <c r="D682">
        <v>100</v>
      </c>
      <c r="E682">
        <v>25600</v>
      </c>
      <c r="F682" t="str">
        <f t="shared" si="10"/>
        <v>tree256_blurkernel8_3_100_25600</v>
      </c>
      <c r="G682">
        <v>0</v>
      </c>
      <c r="H682">
        <v>0</v>
      </c>
      <c r="I682">
        <v>3.3743179999999998E-3</v>
      </c>
      <c r="J682">
        <v>9.064E-6</v>
      </c>
      <c r="K682">
        <v>10.6271</v>
      </c>
      <c r="L682">
        <v>12.274699999999999</v>
      </c>
      <c r="M682">
        <v>0</v>
      </c>
      <c r="N682">
        <v>0</v>
      </c>
      <c r="O682">
        <v>12.535299999999999</v>
      </c>
    </row>
    <row r="683" spans="1:15" x14ac:dyDescent="0.25">
      <c r="A683" t="s">
        <v>19</v>
      </c>
      <c r="B683" t="s">
        <v>16</v>
      </c>
      <c r="C683">
        <v>3</v>
      </c>
      <c r="D683">
        <v>100</v>
      </c>
      <c r="E683">
        <v>102400</v>
      </c>
      <c r="F683" t="str">
        <f t="shared" si="10"/>
        <v>tree256_blurkernel8_3_100_102400</v>
      </c>
      <c r="G683">
        <v>0</v>
      </c>
      <c r="H683">
        <v>0</v>
      </c>
      <c r="I683">
        <v>2.0549615E-2</v>
      </c>
      <c r="J683">
        <v>8.9900000000000003E-6</v>
      </c>
      <c r="K683">
        <v>4.2202999999999999</v>
      </c>
      <c r="L683">
        <v>12.2729</v>
      </c>
      <c r="M683">
        <v>0</v>
      </c>
      <c r="N683">
        <v>0</v>
      </c>
      <c r="O683">
        <v>7.9569999999999999</v>
      </c>
    </row>
    <row r="684" spans="1:15" x14ac:dyDescent="0.25">
      <c r="A684" t="s">
        <v>19</v>
      </c>
      <c r="B684" t="s">
        <v>16</v>
      </c>
      <c r="C684">
        <v>7</v>
      </c>
      <c r="D684">
        <v>100</v>
      </c>
      <c r="E684">
        <v>100</v>
      </c>
      <c r="F684" t="str">
        <f t="shared" si="10"/>
        <v>tree256_blurkernel8_7_100_100</v>
      </c>
      <c r="G684">
        <v>0</v>
      </c>
      <c r="H684">
        <v>0</v>
      </c>
      <c r="I684">
        <v>9.0100000000000001E-6</v>
      </c>
      <c r="J684">
        <v>9.0759999999999992E-6</v>
      </c>
      <c r="K684">
        <v>36.034199999999998</v>
      </c>
      <c r="L684">
        <v>6.9625000000000004</v>
      </c>
      <c r="M684">
        <v>0</v>
      </c>
      <c r="N684">
        <v>0</v>
      </c>
      <c r="O684">
        <v>36.036200000000001</v>
      </c>
    </row>
    <row r="685" spans="1:15" x14ac:dyDescent="0.25">
      <c r="A685" t="s">
        <v>19</v>
      </c>
      <c r="B685" t="s">
        <v>16</v>
      </c>
      <c r="C685">
        <v>7</v>
      </c>
      <c r="D685">
        <v>100</v>
      </c>
      <c r="E685">
        <v>200</v>
      </c>
      <c r="F685" t="str">
        <f t="shared" si="10"/>
        <v>tree256_blurkernel8_7_100_200</v>
      </c>
      <c r="G685">
        <v>0</v>
      </c>
      <c r="H685">
        <v>0</v>
      </c>
      <c r="I685">
        <v>1.9593E-5</v>
      </c>
      <c r="J685">
        <v>9.1370000000000008E-6</v>
      </c>
      <c r="K685">
        <v>32.662300000000002</v>
      </c>
      <c r="L685">
        <v>6.9606000000000003</v>
      </c>
      <c r="M685">
        <v>0</v>
      </c>
      <c r="N685">
        <v>0</v>
      </c>
      <c r="O685">
        <v>32.671199999999999</v>
      </c>
    </row>
    <row r="686" spans="1:15" x14ac:dyDescent="0.25">
      <c r="A686" t="s">
        <v>19</v>
      </c>
      <c r="B686" t="s">
        <v>16</v>
      </c>
      <c r="C686">
        <v>7</v>
      </c>
      <c r="D686">
        <v>100</v>
      </c>
      <c r="E686">
        <v>400</v>
      </c>
      <c r="F686" t="str">
        <f t="shared" si="10"/>
        <v>tree256_blurkernel8_7_100_400</v>
      </c>
      <c r="G686">
        <v>0</v>
      </c>
      <c r="H686">
        <v>0</v>
      </c>
      <c r="I686">
        <v>4.0732999999999998E-5</v>
      </c>
      <c r="J686">
        <v>9.1370000000000008E-6</v>
      </c>
      <c r="K686">
        <v>29.482900000000001</v>
      </c>
      <c r="L686">
        <v>6.9606000000000003</v>
      </c>
      <c r="M686">
        <v>0</v>
      </c>
      <c r="N686">
        <v>0</v>
      </c>
      <c r="O686">
        <v>29.512799999999999</v>
      </c>
    </row>
    <row r="687" spans="1:15" x14ac:dyDescent="0.25">
      <c r="A687" t="s">
        <v>19</v>
      </c>
      <c r="B687" t="s">
        <v>16</v>
      </c>
      <c r="C687">
        <v>7</v>
      </c>
      <c r="D687">
        <v>100</v>
      </c>
      <c r="E687">
        <v>800</v>
      </c>
      <c r="F687" t="str">
        <f t="shared" si="10"/>
        <v>tree256_blurkernel8_7_100_800</v>
      </c>
      <c r="G687">
        <v>0</v>
      </c>
      <c r="H687">
        <v>0</v>
      </c>
      <c r="I687">
        <v>8.4085999999999994E-5</v>
      </c>
      <c r="J687">
        <v>9.1370000000000008E-6</v>
      </c>
      <c r="K687">
        <v>26.341699999999999</v>
      </c>
      <c r="L687">
        <v>6.9606000000000003</v>
      </c>
      <c r="M687">
        <v>0</v>
      </c>
      <c r="N687">
        <v>0</v>
      </c>
      <c r="O687">
        <v>26.422799999999999</v>
      </c>
    </row>
    <row r="688" spans="1:15" x14ac:dyDescent="0.25">
      <c r="A688" t="s">
        <v>19</v>
      </c>
      <c r="B688" t="s">
        <v>16</v>
      </c>
      <c r="C688">
        <v>7</v>
      </c>
      <c r="D688">
        <v>100</v>
      </c>
      <c r="E688">
        <v>1600</v>
      </c>
      <c r="F688" t="str">
        <f t="shared" si="10"/>
        <v>tree256_blurkernel8_7_100_1600</v>
      </c>
      <c r="G688">
        <v>0</v>
      </c>
      <c r="H688">
        <v>0</v>
      </c>
      <c r="I688">
        <v>1.7297999999999999E-4</v>
      </c>
      <c r="J688">
        <v>9.1370000000000008E-6</v>
      </c>
      <c r="K688">
        <v>23.2165</v>
      </c>
      <c r="L688">
        <v>6.9606000000000003</v>
      </c>
      <c r="M688">
        <v>0</v>
      </c>
      <c r="N688">
        <v>0</v>
      </c>
      <c r="O688">
        <v>23.400700000000001</v>
      </c>
    </row>
    <row r="689" spans="1:15" x14ac:dyDescent="0.25">
      <c r="A689" t="s">
        <v>19</v>
      </c>
      <c r="B689" t="s">
        <v>16</v>
      </c>
      <c r="C689">
        <v>7</v>
      </c>
      <c r="D689">
        <v>100</v>
      </c>
      <c r="E689">
        <v>3200</v>
      </c>
      <c r="F689" t="str">
        <f t="shared" si="10"/>
        <v>tree256_blurkernel8_7_100_3200</v>
      </c>
      <c r="G689">
        <v>0</v>
      </c>
      <c r="H689">
        <v>0</v>
      </c>
      <c r="I689">
        <v>3.4766499999999999E-4</v>
      </c>
      <c r="J689">
        <v>9.1370000000000008E-6</v>
      </c>
      <c r="K689">
        <v>20.198599999999999</v>
      </c>
      <c r="L689">
        <v>6.9606000000000003</v>
      </c>
      <c r="M689">
        <v>0</v>
      </c>
      <c r="N689">
        <v>0</v>
      </c>
      <c r="O689">
        <v>20.5748</v>
      </c>
    </row>
    <row r="690" spans="1:15" x14ac:dyDescent="0.25">
      <c r="A690" t="s">
        <v>19</v>
      </c>
      <c r="B690" t="s">
        <v>16</v>
      </c>
      <c r="C690">
        <v>7</v>
      </c>
      <c r="D690">
        <v>100</v>
      </c>
      <c r="E690">
        <v>6400</v>
      </c>
      <c r="F690" t="str">
        <f t="shared" si="10"/>
        <v>tree256_blurkernel8_7_100_6400</v>
      </c>
      <c r="G690">
        <v>0</v>
      </c>
      <c r="H690">
        <v>0</v>
      </c>
      <c r="I690">
        <v>7.1678400000000004E-4</v>
      </c>
      <c r="J690">
        <v>9.1370000000000008E-6</v>
      </c>
      <c r="K690">
        <v>17.092099999999999</v>
      </c>
      <c r="L690">
        <v>6.9606000000000003</v>
      </c>
      <c r="M690">
        <v>0</v>
      </c>
      <c r="N690">
        <v>0</v>
      </c>
      <c r="O690">
        <v>17.7592</v>
      </c>
    </row>
    <row r="691" spans="1:15" x14ac:dyDescent="0.25">
      <c r="A691" t="s">
        <v>19</v>
      </c>
      <c r="B691" t="s">
        <v>16</v>
      </c>
      <c r="C691">
        <v>7</v>
      </c>
      <c r="D691">
        <v>100</v>
      </c>
      <c r="E691">
        <v>12800</v>
      </c>
      <c r="F691" t="str">
        <f t="shared" si="10"/>
        <v>tree256_blurkernel8_7_100_12800</v>
      </c>
      <c r="G691">
        <v>0</v>
      </c>
      <c r="H691">
        <v>0</v>
      </c>
      <c r="I691">
        <v>1.5047769999999999E-3</v>
      </c>
      <c r="J691">
        <v>9.1370000000000008E-6</v>
      </c>
      <c r="K691">
        <v>13.958500000000001</v>
      </c>
      <c r="L691">
        <v>6.9606000000000003</v>
      </c>
      <c r="M691">
        <v>0</v>
      </c>
      <c r="N691">
        <v>0</v>
      </c>
      <c r="O691">
        <v>15.120699999999999</v>
      </c>
    </row>
    <row r="692" spans="1:15" x14ac:dyDescent="0.25">
      <c r="A692" t="s">
        <v>19</v>
      </c>
      <c r="B692" t="s">
        <v>16</v>
      </c>
      <c r="C692">
        <v>7</v>
      </c>
      <c r="D692">
        <v>100</v>
      </c>
      <c r="E692">
        <v>25600</v>
      </c>
      <c r="F692" t="str">
        <f t="shared" si="10"/>
        <v>tree256_blurkernel8_7_100_25600</v>
      </c>
      <c r="G692">
        <v>0</v>
      </c>
      <c r="H692">
        <v>0</v>
      </c>
      <c r="I692">
        <v>3.3786240000000002E-3</v>
      </c>
      <c r="J692">
        <v>9.1370000000000008E-6</v>
      </c>
      <c r="K692">
        <v>10.635999999999999</v>
      </c>
      <c r="L692">
        <v>6.9606000000000003</v>
      </c>
      <c r="M692">
        <v>0</v>
      </c>
      <c r="N692">
        <v>0</v>
      </c>
      <c r="O692">
        <v>12.5434</v>
      </c>
    </row>
    <row r="693" spans="1:15" x14ac:dyDescent="0.25">
      <c r="A693" t="s">
        <v>19</v>
      </c>
      <c r="B693" t="s">
        <v>16</v>
      </c>
      <c r="C693">
        <v>7</v>
      </c>
      <c r="D693">
        <v>100</v>
      </c>
      <c r="E693">
        <v>102400</v>
      </c>
      <c r="F693" t="str">
        <f t="shared" si="10"/>
        <v>tree256_blurkernel8_7_100_102400</v>
      </c>
      <c r="G693">
        <v>0</v>
      </c>
      <c r="H693">
        <v>0</v>
      </c>
      <c r="I693">
        <v>2.0285629999999999E-2</v>
      </c>
      <c r="J693">
        <v>9.0270000000000001E-6</v>
      </c>
      <c r="K693">
        <v>4.2622</v>
      </c>
      <c r="L693">
        <v>6.9626000000000001</v>
      </c>
      <c r="M693">
        <v>0</v>
      </c>
      <c r="N693">
        <v>0</v>
      </c>
      <c r="O693">
        <v>7.9375</v>
      </c>
    </row>
    <row r="694" spans="1:15" x14ac:dyDescent="0.25">
      <c r="A694" t="s">
        <v>19</v>
      </c>
      <c r="B694" t="s">
        <v>16</v>
      </c>
      <c r="C694">
        <v>15</v>
      </c>
      <c r="D694">
        <v>100</v>
      </c>
      <c r="E694">
        <v>100</v>
      </c>
      <c r="F694" t="str">
        <f t="shared" si="10"/>
        <v>tree256_blurkernel8_15_100_100</v>
      </c>
      <c r="G694">
        <v>0</v>
      </c>
      <c r="H694">
        <v>0</v>
      </c>
      <c r="I694">
        <v>9.0289999999999994E-6</v>
      </c>
      <c r="J694">
        <v>9.1649999999999995E-6</v>
      </c>
      <c r="K694">
        <v>36.025799999999997</v>
      </c>
      <c r="L694">
        <v>4.1380999999999997</v>
      </c>
      <c r="M694">
        <v>0</v>
      </c>
      <c r="N694">
        <v>0</v>
      </c>
      <c r="O694">
        <v>36.027799999999999</v>
      </c>
    </row>
    <row r="695" spans="1:15" x14ac:dyDescent="0.25">
      <c r="A695" t="s">
        <v>19</v>
      </c>
      <c r="B695" t="s">
        <v>16</v>
      </c>
      <c r="C695">
        <v>15</v>
      </c>
      <c r="D695">
        <v>100</v>
      </c>
      <c r="E695">
        <v>200</v>
      </c>
      <c r="F695" t="str">
        <f t="shared" si="10"/>
        <v>tree256_blurkernel8_15_100_200</v>
      </c>
      <c r="G695">
        <v>0</v>
      </c>
      <c r="H695">
        <v>0</v>
      </c>
      <c r="I695">
        <v>1.9740000000000001E-5</v>
      </c>
      <c r="J695">
        <v>9.0580000000000004E-6</v>
      </c>
      <c r="K695">
        <v>32.629399999999997</v>
      </c>
      <c r="L695">
        <v>4.1394000000000002</v>
      </c>
      <c r="M695">
        <v>0</v>
      </c>
      <c r="N695">
        <v>0</v>
      </c>
      <c r="O695">
        <v>32.641500000000001</v>
      </c>
    </row>
    <row r="696" spans="1:15" x14ac:dyDescent="0.25">
      <c r="A696" t="s">
        <v>19</v>
      </c>
      <c r="B696" t="s">
        <v>16</v>
      </c>
      <c r="C696">
        <v>15</v>
      </c>
      <c r="D696">
        <v>100</v>
      </c>
      <c r="E696">
        <v>400</v>
      </c>
      <c r="F696" t="str">
        <f t="shared" si="10"/>
        <v>tree256_blurkernel8_15_100_400</v>
      </c>
      <c r="G696">
        <v>0</v>
      </c>
      <c r="H696">
        <v>0</v>
      </c>
      <c r="I696">
        <v>4.1452999999999998E-5</v>
      </c>
      <c r="J696">
        <v>9.0580000000000004E-6</v>
      </c>
      <c r="K696">
        <v>29.407900000000001</v>
      </c>
      <c r="L696">
        <v>4.1394000000000002</v>
      </c>
      <c r="M696">
        <v>0</v>
      </c>
      <c r="N696">
        <v>0</v>
      </c>
      <c r="O696">
        <v>29.445599999999999</v>
      </c>
    </row>
    <row r="697" spans="1:15" x14ac:dyDescent="0.25">
      <c r="A697" t="s">
        <v>19</v>
      </c>
      <c r="B697" t="s">
        <v>16</v>
      </c>
      <c r="C697">
        <v>15</v>
      </c>
      <c r="D697">
        <v>100</v>
      </c>
      <c r="E697">
        <v>800</v>
      </c>
      <c r="F697" t="str">
        <f t="shared" si="10"/>
        <v>tree256_blurkernel8_15_100_800</v>
      </c>
      <c r="G697">
        <v>0</v>
      </c>
      <c r="H697">
        <v>0</v>
      </c>
      <c r="I697">
        <v>8.4944000000000005E-5</v>
      </c>
      <c r="J697">
        <v>9.0580000000000004E-6</v>
      </c>
      <c r="K697">
        <v>26.294799999999999</v>
      </c>
      <c r="L697">
        <v>4.1394000000000002</v>
      </c>
      <c r="M697">
        <v>0</v>
      </c>
      <c r="N697">
        <v>0</v>
      </c>
      <c r="O697">
        <v>26.382899999999999</v>
      </c>
    </row>
    <row r="698" spans="1:15" x14ac:dyDescent="0.25">
      <c r="A698" t="s">
        <v>19</v>
      </c>
      <c r="B698" t="s">
        <v>16</v>
      </c>
      <c r="C698">
        <v>15</v>
      </c>
      <c r="D698">
        <v>100</v>
      </c>
      <c r="E698">
        <v>1600</v>
      </c>
      <c r="F698" t="str">
        <f t="shared" si="10"/>
        <v>tree256_blurkernel8_15_100_1600</v>
      </c>
      <c r="G698">
        <v>0</v>
      </c>
      <c r="H698">
        <v>0</v>
      </c>
      <c r="I698">
        <v>1.7171299999999999E-4</v>
      </c>
      <c r="J698">
        <v>9.0580000000000004E-6</v>
      </c>
      <c r="K698">
        <v>23.247199999999999</v>
      </c>
      <c r="L698">
        <v>4.1394000000000002</v>
      </c>
      <c r="M698">
        <v>0</v>
      </c>
      <c r="N698">
        <v>0</v>
      </c>
      <c r="O698">
        <v>23.423500000000001</v>
      </c>
    </row>
    <row r="699" spans="1:15" x14ac:dyDescent="0.25">
      <c r="A699" t="s">
        <v>19</v>
      </c>
      <c r="B699" t="s">
        <v>16</v>
      </c>
      <c r="C699">
        <v>15</v>
      </c>
      <c r="D699">
        <v>100</v>
      </c>
      <c r="E699">
        <v>3200</v>
      </c>
      <c r="F699" t="str">
        <f t="shared" si="10"/>
        <v>tree256_blurkernel8_15_100_3200</v>
      </c>
      <c r="G699">
        <v>0</v>
      </c>
      <c r="H699">
        <v>0</v>
      </c>
      <c r="I699">
        <v>3.46771E-4</v>
      </c>
      <c r="J699">
        <v>9.0580000000000004E-6</v>
      </c>
      <c r="K699">
        <v>20.217400000000001</v>
      </c>
      <c r="L699">
        <v>4.1394000000000002</v>
      </c>
      <c r="M699">
        <v>0</v>
      </c>
      <c r="N699">
        <v>0</v>
      </c>
      <c r="O699">
        <v>20.5624</v>
      </c>
    </row>
    <row r="700" spans="1:15" x14ac:dyDescent="0.25">
      <c r="A700" t="s">
        <v>19</v>
      </c>
      <c r="B700" t="s">
        <v>16</v>
      </c>
      <c r="C700">
        <v>15</v>
      </c>
      <c r="D700">
        <v>100</v>
      </c>
      <c r="E700">
        <v>6400</v>
      </c>
      <c r="F700" t="str">
        <f t="shared" si="10"/>
        <v>tree256_blurkernel8_15_100_6400</v>
      </c>
      <c r="G700">
        <v>0</v>
      </c>
      <c r="H700">
        <v>0</v>
      </c>
      <c r="I700">
        <v>7.1947199999999997E-4</v>
      </c>
      <c r="J700">
        <v>9.0580000000000004E-6</v>
      </c>
      <c r="K700">
        <v>17.073899999999998</v>
      </c>
      <c r="L700">
        <v>4.1394000000000002</v>
      </c>
      <c r="M700">
        <v>0</v>
      </c>
      <c r="N700">
        <v>0</v>
      </c>
      <c r="O700">
        <v>17.732600000000001</v>
      </c>
    </row>
    <row r="701" spans="1:15" x14ac:dyDescent="0.25">
      <c r="A701" t="s">
        <v>19</v>
      </c>
      <c r="B701" t="s">
        <v>16</v>
      </c>
      <c r="C701">
        <v>15</v>
      </c>
      <c r="D701">
        <v>100</v>
      </c>
      <c r="E701">
        <v>12800</v>
      </c>
      <c r="F701" t="str">
        <f t="shared" si="10"/>
        <v>tree256_blurkernel8_15_100_12800</v>
      </c>
      <c r="G701">
        <v>0</v>
      </c>
      <c r="H701">
        <v>0</v>
      </c>
      <c r="I701">
        <v>1.5232570000000001E-3</v>
      </c>
      <c r="J701">
        <v>9.0580000000000004E-6</v>
      </c>
      <c r="K701">
        <v>13.914300000000001</v>
      </c>
      <c r="L701">
        <v>4.1394000000000002</v>
      </c>
      <c r="M701">
        <v>0</v>
      </c>
      <c r="N701">
        <v>0</v>
      </c>
      <c r="O701">
        <v>15.0694</v>
      </c>
    </row>
    <row r="702" spans="1:15" x14ac:dyDescent="0.25">
      <c r="A702" t="s">
        <v>19</v>
      </c>
      <c r="B702" t="s">
        <v>16</v>
      </c>
      <c r="C702">
        <v>15</v>
      </c>
      <c r="D702">
        <v>100</v>
      </c>
      <c r="E702">
        <v>25600</v>
      </c>
      <c r="F702" t="str">
        <f t="shared" si="10"/>
        <v>tree256_blurkernel8_15_100_25600</v>
      </c>
      <c r="G702">
        <v>0</v>
      </c>
      <c r="H702">
        <v>0</v>
      </c>
      <c r="I702">
        <v>3.377513E-3</v>
      </c>
      <c r="J702">
        <v>9.0580000000000004E-6</v>
      </c>
      <c r="K702">
        <v>10.6182</v>
      </c>
      <c r="L702">
        <v>4.1394000000000002</v>
      </c>
      <c r="M702">
        <v>0</v>
      </c>
      <c r="N702">
        <v>0</v>
      </c>
      <c r="O702">
        <v>12.512499999999999</v>
      </c>
    </row>
    <row r="703" spans="1:15" x14ac:dyDescent="0.25">
      <c r="A703" t="s">
        <v>19</v>
      </c>
      <c r="B703" t="s">
        <v>16</v>
      </c>
      <c r="C703">
        <v>15</v>
      </c>
      <c r="D703">
        <v>100</v>
      </c>
      <c r="E703">
        <v>102400</v>
      </c>
      <c r="F703" t="str">
        <f t="shared" si="10"/>
        <v>tree256_blurkernel8_15_100_102400</v>
      </c>
      <c r="G703">
        <v>0</v>
      </c>
      <c r="H703">
        <v>0</v>
      </c>
      <c r="I703">
        <v>2.0313819E-2</v>
      </c>
      <c r="J703">
        <v>9.0769999999999997E-6</v>
      </c>
      <c r="K703">
        <v>4.2484000000000002</v>
      </c>
      <c r="L703">
        <v>4.1365999999999996</v>
      </c>
      <c r="M703">
        <v>0</v>
      </c>
      <c r="N703">
        <v>0</v>
      </c>
      <c r="O703">
        <v>7.9650999999999996</v>
      </c>
    </row>
    <row r="704" spans="1:15" x14ac:dyDescent="0.25">
      <c r="A704" t="s">
        <v>19</v>
      </c>
      <c r="B704" t="s">
        <v>16</v>
      </c>
      <c r="C704">
        <v>31</v>
      </c>
      <c r="D704">
        <v>100</v>
      </c>
      <c r="E704">
        <v>100</v>
      </c>
      <c r="F704" t="str">
        <f t="shared" si="10"/>
        <v>tree256_blurkernel8_31_100_100</v>
      </c>
      <c r="G704">
        <v>0</v>
      </c>
      <c r="H704">
        <v>0</v>
      </c>
      <c r="I704">
        <v>9.0650000000000005E-6</v>
      </c>
      <c r="J704">
        <v>9.0790000000000007E-6</v>
      </c>
      <c r="K704">
        <v>36.0077</v>
      </c>
      <c r="L704">
        <v>2.5005999999999999</v>
      </c>
      <c r="M704">
        <v>0</v>
      </c>
      <c r="N704">
        <v>0</v>
      </c>
      <c r="O704">
        <v>36.010899999999999</v>
      </c>
    </row>
    <row r="705" spans="1:15" x14ac:dyDescent="0.25">
      <c r="A705" t="s">
        <v>19</v>
      </c>
      <c r="B705" t="s">
        <v>16</v>
      </c>
      <c r="C705">
        <v>31</v>
      </c>
      <c r="D705">
        <v>100</v>
      </c>
      <c r="E705">
        <v>200</v>
      </c>
      <c r="F705" t="str">
        <f t="shared" si="10"/>
        <v>tree256_blurkernel8_31_100_200</v>
      </c>
      <c r="G705">
        <v>0</v>
      </c>
      <c r="H705">
        <v>0</v>
      </c>
      <c r="I705">
        <v>1.9805000000000001E-5</v>
      </c>
      <c r="J705">
        <v>9.0550000000000005E-6</v>
      </c>
      <c r="K705">
        <v>32.616700000000002</v>
      </c>
      <c r="L705">
        <v>2.5017</v>
      </c>
      <c r="M705">
        <v>0</v>
      </c>
      <c r="N705">
        <v>0</v>
      </c>
      <c r="O705">
        <v>32.630699999999997</v>
      </c>
    </row>
    <row r="706" spans="1:15" x14ac:dyDescent="0.25">
      <c r="A706" t="s">
        <v>19</v>
      </c>
      <c r="B706" t="s">
        <v>16</v>
      </c>
      <c r="C706">
        <v>31</v>
      </c>
      <c r="D706">
        <v>100</v>
      </c>
      <c r="E706">
        <v>400</v>
      </c>
      <c r="F706" t="str">
        <f t="shared" ref="F706:F769" si="11">A706&amp;"_"&amp;B706&amp;"_"&amp;C706&amp;"_"&amp;D706&amp;"_"&amp;E706</f>
        <v>tree256_blurkernel8_31_100_400</v>
      </c>
      <c r="G706">
        <v>0</v>
      </c>
      <c r="H706">
        <v>0</v>
      </c>
      <c r="I706">
        <v>4.1091999999999999E-5</v>
      </c>
      <c r="J706">
        <v>9.0550000000000005E-6</v>
      </c>
      <c r="K706">
        <v>29.446400000000001</v>
      </c>
      <c r="L706">
        <v>2.5017</v>
      </c>
      <c r="M706">
        <v>0</v>
      </c>
      <c r="N706">
        <v>0</v>
      </c>
      <c r="O706">
        <v>29.485299999999999</v>
      </c>
    </row>
    <row r="707" spans="1:15" x14ac:dyDescent="0.25">
      <c r="A707" t="s">
        <v>19</v>
      </c>
      <c r="B707" t="s">
        <v>16</v>
      </c>
      <c r="C707">
        <v>31</v>
      </c>
      <c r="D707">
        <v>100</v>
      </c>
      <c r="E707">
        <v>800</v>
      </c>
      <c r="F707" t="str">
        <f t="shared" si="11"/>
        <v>tree256_blurkernel8_31_100_800</v>
      </c>
      <c r="G707">
        <v>0</v>
      </c>
      <c r="H707">
        <v>0</v>
      </c>
      <c r="I707">
        <v>8.4239000000000004E-5</v>
      </c>
      <c r="J707">
        <v>9.0550000000000005E-6</v>
      </c>
      <c r="K707">
        <v>26.3352</v>
      </c>
      <c r="L707">
        <v>2.5017</v>
      </c>
      <c r="M707">
        <v>0</v>
      </c>
      <c r="N707">
        <v>0</v>
      </c>
      <c r="O707">
        <v>26.416599999999999</v>
      </c>
    </row>
    <row r="708" spans="1:15" x14ac:dyDescent="0.25">
      <c r="A708" t="s">
        <v>19</v>
      </c>
      <c r="B708" t="s">
        <v>16</v>
      </c>
      <c r="C708">
        <v>31</v>
      </c>
      <c r="D708">
        <v>100</v>
      </c>
      <c r="E708">
        <v>1600</v>
      </c>
      <c r="F708" t="str">
        <f t="shared" si="11"/>
        <v>tree256_blurkernel8_31_100_1600</v>
      </c>
      <c r="G708">
        <v>0</v>
      </c>
      <c r="H708">
        <v>0</v>
      </c>
      <c r="I708">
        <v>1.7136399999999999E-4</v>
      </c>
      <c r="J708">
        <v>9.0550000000000005E-6</v>
      </c>
      <c r="K708">
        <v>23.257999999999999</v>
      </c>
      <c r="L708">
        <v>2.5017</v>
      </c>
      <c r="M708">
        <v>0</v>
      </c>
      <c r="N708">
        <v>0</v>
      </c>
      <c r="O708">
        <v>23.431000000000001</v>
      </c>
    </row>
    <row r="709" spans="1:15" x14ac:dyDescent="0.25">
      <c r="A709" t="s">
        <v>19</v>
      </c>
      <c r="B709" t="s">
        <v>16</v>
      </c>
      <c r="C709">
        <v>31</v>
      </c>
      <c r="D709">
        <v>100</v>
      </c>
      <c r="E709">
        <v>3200</v>
      </c>
      <c r="F709" t="str">
        <f t="shared" si="11"/>
        <v>tree256_blurkernel8_31_100_3200</v>
      </c>
      <c r="G709">
        <v>0</v>
      </c>
      <c r="H709">
        <v>0</v>
      </c>
      <c r="I709">
        <v>3.4713099999999998E-4</v>
      </c>
      <c r="J709">
        <v>9.0550000000000005E-6</v>
      </c>
      <c r="K709">
        <v>20.207100000000001</v>
      </c>
      <c r="L709">
        <v>2.5017</v>
      </c>
      <c r="M709">
        <v>0</v>
      </c>
      <c r="N709">
        <v>0</v>
      </c>
      <c r="O709">
        <v>20.569600000000001</v>
      </c>
    </row>
    <row r="710" spans="1:15" x14ac:dyDescent="0.25">
      <c r="A710" t="s">
        <v>19</v>
      </c>
      <c r="B710" t="s">
        <v>16</v>
      </c>
      <c r="C710">
        <v>31</v>
      </c>
      <c r="D710">
        <v>100</v>
      </c>
      <c r="E710">
        <v>6400</v>
      </c>
      <c r="F710" t="str">
        <f t="shared" si="11"/>
        <v>tree256_blurkernel8_31_100_6400</v>
      </c>
      <c r="G710">
        <v>0</v>
      </c>
      <c r="H710">
        <v>0</v>
      </c>
      <c r="I710">
        <v>7.1846900000000001E-4</v>
      </c>
      <c r="J710">
        <v>9.0550000000000005E-6</v>
      </c>
      <c r="K710">
        <v>17.083200000000001</v>
      </c>
      <c r="L710">
        <v>2.5017</v>
      </c>
      <c r="M710">
        <v>0</v>
      </c>
      <c r="N710">
        <v>0</v>
      </c>
      <c r="O710">
        <v>17.766500000000001</v>
      </c>
    </row>
    <row r="711" spans="1:15" x14ac:dyDescent="0.25">
      <c r="A711" t="s">
        <v>19</v>
      </c>
      <c r="B711" t="s">
        <v>16</v>
      </c>
      <c r="C711">
        <v>31</v>
      </c>
      <c r="D711">
        <v>100</v>
      </c>
      <c r="E711">
        <v>12800</v>
      </c>
      <c r="F711" t="str">
        <f t="shared" si="11"/>
        <v>tree256_blurkernel8_31_100_12800</v>
      </c>
      <c r="G711">
        <v>0</v>
      </c>
      <c r="H711">
        <v>0</v>
      </c>
      <c r="I711">
        <v>1.5027700000000001E-3</v>
      </c>
      <c r="J711">
        <v>9.0550000000000005E-6</v>
      </c>
      <c r="K711">
        <v>13.947699999999999</v>
      </c>
      <c r="L711">
        <v>2.5017</v>
      </c>
      <c r="M711">
        <v>0</v>
      </c>
      <c r="N711">
        <v>0</v>
      </c>
      <c r="O711">
        <v>15.1149</v>
      </c>
    </row>
    <row r="712" spans="1:15" x14ac:dyDescent="0.25">
      <c r="A712" t="s">
        <v>19</v>
      </c>
      <c r="B712" t="s">
        <v>16</v>
      </c>
      <c r="C712">
        <v>31</v>
      </c>
      <c r="D712">
        <v>100</v>
      </c>
      <c r="E712">
        <v>25600</v>
      </c>
      <c r="F712" t="str">
        <f t="shared" si="11"/>
        <v>tree256_blurkernel8_31_100_25600</v>
      </c>
      <c r="G712">
        <v>0</v>
      </c>
      <c r="H712">
        <v>0</v>
      </c>
      <c r="I712">
        <v>3.3556419999999998E-3</v>
      </c>
      <c r="J712">
        <v>9.0550000000000005E-6</v>
      </c>
      <c r="K712">
        <v>10.6693</v>
      </c>
      <c r="L712">
        <v>2.5017</v>
      </c>
      <c r="M712">
        <v>0</v>
      </c>
      <c r="N712">
        <v>0</v>
      </c>
      <c r="O712">
        <v>12.611800000000001</v>
      </c>
    </row>
    <row r="713" spans="1:15" x14ac:dyDescent="0.25">
      <c r="A713" t="s">
        <v>19</v>
      </c>
      <c r="B713" t="s">
        <v>16</v>
      </c>
      <c r="C713">
        <v>31</v>
      </c>
      <c r="D713">
        <v>100</v>
      </c>
      <c r="E713">
        <v>102400</v>
      </c>
      <c r="F713" t="str">
        <f t="shared" si="11"/>
        <v>tree256_blurkernel8_31_100_102400</v>
      </c>
      <c r="G713">
        <v>0</v>
      </c>
      <c r="H713">
        <v>0</v>
      </c>
      <c r="I713">
        <v>2.0244133000000001E-2</v>
      </c>
      <c r="J713">
        <v>9.0450000000000006E-6</v>
      </c>
      <c r="K713">
        <v>4.2530000000000001</v>
      </c>
      <c r="L713">
        <v>2.5011000000000001</v>
      </c>
      <c r="M713">
        <v>0</v>
      </c>
      <c r="N713">
        <v>0</v>
      </c>
      <c r="O713">
        <v>7.9828999999999999</v>
      </c>
    </row>
    <row r="714" spans="1:15" x14ac:dyDescent="0.25">
      <c r="A714" t="s">
        <v>19</v>
      </c>
      <c r="B714" t="s">
        <v>16</v>
      </c>
      <c r="C714">
        <v>63</v>
      </c>
      <c r="D714">
        <v>100</v>
      </c>
      <c r="E714">
        <v>200</v>
      </c>
      <c r="F714" t="str">
        <f t="shared" si="11"/>
        <v>tree256_blurkernel8_63_100_200</v>
      </c>
      <c r="G714">
        <v>0</v>
      </c>
      <c r="H714">
        <v>0</v>
      </c>
      <c r="I714">
        <v>2.0023000000000001E-5</v>
      </c>
      <c r="J714">
        <v>9.0909999999999999E-6</v>
      </c>
      <c r="K714">
        <v>32.567399999999999</v>
      </c>
      <c r="L714">
        <v>1.7072000000000001</v>
      </c>
      <c r="M714">
        <v>0</v>
      </c>
      <c r="N714">
        <v>0</v>
      </c>
      <c r="O714">
        <v>32.586399999999998</v>
      </c>
    </row>
    <row r="715" spans="1:15" x14ac:dyDescent="0.25">
      <c r="A715" t="s">
        <v>19</v>
      </c>
      <c r="B715" t="s">
        <v>16</v>
      </c>
      <c r="C715">
        <v>63</v>
      </c>
      <c r="D715">
        <v>100</v>
      </c>
      <c r="E715">
        <v>400</v>
      </c>
      <c r="F715" t="str">
        <f t="shared" si="11"/>
        <v>tree256_blurkernel8_63_100_400</v>
      </c>
      <c r="G715">
        <v>0</v>
      </c>
      <c r="H715">
        <v>0</v>
      </c>
      <c r="I715">
        <v>4.1159999999999999E-5</v>
      </c>
      <c r="J715">
        <v>9.0909999999999999E-6</v>
      </c>
      <c r="K715">
        <v>29.438600000000001</v>
      </c>
      <c r="L715">
        <v>1.7072000000000001</v>
      </c>
      <c r="M715">
        <v>0</v>
      </c>
      <c r="N715">
        <v>0</v>
      </c>
      <c r="O715">
        <v>29.462299999999999</v>
      </c>
    </row>
    <row r="716" spans="1:15" x14ac:dyDescent="0.25">
      <c r="A716" t="s">
        <v>19</v>
      </c>
      <c r="B716" t="s">
        <v>16</v>
      </c>
      <c r="C716">
        <v>63</v>
      </c>
      <c r="D716">
        <v>100</v>
      </c>
      <c r="E716">
        <v>800</v>
      </c>
      <c r="F716" t="str">
        <f t="shared" si="11"/>
        <v>tree256_blurkernel8_63_100_800</v>
      </c>
      <c r="G716">
        <v>0</v>
      </c>
      <c r="H716">
        <v>0</v>
      </c>
      <c r="I716">
        <v>8.4458999999999999E-5</v>
      </c>
      <c r="J716">
        <v>9.0909999999999999E-6</v>
      </c>
      <c r="K716">
        <v>26.320499999999999</v>
      </c>
      <c r="L716">
        <v>1.7072000000000001</v>
      </c>
      <c r="M716">
        <v>0</v>
      </c>
      <c r="N716">
        <v>0</v>
      </c>
      <c r="O716">
        <v>26.4133</v>
      </c>
    </row>
    <row r="717" spans="1:15" x14ac:dyDescent="0.25">
      <c r="A717" t="s">
        <v>19</v>
      </c>
      <c r="B717" t="s">
        <v>16</v>
      </c>
      <c r="C717">
        <v>63</v>
      </c>
      <c r="D717">
        <v>100</v>
      </c>
      <c r="E717">
        <v>1600</v>
      </c>
      <c r="F717" t="str">
        <f t="shared" si="11"/>
        <v>tree256_blurkernel8_63_100_1600</v>
      </c>
      <c r="G717">
        <v>0</v>
      </c>
      <c r="H717">
        <v>0</v>
      </c>
      <c r="I717">
        <v>1.7128400000000001E-4</v>
      </c>
      <c r="J717">
        <v>9.0909999999999999E-6</v>
      </c>
      <c r="K717">
        <v>23.2578</v>
      </c>
      <c r="L717">
        <v>1.7072000000000001</v>
      </c>
      <c r="M717">
        <v>0</v>
      </c>
      <c r="N717">
        <v>0</v>
      </c>
      <c r="O717">
        <v>23.445599999999999</v>
      </c>
    </row>
    <row r="718" spans="1:15" x14ac:dyDescent="0.25">
      <c r="A718" t="s">
        <v>19</v>
      </c>
      <c r="B718" t="s">
        <v>16</v>
      </c>
      <c r="C718">
        <v>63</v>
      </c>
      <c r="D718">
        <v>100</v>
      </c>
      <c r="E718">
        <v>3200</v>
      </c>
      <c r="F718" t="str">
        <f t="shared" si="11"/>
        <v>tree256_blurkernel8_63_100_3200</v>
      </c>
      <c r="G718">
        <v>0</v>
      </c>
      <c r="H718">
        <v>0</v>
      </c>
      <c r="I718">
        <v>3.4892499999999998E-4</v>
      </c>
      <c r="J718">
        <v>9.0909999999999999E-6</v>
      </c>
      <c r="K718">
        <v>20.1858</v>
      </c>
      <c r="L718">
        <v>1.7072000000000001</v>
      </c>
      <c r="M718">
        <v>0</v>
      </c>
      <c r="N718">
        <v>0</v>
      </c>
      <c r="O718">
        <v>20.557500000000001</v>
      </c>
    </row>
    <row r="719" spans="1:15" x14ac:dyDescent="0.25">
      <c r="A719" t="s">
        <v>19</v>
      </c>
      <c r="B719" t="s">
        <v>16</v>
      </c>
      <c r="C719">
        <v>63</v>
      </c>
      <c r="D719">
        <v>100</v>
      </c>
      <c r="E719">
        <v>6400</v>
      </c>
      <c r="F719" t="str">
        <f t="shared" si="11"/>
        <v>tree256_blurkernel8_63_100_6400</v>
      </c>
      <c r="G719">
        <v>0</v>
      </c>
      <c r="H719">
        <v>0</v>
      </c>
      <c r="I719">
        <v>7.1374999999999997E-4</v>
      </c>
      <c r="J719">
        <v>9.0909999999999999E-6</v>
      </c>
      <c r="K719">
        <v>17.107800000000001</v>
      </c>
      <c r="L719">
        <v>1.7072000000000001</v>
      </c>
      <c r="M719">
        <v>0</v>
      </c>
      <c r="N719">
        <v>0</v>
      </c>
      <c r="O719">
        <v>17.7819</v>
      </c>
    </row>
    <row r="720" spans="1:15" x14ac:dyDescent="0.25">
      <c r="A720" t="s">
        <v>19</v>
      </c>
      <c r="B720" t="s">
        <v>16</v>
      </c>
      <c r="C720">
        <v>63</v>
      </c>
      <c r="D720">
        <v>100</v>
      </c>
      <c r="E720">
        <v>12800</v>
      </c>
      <c r="F720" t="str">
        <f t="shared" si="11"/>
        <v>tree256_blurkernel8_63_100_12800</v>
      </c>
      <c r="G720">
        <v>0</v>
      </c>
      <c r="H720">
        <v>0</v>
      </c>
      <c r="I720">
        <v>1.5159170000000001E-3</v>
      </c>
      <c r="J720">
        <v>9.0909999999999999E-6</v>
      </c>
      <c r="K720">
        <v>13.923500000000001</v>
      </c>
      <c r="L720">
        <v>1.7072000000000001</v>
      </c>
      <c r="M720">
        <v>0</v>
      </c>
      <c r="N720">
        <v>0</v>
      </c>
      <c r="O720">
        <v>15.076499999999999</v>
      </c>
    </row>
    <row r="721" spans="1:15" x14ac:dyDescent="0.25">
      <c r="A721" t="s">
        <v>19</v>
      </c>
      <c r="B721" t="s">
        <v>16</v>
      </c>
      <c r="C721">
        <v>63</v>
      </c>
      <c r="D721">
        <v>100</v>
      </c>
      <c r="E721">
        <v>25600</v>
      </c>
      <c r="F721" t="str">
        <f t="shared" si="11"/>
        <v>tree256_blurkernel8_63_100_25600</v>
      </c>
      <c r="G721">
        <v>0</v>
      </c>
      <c r="H721">
        <v>0</v>
      </c>
      <c r="I721">
        <v>3.324409E-3</v>
      </c>
      <c r="J721">
        <v>9.0909999999999999E-6</v>
      </c>
      <c r="K721">
        <v>10.694100000000001</v>
      </c>
      <c r="L721">
        <v>1.7072000000000001</v>
      </c>
      <c r="M721">
        <v>0</v>
      </c>
      <c r="N721">
        <v>0</v>
      </c>
      <c r="O721">
        <v>12.623900000000001</v>
      </c>
    </row>
    <row r="722" spans="1:15" x14ac:dyDescent="0.25">
      <c r="A722" t="s">
        <v>19</v>
      </c>
      <c r="B722" t="s">
        <v>17</v>
      </c>
      <c r="C722">
        <v>3</v>
      </c>
      <c r="D722">
        <v>100</v>
      </c>
      <c r="E722">
        <v>100</v>
      </c>
      <c r="F722" t="str">
        <f t="shared" si="11"/>
        <v>tree256_line_3_100_100</v>
      </c>
      <c r="G722">
        <v>0</v>
      </c>
      <c r="H722">
        <v>0</v>
      </c>
      <c r="I722">
        <v>8.952E-6</v>
      </c>
      <c r="J722">
        <v>9.0410000000000003E-6</v>
      </c>
      <c r="K722">
        <v>36.0625</v>
      </c>
      <c r="L722">
        <v>9.3465000000000007</v>
      </c>
      <c r="M722">
        <v>0</v>
      </c>
      <c r="N722">
        <v>0</v>
      </c>
      <c r="O722">
        <v>36.064399999999999</v>
      </c>
    </row>
    <row r="723" spans="1:15" x14ac:dyDescent="0.25">
      <c r="A723" t="s">
        <v>19</v>
      </c>
      <c r="B723" t="s">
        <v>17</v>
      </c>
      <c r="C723">
        <v>3</v>
      </c>
      <c r="D723">
        <v>100</v>
      </c>
      <c r="E723">
        <v>200</v>
      </c>
      <c r="F723" t="str">
        <f t="shared" si="11"/>
        <v>tree256_line_3_100_200</v>
      </c>
      <c r="G723">
        <v>0</v>
      </c>
      <c r="H723">
        <v>0</v>
      </c>
      <c r="I723">
        <v>1.9697000000000001E-5</v>
      </c>
      <c r="J723">
        <v>9.064E-6</v>
      </c>
      <c r="K723">
        <v>32.637799999999999</v>
      </c>
      <c r="L723">
        <v>9.3480000000000008</v>
      </c>
      <c r="M723">
        <v>0</v>
      </c>
      <c r="N723">
        <v>0</v>
      </c>
      <c r="O723">
        <v>32.65</v>
      </c>
    </row>
    <row r="724" spans="1:15" x14ac:dyDescent="0.25">
      <c r="A724" t="s">
        <v>19</v>
      </c>
      <c r="B724" t="s">
        <v>17</v>
      </c>
      <c r="C724">
        <v>3</v>
      </c>
      <c r="D724">
        <v>100</v>
      </c>
      <c r="E724">
        <v>400</v>
      </c>
      <c r="F724" t="str">
        <f t="shared" si="11"/>
        <v>tree256_line_3_100_400</v>
      </c>
      <c r="G724">
        <v>0</v>
      </c>
      <c r="H724">
        <v>0</v>
      </c>
      <c r="I724">
        <v>4.1211999999999998E-5</v>
      </c>
      <c r="J724">
        <v>9.064E-6</v>
      </c>
      <c r="K724">
        <v>29.4329</v>
      </c>
      <c r="L724">
        <v>9.3480000000000008</v>
      </c>
      <c r="M724">
        <v>0</v>
      </c>
      <c r="N724">
        <v>0</v>
      </c>
      <c r="O724">
        <v>29.472100000000001</v>
      </c>
    </row>
    <row r="725" spans="1:15" x14ac:dyDescent="0.25">
      <c r="A725" t="s">
        <v>19</v>
      </c>
      <c r="B725" t="s">
        <v>17</v>
      </c>
      <c r="C725">
        <v>3</v>
      </c>
      <c r="D725">
        <v>100</v>
      </c>
      <c r="E725">
        <v>800</v>
      </c>
      <c r="F725" t="str">
        <f t="shared" si="11"/>
        <v>tree256_line_3_100_800</v>
      </c>
      <c r="G725">
        <v>0</v>
      </c>
      <c r="H725">
        <v>0</v>
      </c>
      <c r="I725">
        <v>8.4850000000000002E-5</v>
      </c>
      <c r="J725">
        <v>9.064E-6</v>
      </c>
      <c r="K725">
        <v>26.299800000000001</v>
      </c>
      <c r="L725">
        <v>9.3480000000000008</v>
      </c>
      <c r="M725">
        <v>0</v>
      </c>
      <c r="N725">
        <v>0</v>
      </c>
      <c r="O725">
        <v>26.383600000000001</v>
      </c>
    </row>
    <row r="726" spans="1:15" x14ac:dyDescent="0.25">
      <c r="A726" t="s">
        <v>19</v>
      </c>
      <c r="B726" t="s">
        <v>17</v>
      </c>
      <c r="C726">
        <v>3</v>
      </c>
      <c r="D726">
        <v>100</v>
      </c>
      <c r="E726">
        <v>1600</v>
      </c>
      <c r="F726" t="str">
        <f t="shared" si="11"/>
        <v>tree256_line_3_100_1600</v>
      </c>
      <c r="G726">
        <v>0</v>
      </c>
      <c r="H726">
        <v>0</v>
      </c>
      <c r="I726">
        <v>1.72375E-4</v>
      </c>
      <c r="J726">
        <v>9.064E-6</v>
      </c>
      <c r="K726">
        <v>23.2319</v>
      </c>
      <c r="L726">
        <v>9.3480000000000008</v>
      </c>
      <c r="M726">
        <v>0</v>
      </c>
      <c r="N726">
        <v>0</v>
      </c>
      <c r="O726">
        <v>23.409800000000001</v>
      </c>
    </row>
    <row r="727" spans="1:15" x14ac:dyDescent="0.25">
      <c r="A727" t="s">
        <v>19</v>
      </c>
      <c r="B727" t="s">
        <v>17</v>
      </c>
      <c r="C727">
        <v>3</v>
      </c>
      <c r="D727">
        <v>100</v>
      </c>
      <c r="E727">
        <v>3200</v>
      </c>
      <c r="F727" t="str">
        <f t="shared" si="11"/>
        <v>tree256_line_3_100_3200</v>
      </c>
      <c r="G727">
        <v>0</v>
      </c>
      <c r="H727">
        <v>0</v>
      </c>
      <c r="I727">
        <v>3.4886800000000001E-4</v>
      </c>
      <c r="J727">
        <v>9.064E-6</v>
      </c>
      <c r="K727">
        <v>20.193000000000001</v>
      </c>
      <c r="L727">
        <v>9.3480000000000008</v>
      </c>
      <c r="M727">
        <v>0</v>
      </c>
      <c r="N727">
        <v>0</v>
      </c>
      <c r="O727">
        <v>20.555499999999999</v>
      </c>
    </row>
    <row r="728" spans="1:15" x14ac:dyDescent="0.25">
      <c r="A728" t="s">
        <v>19</v>
      </c>
      <c r="B728" t="s">
        <v>17</v>
      </c>
      <c r="C728">
        <v>3</v>
      </c>
      <c r="D728">
        <v>100</v>
      </c>
      <c r="E728">
        <v>6400</v>
      </c>
      <c r="F728" t="str">
        <f t="shared" si="11"/>
        <v>tree256_line_3_100_6400</v>
      </c>
      <c r="G728">
        <v>0</v>
      </c>
      <c r="H728">
        <v>0</v>
      </c>
      <c r="I728">
        <v>7.2265700000000003E-4</v>
      </c>
      <c r="J728">
        <v>9.064E-6</v>
      </c>
      <c r="K728">
        <v>17.058</v>
      </c>
      <c r="L728">
        <v>9.3480000000000008</v>
      </c>
      <c r="M728">
        <v>0</v>
      </c>
      <c r="N728">
        <v>0</v>
      </c>
      <c r="O728">
        <v>17.7319</v>
      </c>
    </row>
    <row r="729" spans="1:15" x14ac:dyDescent="0.25">
      <c r="A729" t="s">
        <v>19</v>
      </c>
      <c r="B729" t="s">
        <v>17</v>
      </c>
      <c r="C729">
        <v>3</v>
      </c>
      <c r="D729">
        <v>100</v>
      </c>
      <c r="E729">
        <v>12800</v>
      </c>
      <c r="F729" t="str">
        <f t="shared" si="11"/>
        <v>tree256_line_3_100_12800</v>
      </c>
      <c r="G729">
        <v>0</v>
      </c>
      <c r="H729">
        <v>0</v>
      </c>
      <c r="I729">
        <v>1.5075469999999999E-3</v>
      </c>
      <c r="J729">
        <v>9.064E-6</v>
      </c>
      <c r="K729">
        <v>13.942399999999999</v>
      </c>
      <c r="L729">
        <v>9.3480000000000008</v>
      </c>
      <c r="M729">
        <v>0</v>
      </c>
      <c r="N729">
        <v>0</v>
      </c>
      <c r="O729">
        <v>15.079000000000001</v>
      </c>
    </row>
    <row r="730" spans="1:15" x14ac:dyDescent="0.25">
      <c r="A730" t="s">
        <v>19</v>
      </c>
      <c r="B730" t="s">
        <v>17</v>
      </c>
      <c r="C730">
        <v>3</v>
      </c>
      <c r="D730">
        <v>100</v>
      </c>
      <c r="E730">
        <v>25600</v>
      </c>
      <c r="F730" t="str">
        <f t="shared" si="11"/>
        <v>tree256_line_3_100_25600</v>
      </c>
      <c r="G730">
        <v>0</v>
      </c>
      <c r="H730">
        <v>0</v>
      </c>
      <c r="I730">
        <v>3.367601E-3</v>
      </c>
      <c r="J730">
        <v>9.064E-6</v>
      </c>
      <c r="K730">
        <v>10.6379</v>
      </c>
      <c r="L730">
        <v>9.3480000000000008</v>
      </c>
      <c r="M730">
        <v>0</v>
      </c>
      <c r="N730">
        <v>0</v>
      </c>
      <c r="O730">
        <v>12.555199999999999</v>
      </c>
    </row>
    <row r="731" spans="1:15" x14ac:dyDescent="0.25">
      <c r="A731" t="s">
        <v>19</v>
      </c>
      <c r="B731" t="s">
        <v>17</v>
      </c>
      <c r="C731">
        <v>3</v>
      </c>
      <c r="D731">
        <v>100</v>
      </c>
      <c r="E731">
        <v>102400</v>
      </c>
      <c r="F731" t="str">
        <f t="shared" si="11"/>
        <v>tree256_line_3_100_102400</v>
      </c>
      <c r="G731">
        <v>0</v>
      </c>
      <c r="H731">
        <v>0</v>
      </c>
      <c r="I731">
        <v>2.0377134000000002E-2</v>
      </c>
      <c r="J731">
        <v>9.0119999999999994E-6</v>
      </c>
      <c r="K731">
        <v>4.2729999999999997</v>
      </c>
      <c r="L731">
        <v>9.3496000000000006</v>
      </c>
      <c r="M731">
        <v>0</v>
      </c>
      <c r="N731">
        <v>0</v>
      </c>
      <c r="O731">
        <v>7.9866000000000001</v>
      </c>
    </row>
    <row r="732" spans="1:15" x14ac:dyDescent="0.25">
      <c r="A732" t="s">
        <v>19</v>
      </c>
      <c r="B732" t="s">
        <v>17</v>
      </c>
      <c r="C732">
        <v>7</v>
      </c>
      <c r="D732">
        <v>100</v>
      </c>
      <c r="E732">
        <v>100</v>
      </c>
      <c r="F732" t="str">
        <f t="shared" si="11"/>
        <v>tree256_line_7_100_100</v>
      </c>
      <c r="G732">
        <v>0</v>
      </c>
      <c r="H732">
        <v>0</v>
      </c>
      <c r="I732">
        <v>9.0629999999999995E-6</v>
      </c>
      <c r="J732">
        <v>9.0559999999999994E-6</v>
      </c>
      <c r="K732">
        <v>36.009900000000002</v>
      </c>
      <c r="L732">
        <v>5.2506000000000004</v>
      </c>
      <c r="M732">
        <v>0</v>
      </c>
      <c r="N732">
        <v>0</v>
      </c>
      <c r="O732">
        <v>36.012599999999999</v>
      </c>
    </row>
    <row r="733" spans="1:15" x14ac:dyDescent="0.25">
      <c r="A733" t="s">
        <v>19</v>
      </c>
      <c r="B733" t="s">
        <v>17</v>
      </c>
      <c r="C733">
        <v>7</v>
      </c>
      <c r="D733">
        <v>100</v>
      </c>
      <c r="E733">
        <v>200</v>
      </c>
      <c r="F733" t="str">
        <f t="shared" si="11"/>
        <v>tree256_line_7_100_200</v>
      </c>
      <c r="G733">
        <v>0</v>
      </c>
      <c r="H733">
        <v>0</v>
      </c>
      <c r="I733">
        <v>1.9834999999999999E-5</v>
      </c>
      <c r="J733">
        <v>9.1649999999999995E-6</v>
      </c>
      <c r="K733">
        <v>32.608600000000003</v>
      </c>
      <c r="L733">
        <v>5.2525000000000004</v>
      </c>
      <c r="M733">
        <v>0</v>
      </c>
      <c r="N733">
        <v>0</v>
      </c>
      <c r="O733">
        <v>32.620100000000001</v>
      </c>
    </row>
    <row r="734" spans="1:15" x14ac:dyDescent="0.25">
      <c r="A734" t="s">
        <v>19</v>
      </c>
      <c r="B734" t="s">
        <v>17</v>
      </c>
      <c r="C734">
        <v>7</v>
      </c>
      <c r="D734">
        <v>100</v>
      </c>
      <c r="E734">
        <v>400</v>
      </c>
      <c r="F734" t="str">
        <f t="shared" si="11"/>
        <v>tree256_line_7_100_400</v>
      </c>
      <c r="G734">
        <v>0</v>
      </c>
      <c r="H734">
        <v>0</v>
      </c>
      <c r="I734">
        <v>4.1569000000000001E-5</v>
      </c>
      <c r="J734">
        <v>9.1649999999999995E-6</v>
      </c>
      <c r="K734">
        <v>29.3962</v>
      </c>
      <c r="L734">
        <v>5.2525000000000004</v>
      </c>
      <c r="M734">
        <v>0</v>
      </c>
      <c r="N734">
        <v>0</v>
      </c>
      <c r="O734">
        <v>29.4343</v>
      </c>
    </row>
    <row r="735" spans="1:15" x14ac:dyDescent="0.25">
      <c r="A735" t="s">
        <v>19</v>
      </c>
      <c r="B735" t="s">
        <v>17</v>
      </c>
      <c r="C735">
        <v>7</v>
      </c>
      <c r="D735">
        <v>100</v>
      </c>
      <c r="E735">
        <v>800</v>
      </c>
      <c r="F735" t="str">
        <f t="shared" si="11"/>
        <v>tree256_line_7_100_800</v>
      </c>
      <c r="G735">
        <v>0</v>
      </c>
      <c r="H735">
        <v>0</v>
      </c>
      <c r="I735">
        <v>8.3875000000000006E-5</v>
      </c>
      <c r="J735">
        <v>9.1649999999999995E-6</v>
      </c>
      <c r="K735">
        <v>26.3523</v>
      </c>
      <c r="L735">
        <v>5.2525000000000004</v>
      </c>
      <c r="M735">
        <v>0</v>
      </c>
      <c r="N735">
        <v>0</v>
      </c>
      <c r="O735">
        <v>26.445499999999999</v>
      </c>
    </row>
    <row r="736" spans="1:15" x14ac:dyDescent="0.25">
      <c r="A736" t="s">
        <v>19</v>
      </c>
      <c r="B736" t="s">
        <v>17</v>
      </c>
      <c r="C736">
        <v>7</v>
      </c>
      <c r="D736">
        <v>100</v>
      </c>
      <c r="E736">
        <v>1600</v>
      </c>
      <c r="F736" t="str">
        <f t="shared" si="11"/>
        <v>tree256_line_7_100_1600</v>
      </c>
      <c r="G736">
        <v>0</v>
      </c>
      <c r="H736">
        <v>0</v>
      </c>
      <c r="I736">
        <v>1.7197E-4</v>
      </c>
      <c r="J736">
        <v>9.1649999999999995E-6</v>
      </c>
      <c r="K736">
        <v>23.241499999999998</v>
      </c>
      <c r="L736">
        <v>5.2525000000000004</v>
      </c>
      <c r="M736">
        <v>0</v>
      </c>
      <c r="N736">
        <v>0</v>
      </c>
      <c r="O736">
        <v>23.4268</v>
      </c>
    </row>
    <row r="737" spans="1:15" x14ac:dyDescent="0.25">
      <c r="A737" t="s">
        <v>19</v>
      </c>
      <c r="B737" t="s">
        <v>17</v>
      </c>
      <c r="C737">
        <v>7</v>
      </c>
      <c r="D737">
        <v>100</v>
      </c>
      <c r="E737">
        <v>3200</v>
      </c>
      <c r="F737" t="str">
        <f t="shared" si="11"/>
        <v>tree256_line_7_100_3200</v>
      </c>
      <c r="G737">
        <v>0</v>
      </c>
      <c r="H737">
        <v>0</v>
      </c>
      <c r="I737">
        <v>3.46671E-4</v>
      </c>
      <c r="J737">
        <v>9.1649999999999995E-6</v>
      </c>
      <c r="K737">
        <v>20.209900000000001</v>
      </c>
      <c r="L737">
        <v>5.2525000000000004</v>
      </c>
      <c r="M737">
        <v>0</v>
      </c>
      <c r="N737">
        <v>0</v>
      </c>
      <c r="O737">
        <v>20.570399999999999</v>
      </c>
    </row>
    <row r="738" spans="1:15" x14ac:dyDescent="0.25">
      <c r="A738" t="s">
        <v>19</v>
      </c>
      <c r="B738" t="s">
        <v>17</v>
      </c>
      <c r="C738">
        <v>7</v>
      </c>
      <c r="D738">
        <v>100</v>
      </c>
      <c r="E738">
        <v>6400</v>
      </c>
      <c r="F738" t="str">
        <f t="shared" si="11"/>
        <v>tree256_line_7_100_6400</v>
      </c>
      <c r="G738">
        <v>0</v>
      </c>
      <c r="H738">
        <v>0</v>
      </c>
      <c r="I738">
        <v>7.1856899999999996E-4</v>
      </c>
      <c r="J738">
        <v>9.1649999999999995E-6</v>
      </c>
      <c r="K738">
        <v>17.081399999999999</v>
      </c>
      <c r="L738">
        <v>5.2525000000000004</v>
      </c>
      <c r="M738">
        <v>0</v>
      </c>
      <c r="N738">
        <v>0</v>
      </c>
      <c r="O738">
        <v>17.740400000000001</v>
      </c>
    </row>
    <row r="739" spans="1:15" x14ac:dyDescent="0.25">
      <c r="A739" t="s">
        <v>19</v>
      </c>
      <c r="B739" t="s">
        <v>17</v>
      </c>
      <c r="C739">
        <v>7</v>
      </c>
      <c r="D739">
        <v>100</v>
      </c>
      <c r="E739">
        <v>12800</v>
      </c>
      <c r="F739" t="str">
        <f t="shared" si="11"/>
        <v>tree256_line_7_100_12800</v>
      </c>
      <c r="G739">
        <v>0</v>
      </c>
      <c r="H739">
        <v>0</v>
      </c>
      <c r="I739">
        <v>1.5172429999999999E-3</v>
      </c>
      <c r="J739">
        <v>9.1649999999999995E-6</v>
      </c>
      <c r="K739">
        <v>13.924200000000001</v>
      </c>
      <c r="L739">
        <v>5.2525000000000004</v>
      </c>
      <c r="M739">
        <v>0</v>
      </c>
      <c r="N739">
        <v>0</v>
      </c>
      <c r="O739">
        <v>15.038</v>
      </c>
    </row>
    <row r="740" spans="1:15" x14ac:dyDescent="0.25">
      <c r="A740" t="s">
        <v>19</v>
      </c>
      <c r="B740" t="s">
        <v>17</v>
      </c>
      <c r="C740">
        <v>7</v>
      </c>
      <c r="D740">
        <v>100</v>
      </c>
      <c r="E740">
        <v>25600</v>
      </c>
      <c r="F740" t="str">
        <f t="shared" si="11"/>
        <v>tree256_line_7_100_25600</v>
      </c>
      <c r="G740">
        <v>0</v>
      </c>
      <c r="H740">
        <v>0</v>
      </c>
      <c r="I740">
        <v>3.379885E-3</v>
      </c>
      <c r="J740">
        <v>9.1649999999999995E-6</v>
      </c>
      <c r="K740">
        <v>10.649100000000001</v>
      </c>
      <c r="L740">
        <v>5.2525000000000004</v>
      </c>
      <c r="M740">
        <v>0</v>
      </c>
      <c r="N740">
        <v>0</v>
      </c>
      <c r="O740">
        <v>12.583</v>
      </c>
    </row>
    <row r="741" spans="1:15" x14ac:dyDescent="0.25">
      <c r="A741" t="s">
        <v>19</v>
      </c>
      <c r="B741" t="s">
        <v>17</v>
      </c>
      <c r="C741">
        <v>7</v>
      </c>
      <c r="D741">
        <v>100</v>
      </c>
      <c r="E741">
        <v>102400</v>
      </c>
      <c r="F741" t="str">
        <f t="shared" si="11"/>
        <v>tree256_line_7_100_102400</v>
      </c>
      <c r="G741">
        <v>0</v>
      </c>
      <c r="H741">
        <v>0</v>
      </c>
      <c r="I741">
        <v>2.0626967999999999E-2</v>
      </c>
      <c r="J741">
        <v>9.1039999999999996E-6</v>
      </c>
      <c r="K741">
        <v>4.2077</v>
      </c>
      <c r="L741">
        <v>5.2510000000000003</v>
      </c>
      <c r="M741">
        <v>0</v>
      </c>
      <c r="N741">
        <v>0</v>
      </c>
      <c r="O741">
        <v>7.9120999999999997</v>
      </c>
    </row>
    <row r="742" spans="1:15" x14ac:dyDescent="0.25">
      <c r="A742" t="s">
        <v>19</v>
      </c>
      <c r="B742" t="s">
        <v>17</v>
      </c>
      <c r="C742">
        <v>15</v>
      </c>
      <c r="D742">
        <v>100</v>
      </c>
      <c r="E742">
        <v>100</v>
      </c>
      <c r="F742" t="str">
        <f t="shared" si="11"/>
        <v>tree256_line_15_100_100</v>
      </c>
      <c r="G742">
        <v>0</v>
      </c>
      <c r="H742">
        <v>0</v>
      </c>
      <c r="I742">
        <v>9.0550000000000005E-6</v>
      </c>
      <c r="J742">
        <v>9.0589999999999992E-6</v>
      </c>
      <c r="K742">
        <v>36.012999999999998</v>
      </c>
      <c r="L742">
        <v>3.2841999999999998</v>
      </c>
      <c r="M742">
        <v>0</v>
      </c>
      <c r="N742">
        <v>0</v>
      </c>
      <c r="O742">
        <v>36.011499999999998</v>
      </c>
    </row>
    <row r="743" spans="1:15" x14ac:dyDescent="0.25">
      <c r="A743" t="s">
        <v>19</v>
      </c>
      <c r="B743" t="s">
        <v>17</v>
      </c>
      <c r="C743">
        <v>15</v>
      </c>
      <c r="D743">
        <v>100</v>
      </c>
      <c r="E743">
        <v>200</v>
      </c>
      <c r="F743" t="str">
        <f t="shared" si="11"/>
        <v>tree256_line_15_100_200</v>
      </c>
      <c r="G743">
        <v>0</v>
      </c>
      <c r="H743">
        <v>0</v>
      </c>
      <c r="I743">
        <v>1.9483E-5</v>
      </c>
      <c r="J743">
        <v>9.0720000000000006E-6</v>
      </c>
      <c r="K743">
        <v>32.6858</v>
      </c>
      <c r="L743">
        <v>3.2848000000000002</v>
      </c>
      <c r="M743">
        <v>0</v>
      </c>
      <c r="N743">
        <v>0</v>
      </c>
      <c r="O743">
        <v>32.6967</v>
      </c>
    </row>
    <row r="744" spans="1:15" x14ac:dyDescent="0.25">
      <c r="A744" t="s">
        <v>19</v>
      </c>
      <c r="B744" t="s">
        <v>17</v>
      </c>
      <c r="C744">
        <v>15</v>
      </c>
      <c r="D744">
        <v>100</v>
      </c>
      <c r="E744">
        <v>400</v>
      </c>
      <c r="F744" t="str">
        <f t="shared" si="11"/>
        <v>tree256_line_15_100_400</v>
      </c>
      <c r="G744">
        <v>0</v>
      </c>
      <c r="H744">
        <v>0</v>
      </c>
      <c r="I744">
        <v>4.1220000000000002E-5</v>
      </c>
      <c r="J744">
        <v>9.0720000000000006E-6</v>
      </c>
      <c r="K744">
        <v>29.432099999999998</v>
      </c>
      <c r="L744">
        <v>3.2848000000000002</v>
      </c>
      <c r="M744">
        <v>0</v>
      </c>
      <c r="N744">
        <v>0</v>
      </c>
      <c r="O744">
        <v>29.472200000000001</v>
      </c>
    </row>
    <row r="745" spans="1:15" x14ac:dyDescent="0.25">
      <c r="A745" t="s">
        <v>19</v>
      </c>
      <c r="B745" t="s">
        <v>17</v>
      </c>
      <c r="C745">
        <v>15</v>
      </c>
      <c r="D745">
        <v>100</v>
      </c>
      <c r="E745">
        <v>800</v>
      </c>
      <c r="F745" t="str">
        <f t="shared" si="11"/>
        <v>tree256_line_15_100_800</v>
      </c>
      <c r="G745">
        <v>0</v>
      </c>
      <c r="H745">
        <v>0</v>
      </c>
      <c r="I745">
        <v>8.4315999999999997E-5</v>
      </c>
      <c r="J745">
        <v>9.0720000000000006E-6</v>
      </c>
      <c r="K745">
        <v>26.327200000000001</v>
      </c>
      <c r="L745">
        <v>3.2848000000000002</v>
      </c>
      <c r="M745">
        <v>0</v>
      </c>
      <c r="N745">
        <v>0</v>
      </c>
      <c r="O745">
        <v>26.406400000000001</v>
      </c>
    </row>
    <row r="746" spans="1:15" x14ac:dyDescent="0.25">
      <c r="A746" t="s">
        <v>19</v>
      </c>
      <c r="B746" t="s">
        <v>17</v>
      </c>
      <c r="C746">
        <v>15</v>
      </c>
      <c r="D746">
        <v>100</v>
      </c>
      <c r="E746">
        <v>1600</v>
      </c>
      <c r="F746" t="str">
        <f t="shared" si="11"/>
        <v>tree256_line_15_100_1600</v>
      </c>
      <c r="G746">
        <v>0</v>
      </c>
      <c r="H746">
        <v>0</v>
      </c>
      <c r="I746">
        <v>1.70915E-4</v>
      </c>
      <c r="J746">
        <v>9.0720000000000006E-6</v>
      </c>
      <c r="K746">
        <v>23.264900000000001</v>
      </c>
      <c r="L746">
        <v>3.2848000000000002</v>
      </c>
      <c r="M746">
        <v>0</v>
      </c>
      <c r="N746">
        <v>0</v>
      </c>
      <c r="O746">
        <v>23.4556</v>
      </c>
    </row>
    <row r="747" spans="1:15" x14ac:dyDescent="0.25">
      <c r="A747" t="s">
        <v>19</v>
      </c>
      <c r="B747" t="s">
        <v>17</v>
      </c>
      <c r="C747">
        <v>15</v>
      </c>
      <c r="D747">
        <v>100</v>
      </c>
      <c r="E747">
        <v>3200</v>
      </c>
      <c r="F747" t="str">
        <f t="shared" si="11"/>
        <v>tree256_line_15_100_3200</v>
      </c>
      <c r="G747">
        <v>0</v>
      </c>
      <c r="H747">
        <v>0</v>
      </c>
      <c r="I747">
        <v>3.5048799999999998E-4</v>
      </c>
      <c r="J747">
        <v>9.0720000000000006E-6</v>
      </c>
      <c r="K747">
        <v>20.166399999999999</v>
      </c>
      <c r="L747">
        <v>3.2848000000000002</v>
      </c>
      <c r="M747">
        <v>0</v>
      </c>
      <c r="N747">
        <v>0</v>
      </c>
      <c r="O747">
        <v>20.539100000000001</v>
      </c>
    </row>
    <row r="748" spans="1:15" x14ac:dyDescent="0.25">
      <c r="A748" t="s">
        <v>19</v>
      </c>
      <c r="B748" t="s">
        <v>17</v>
      </c>
      <c r="C748">
        <v>15</v>
      </c>
      <c r="D748">
        <v>100</v>
      </c>
      <c r="E748">
        <v>6400</v>
      </c>
      <c r="F748" t="str">
        <f t="shared" si="11"/>
        <v>tree256_line_15_100_6400</v>
      </c>
      <c r="G748">
        <v>0</v>
      </c>
      <c r="H748">
        <v>0</v>
      </c>
      <c r="I748">
        <v>7.1612599999999998E-4</v>
      </c>
      <c r="J748">
        <v>9.0720000000000006E-6</v>
      </c>
      <c r="K748">
        <v>17.099399999999999</v>
      </c>
      <c r="L748">
        <v>3.2848000000000002</v>
      </c>
      <c r="M748">
        <v>0</v>
      </c>
      <c r="N748">
        <v>0</v>
      </c>
      <c r="O748">
        <v>17.7455</v>
      </c>
    </row>
    <row r="749" spans="1:15" x14ac:dyDescent="0.25">
      <c r="A749" t="s">
        <v>19</v>
      </c>
      <c r="B749" t="s">
        <v>17</v>
      </c>
      <c r="C749">
        <v>15</v>
      </c>
      <c r="D749">
        <v>100</v>
      </c>
      <c r="E749">
        <v>12800</v>
      </c>
      <c r="F749" t="str">
        <f t="shared" si="11"/>
        <v>tree256_line_15_100_12800</v>
      </c>
      <c r="G749">
        <v>0</v>
      </c>
      <c r="H749">
        <v>0</v>
      </c>
      <c r="I749">
        <v>1.521313E-3</v>
      </c>
      <c r="J749">
        <v>9.0720000000000006E-6</v>
      </c>
      <c r="K749">
        <v>13.915800000000001</v>
      </c>
      <c r="L749">
        <v>3.2848000000000002</v>
      </c>
      <c r="M749">
        <v>0</v>
      </c>
      <c r="N749">
        <v>0</v>
      </c>
      <c r="O749">
        <v>15.0471</v>
      </c>
    </row>
    <row r="750" spans="1:15" x14ac:dyDescent="0.25">
      <c r="A750" t="s">
        <v>19</v>
      </c>
      <c r="B750" t="s">
        <v>17</v>
      </c>
      <c r="C750">
        <v>15</v>
      </c>
      <c r="D750">
        <v>100</v>
      </c>
      <c r="E750">
        <v>25600</v>
      </c>
      <c r="F750" t="str">
        <f t="shared" si="11"/>
        <v>tree256_line_15_100_25600</v>
      </c>
      <c r="G750">
        <v>0</v>
      </c>
      <c r="H750">
        <v>0</v>
      </c>
      <c r="I750">
        <v>3.3485699999999999E-3</v>
      </c>
      <c r="J750">
        <v>9.0720000000000006E-6</v>
      </c>
      <c r="K750">
        <v>10.668200000000001</v>
      </c>
      <c r="L750">
        <v>3.2848000000000002</v>
      </c>
      <c r="M750">
        <v>0</v>
      </c>
      <c r="N750">
        <v>0</v>
      </c>
      <c r="O750">
        <v>12.609400000000001</v>
      </c>
    </row>
    <row r="751" spans="1:15" x14ac:dyDescent="0.25">
      <c r="A751" t="s">
        <v>19</v>
      </c>
      <c r="B751" t="s">
        <v>17</v>
      </c>
      <c r="C751">
        <v>15</v>
      </c>
      <c r="D751">
        <v>100</v>
      </c>
      <c r="E751">
        <v>102400</v>
      </c>
      <c r="F751" t="str">
        <f t="shared" si="11"/>
        <v>tree256_line_15_100_102400</v>
      </c>
      <c r="G751">
        <v>0</v>
      </c>
      <c r="H751">
        <v>0</v>
      </c>
      <c r="I751">
        <v>2.0331065999999998E-2</v>
      </c>
      <c r="J751">
        <v>9.0939999999999997E-6</v>
      </c>
      <c r="K751">
        <v>4.2647000000000004</v>
      </c>
      <c r="L751">
        <v>3.2845</v>
      </c>
      <c r="M751">
        <v>0</v>
      </c>
      <c r="N751">
        <v>0</v>
      </c>
      <c r="O751">
        <v>7.9333</v>
      </c>
    </row>
    <row r="752" spans="1:15" x14ac:dyDescent="0.25">
      <c r="A752" t="s">
        <v>19</v>
      </c>
      <c r="B752" t="s">
        <v>17</v>
      </c>
      <c r="C752">
        <v>31</v>
      </c>
      <c r="D752">
        <v>100</v>
      </c>
      <c r="E752">
        <v>100</v>
      </c>
      <c r="F752" t="str">
        <f t="shared" si="11"/>
        <v>tree256_line_31_100_100</v>
      </c>
      <c r="G752">
        <v>0</v>
      </c>
      <c r="H752">
        <v>0</v>
      </c>
      <c r="I752">
        <v>9.0589999999999992E-6</v>
      </c>
      <c r="J752">
        <v>9.1689999999999998E-6</v>
      </c>
      <c r="K752">
        <v>36.011000000000003</v>
      </c>
      <c r="L752">
        <v>2.3247</v>
      </c>
      <c r="M752">
        <v>0</v>
      </c>
      <c r="N752">
        <v>0</v>
      </c>
      <c r="O752">
        <v>36.010599999999997</v>
      </c>
    </row>
    <row r="753" spans="1:15" x14ac:dyDescent="0.25">
      <c r="A753" t="s">
        <v>19</v>
      </c>
      <c r="B753" t="s">
        <v>17</v>
      </c>
      <c r="C753">
        <v>31</v>
      </c>
      <c r="D753">
        <v>100</v>
      </c>
      <c r="E753">
        <v>200</v>
      </c>
      <c r="F753" t="str">
        <f t="shared" si="11"/>
        <v>tree256_line_31_100_200</v>
      </c>
      <c r="G753">
        <v>0</v>
      </c>
      <c r="H753">
        <v>0</v>
      </c>
      <c r="I753">
        <v>1.9865E-5</v>
      </c>
      <c r="J753">
        <v>9.1779999999999992E-6</v>
      </c>
      <c r="K753">
        <v>32.601100000000002</v>
      </c>
      <c r="L753">
        <v>2.3258999999999999</v>
      </c>
      <c r="M753">
        <v>0</v>
      </c>
      <c r="N753">
        <v>0</v>
      </c>
      <c r="O753">
        <v>32.614199999999997</v>
      </c>
    </row>
    <row r="754" spans="1:15" x14ac:dyDescent="0.25">
      <c r="A754" t="s">
        <v>19</v>
      </c>
      <c r="B754" t="s">
        <v>17</v>
      </c>
      <c r="C754">
        <v>31</v>
      </c>
      <c r="D754">
        <v>100</v>
      </c>
      <c r="E754">
        <v>400</v>
      </c>
      <c r="F754" t="str">
        <f t="shared" si="11"/>
        <v>tree256_line_31_100_400</v>
      </c>
      <c r="G754">
        <v>0</v>
      </c>
      <c r="H754">
        <v>0</v>
      </c>
      <c r="I754">
        <v>4.1019999999999997E-5</v>
      </c>
      <c r="J754">
        <v>9.1779999999999992E-6</v>
      </c>
      <c r="K754">
        <v>29.4542</v>
      </c>
      <c r="L754">
        <v>2.3258999999999999</v>
      </c>
      <c r="M754">
        <v>0</v>
      </c>
      <c r="N754">
        <v>0</v>
      </c>
      <c r="O754">
        <v>29.485900000000001</v>
      </c>
    </row>
    <row r="755" spans="1:15" x14ac:dyDescent="0.25">
      <c r="A755" t="s">
        <v>19</v>
      </c>
      <c r="B755" t="s">
        <v>17</v>
      </c>
      <c r="C755">
        <v>31</v>
      </c>
      <c r="D755">
        <v>100</v>
      </c>
      <c r="E755">
        <v>800</v>
      </c>
      <c r="F755" t="str">
        <f t="shared" si="11"/>
        <v>tree256_line_31_100_800</v>
      </c>
      <c r="G755">
        <v>0</v>
      </c>
      <c r="H755">
        <v>0</v>
      </c>
      <c r="I755">
        <v>8.4389999999999997E-5</v>
      </c>
      <c r="J755">
        <v>9.1779999999999992E-6</v>
      </c>
      <c r="K755">
        <v>26.323899999999998</v>
      </c>
      <c r="L755">
        <v>2.3258999999999999</v>
      </c>
      <c r="M755">
        <v>0</v>
      </c>
      <c r="N755">
        <v>0</v>
      </c>
      <c r="O755">
        <v>26.405899999999999</v>
      </c>
    </row>
    <row r="756" spans="1:15" x14ac:dyDescent="0.25">
      <c r="A756" t="s">
        <v>19</v>
      </c>
      <c r="B756" t="s">
        <v>17</v>
      </c>
      <c r="C756">
        <v>31</v>
      </c>
      <c r="D756">
        <v>100</v>
      </c>
      <c r="E756">
        <v>1600</v>
      </c>
      <c r="F756" t="str">
        <f t="shared" si="11"/>
        <v>tree256_line_31_100_1600</v>
      </c>
      <c r="G756">
        <v>0</v>
      </c>
      <c r="H756">
        <v>0</v>
      </c>
      <c r="I756">
        <v>1.7067699999999999E-4</v>
      </c>
      <c r="J756">
        <v>9.1779999999999992E-6</v>
      </c>
      <c r="K756">
        <v>23.273700000000002</v>
      </c>
      <c r="L756">
        <v>2.3258999999999999</v>
      </c>
      <c r="M756">
        <v>0</v>
      </c>
      <c r="N756">
        <v>0</v>
      </c>
      <c r="O756">
        <v>23.448399999999999</v>
      </c>
    </row>
    <row r="757" spans="1:15" x14ac:dyDescent="0.25">
      <c r="A757" t="s">
        <v>19</v>
      </c>
      <c r="B757" t="s">
        <v>17</v>
      </c>
      <c r="C757">
        <v>31</v>
      </c>
      <c r="D757">
        <v>100</v>
      </c>
      <c r="E757">
        <v>3200</v>
      </c>
      <c r="F757" t="str">
        <f t="shared" si="11"/>
        <v>tree256_line_31_100_3200</v>
      </c>
      <c r="G757">
        <v>0</v>
      </c>
      <c r="H757">
        <v>0</v>
      </c>
      <c r="I757">
        <v>3.53085E-4</v>
      </c>
      <c r="J757">
        <v>9.1779999999999992E-6</v>
      </c>
      <c r="K757">
        <v>20.133600000000001</v>
      </c>
      <c r="L757">
        <v>2.3258999999999999</v>
      </c>
      <c r="M757">
        <v>0</v>
      </c>
      <c r="N757">
        <v>0</v>
      </c>
      <c r="O757">
        <v>20.504799999999999</v>
      </c>
    </row>
    <row r="758" spans="1:15" x14ac:dyDescent="0.25">
      <c r="A758" t="s">
        <v>19</v>
      </c>
      <c r="B758" t="s">
        <v>17</v>
      </c>
      <c r="C758">
        <v>31</v>
      </c>
      <c r="D758">
        <v>100</v>
      </c>
      <c r="E758">
        <v>6400</v>
      </c>
      <c r="F758" t="str">
        <f t="shared" si="11"/>
        <v>tree256_line_31_100_6400</v>
      </c>
      <c r="G758">
        <v>0</v>
      </c>
      <c r="H758">
        <v>0</v>
      </c>
      <c r="I758">
        <v>7.1485799999999996E-4</v>
      </c>
      <c r="J758">
        <v>9.1779999999999992E-6</v>
      </c>
      <c r="K758">
        <v>17.095700000000001</v>
      </c>
      <c r="L758">
        <v>2.3258999999999999</v>
      </c>
      <c r="M758">
        <v>0</v>
      </c>
      <c r="N758">
        <v>0</v>
      </c>
      <c r="O758">
        <v>17.7544</v>
      </c>
    </row>
    <row r="759" spans="1:15" x14ac:dyDescent="0.25">
      <c r="A759" t="s">
        <v>19</v>
      </c>
      <c r="B759" t="s">
        <v>17</v>
      </c>
      <c r="C759">
        <v>31</v>
      </c>
      <c r="D759">
        <v>100</v>
      </c>
      <c r="E759">
        <v>12800</v>
      </c>
      <c r="F759" t="str">
        <f t="shared" si="11"/>
        <v>tree256_line_31_100_12800</v>
      </c>
      <c r="G759">
        <v>0</v>
      </c>
      <c r="H759">
        <v>0</v>
      </c>
      <c r="I759">
        <v>1.503985E-3</v>
      </c>
      <c r="J759">
        <v>9.1779999999999992E-6</v>
      </c>
      <c r="K759">
        <v>13.961600000000001</v>
      </c>
      <c r="L759">
        <v>2.3258999999999999</v>
      </c>
      <c r="M759">
        <v>0</v>
      </c>
      <c r="N759">
        <v>0</v>
      </c>
      <c r="O759">
        <v>15.1066</v>
      </c>
    </row>
    <row r="760" spans="1:15" x14ac:dyDescent="0.25">
      <c r="A760" t="s">
        <v>19</v>
      </c>
      <c r="B760" t="s">
        <v>17</v>
      </c>
      <c r="C760">
        <v>31</v>
      </c>
      <c r="D760">
        <v>100</v>
      </c>
      <c r="E760">
        <v>25600</v>
      </c>
      <c r="F760" t="str">
        <f t="shared" si="11"/>
        <v>tree256_line_31_100_25600</v>
      </c>
      <c r="G760">
        <v>0</v>
      </c>
      <c r="H760">
        <v>0</v>
      </c>
      <c r="I760">
        <v>3.3532330000000002E-3</v>
      </c>
      <c r="J760">
        <v>9.1779999999999992E-6</v>
      </c>
      <c r="K760">
        <v>10.6553</v>
      </c>
      <c r="L760">
        <v>2.3258999999999999</v>
      </c>
      <c r="M760">
        <v>0</v>
      </c>
      <c r="N760">
        <v>0</v>
      </c>
      <c r="O760">
        <v>12.5563</v>
      </c>
    </row>
    <row r="761" spans="1:15" x14ac:dyDescent="0.25">
      <c r="A761" t="s">
        <v>19</v>
      </c>
      <c r="B761" t="s">
        <v>17</v>
      </c>
      <c r="C761">
        <v>31</v>
      </c>
      <c r="D761">
        <v>100</v>
      </c>
      <c r="E761">
        <v>102400</v>
      </c>
      <c r="F761" t="str">
        <f t="shared" si="11"/>
        <v>tree256_line_31_100_102400</v>
      </c>
      <c r="G761">
        <v>0</v>
      </c>
      <c r="H761">
        <v>0</v>
      </c>
      <c r="I761">
        <v>2.0592921E-2</v>
      </c>
      <c r="J761">
        <v>9.0899999999999994E-6</v>
      </c>
      <c r="K761">
        <v>4.2199</v>
      </c>
      <c r="L761">
        <v>2.3258000000000001</v>
      </c>
      <c r="M761">
        <v>0</v>
      </c>
      <c r="N761">
        <v>0</v>
      </c>
      <c r="O761">
        <v>7.9249000000000001</v>
      </c>
    </row>
    <row r="762" spans="1:15" x14ac:dyDescent="0.25">
      <c r="A762" t="s">
        <v>19</v>
      </c>
      <c r="B762" t="s">
        <v>17</v>
      </c>
      <c r="C762">
        <v>63</v>
      </c>
      <c r="D762">
        <v>100</v>
      </c>
      <c r="E762">
        <v>200</v>
      </c>
      <c r="F762" t="str">
        <f t="shared" si="11"/>
        <v>tree256_line_63_100_200</v>
      </c>
      <c r="G762">
        <v>0</v>
      </c>
      <c r="H762">
        <v>0</v>
      </c>
      <c r="I762">
        <v>1.9737000000000001E-5</v>
      </c>
      <c r="J762">
        <v>9.1889999999999996E-6</v>
      </c>
      <c r="K762">
        <v>32.629899999999999</v>
      </c>
      <c r="L762">
        <v>1.7266999999999999</v>
      </c>
      <c r="M762">
        <v>0</v>
      </c>
      <c r="N762">
        <v>0</v>
      </c>
      <c r="O762">
        <v>32.646000000000001</v>
      </c>
    </row>
    <row r="763" spans="1:15" x14ac:dyDescent="0.25">
      <c r="A763" t="s">
        <v>19</v>
      </c>
      <c r="B763" t="s">
        <v>17</v>
      </c>
      <c r="C763">
        <v>63</v>
      </c>
      <c r="D763">
        <v>100</v>
      </c>
      <c r="E763">
        <v>400</v>
      </c>
      <c r="F763" t="str">
        <f t="shared" si="11"/>
        <v>tree256_line_63_100_400</v>
      </c>
      <c r="G763">
        <v>0</v>
      </c>
      <c r="H763">
        <v>0</v>
      </c>
      <c r="I763">
        <v>4.1019000000000001E-5</v>
      </c>
      <c r="J763">
        <v>9.1889999999999996E-6</v>
      </c>
      <c r="K763">
        <v>29.453600000000002</v>
      </c>
      <c r="L763">
        <v>1.7266999999999999</v>
      </c>
      <c r="M763">
        <v>0</v>
      </c>
      <c r="N763">
        <v>0</v>
      </c>
      <c r="O763">
        <v>29.484100000000002</v>
      </c>
    </row>
    <row r="764" spans="1:15" x14ac:dyDescent="0.25">
      <c r="A764" t="s">
        <v>19</v>
      </c>
      <c r="B764" t="s">
        <v>17</v>
      </c>
      <c r="C764">
        <v>63</v>
      </c>
      <c r="D764">
        <v>100</v>
      </c>
      <c r="E764">
        <v>800</v>
      </c>
      <c r="F764" t="str">
        <f t="shared" si="11"/>
        <v>tree256_line_63_100_800</v>
      </c>
      <c r="G764">
        <v>0</v>
      </c>
      <c r="H764">
        <v>0</v>
      </c>
      <c r="I764">
        <v>8.3201000000000005E-5</v>
      </c>
      <c r="J764">
        <v>9.1889999999999996E-6</v>
      </c>
      <c r="K764">
        <v>26.385200000000001</v>
      </c>
      <c r="L764">
        <v>1.7266999999999999</v>
      </c>
      <c r="M764">
        <v>0</v>
      </c>
      <c r="N764">
        <v>0</v>
      </c>
      <c r="O764">
        <v>26.470600000000001</v>
      </c>
    </row>
    <row r="765" spans="1:15" x14ac:dyDescent="0.25">
      <c r="A765" t="s">
        <v>19</v>
      </c>
      <c r="B765" t="s">
        <v>17</v>
      </c>
      <c r="C765">
        <v>63</v>
      </c>
      <c r="D765">
        <v>100</v>
      </c>
      <c r="E765">
        <v>1600</v>
      </c>
      <c r="F765" t="str">
        <f t="shared" si="11"/>
        <v>tree256_line_63_100_1600</v>
      </c>
      <c r="G765">
        <v>0</v>
      </c>
      <c r="H765">
        <v>0</v>
      </c>
      <c r="I765">
        <v>1.7308699999999999E-4</v>
      </c>
      <c r="J765">
        <v>9.1889999999999996E-6</v>
      </c>
      <c r="K765">
        <v>23.2136</v>
      </c>
      <c r="L765">
        <v>1.7266999999999999</v>
      </c>
      <c r="M765">
        <v>0</v>
      </c>
      <c r="N765">
        <v>0</v>
      </c>
      <c r="O765">
        <v>23.396000000000001</v>
      </c>
    </row>
    <row r="766" spans="1:15" x14ac:dyDescent="0.25">
      <c r="A766" t="s">
        <v>19</v>
      </c>
      <c r="B766" t="s">
        <v>17</v>
      </c>
      <c r="C766">
        <v>63</v>
      </c>
      <c r="D766">
        <v>100</v>
      </c>
      <c r="E766">
        <v>3200</v>
      </c>
      <c r="F766" t="str">
        <f t="shared" si="11"/>
        <v>tree256_line_63_100_3200</v>
      </c>
      <c r="G766">
        <v>0</v>
      </c>
      <c r="H766">
        <v>0</v>
      </c>
      <c r="I766">
        <v>3.5182099999999999E-4</v>
      </c>
      <c r="J766">
        <v>9.1889999999999996E-6</v>
      </c>
      <c r="K766">
        <v>20.1479</v>
      </c>
      <c r="L766">
        <v>1.7266999999999999</v>
      </c>
      <c r="M766">
        <v>0</v>
      </c>
      <c r="N766">
        <v>0</v>
      </c>
      <c r="O766">
        <v>20.508500000000002</v>
      </c>
    </row>
    <row r="767" spans="1:15" x14ac:dyDescent="0.25">
      <c r="A767" t="s">
        <v>19</v>
      </c>
      <c r="B767" t="s">
        <v>17</v>
      </c>
      <c r="C767">
        <v>63</v>
      </c>
      <c r="D767">
        <v>100</v>
      </c>
      <c r="E767">
        <v>6400</v>
      </c>
      <c r="F767" t="str">
        <f t="shared" si="11"/>
        <v>tree256_line_63_100_6400</v>
      </c>
      <c r="G767">
        <v>0</v>
      </c>
      <c r="H767">
        <v>0</v>
      </c>
      <c r="I767">
        <v>7.1501099999999999E-4</v>
      </c>
      <c r="J767">
        <v>9.1889999999999996E-6</v>
      </c>
      <c r="K767">
        <v>17.1051</v>
      </c>
      <c r="L767">
        <v>1.7266999999999999</v>
      </c>
      <c r="M767">
        <v>0</v>
      </c>
      <c r="N767">
        <v>0</v>
      </c>
      <c r="O767">
        <v>17.755600000000001</v>
      </c>
    </row>
    <row r="768" spans="1:15" x14ac:dyDescent="0.25">
      <c r="A768" t="s">
        <v>19</v>
      </c>
      <c r="B768" t="s">
        <v>17</v>
      </c>
      <c r="C768">
        <v>63</v>
      </c>
      <c r="D768">
        <v>100</v>
      </c>
      <c r="E768">
        <v>12800</v>
      </c>
      <c r="F768" t="str">
        <f t="shared" si="11"/>
        <v>tree256_line_63_100_12800</v>
      </c>
      <c r="G768">
        <v>0</v>
      </c>
      <c r="H768">
        <v>0</v>
      </c>
      <c r="I768">
        <v>1.506393E-3</v>
      </c>
      <c r="J768">
        <v>9.1889999999999996E-6</v>
      </c>
      <c r="K768">
        <v>13.9358</v>
      </c>
      <c r="L768">
        <v>1.7266999999999999</v>
      </c>
      <c r="M768">
        <v>0</v>
      </c>
      <c r="N768">
        <v>0</v>
      </c>
      <c r="O768">
        <v>15.061400000000001</v>
      </c>
    </row>
    <row r="769" spans="1:15" x14ac:dyDescent="0.25">
      <c r="A769" t="s">
        <v>19</v>
      </c>
      <c r="B769" t="s">
        <v>17</v>
      </c>
      <c r="C769">
        <v>63</v>
      </c>
      <c r="D769">
        <v>100</v>
      </c>
      <c r="E769">
        <v>25600</v>
      </c>
      <c r="F769" t="str">
        <f t="shared" si="11"/>
        <v>tree256_line_63_100_25600</v>
      </c>
      <c r="G769">
        <v>0</v>
      </c>
      <c r="H769">
        <v>0</v>
      </c>
      <c r="I769">
        <v>3.3839759999999999E-3</v>
      </c>
      <c r="J769">
        <v>9.1889999999999996E-6</v>
      </c>
      <c r="K769">
        <v>10.6295</v>
      </c>
      <c r="L769">
        <v>1.7266999999999999</v>
      </c>
      <c r="M769">
        <v>0</v>
      </c>
      <c r="N769">
        <v>0</v>
      </c>
      <c r="O769">
        <v>12.5593</v>
      </c>
    </row>
  </sheetData>
  <autoFilter ref="A1:O769"/>
  <sortState ref="A2:O769">
    <sortCondition ref="A2:A769"/>
    <sortCondition ref="B2:B769"/>
    <sortCondition ref="C2:C769"/>
    <sortCondition ref="E2:E76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77"/>
  <sheetViews>
    <sheetView workbookViewId="0">
      <pane ySplit="1" topLeftCell="A385" activePane="bottomLeft" state="frozen"/>
      <selection pane="bottomLeft" activeCell="D374" sqref="D374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5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28</v>
      </c>
      <c r="L1" s="1" t="s">
        <v>27</v>
      </c>
      <c r="M1" s="1" t="s">
        <v>24</v>
      </c>
      <c r="N1" s="1" t="s">
        <v>25</v>
      </c>
      <c r="O1" s="1" t="s">
        <v>26</v>
      </c>
    </row>
    <row r="2" spans="1:15" x14ac:dyDescent="0.25">
      <c r="A2" t="s">
        <v>21</v>
      </c>
      <c r="B2" t="s">
        <v>18</v>
      </c>
      <c r="C2">
        <v>3</v>
      </c>
      <c r="D2">
        <v>100</v>
      </c>
      <c r="E2">
        <v>200</v>
      </c>
      <c r="F2" t="str">
        <f t="shared" ref="F2:F65" si="0">A2&amp;"_"&amp;B2&amp;"_"&amp;C2&amp;"_"&amp;D2&amp;"_"&amp;E2</f>
        <v>castle256_blurkernel10_3_100_200</v>
      </c>
      <c r="G2">
        <v>58.038921000000002</v>
      </c>
      <c r="H2">
        <v>3.9097870000000001</v>
      </c>
      <c r="I2">
        <v>1.9208E-5</v>
      </c>
      <c r="J2">
        <v>8.6640000000000004E-6</v>
      </c>
      <c r="K2">
        <v>32.538800000000002</v>
      </c>
      <c r="L2">
        <v>14.472300000000001</v>
      </c>
      <c r="M2">
        <v>0</v>
      </c>
      <c r="N2">
        <v>33.475900000000003</v>
      </c>
      <c r="O2">
        <v>0</v>
      </c>
    </row>
    <row r="3" spans="1:15" x14ac:dyDescent="0.25">
      <c r="A3" t="s">
        <v>21</v>
      </c>
      <c r="B3" t="s">
        <v>18</v>
      </c>
      <c r="C3">
        <v>3</v>
      </c>
      <c r="D3">
        <v>100</v>
      </c>
      <c r="E3">
        <v>400</v>
      </c>
      <c r="F3" t="str">
        <f t="shared" si="0"/>
        <v>castle256_blurkernel10_3_100_400</v>
      </c>
      <c r="G3">
        <v>45.921123999999999</v>
      </c>
      <c r="H3">
        <v>3.5839590000000001</v>
      </c>
      <c r="I3">
        <v>3.9960999999999999E-5</v>
      </c>
      <c r="J3">
        <v>8.6640000000000004E-6</v>
      </c>
      <c r="K3">
        <v>29.360700000000001</v>
      </c>
      <c r="L3">
        <v>14.472300000000001</v>
      </c>
      <c r="M3">
        <v>0</v>
      </c>
      <c r="N3">
        <v>31.113700000000001</v>
      </c>
      <c r="O3">
        <v>0</v>
      </c>
    </row>
    <row r="4" spans="1:15" x14ac:dyDescent="0.25">
      <c r="A4" t="s">
        <v>21</v>
      </c>
      <c r="B4" t="s">
        <v>18</v>
      </c>
      <c r="C4">
        <v>3</v>
      </c>
      <c r="D4">
        <v>100</v>
      </c>
      <c r="E4">
        <v>800</v>
      </c>
      <c r="F4" t="str">
        <f t="shared" si="0"/>
        <v>castle256_blurkernel10_3_100_800</v>
      </c>
      <c r="G4">
        <v>38.746290999999999</v>
      </c>
      <c r="H4">
        <v>3.4257049999999998</v>
      </c>
      <c r="I4">
        <v>8.1514999999999995E-5</v>
      </c>
      <c r="J4">
        <v>8.6640000000000004E-6</v>
      </c>
      <c r="K4">
        <v>26.272300000000001</v>
      </c>
      <c r="L4">
        <v>14.472300000000001</v>
      </c>
      <c r="M4">
        <v>0</v>
      </c>
      <c r="N4">
        <v>28.912500000000001</v>
      </c>
      <c r="O4">
        <v>0</v>
      </c>
    </row>
    <row r="5" spans="1:15" x14ac:dyDescent="0.25">
      <c r="A5" t="s">
        <v>21</v>
      </c>
      <c r="B5" t="s">
        <v>18</v>
      </c>
      <c r="C5">
        <v>3</v>
      </c>
      <c r="D5">
        <v>100</v>
      </c>
      <c r="E5">
        <v>1600</v>
      </c>
      <c r="F5" t="str">
        <f t="shared" si="0"/>
        <v>castle256_blurkernel10_3_100_1600</v>
      </c>
      <c r="G5">
        <v>34.391260000000003</v>
      </c>
      <c r="H5">
        <v>3.3568530000000001</v>
      </c>
      <c r="I5">
        <v>1.65439E-4</v>
      </c>
      <c r="J5">
        <v>8.6640000000000004E-6</v>
      </c>
      <c r="K5">
        <v>23.209299999999999</v>
      </c>
      <c r="L5">
        <v>14.472300000000001</v>
      </c>
      <c r="M5">
        <v>0</v>
      </c>
      <c r="N5">
        <v>26.916799999999999</v>
      </c>
      <c r="O5">
        <v>0</v>
      </c>
    </row>
    <row r="6" spans="1:15" x14ac:dyDescent="0.25">
      <c r="A6" t="s">
        <v>21</v>
      </c>
      <c r="B6" t="s">
        <v>18</v>
      </c>
      <c r="C6">
        <v>3</v>
      </c>
      <c r="D6">
        <v>100</v>
      </c>
      <c r="E6">
        <v>3200</v>
      </c>
      <c r="F6" t="str">
        <f t="shared" si="0"/>
        <v>castle256_blurkernel10_3_100_3200</v>
      </c>
      <c r="G6">
        <v>31.565629999999999</v>
      </c>
      <c r="H6">
        <v>3.337799</v>
      </c>
      <c r="I6">
        <v>3.3531799999999998E-4</v>
      </c>
      <c r="J6">
        <v>8.6640000000000004E-6</v>
      </c>
      <c r="K6">
        <v>20.1553</v>
      </c>
      <c r="L6">
        <v>14.472300000000001</v>
      </c>
      <c r="M6">
        <v>0</v>
      </c>
      <c r="N6">
        <v>24.860099999999999</v>
      </c>
      <c r="O6">
        <v>0</v>
      </c>
    </row>
    <row r="7" spans="1:15" x14ac:dyDescent="0.25">
      <c r="A7" t="s">
        <v>21</v>
      </c>
      <c r="B7" t="s">
        <v>18</v>
      </c>
      <c r="C7">
        <v>3</v>
      </c>
      <c r="D7">
        <v>100</v>
      </c>
      <c r="E7">
        <v>6400</v>
      </c>
      <c r="F7" t="str">
        <f t="shared" si="0"/>
        <v>castle256_blurkernel10_3_100_6400</v>
      </c>
      <c r="G7">
        <v>29.451678000000001</v>
      </c>
      <c r="H7">
        <v>3.3474650000000001</v>
      </c>
      <c r="I7">
        <v>6.8688799999999997E-4</v>
      </c>
      <c r="J7">
        <v>8.6640000000000004E-6</v>
      </c>
      <c r="K7">
        <v>17.079599999999999</v>
      </c>
      <c r="L7">
        <v>14.472300000000001</v>
      </c>
      <c r="M7">
        <v>0</v>
      </c>
      <c r="N7">
        <v>23.062000000000001</v>
      </c>
      <c r="O7">
        <v>0</v>
      </c>
    </row>
    <row r="8" spans="1:15" x14ac:dyDescent="0.25">
      <c r="A8" t="s">
        <v>21</v>
      </c>
      <c r="B8" t="s">
        <v>18</v>
      </c>
      <c r="C8">
        <v>3</v>
      </c>
      <c r="D8">
        <v>100</v>
      </c>
      <c r="E8">
        <v>12800</v>
      </c>
      <c r="F8" t="str">
        <f t="shared" si="0"/>
        <v>castle256_blurkernel10_3_100_12800</v>
      </c>
      <c r="G8">
        <v>27.608505999999998</v>
      </c>
      <c r="H8">
        <v>3.3742160000000001</v>
      </c>
      <c r="I8">
        <v>1.449463E-3</v>
      </c>
      <c r="J8">
        <v>8.6640000000000004E-6</v>
      </c>
      <c r="K8">
        <v>13.920999999999999</v>
      </c>
      <c r="L8">
        <v>14.472300000000001</v>
      </c>
      <c r="M8">
        <v>0</v>
      </c>
      <c r="N8">
        <v>21.8584</v>
      </c>
      <c r="O8">
        <v>0</v>
      </c>
    </row>
    <row r="9" spans="1:15" x14ac:dyDescent="0.25">
      <c r="A9" t="s">
        <v>21</v>
      </c>
      <c r="B9" t="s">
        <v>18</v>
      </c>
      <c r="C9">
        <v>3</v>
      </c>
      <c r="D9">
        <v>100</v>
      </c>
      <c r="E9">
        <v>25600</v>
      </c>
      <c r="F9" t="str">
        <f t="shared" si="0"/>
        <v>castle256_blurkernel10_3_100_25600</v>
      </c>
      <c r="G9">
        <v>26.060853000000002</v>
      </c>
      <c r="H9">
        <v>3.4045519999999998</v>
      </c>
      <c r="I9">
        <v>3.2257649999999998E-3</v>
      </c>
      <c r="J9">
        <v>8.6640000000000004E-6</v>
      </c>
      <c r="K9">
        <v>10.636799999999999</v>
      </c>
      <c r="L9">
        <v>14.472300000000001</v>
      </c>
      <c r="M9">
        <v>0</v>
      </c>
      <c r="N9">
        <v>21.388200000000001</v>
      </c>
      <c r="O9">
        <v>0</v>
      </c>
    </row>
    <row r="10" spans="1:15" x14ac:dyDescent="0.25">
      <c r="A10" t="s">
        <v>21</v>
      </c>
      <c r="B10" t="s">
        <v>18</v>
      </c>
      <c r="C10">
        <v>3</v>
      </c>
      <c r="D10">
        <v>100</v>
      </c>
      <c r="E10">
        <v>102400</v>
      </c>
      <c r="F10" t="str">
        <f t="shared" si="0"/>
        <v>castle256_blurkernel10_3_100_102400</v>
      </c>
      <c r="G10">
        <v>24.011403999999999</v>
      </c>
      <c r="H10">
        <v>3.430555</v>
      </c>
      <c r="I10">
        <v>1.992878E-2</v>
      </c>
      <c r="J10">
        <v>8.7190000000000007E-6</v>
      </c>
      <c r="K10">
        <v>4.1311</v>
      </c>
      <c r="L10">
        <v>14.4689</v>
      </c>
      <c r="M10">
        <v>0</v>
      </c>
      <c r="N10">
        <v>20.344999999999999</v>
      </c>
      <c r="O10">
        <v>0</v>
      </c>
    </row>
    <row r="11" spans="1:15" x14ac:dyDescent="0.25">
      <c r="A11" t="s">
        <v>21</v>
      </c>
      <c r="B11" t="s">
        <v>18</v>
      </c>
      <c r="C11">
        <v>7</v>
      </c>
      <c r="D11">
        <v>100</v>
      </c>
      <c r="E11">
        <v>200</v>
      </c>
      <c r="F11" t="str">
        <f t="shared" si="0"/>
        <v>castle256_blurkernel10_7_100_200</v>
      </c>
      <c r="G11">
        <v>52.017189000000002</v>
      </c>
      <c r="H11">
        <v>10.233231999999999</v>
      </c>
      <c r="I11">
        <v>1.9057000000000001E-5</v>
      </c>
      <c r="J11">
        <v>8.6640000000000004E-6</v>
      </c>
      <c r="K11">
        <v>32.573900000000002</v>
      </c>
      <c r="L11">
        <v>10.2906</v>
      </c>
      <c r="M11">
        <v>0</v>
      </c>
      <c r="N11">
        <v>32.852899999999998</v>
      </c>
      <c r="O11">
        <v>0</v>
      </c>
    </row>
    <row r="12" spans="1:15" x14ac:dyDescent="0.25">
      <c r="A12" t="s">
        <v>21</v>
      </c>
      <c r="B12" t="s">
        <v>18</v>
      </c>
      <c r="C12">
        <v>7</v>
      </c>
      <c r="D12">
        <v>100</v>
      </c>
      <c r="E12">
        <v>400</v>
      </c>
      <c r="F12" t="str">
        <f t="shared" si="0"/>
        <v>castle256_blurkernel10_7_100_400</v>
      </c>
      <c r="G12">
        <v>37.884152999999998</v>
      </c>
      <c r="H12">
        <v>9.3558319999999995</v>
      </c>
      <c r="I12">
        <v>3.9737000000000003E-5</v>
      </c>
      <c r="J12">
        <v>8.6640000000000004E-6</v>
      </c>
      <c r="K12">
        <v>29.384899999999998</v>
      </c>
      <c r="L12">
        <v>10.2906</v>
      </c>
      <c r="M12">
        <v>0</v>
      </c>
      <c r="N12">
        <v>30.187100000000001</v>
      </c>
      <c r="O12">
        <v>0</v>
      </c>
    </row>
    <row r="13" spans="1:15" x14ac:dyDescent="0.25">
      <c r="A13" t="s">
        <v>21</v>
      </c>
      <c r="B13" t="s">
        <v>18</v>
      </c>
      <c r="C13">
        <v>7</v>
      </c>
      <c r="D13">
        <v>100</v>
      </c>
      <c r="E13">
        <v>800</v>
      </c>
      <c r="F13" t="str">
        <f t="shared" si="0"/>
        <v>castle256_blurkernel10_7_100_800</v>
      </c>
      <c r="G13">
        <v>28.868124000000002</v>
      </c>
      <c r="H13">
        <v>8.9155440000000006</v>
      </c>
      <c r="I13">
        <v>8.1391999999999996E-5</v>
      </c>
      <c r="J13">
        <v>8.6640000000000004E-6</v>
      </c>
      <c r="K13">
        <v>26.276499999999999</v>
      </c>
      <c r="L13">
        <v>10.2906</v>
      </c>
      <c r="M13">
        <v>0</v>
      </c>
      <c r="N13">
        <v>27.730599999999999</v>
      </c>
      <c r="O13">
        <v>0</v>
      </c>
    </row>
    <row r="14" spans="1:15" x14ac:dyDescent="0.25">
      <c r="A14" t="s">
        <v>21</v>
      </c>
      <c r="B14" t="s">
        <v>18</v>
      </c>
      <c r="C14">
        <v>7</v>
      </c>
      <c r="D14">
        <v>100</v>
      </c>
      <c r="E14">
        <v>1600</v>
      </c>
      <c r="F14" t="str">
        <f t="shared" si="0"/>
        <v>castle256_blurkernel10_7_100_1600</v>
      </c>
      <c r="G14">
        <v>23.133517000000001</v>
      </c>
      <c r="H14">
        <v>8.6999060000000004</v>
      </c>
      <c r="I14">
        <v>1.6641599999999999E-4</v>
      </c>
      <c r="J14">
        <v>8.6640000000000004E-6</v>
      </c>
      <c r="K14">
        <v>23.180199999999999</v>
      </c>
      <c r="L14">
        <v>10.2906</v>
      </c>
      <c r="M14">
        <v>0</v>
      </c>
      <c r="N14">
        <v>25.5442</v>
      </c>
      <c r="O14">
        <v>0</v>
      </c>
    </row>
    <row r="15" spans="1:15" x14ac:dyDescent="0.25">
      <c r="A15" t="s">
        <v>21</v>
      </c>
      <c r="B15" t="s">
        <v>18</v>
      </c>
      <c r="C15">
        <v>7</v>
      </c>
      <c r="D15">
        <v>100</v>
      </c>
      <c r="E15">
        <v>3200</v>
      </c>
      <c r="F15" t="str">
        <f t="shared" si="0"/>
        <v>castle256_blurkernel10_7_100_3200</v>
      </c>
      <c r="G15">
        <v>19.519368</v>
      </c>
      <c r="H15">
        <v>8.6040120000000009</v>
      </c>
      <c r="I15">
        <v>3.4093799999999999E-4</v>
      </c>
      <c r="J15">
        <v>8.6640000000000004E-6</v>
      </c>
      <c r="K15">
        <v>20.087</v>
      </c>
      <c r="L15">
        <v>10.2906</v>
      </c>
      <c r="M15">
        <v>0</v>
      </c>
      <c r="N15">
        <v>23.357399999999998</v>
      </c>
      <c r="O15">
        <v>0</v>
      </c>
    </row>
    <row r="16" spans="1:15" x14ac:dyDescent="0.25">
      <c r="A16" t="s">
        <v>21</v>
      </c>
      <c r="B16" t="s">
        <v>18</v>
      </c>
      <c r="C16">
        <v>7</v>
      </c>
      <c r="D16">
        <v>100</v>
      </c>
      <c r="E16">
        <v>6400</v>
      </c>
      <c r="F16" t="str">
        <f t="shared" si="0"/>
        <v>castle256_blurkernel10_7_100_6400</v>
      </c>
      <c r="G16">
        <v>17.255538999999999</v>
      </c>
      <c r="H16">
        <v>8.5703340000000008</v>
      </c>
      <c r="I16">
        <v>6.9097600000000005E-4</v>
      </c>
      <c r="J16">
        <v>8.6640000000000004E-6</v>
      </c>
      <c r="K16">
        <v>17.059799999999999</v>
      </c>
      <c r="L16">
        <v>10.2906</v>
      </c>
      <c r="M16">
        <v>0</v>
      </c>
      <c r="N16">
        <v>21.299499999999998</v>
      </c>
      <c r="O16">
        <v>0</v>
      </c>
    </row>
    <row r="17" spans="1:15" x14ac:dyDescent="0.25">
      <c r="A17" t="s">
        <v>21</v>
      </c>
      <c r="B17" t="s">
        <v>18</v>
      </c>
      <c r="C17">
        <v>7</v>
      </c>
      <c r="D17">
        <v>100</v>
      </c>
      <c r="E17">
        <v>12800</v>
      </c>
      <c r="F17" t="str">
        <f t="shared" si="0"/>
        <v>castle256_blurkernel10_7_100_12800</v>
      </c>
      <c r="G17">
        <v>15.574833</v>
      </c>
      <c r="H17">
        <v>8.5720120000000009</v>
      </c>
      <c r="I17">
        <v>1.457177E-3</v>
      </c>
      <c r="J17">
        <v>8.6640000000000004E-6</v>
      </c>
      <c r="K17">
        <v>13.8995</v>
      </c>
      <c r="L17">
        <v>10.2906</v>
      </c>
      <c r="M17">
        <v>0</v>
      </c>
      <c r="N17">
        <v>19.675799999999999</v>
      </c>
      <c r="O17">
        <v>0</v>
      </c>
    </row>
    <row r="18" spans="1:15" x14ac:dyDescent="0.25">
      <c r="A18" t="s">
        <v>21</v>
      </c>
      <c r="B18" t="s">
        <v>18</v>
      </c>
      <c r="C18">
        <v>7</v>
      </c>
      <c r="D18">
        <v>100</v>
      </c>
      <c r="E18">
        <v>25600</v>
      </c>
      <c r="F18" t="str">
        <f t="shared" si="0"/>
        <v>castle256_blurkernel10_7_100_25600</v>
      </c>
      <c r="G18">
        <v>14.177572</v>
      </c>
      <c r="H18">
        <v>8.5941969999999994</v>
      </c>
      <c r="I18">
        <v>3.230564E-3</v>
      </c>
      <c r="J18">
        <v>8.6640000000000004E-6</v>
      </c>
      <c r="K18">
        <v>10.6233</v>
      </c>
      <c r="L18">
        <v>10.2906</v>
      </c>
      <c r="M18">
        <v>0</v>
      </c>
      <c r="N18">
        <v>18.4556</v>
      </c>
      <c r="O18">
        <v>0</v>
      </c>
    </row>
    <row r="19" spans="1:15" x14ac:dyDescent="0.25">
      <c r="A19" t="s">
        <v>21</v>
      </c>
      <c r="B19" t="s">
        <v>18</v>
      </c>
      <c r="C19">
        <v>7</v>
      </c>
      <c r="D19">
        <v>100</v>
      </c>
      <c r="E19">
        <v>102400</v>
      </c>
      <c r="F19" t="str">
        <f t="shared" si="0"/>
        <v>castle256_blurkernel10_7_100_102400</v>
      </c>
      <c r="G19">
        <v>11.364986</v>
      </c>
      <c r="H19">
        <v>8.6499330000000008</v>
      </c>
      <c r="I19">
        <v>1.9947471000000001E-2</v>
      </c>
      <c r="J19">
        <v>8.7059999999999993E-6</v>
      </c>
      <c r="K19">
        <v>4.1467999999999998</v>
      </c>
      <c r="L19">
        <v>10.2845</v>
      </c>
      <c r="M19">
        <v>0</v>
      </c>
      <c r="N19">
        <v>14.510300000000001</v>
      </c>
      <c r="O19">
        <v>0</v>
      </c>
    </row>
    <row r="20" spans="1:15" x14ac:dyDescent="0.25">
      <c r="A20" t="s">
        <v>21</v>
      </c>
      <c r="B20" t="s">
        <v>18</v>
      </c>
      <c r="C20">
        <v>15</v>
      </c>
      <c r="D20">
        <v>100</v>
      </c>
      <c r="E20">
        <v>200</v>
      </c>
      <c r="F20" t="str">
        <f t="shared" si="0"/>
        <v>castle256_blurkernel10_15_100_200</v>
      </c>
      <c r="G20">
        <v>50.528947000000002</v>
      </c>
      <c r="H20">
        <v>22.437251</v>
      </c>
      <c r="I20">
        <v>1.9080999999999999E-5</v>
      </c>
      <c r="J20">
        <v>8.7229999999999993E-6</v>
      </c>
      <c r="K20">
        <v>32.569899999999997</v>
      </c>
      <c r="L20">
        <v>8.1920999999999999</v>
      </c>
      <c r="M20">
        <v>0</v>
      </c>
      <c r="N20">
        <v>32.686100000000003</v>
      </c>
      <c r="O20">
        <v>0</v>
      </c>
    </row>
    <row r="21" spans="1:15" x14ac:dyDescent="0.25">
      <c r="A21" t="s">
        <v>21</v>
      </c>
      <c r="B21" t="s">
        <v>18</v>
      </c>
      <c r="C21">
        <v>15</v>
      </c>
      <c r="D21">
        <v>100</v>
      </c>
      <c r="E21">
        <v>400</v>
      </c>
      <c r="F21" t="str">
        <f t="shared" si="0"/>
        <v>castle256_blurkernel10_15_100_400</v>
      </c>
      <c r="G21">
        <v>35.873654999999999</v>
      </c>
      <c r="H21">
        <v>20.555052</v>
      </c>
      <c r="I21">
        <v>3.9613999999999997E-5</v>
      </c>
      <c r="J21">
        <v>8.6500000000000002E-6</v>
      </c>
      <c r="K21">
        <v>29.398399999999999</v>
      </c>
      <c r="L21">
        <v>8.1914999999999996</v>
      </c>
      <c r="M21">
        <v>0</v>
      </c>
      <c r="N21">
        <v>29.9602</v>
      </c>
      <c r="O21">
        <v>0</v>
      </c>
    </row>
    <row r="22" spans="1:15" x14ac:dyDescent="0.25">
      <c r="A22" t="s">
        <v>21</v>
      </c>
      <c r="B22" t="s">
        <v>18</v>
      </c>
      <c r="C22">
        <v>15</v>
      </c>
      <c r="D22">
        <v>100</v>
      </c>
      <c r="E22">
        <v>800</v>
      </c>
      <c r="F22" t="str">
        <f t="shared" si="0"/>
        <v>castle256_blurkernel10_15_100_800</v>
      </c>
      <c r="G22">
        <v>25.93553</v>
      </c>
      <c r="H22">
        <v>19.483529999999998</v>
      </c>
      <c r="I22">
        <v>8.2241000000000001E-5</v>
      </c>
      <c r="J22">
        <v>8.7229999999999993E-6</v>
      </c>
      <c r="K22">
        <v>26.229700000000001</v>
      </c>
      <c r="L22">
        <v>8.1920999999999999</v>
      </c>
      <c r="M22">
        <v>0</v>
      </c>
      <c r="N22">
        <v>27.507100000000001</v>
      </c>
      <c r="O22">
        <v>0</v>
      </c>
    </row>
    <row r="23" spans="1:15" x14ac:dyDescent="0.25">
      <c r="A23" t="s">
        <v>21</v>
      </c>
      <c r="B23" t="s">
        <v>18</v>
      </c>
      <c r="C23">
        <v>15</v>
      </c>
      <c r="D23">
        <v>100</v>
      </c>
      <c r="E23">
        <v>1600</v>
      </c>
      <c r="F23" t="str">
        <f t="shared" si="0"/>
        <v>castle256_blurkernel10_15_100_1600</v>
      </c>
      <c r="G23">
        <v>19.537088000000001</v>
      </c>
      <c r="H23">
        <v>19.081523000000001</v>
      </c>
      <c r="I23">
        <v>1.66727E-4</v>
      </c>
      <c r="J23">
        <v>8.6500000000000002E-6</v>
      </c>
      <c r="K23">
        <v>23.180900000000001</v>
      </c>
      <c r="L23">
        <v>8.1914999999999996</v>
      </c>
      <c r="M23">
        <v>0</v>
      </c>
      <c r="N23">
        <v>25.0718</v>
      </c>
      <c r="O23">
        <v>0</v>
      </c>
    </row>
    <row r="24" spans="1:15" x14ac:dyDescent="0.25">
      <c r="A24" t="s">
        <v>21</v>
      </c>
      <c r="B24" t="s">
        <v>18</v>
      </c>
      <c r="C24">
        <v>15</v>
      </c>
      <c r="D24">
        <v>100</v>
      </c>
      <c r="E24">
        <v>3200</v>
      </c>
      <c r="F24" t="str">
        <f t="shared" si="0"/>
        <v>castle256_blurkernel10_15_100_3200</v>
      </c>
      <c r="G24">
        <v>15.306013999999999</v>
      </c>
      <c r="H24">
        <v>18.767543</v>
      </c>
      <c r="I24">
        <v>3.3981400000000002E-4</v>
      </c>
      <c r="J24">
        <v>8.7229999999999993E-6</v>
      </c>
      <c r="K24">
        <v>20.097200000000001</v>
      </c>
      <c r="L24">
        <v>8.1920999999999999</v>
      </c>
      <c r="M24">
        <v>0</v>
      </c>
      <c r="N24">
        <v>22.895199999999999</v>
      </c>
      <c r="O24">
        <v>0</v>
      </c>
    </row>
    <row r="25" spans="1:15" x14ac:dyDescent="0.25">
      <c r="A25" t="s">
        <v>21</v>
      </c>
      <c r="B25" t="s">
        <v>18</v>
      </c>
      <c r="C25">
        <v>15</v>
      </c>
      <c r="D25">
        <v>100</v>
      </c>
      <c r="E25">
        <v>6400</v>
      </c>
      <c r="F25" t="str">
        <f t="shared" si="0"/>
        <v>castle256_blurkernel10_15_100_6400</v>
      </c>
      <c r="G25">
        <v>12.60707</v>
      </c>
      <c r="H25">
        <v>18.745664999999999</v>
      </c>
      <c r="I25">
        <v>6.89107E-4</v>
      </c>
      <c r="J25">
        <v>8.6500000000000002E-6</v>
      </c>
      <c r="K25">
        <v>17.066299999999998</v>
      </c>
      <c r="L25">
        <v>8.1914999999999996</v>
      </c>
      <c r="M25">
        <v>0</v>
      </c>
      <c r="N25">
        <v>21.116800000000001</v>
      </c>
      <c r="O25">
        <v>0</v>
      </c>
    </row>
    <row r="26" spans="1:15" x14ac:dyDescent="0.25">
      <c r="A26" t="s">
        <v>21</v>
      </c>
      <c r="B26" t="s">
        <v>18</v>
      </c>
      <c r="C26">
        <v>15</v>
      </c>
      <c r="D26">
        <v>100</v>
      </c>
      <c r="E26">
        <v>12800</v>
      </c>
      <c r="F26" t="str">
        <f t="shared" si="0"/>
        <v>castle256_blurkernel10_15_100_12800</v>
      </c>
      <c r="G26">
        <v>10.667234000000001</v>
      </c>
      <c r="H26">
        <v>18.631302999999999</v>
      </c>
      <c r="I26">
        <v>1.4633339999999999E-3</v>
      </c>
      <c r="J26">
        <v>8.7229999999999993E-6</v>
      </c>
      <c r="K26">
        <v>13.8832</v>
      </c>
      <c r="L26">
        <v>8.1920999999999999</v>
      </c>
      <c r="M26">
        <v>0</v>
      </c>
      <c r="N26">
        <v>19.709900000000001</v>
      </c>
      <c r="O26">
        <v>0</v>
      </c>
    </row>
    <row r="27" spans="1:15" x14ac:dyDescent="0.25">
      <c r="A27" t="s">
        <v>21</v>
      </c>
      <c r="B27" t="s">
        <v>18</v>
      </c>
      <c r="C27">
        <v>15</v>
      </c>
      <c r="D27">
        <v>100</v>
      </c>
      <c r="E27">
        <v>25600</v>
      </c>
      <c r="F27" t="str">
        <f t="shared" si="0"/>
        <v>castle256_blurkernel10_15_100_25600</v>
      </c>
      <c r="G27">
        <v>9.3682090000000002</v>
      </c>
      <c r="H27">
        <v>18.710592999999999</v>
      </c>
      <c r="I27">
        <v>3.2438110000000001E-3</v>
      </c>
      <c r="J27">
        <v>8.6500000000000002E-6</v>
      </c>
      <c r="K27">
        <v>10.6159</v>
      </c>
      <c r="L27">
        <v>8.1914999999999996</v>
      </c>
      <c r="M27">
        <v>0</v>
      </c>
      <c r="N27">
        <v>18.253599999999999</v>
      </c>
      <c r="O27">
        <v>0</v>
      </c>
    </row>
    <row r="28" spans="1:15" x14ac:dyDescent="0.25">
      <c r="A28" t="s">
        <v>21</v>
      </c>
      <c r="B28" t="s">
        <v>18</v>
      </c>
      <c r="C28">
        <v>15</v>
      </c>
      <c r="D28">
        <v>100</v>
      </c>
      <c r="E28">
        <v>102400</v>
      </c>
      <c r="F28" t="str">
        <f t="shared" si="0"/>
        <v>castle256_blurkernel10_15_100_102400</v>
      </c>
      <c r="G28">
        <v>7.3246710000000004</v>
      </c>
      <c r="H28">
        <v>18.728504000000001</v>
      </c>
      <c r="I28">
        <v>1.9935013000000001E-2</v>
      </c>
      <c r="J28">
        <v>8.6780000000000006E-6</v>
      </c>
      <c r="K28">
        <v>4.1468999999999996</v>
      </c>
      <c r="L28">
        <v>8.1898</v>
      </c>
      <c r="M28">
        <v>0</v>
      </c>
      <c r="N28">
        <v>15.815899999999999</v>
      </c>
      <c r="O28">
        <v>0</v>
      </c>
    </row>
    <row r="29" spans="1:15" x14ac:dyDescent="0.25">
      <c r="A29" t="s">
        <v>21</v>
      </c>
      <c r="B29" t="s">
        <v>18</v>
      </c>
      <c r="C29">
        <v>31</v>
      </c>
      <c r="D29">
        <v>100</v>
      </c>
      <c r="E29">
        <v>200</v>
      </c>
      <c r="F29" t="str">
        <f t="shared" si="0"/>
        <v>castle256_blurkernel10_31_100_200</v>
      </c>
      <c r="G29">
        <v>49.777388999999999</v>
      </c>
      <c r="H29">
        <v>46.848140999999998</v>
      </c>
      <c r="I29">
        <v>1.9151999999999999E-5</v>
      </c>
      <c r="J29">
        <v>8.7050000000000005E-6</v>
      </c>
      <c r="K29">
        <v>32.552100000000003</v>
      </c>
      <c r="L29">
        <v>6.2137000000000002</v>
      </c>
      <c r="M29">
        <v>0</v>
      </c>
      <c r="N29">
        <v>25.2286</v>
      </c>
      <c r="O29">
        <v>0</v>
      </c>
    </row>
    <row r="30" spans="1:15" x14ac:dyDescent="0.25">
      <c r="A30" t="s">
        <v>21</v>
      </c>
      <c r="B30" t="s">
        <v>18</v>
      </c>
      <c r="C30">
        <v>31</v>
      </c>
      <c r="D30">
        <v>100</v>
      </c>
      <c r="E30">
        <v>400</v>
      </c>
      <c r="F30" t="str">
        <f t="shared" si="0"/>
        <v>castle256_blurkernel10_31_100_400</v>
      </c>
      <c r="G30">
        <v>34.944125</v>
      </c>
      <c r="H30">
        <v>42.539783999999997</v>
      </c>
      <c r="I30">
        <v>4.0126999999999997E-5</v>
      </c>
      <c r="J30">
        <v>8.6750000000000008E-6</v>
      </c>
      <c r="K30">
        <v>29.347200000000001</v>
      </c>
      <c r="L30">
        <v>6.2140000000000004</v>
      </c>
      <c r="M30">
        <v>0</v>
      </c>
      <c r="N30">
        <v>29.521699999999999</v>
      </c>
      <c r="O30">
        <v>0</v>
      </c>
    </row>
    <row r="31" spans="1:15" x14ac:dyDescent="0.25">
      <c r="A31" t="s">
        <v>21</v>
      </c>
      <c r="B31" t="s">
        <v>18</v>
      </c>
      <c r="C31">
        <v>31</v>
      </c>
      <c r="D31">
        <v>100</v>
      </c>
      <c r="E31">
        <v>800</v>
      </c>
      <c r="F31" t="str">
        <f t="shared" si="0"/>
        <v>castle256_blurkernel10_31_100_800</v>
      </c>
      <c r="G31">
        <v>24.482066</v>
      </c>
      <c r="H31">
        <v>40.612039000000003</v>
      </c>
      <c r="I31">
        <v>8.1553999999999999E-5</v>
      </c>
      <c r="J31">
        <v>8.7050000000000005E-6</v>
      </c>
      <c r="K31">
        <v>26.2684</v>
      </c>
      <c r="L31">
        <v>6.2137000000000002</v>
      </c>
      <c r="M31">
        <v>0</v>
      </c>
      <c r="N31">
        <v>22.330400000000001</v>
      </c>
      <c r="O31">
        <v>0</v>
      </c>
    </row>
    <row r="32" spans="1:15" x14ac:dyDescent="0.25">
      <c r="A32" t="s">
        <v>21</v>
      </c>
      <c r="B32" t="s">
        <v>18</v>
      </c>
      <c r="C32">
        <v>31</v>
      </c>
      <c r="D32">
        <v>100</v>
      </c>
      <c r="E32">
        <v>1600</v>
      </c>
      <c r="F32" t="str">
        <f t="shared" si="0"/>
        <v>castle256_blurkernel10_31_100_1600</v>
      </c>
      <c r="G32">
        <v>18.177247999999999</v>
      </c>
      <c r="H32">
        <v>39.449390000000001</v>
      </c>
      <c r="I32">
        <v>1.6561000000000001E-4</v>
      </c>
      <c r="J32">
        <v>8.6750000000000008E-6</v>
      </c>
      <c r="K32">
        <v>23.199200000000001</v>
      </c>
      <c r="L32">
        <v>6.2140000000000004</v>
      </c>
      <c r="M32">
        <v>0</v>
      </c>
      <c r="N32">
        <v>24.671800000000001</v>
      </c>
      <c r="O32">
        <v>0</v>
      </c>
    </row>
    <row r="33" spans="1:15" x14ac:dyDescent="0.25">
      <c r="A33" t="s">
        <v>21</v>
      </c>
      <c r="B33" t="s">
        <v>18</v>
      </c>
      <c r="C33">
        <v>31</v>
      </c>
      <c r="D33">
        <v>100</v>
      </c>
      <c r="E33">
        <v>3200</v>
      </c>
      <c r="F33" t="str">
        <f t="shared" si="0"/>
        <v>castle256_blurkernel10_31_100_3200</v>
      </c>
      <c r="G33">
        <v>12.980487</v>
      </c>
      <c r="H33">
        <v>38.994278000000001</v>
      </c>
      <c r="I33">
        <v>3.3321300000000001E-4</v>
      </c>
      <c r="J33">
        <v>8.7050000000000005E-6</v>
      </c>
      <c r="K33">
        <v>20.183599999999998</v>
      </c>
      <c r="L33">
        <v>6.2137000000000002</v>
      </c>
      <c r="M33">
        <v>0</v>
      </c>
      <c r="N33">
        <v>21.0639</v>
      </c>
      <c r="O33">
        <v>0</v>
      </c>
    </row>
    <row r="34" spans="1:15" x14ac:dyDescent="0.25">
      <c r="A34" t="s">
        <v>21</v>
      </c>
      <c r="B34" t="s">
        <v>18</v>
      </c>
      <c r="C34">
        <v>31</v>
      </c>
      <c r="D34">
        <v>100</v>
      </c>
      <c r="E34">
        <v>6400</v>
      </c>
      <c r="F34" t="str">
        <f t="shared" si="0"/>
        <v>castle256_blurkernel10_31_100_6400</v>
      </c>
      <c r="G34">
        <v>10.547666</v>
      </c>
      <c r="H34">
        <v>38.669840999999998</v>
      </c>
      <c r="I34">
        <v>6.9892700000000001E-4</v>
      </c>
      <c r="J34">
        <v>8.6750000000000008E-6</v>
      </c>
      <c r="K34">
        <v>17.0121</v>
      </c>
      <c r="L34">
        <v>6.2140000000000004</v>
      </c>
      <c r="M34">
        <v>0</v>
      </c>
      <c r="N34">
        <v>20.65</v>
      </c>
      <c r="O34">
        <v>0</v>
      </c>
    </row>
    <row r="35" spans="1:15" x14ac:dyDescent="0.25">
      <c r="A35" t="s">
        <v>21</v>
      </c>
      <c r="B35" t="s">
        <v>18</v>
      </c>
      <c r="C35">
        <v>31</v>
      </c>
      <c r="D35">
        <v>100</v>
      </c>
      <c r="E35">
        <v>12800</v>
      </c>
      <c r="F35" t="str">
        <f t="shared" si="0"/>
        <v>castle256_blurkernel10_31_100_12800</v>
      </c>
      <c r="G35">
        <v>8.4317349999999998</v>
      </c>
      <c r="H35">
        <v>38.507548</v>
      </c>
      <c r="I35">
        <v>1.4532760000000001E-3</v>
      </c>
      <c r="J35">
        <v>8.7050000000000005E-6</v>
      </c>
      <c r="K35">
        <v>13.9152</v>
      </c>
      <c r="L35">
        <v>6.2137000000000002</v>
      </c>
      <c r="M35">
        <v>0</v>
      </c>
      <c r="N35">
        <v>18.875499999999999</v>
      </c>
      <c r="O35">
        <v>0</v>
      </c>
    </row>
    <row r="36" spans="1:15" x14ac:dyDescent="0.25">
      <c r="A36" t="s">
        <v>21</v>
      </c>
      <c r="B36" t="s">
        <v>18</v>
      </c>
      <c r="C36">
        <v>31</v>
      </c>
      <c r="D36">
        <v>100</v>
      </c>
      <c r="E36">
        <v>25600</v>
      </c>
      <c r="F36" t="str">
        <f t="shared" si="0"/>
        <v>castle256_blurkernel10_31_100_25600</v>
      </c>
      <c r="G36">
        <v>6.9985010000000001</v>
      </c>
      <c r="H36">
        <v>38.540239</v>
      </c>
      <c r="I36">
        <v>3.2255669999999999E-3</v>
      </c>
      <c r="J36">
        <v>8.6750000000000008E-6</v>
      </c>
      <c r="K36">
        <v>10.6083</v>
      </c>
      <c r="L36">
        <v>6.2140000000000004</v>
      </c>
      <c r="M36">
        <v>0</v>
      </c>
      <c r="N36">
        <v>17.453700000000001</v>
      </c>
      <c r="O36">
        <v>0</v>
      </c>
    </row>
    <row r="37" spans="1:15" x14ac:dyDescent="0.25">
      <c r="A37" t="s">
        <v>21</v>
      </c>
      <c r="B37" t="s">
        <v>18</v>
      </c>
      <c r="C37">
        <v>31</v>
      </c>
      <c r="D37">
        <v>100</v>
      </c>
      <c r="E37">
        <v>102400</v>
      </c>
      <c r="F37" t="str">
        <f t="shared" si="0"/>
        <v>castle256_blurkernel10_31_100_102400</v>
      </c>
      <c r="G37">
        <v>4.9695650000000002</v>
      </c>
      <c r="H37">
        <v>38.379869999999997</v>
      </c>
      <c r="I37">
        <v>1.9764037000000002E-2</v>
      </c>
      <c r="J37">
        <v>8.7630000000000006E-6</v>
      </c>
      <c r="K37">
        <v>4.1534000000000004</v>
      </c>
      <c r="L37">
        <v>6.2146999999999997</v>
      </c>
      <c r="M37">
        <v>0</v>
      </c>
      <c r="N37">
        <v>14.288500000000001</v>
      </c>
      <c r="O37">
        <v>0</v>
      </c>
    </row>
    <row r="38" spans="1:15" x14ac:dyDescent="0.25">
      <c r="A38" t="s">
        <v>21</v>
      </c>
      <c r="B38" t="s">
        <v>15</v>
      </c>
      <c r="C38">
        <v>3</v>
      </c>
      <c r="D38">
        <v>100</v>
      </c>
      <c r="E38">
        <v>200</v>
      </c>
      <c r="F38" t="str">
        <f t="shared" si="0"/>
        <v>castle256_blurkernel7_3_100_200</v>
      </c>
      <c r="G38">
        <v>58.033456000000001</v>
      </c>
      <c r="H38">
        <v>3.9267639999999999</v>
      </c>
      <c r="I38">
        <v>1.9006000000000001E-5</v>
      </c>
      <c r="J38">
        <v>8.6920000000000008E-6</v>
      </c>
      <c r="K38">
        <v>32.585999999999999</v>
      </c>
      <c r="L38">
        <v>15.658799999999999</v>
      </c>
      <c r="M38">
        <v>0</v>
      </c>
      <c r="N38">
        <v>33.473599999999998</v>
      </c>
      <c r="O38">
        <v>0</v>
      </c>
    </row>
    <row r="39" spans="1:15" x14ac:dyDescent="0.25">
      <c r="A39" t="s">
        <v>21</v>
      </c>
      <c r="B39" t="s">
        <v>15</v>
      </c>
      <c r="C39">
        <v>3</v>
      </c>
      <c r="D39">
        <v>100</v>
      </c>
      <c r="E39">
        <v>400</v>
      </c>
      <c r="F39" t="str">
        <f t="shared" si="0"/>
        <v>castle256_blurkernel7_3_100_400</v>
      </c>
      <c r="G39">
        <v>45.710878000000001</v>
      </c>
      <c r="H39">
        <v>3.5917089999999998</v>
      </c>
      <c r="I39">
        <v>3.9873000000000003E-5</v>
      </c>
      <c r="J39">
        <v>8.6920000000000008E-6</v>
      </c>
      <c r="K39">
        <v>29.372599999999998</v>
      </c>
      <c r="L39">
        <v>15.658799999999999</v>
      </c>
      <c r="M39">
        <v>0</v>
      </c>
      <c r="N39">
        <v>31.0185</v>
      </c>
      <c r="O39">
        <v>0</v>
      </c>
    </row>
    <row r="40" spans="1:15" x14ac:dyDescent="0.25">
      <c r="A40" t="s">
        <v>21</v>
      </c>
      <c r="B40" t="s">
        <v>15</v>
      </c>
      <c r="C40">
        <v>3</v>
      </c>
      <c r="D40">
        <v>100</v>
      </c>
      <c r="E40">
        <v>800</v>
      </c>
      <c r="F40" t="str">
        <f t="shared" si="0"/>
        <v>castle256_blurkernel7_3_100_800</v>
      </c>
      <c r="G40">
        <v>38.518583</v>
      </c>
      <c r="H40">
        <v>3.4319359999999999</v>
      </c>
      <c r="I40">
        <v>8.1196E-5</v>
      </c>
      <c r="J40">
        <v>8.6920000000000008E-6</v>
      </c>
      <c r="K40">
        <v>26.2865</v>
      </c>
      <c r="L40">
        <v>15.658799999999999</v>
      </c>
      <c r="M40">
        <v>0</v>
      </c>
      <c r="N40">
        <v>28.743400000000001</v>
      </c>
      <c r="O40">
        <v>0</v>
      </c>
    </row>
    <row r="41" spans="1:15" x14ac:dyDescent="0.25">
      <c r="A41" t="s">
        <v>21</v>
      </c>
      <c r="B41" t="s">
        <v>15</v>
      </c>
      <c r="C41">
        <v>3</v>
      </c>
      <c r="D41">
        <v>100</v>
      </c>
      <c r="E41">
        <v>1600</v>
      </c>
      <c r="F41" t="str">
        <f t="shared" si="0"/>
        <v>castle256_blurkernel7_3_100_1600</v>
      </c>
      <c r="G41">
        <v>34.177168000000002</v>
      </c>
      <c r="H41">
        <v>3.3578420000000002</v>
      </c>
      <c r="I41">
        <v>1.6667299999999999E-4</v>
      </c>
      <c r="J41">
        <v>8.6920000000000008E-6</v>
      </c>
      <c r="K41">
        <v>23.177199999999999</v>
      </c>
      <c r="L41">
        <v>15.658799999999999</v>
      </c>
      <c r="M41">
        <v>0</v>
      </c>
      <c r="N41">
        <v>26.3825</v>
      </c>
      <c r="O41">
        <v>0</v>
      </c>
    </row>
    <row r="42" spans="1:15" x14ac:dyDescent="0.25">
      <c r="A42" t="s">
        <v>21</v>
      </c>
      <c r="B42" t="s">
        <v>15</v>
      </c>
      <c r="C42">
        <v>3</v>
      </c>
      <c r="D42">
        <v>100</v>
      </c>
      <c r="E42">
        <v>3200</v>
      </c>
      <c r="F42" t="str">
        <f t="shared" si="0"/>
        <v>castle256_blurkernel7_3_100_3200</v>
      </c>
      <c r="G42">
        <v>31.383824000000001</v>
      </c>
      <c r="H42">
        <v>3.3378899999999998</v>
      </c>
      <c r="I42">
        <v>3.38408E-4</v>
      </c>
      <c r="J42">
        <v>8.6920000000000008E-6</v>
      </c>
      <c r="K42">
        <v>20.115400000000001</v>
      </c>
      <c r="L42">
        <v>15.658799999999999</v>
      </c>
      <c r="M42">
        <v>0</v>
      </c>
      <c r="N42">
        <v>24.180599999999998</v>
      </c>
      <c r="O42">
        <v>0</v>
      </c>
    </row>
    <row r="43" spans="1:15" x14ac:dyDescent="0.25">
      <c r="A43" t="s">
        <v>21</v>
      </c>
      <c r="B43" t="s">
        <v>15</v>
      </c>
      <c r="C43">
        <v>3</v>
      </c>
      <c r="D43">
        <v>100</v>
      </c>
      <c r="E43">
        <v>6400</v>
      </c>
      <c r="F43" t="str">
        <f t="shared" si="0"/>
        <v>castle256_blurkernel7_3_100_6400</v>
      </c>
      <c r="G43">
        <v>29.352906999999998</v>
      </c>
      <c r="H43">
        <v>3.3449110000000002</v>
      </c>
      <c r="I43">
        <v>6.9202900000000004E-4</v>
      </c>
      <c r="J43">
        <v>8.6920000000000008E-6</v>
      </c>
      <c r="K43">
        <v>17.051600000000001</v>
      </c>
      <c r="L43">
        <v>15.658799999999999</v>
      </c>
      <c r="M43">
        <v>0</v>
      </c>
      <c r="N43">
        <v>22.073399999999999</v>
      </c>
      <c r="O43">
        <v>0</v>
      </c>
    </row>
    <row r="44" spans="1:15" x14ac:dyDescent="0.25">
      <c r="A44" t="s">
        <v>21</v>
      </c>
      <c r="B44" t="s">
        <v>15</v>
      </c>
      <c r="C44">
        <v>3</v>
      </c>
      <c r="D44">
        <v>100</v>
      </c>
      <c r="E44">
        <v>12800</v>
      </c>
      <c r="F44" t="str">
        <f t="shared" si="0"/>
        <v>castle256_blurkernel7_3_100_12800</v>
      </c>
      <c r="G44">
        <v>27.473123000000001</v>
      </c>
      <c r="H44">
        <v>3.37338</v>
      </c>
      <c r="I44">
        <v>1.456504E-3</v>
      </c>
      <c r="J44">
        <v>8.6920000000000008E-6</v>
      </c>
      <c r="K44">
        <v>13.892899999999999</v>
      </c>
      <c r="L44">
        <v>15.658799999999999</v>
      </c>
      <c r="M44">
        <v>0</v>
      </c>
      <c r="N44">
        <v>21.038699999999999</v>
      </c>
      <c r="O44">
        <v>0</v>
      </c>
    </row>
    <row r="45" spans="1:15" x14ac:dyDescent="0.25">
      <c r="A45" t="s">
        <v>21</v>
      </c>
      <c r="B45" t="s">
        <v>15</v>
      </c>
      <c r="C45">
        <v>3</v>
      </c>
      <c r="D45">
        <v>100</v>
      </c>
      <c r="E45">
        <v>25600</v>
      </c>
      <c r="F45" t="str">
        <f t="shared" si="0"/>
        <v>castle256_blurkernel7_3_100_25600</v>
      </c>
      <c r="G45">
        <v>25.887822</v>
      </c>
      <c r="H45">
        <v>3.4043869999999998</v>
      </c>
      <c r="I45">
        <v>3.2541839999999998E-3</v>
      </c>
      <c r="J45">
        <v>8.6920000000000008E-6</v>
      </c>
      <c r="K45">
        <v>10.6076</v>
      </c>
      <c r="L45">
        <v>15.658799999999999</v>
      </c>
      <c r="M45">
        <v>0</v>
      </c>
      <c r="N45">
        <v>20.3764</v>
      </c>
      <c r="O45">
        <v>0</v>
      </c>
    </row>
    <row r="46" spans="1:15" x14ac:dyDescent="0.25">
      <c r="A46" t="s">
        <v>21</v>
      </c>
      <c r="B46" t="s">
        <v>15</v>
      </c>
      <c r="C46">
        <v>3</v>
      </c>
      <c r="D46">
        <v>100</v>
      </c>
      <c r="E46">
        <v>102400</v>
      </c>
      <c r="F46" t="str">
        <f t="shared" si="0"/>
        <v>castle256_blurkernel7_3_100_102400</v>
      </c>
      <c r="G46">
        <v>24.014845000000001</v>
      </c>
      <c r="H46">
        <v>3.4225970000000001</v>
      </c>
      <c r="I46">
        <v>1.9862883000000001E-2</v>
      </c>
      <c r="J46">
        <v>8.7620000000000001E-6</v>
      </c>
      <c r="K46">
        <v>4.1154999999999999</v>
      </c>
      <c r="L46">
        <v>15.6609</v>
      </c>
      <c r="M46">
        <v>0</v>
      </c>
      <c r="N46">
        <v>20.446999999999999</v>
      </c>
      <c r="O46">
        <v>0</v>
      </c>
    </row>
    <row r="47" spans="1:15" x14ac:dyDescent="0.25">
      <c r="A47" t="s">
        <v>21</v>
      </c>
      <c r="B47" t="s">
        <v>15</v>
      </c>
      <c r="C47">
        <v>7</v>
      </c>
      <c r="D47">
        <v>100</v>
      </c>
      <c r="E47">
        <v>200</v>
      </c>
      <c r="F47" t="str">
        <f t="shared" si="0"/>
        <v>castle256_blurkernel7_7_100_200</v>
      </c>
      <c r="G47">
        <v>51.848171999999998</v>
      </c>
      <c r="H47">
        <v>10.246570999999999</v>
      </c>
      <c r="I47">
        <v>1.8987E-5</v>
      </c>
      <c r="J47">
        <v>8.7600000000000008E-6</v>
      </c>
      <c r="K47">
        <v>32.590299999999999</v>
      </c>
      <c r="L47">
        <v>10.9255</v>
      </c>
      <c r="M47">
        <v>0</v>
      </c>
      <c r="N47">
        <v>32.787100000000002</v>
      </c>
      <c r="O47">
        <v>0</v>
      </c>
    </row>
    <row r="48" spans="1:15" x14ac:dyDescent="0.25">
      <c r="A48" t="s">
        <v>21</v>
      </c>
      <c r="B48" t="s">
        <v>15</v>
      </c>
      <c r="C48">
        <v>7</v>
      </c>
      <c r="D48">
        <v>100</v>
      </c>
      <c r="E48">
        <v>400</v>
      </c>
      <c r="F48" t="str">
        <f t="shared" si="0"/>
        <v>castle256_blurkernel7_7_100_400</v>
      </c>
      <c r="G48">
        <v>37.501468000000003</v>
      </c>
      <c r="H48">
        <v>9.3532410000000006</v>
      </c>
      <c r="I48">
        <v>3.9885999999999997E-5</v>
      </c>
      <c r="J48">
        <v>8.7600000000000008E-6</v>
      </c>
      <c r="K48">
        <v>29.3691</v>
      </c>
      <c r="L48">
        <v>10.9255</v>
      </c>
      <c r="M48">
        <v>0</v>
      </c>
      <c r="N48">
        <v>30.0791</v>
      </c>
      <c r="O48">
        <v>0</v>
      </c>
    </row>
    <row r="49" spans="1:15" x14ac:dyDescent="0.25">
      <c r="A49" t="s">
        <v>21</v>
      </c>
      <c r="B49" t="s">
        <v>15</v>
      </c>
      <c r="C49">
        <v>7</v>
      </c>
      <c r="D49">
        <v>100</v>
      </c>
      <c r="E49">
        <v>800</v>
      </c>
      <c r="F49" t="str">
        <f t="shared" si="0"/>
        <v>castle256_blurkernel7_7_100_800</v>
      </c>
      <c r="G49">
        <v>28.375364000000001</v>
      </c>
      <c r="H49">
        <v>8.9080860000000008</v>
      </c>
      <c r="I49">
        <v>8.2123E-5</v>
      </c>
      <c r="J49">
        <v>8.7600000000000008E-6</v>
      </c>
      <c r="K49">
        <v>26.2395</v>
      </c>
      <c r="L49">
        <v>10.9255</v>
      </c>
      <c r="M49">
        <v>0</v>
      </c>
      <c r="N49">
        <v>27.504300000000001</v>
      </c>
      <c r="O49">
        <v>0</v>
      </c>
    </row>
    <row r="50" spans="1:15" x14ac:dyDescent="0.25">
      <c r="A50" t="s">
        <v>21</v>
      </c>
      <c r="B50" t="s">
        <v>15</v>
      </c>
      <c r="C50">
        <v>7</v>
      </c>
      <c r="D50">
        <v>100</v>
      </c>
      <c r="E50">
        <v>1600</v>
      </c>
      <c r="F50" t="str">
        <f t="shared" si="0"/>
        <v>castle256_blurkernel7_7_100_1600</v>
      </c>
      <c r="G50">
        <v>22.727979000000001</v>
      </c>
      <c r="H50">
        <v>8.6950310000000002</v>
      </c>
      <c r="I50">
        <v>1.6473799999999999E-4</v>
      </c>
      <c r="J50">
        <v>8.7600000000000008E-6</v>
      </c>
      <c r="K50">
        <v>23.222799999999999</v>
      </c>
      <c r="L50">
        <v>10.9255</v>
      </c>
      <c r="M50">
        <v>0</v>
      </c>
      <c r="N50">
        <v>25.232700000000001</v>
      </c>
      <c r="O50">
        <v>0</v>
      </c>
    </row>
    <row r="51" spans="1:15" x14ac:dyDescent="0.25">
      <c r="A51" t="s">
        <v>21</v>
      </c>
      <c r="B51" t="s">
        <v>15</v>
      </c>
      <c r="C51">
        <v>7</v>
      </c>
      <c r="D51">
        <v>100</v>
      </c>
      <c r="E51">
        <v>3200</v>
      </c>
      <c r="F51" t="str">
        <f t="shared" si="0"/>
        <v>castle256_blurkernel7_7_100_3200</v>
      </c>
      <c r="G51">
        <v>19.025276999999999</v>
      </c>
      <c r="H51">
        <v>8.5932099999999991</v>
      </c>
      <c r="I51">
        <v>3.4056100000000002E-4</v>
      </c>
      <c r="J51">
        <v>8.7600000000000008E-6</v>
      </c>
      <c r="K51">
        <v>20.087700000000002</v>
      </c>
      <c r="L51">
        <v>10.9255</v>
      </c>
      <c r="M51">
        <v>0</v>
      </c>
      <c r="N51">
        <v>22.796099999999999</v>
      </c>
      <c r="O51">
        <v>0</v>
      </c>
    </row>
    <row r="52" spans="1:15" x14ac:dyDescent="0.25">
      <c r="A52" t="s">
        <v>21</v>
      </c>
      <c r="B52" t="s">
        <v>15</v>
      </c>
      <c r="C52">
        <v>7</v>
      </c>
      <c r="D52">
        <v>100</v>
      </c>
      <c r="E52">
        <v>6400</v>
      </c>
      <c r="F52" t="str">
        <f t="shared" si="0"/>
        <v>castle256_blurkernel7_7_100_6400</v>
      </c>
      <c r="G52">
        <v>16.799166</v>
      </c>
      <c r="H52">
        <v>8.5533330000000003</v>
      </c>
      <c r="I52">
        <v>6.9285699999999996E-4</v>
      </c>
      <c r="J52">
        <v>8.7600000000000008E-6</v>
      </c>
      <c r="K52">
        <v>17.040099999999999</v>
      </c>
      <c r="L52">
        <v>10.9255</v>
      </c>
      <c r="M52">
        <v>0</v>
      </c>
      <c r="N52">
        <v>20.754799999999999</v>
      </c>
      <c r="O52">
        <v>0</v>
      </c>
    </row>
    <row r="53" spans="1:15" x14ac:dyDescent="0.25">
      <c r="A53" t="s">
        <v>21</v>
      </c>
      <c r="B53" t="s">
        <v>15</v>
      </c>
      <c r="C53">
        <v>7</v>
      </c>
      <c r="D53">
        <v>100</v>
      </c>
      <c r="E53">
        <v>12800</v>
      </c>
      <c r="F53" t="str">
        <f t="shared" si="0"/>
        <v>castle256_blurkernel7_7_100_12800</v>
      </c>
      <c r="G53">
        <v>15.195826</v>
      </c>
      <c r="H53">
        <v>8.5487660000000005</v>
      </c>
      <c r="I53">
        <v>1.4731939999999999E-3</v>
      </c>
      <c r="J53">
        <v>8.7600000000000008E-6</v>
      </c>
      <c r="K53">
        <v>13.8452</v>
      </c>
      <c r="L53">
        <v>10.9255</v>
      </c>
      <c r="M53">
        <v>0</v>
      </c>
      <c r="N53">
        <v>18.562200000000001</v>
      </c>
      <c r="O53">
        <v>0</v>
      </c>
    </row>
    <row r="54" spans="1:15" x14ac:dyDescent="0.25">
      <c r="A54" t="s">
        <v>21</v>
      </c>
      <c r="B54" t="s">
        <v>15</v>
      </c>
      <c r="C54">
        <v>7</v>
      </c>
      <c r="D54">
        <v>100</v>
      </c>
      <c r="E54">
        <v>25600</v>
      </c>
      <c r="F54" t="str">
        <f t="shared" si="0"/>
        <v>castle256_blurkernel7_7_100_25600</v>
      </c>
      <c r="G54">
        <v>13.906903</v>
      </c>
      <c r="H54">
        <v>8.5656680000000005</v>
      </c>
      <c r="I54">
        <v>3.2449549999999999E-3</v>
      </c>
      <c r="J54">
        <v>8.7600000000000008E-6</v>
      </c>
      <c r="K54">
        <v>10.609</v>
      </c>
      <c r="L54">
        <v>10.9255</v>
      </c>
      <c r="M54">
        <v>0</v>
      </c>
      <c r="N54">
        <v>17.258800000000001</v>
      </c>
      <c r="O54">
        <v>0</v>
      </c>
    </row>
    <row r="55" spans="1:15" x14ac:dyDescent="0.25">
      <c r="A55" t="s">
        <v>21</v>
      </c>
      <c r="B55" t="s">
        <v>15</v>
      </c>
      <c r="C55">
        <v>7</v>
      </c>
      <c r="D55">
        <v>100</v>
      </c>
      <c r="E55">
        <v>102400</v>
      </c>
      <c r="F55" t="str">
        <f t="shared" si="0"/>
        <v>castle256_blurkernel7_7_100_102400</v>
      </c>
      <c r="G55">
        <v>11.527633</v>
      </c>
      <c r="H55">
        <v>8.6173070000000003</v>
      </c>
      <c r="I55">
        <v>1.9817609E-2</v>
      </c>
      <c r="J55">
        <v>8.7790000000000001E-6</v>
      </c>
      <c r="K55">
        <v>4.1379999999999999</v>
      </c>
      <c r="L55">
        <v>10.9268</v>
      </c>
      <c r="M55">
        <v>0</v>
      </c>
      <c r="N55">
        <v>14.2232</v>
      </c>
      <c r="O55">
        <v>0</v>
      </c>
    </row>
    <row r="56" spans="1:15" x14ac:dyDescent="0.25">
      <c r="A56" t="s">
        <v>21</v>
      </c>
      <c r="B56" t="s">
        <v>15</v>
      </c>
      <c r="C56">
        <v>15</v>
      </c>
      <c r="D56">
        <v>100</v>
      </c>
      <c r="E56">
        <v>200</v>
      </c>
      <c r="F56" t="str">
        <f t="shared" si="0"/>
        <v>castle256_blurkernel7_15_100_200</v>
      </c>
      <c r="G56">
        <v>50.194268999999998</v>
      </c>
      <c r="H56">
        <v>22.572825999999999</v>
      </c>
      <c r="I56">
        <v>1.9099000000000001E-5</v>
      </c>
      <c r="J56">
        <v>8.7199999999999995E-6</v>
      </c>
      <c r="K56">
        <v>32.5657</v>
      </c>
      <c r="L56">
        <v>8.5879999999999992</v>
      </c>
      <c r="M56">
        <v>0</v>
      </c>
      <c r="N56">
        <v>32.578899999999997</v>
      </c>
      <c r="O56">
        <v>0</v>
      </c>
    </row>
    <row r="57" spans="1:15" x14ac:dyDescent="0.25">
      <c r="A57" t="s">
        <v>21</v>
      </c>
      <c r="B57" t="s">
        <v>15</v>
      </c>
      <c r="C57">
        <v>15</v>
      </c>
      <c r="D57">
        <v>100</v>
      </c>
      <c r="E57">
        <v>400</v>
      </c>
      <c r="F57" t="str">
        <f t="shared" si="0"/>
        <v>castle256_blurkernel7_15_100_400</v>
      </c>
      <c r="G57">
        <v>35.177840000000003</v>
      </c>
      <c r="H57">
        <v>20.633057000000001</v>
      </c>
      <c r="I57">
        <v>4.0203000000000001E-5</v>
      </c>
      <c r="J57">
        <v>8.6780000000000006E-6</v>
      </c>
      <c r="K57">
        <v>29.334</v>
      </c>
      <c r="L57">
        <v>8.5854999999999997</v>
      </c>
      <c r="M57">
        <v>0</v>
      </c>
      <c r="N57">
        <v>29.8414</v>
      </c>
      <c r="O57">
        <v>0</v>
      </c>
    </row>
    <row r="58" spans="1:15" x14ac:dyDescent="0.25">
      <c r="A58" t="s">
        <v>21</v>
      </c>
      <c r="B58" t="s">
        <v>15</v>
      </c>
      <c r="C58">
        <v>15</v>
      </c>
      <c r="D58">
        <v>100</v>
      </c>
      <c r="E58">
        <v>800</v>
      </c>
      <c r="F58" t="str">
        <f t="shared" si="0"/>
        <v>castle256_blurkernel7_15_100_800</v>
      </c>
      <c r="G58">
        <v>25.433373</v>
      </c>
      <c r="H58">
        <v>19.620615000000001</v>
      </c>
      <c r="I58">
        <v>8.1623000000000001E-5</v>
      </c>
      <c r="J58">
        <v>8.7199999999999995E-6</v>
      </c>
      <c r="K58">
        <v>26.262799999999999</v>
      </c>
      <c r="L58">
        <v>8.5879999999999992</v>
      </c>
      <c r="M58">
        <v>0</v>
      </c>
      <c r="N58">
        <v>27.315100000000001</v>
      </c>
      <c r="O58">
        <v>0</v>
      </c>
    </row>
    <row r="59" spans="1:15" x14ac:dyDescent="0.25">
      <c r="A59" t="s">
        <v>21</v>
      </c>
      <c r="B59" t="s">
        <v>15</v>
      </c>
      <c r="C59">
        <v>15</v>
      </c>
      <c r="D59">
        <v>100</v>
      </c>
      <c r="E59">
        <v>1600</v>
      </c>
      <c r="F59" t="str">
        <f t="shared" si="0"/>
        <v>castle256_blurkernel7_15_100_1600</v>
      </c>
      <c r="G59">
        <v>18.859919999999999</v>
      </c>
      <c r="H59">
        <v>19.175419999999999</v>
      </c>
      <c r="I59">
        <v>1.6509599999999999E-4</v>
      </c>
      <c r="J59">
        <v>8.6780000000000006E-6</v>
      </c>
      <c r="K59">
        <v>23.213899999999999</v>
      </c>
      <c r="L59">
        <v>8.5854999999999997</v>
      </c>
      <c r="M59">
        <v>0</v>
      </c>
      <c r="N59">
        <v>24.951000000000001</v>
      </c>
      <c r="O59">
        <v>0</v>
      </c>
    </row>
    <row r="60" spans="1:15" x14ac:dyDescent="0.25">
      <c r="A60" t="s">
        <v>21</v>
      </c>
      <c r="B60" t="s">
        <v>15</v>
      </c>
      <c r="C60">
        <v>15</v>
      </c>
      <c r="D60">
        <v>100</v>
      </c>
      <c r="E60">
        <v>3200</v>
      </c>
      <c r="F60" t="str">
        <f t="shared" si="0"/>
        <v>castle256_blurkernel7_15_100_3200</v>
      </c>
      <c r="G60">
        <v>14.414433000000001</v>
      </c>
      <c r="H60">
        <v>18.893248</v>
      </c>
      <c r="I60">
        <v>3.3552199999999999E-4</v>
      </c>
      <c r="J60">
        <v>8.7199999999999995E-6</v>
      </c>
      <c r="K60">
        <v>20.158200000000001</v>
      </c>
      <c r="L60">
        <v>8.5879999999999992</v>
      </c>
      <c r="M60">
        <v>0</v>
      </c>
      <c r="N60">
        <v>22.645199999999999</v>
      </c>
      <c r="O60">
        <v>0</v>
      </c>
    </row>
    <row r="61" spans="1:15" x14ac:dyDescent="0.25">
      <c r="A61" t="s">
        <v>21</v>
      </c>
      <c r="B61" t="s">
        <v>15</v>
      </c>
      <c r="C61">
        <v>15</v>
      </c>
      <c r="D61">
        <v>100</v>
      </c>
      <c r="E61">
        <v>6400</v>
      </c>
      <c r="F61" t="str">
        <f t="shared" si="0"/>
        <v>castle256_blurkernel7_15_100_6400</v>
      </c>
      <c r="G61">
        <v>11.485324</v>
      </c>
      <c r="H61">
        <v>18.826799000000001</v>
      </c>
      <c r="I61">
        <v>6.9114899999999995E-4</v>
      </c>
      <c r="J61">
        <v>8.6780000000000006E-6</v>
      </c>
      <c r="K61">
        <v>17.056799999999999</v>
      </c>
      <c r="L61">
        <v>8.5854999999999997</v>
      </c>
      <c r="M61">
        <v>0</v>
      </c>
      <c r="N61">
        <v>20.7638</v>
      </c>
      <c r="O61">
        <v>0</v>
      </c>
    </row>
    <row r="62" spans="1:15" x14ac:dyDescent="0.25">
      <c r="A62" t="s">
        <v>21</v>
      </c>
      <c r="B62" t="s">
        <v>15</v>
      </c>
      <c r="C62">
        <v>15</v>
      </c>
      <c r="D62">
        <v>100</v>
      </c>
      <c r="E62">
        <v>12800</v>
      </c>
      <c r="F62" t="str">
        <f t="shared" si="0"/>
        <v>castle256_blurkernel7_15_100_12800</v>
      </c>
      <c r="G62">
        <v>9.5369460000000004</v>
      </c>
      <c r="H62">
        <v>18.735861</v>
      </c>
      <c r="I62">
        <v>1.4602490000000001E-3</v>
      </c>
      <c r="J62">
        <v>8.7199999999999995E-6</v>
      </c>
      <c r="K62">
        <v>13.8912</v>
      </c>
      <c r="L62">
        <v>8.5879999999999992</v>
      </c>
      <c r="M62">
        <v>0</v>
      </c>
      <c r="N62">
        <v>18.940999999999999</v>
      </c>
      <c r="O62">
        <v>0</v>
      </c>
    </row>
    <row r="63" spans="1:15" x14ac:dyDescent="0.25">
      <c r="A63" t="s">
        <v>21</v>
      </c>
      <c r="B63" t="s">
        <v>15</v>
      </c>
      <c r="C63">
        <v>15</v>
      </c>
      <c r="D63">
        <v>100</v>
      </c>
      <c r="E63">
        <v>25600</v>
      </c>
      <c r="F63" t="str">
        <f t="shared" si="0"/>
        <v>castle256_blurkernel7_15_100_25600</v>
      </c>
      <c r="G63">
        <v>8.2969010000000001</v>
      </c>
      <c r="H63">
        <v>18.765882000000001</v>
      </c>
      <c r="I63">
        <v>3.229984E-3</v>
      </c>
      <c r="J63">
        <v>8.6780000000000006E-6</v>
      </c>
      <c r="K63">
        <v>10.621700000000001</v>
      </c>
      <c r="L63">
        <v>8.5854999999999997</v>
      </c>
      <c r="M63">
        <v>0</v>
      </c>
      <c r="N63">
        <v>17.597200000000001</v>
      </c>
      <c r="O63">
        <v>0</v>
      </c>
    </row>
    <row r="64" spans="1:15" x14ac:dyDescent="0.25">
      <c r="A64" t="s">
        <v>21</v>
      </c>
      <c r="B64" t="s">
        <v>15</v>
      </c>
      <c r="C64">
        <v>15</v>
      </c>
      <c r="D64">
        <v>100</v>
      </c>
      <c r="E64">
        <v>102400</v>
      </c>
      <c r="F64" t="str">
        <f t="shared" si="0"/>
        <v>castle256_blurkernel7_15_100_102400</v>
      </c>
      <c r="G64">
        <v>6.8094609999999998</v>
      </c>
      <c r="H64">
        <v>18.858357000000002</v>
      </c>
      <c r="I64">
        <v>1.9918167000000001E-2</v>
      </c>
      <c r="J64">
        <v>8.6030000000000005E-6</v>
      </c>
      <c r="K64">
        <v>4.1405000000000003</v>
      </c>
      <c r="L64">
        <v>8.5852000000000004</v>
      </c>
      <c r="M64">
        <v>0</v>
      </c>
      <c r="N64">
        <v>14.4808</v>
      </c>
      <c r="O64">
        <v>0</v>
      </c>
    </row>
    <row r="65" spans="1:15" x14ac:dyDescent="0.25">
      <c r="A65" t="s">
        <v>21</v>
      </c>
      <c r="B65" t="s">
        <v>15</v>
      </c>
      <c r="C65">
        <v>31</v>
      </c>
      <c r="D65">
        <v>100</v>
      </c>
      <c r="E65">
        <v>200</v>
      </c>
      <c r="F65" t="str">
        <f t="shared" si="0"/>
        <v>castle256_blurkernel7_31_100_200</v>
      </c>
      <c r="G65">
        <v>49.864960000000004</v>
      </c>
      <c r="H65">
        <v>46.876707000000003</v>
      </c>
      <c r="I65">
        <v>1.9108999999999999E-5</v>
      </c>
      <c r="J65">
        <v>8.7010000000000002E-6</v>
      </c>
      <c r="K65">
        <v>32.562199999999997</v>
      </c>
      <c r="L65">
        <v>6.6741000000000001</v>
      </c>
      <c r="M65">
        <v>0</v>
      </c>
      <c r="N65">
        <v>32.4634</v>
      </c>
      <c r="O65">
        <v>0</v>
      </c>
    </row>
    <row r="66" spans="1:15" x14ac:dyDescent="0.25">
      <c r="A66" t="s">
        <v>21</v>
      </c>
      <c r="B66" t="s">
        <v>15</v>
      </c>
      <c r="C66">
        <v>31</v>
      </c>
      <c r="D66">
        <v>100</v>
      </c>
      <c r="E66">
        <v>400</v>
      </c>
      <c r="F66" t="str">
        <f t="shared" ref="F66:F129" si="1">A66&amp;"_"&amp;B66&amp;"_"&amp;C66&amp;"_"&amp;D66&amp;"_"&amp;E66</f>
        <v>castle256_blurkernel7_31_100_400</v>
      </c>
      <c r="G66">
        <v>34.676282999999998</v>
      </c>
      <c r="H66">
        <v>42.948805</v>
      </c>
      <c r="I66">
        <v>4.0003999999999998E-5</v>
      </c>
      <c r="J66">
        <v>8.6009999999999995E-6</v>
      </c>
      <c r="K66">
        <v>29.356000000000002</v>
      </c>
      <c r="L66">
        <v>6.6760000000000002</v>
      </c>
      <c r="M66">
        <v>0</v>
      </c>
      <c r="N66">
        <v>29.6357</v>
      </c>
      <c r="O66">
        <v>0</v>
      </c>
    </row>
    <row r="67" spans="1:15" x14ac:dyDescent="0.25">
      <c r="A67" t="s">
        <v>21</v>
      </c>
      <c r="B67" t="s">
        <v>15</v>
      </c>
      <c r="C67">
        <v>31</v>
      </c>
      <c r="D67">
        <v>100</v>
      </c>
      <c r="E67">
        <v>800</v>
      </c>
      <c r="F67" t="str">
        <f t="shared" si="1"/>
        <v>castle256_blurkernel7_31_100_800</v>
      </c>
      <c r="G67">
        <v>24.494287</v>
      </c>
      <c r="H67">
        <v>40.672789999999999</v>
      </c>
      <c r="I67">
        <v>8.2029999999999999E-5</v>
      </c>
      <c r="J67">
        <v>8.7010000000000002E-6</v>
      </c>
      <c r="K67">
        <v>26.2424</v>
      </c>
      <c r="L67">
        <v>6.6741000000000001</v>
      </c>
      <c r="M67">
        <v>0</v>
      </c>
      <c r="N67">
        <v>27.044599999999999</v>
      </c>
      <c r="O67">
        <v>0</v>
      </c>
    </row>
    <row r="68" spans="1:15" x14ac:dyDescent="0.25">
      <c r="A68" t="s">
        <v>21</v>
      </c>
      <c r="B68" t="s">
        <v>15</v>
      </c>
      <c r="C68">
        <v>31</v>
      </c>
      <c r="D68">
        <v>100</v>
      </c>
      <c r="E68">
        <v>1600</v>
      </c>
      <c r="F68" t="str">
        <f t="shared" si="1"/>
        <v>castle256_blurkernel7_31_100_1600</v>
      </c>
      <c r="G68">
        <v>17.654292000000002</v>
      </c>
      <c r="H68">
        <v>39.850101000000002</v>
      </c>
      <c r="I68">
        <v>1.6541700000000001E-4</v>
      </c>
      <c r="J68">
        <v>8.6009999999999995E-6</v>
      </c>
      <c r="K68">
        <v>23.206600000000002</v>
      </c>
      <c r="L68">
        <v>6.6760000000000002</v>
      </c>
      <c r="M68">
        <v>0</v>
      </c>
      <c r="N68">
        <v>24.610499999999998</v>
      </c>
      <c r="O68">
        <v>0</v>
      </c>
    </row>
    <row r="69" spans="1:15" x14ac:dyDescent="0.25">
      <c r="A69" t="s">
        <v>21</v>
      </c>
      <c r="B69" t="s">
        <v>15</v>
      </c>
      <c r="C69">
        <v>31</v>
      </c>
      <c r="D69">
        <v>100</v>
      </c>
      <c r="E69">
        <v>3200</v>
      </c>
      <c r="F69" t="str">
        <f t="shared" si="1"/>
        <v>castle256_blurkernel7_31_100_3200</v>
      </c>
      <c r="G69">
        <v>12.85031</v>
      </c>
      <c r="H69">
        <v>39.108874</v>
      </c>
      <c r="I69">
        <v>3.38866E-4</v>
      </c>
      <c r="J69">
        <v>8.7010000000000002E-6</v>
      </c>
      <c r="K69">
        <v>20.109300000000001</v>
      </c>
      <c r="L69">
        <v>6.6741000000000001</v>
      </c>
      <c r="M69">
        <v>0</v>
      </c>
      <c r="N69">
        <v>22.291599999999999</v>
      </c>
      <c r="O69">
        <v>0</v>
      </c>
    </row>
    <row r="70" spans="1:15" x14ac:dyDescent="0.25">
      <c r="A70" t="s">
        <v>21</v>
      </c>
      <c r="B70" t="s">
        <v>15</v>
      </c>
      <c r="C70">
        <v>31</v>
      </c>
      <c r="D70">
        <v>100</v>
      </c>
      <c r="E70">
        <v>6400</v>
      </c>
      <c r="F70" t="str">
        <f t="shared" si="1"/>
        <v>castle256_blurkernel7_31_100_6400</v>
      </c>
      <c r="G70">
        <v>9.5687599999999993</v>
      </c>
      <c r="H70">
        <v>39.077392000000003</v>
      </c>
      <c r="I70">
        <v>7.0240299999999999E-4</v>
      </c>
      <c r="J70">
        <v>8.6009999999999995E-6</v>
      </c>
      <c r="K70">
        <v>16.989599999999999</v>
      </c>
      <c r="L70">
        <v>6.6760000000000002</v>
      </c>
      <c r="M70">
        <v>0</v>
      </c>
      <c r="N70">
        <v>20.241700000000002</v>
      </c>
      <c r="O70">
        <v>0</v>
      </c>
    </row>
    <row r="71" spans="1:15" x14ac:dyDescent="0.25">
      <c r="A71" t="s">
        <v>21</v>
      </c>
      <c r="B71" t="s">
        <v>15</v>
      </c>
      <c r="C71">
        <v>31</v>
      </c>
      <c r="D71">
        <v>100</v>
      </c>
      <c r="E71">
        <v>12800</v>
      </c>
      <c r="F71" t="str">
        <f t="shared" si="1"/>
        <v>castle256_blurkernel7_31_100_12800</v>
      </c>
      <c r="G71">
        <v>7.3995449999999998</v>
      </c>
      <c r="H71">
        <v>38.741107999999997</v>
      </c>
      <c r="I71">
        <v>1.4635449999999999E-3</v>
      </c>
      <c r="J71">
        <v>8.7010000000000002E-6</v>
      </c>
      <c r="K71">
        <v>13.8721</v>
      </c>
      <c r="L71">
        <v>6.6741000000000001</v>
      </c>
      <c r="M71">
        <v>0</v>
      </c>
      <c r="N71">
        <v>18.348299999999998</v>
      </c>
      <c r="O71">
        <v>0</v>
      </c>
    </row>
    <row r="72" spans="1:15" x14ac:dyDescent="0.25">
      <c r="A72" t="s">
        <v>21</v>
      </c>
      <c r="B72" t="s">
        <v>15</v>
      </c>
      <c r="C72">
        <v>31</v>
      </c>
      <c r="D72">
        <v>100</v>
      </c>
      <c r="E72">
        <v>25600</v>
      </c>
      <c r="F72" t="str">
        <f t="shared" si="1"/>
        <v>castle256_blurkernel7_31_100_25600</v>
      </c>
      <c r="G72">
        <v>5.8904540000000001</v>
      </c>
      <c r="H72">
        <v>38.916375000000002</v>
      </c>
      <c r="I72">
        <v>3.2030420000000001E-3</v>
      </c>
      <c r="J72">
        <v>8.6009999999999995E-6</v>
      </c>
      <c r="K72">
        <v>10.6586</v>
      </c>
      <c r="L72">
        <v>6.6760000000000002</v>
      </c>
      <c r="M72">
        <v>0</v>
      </c>
      <c r="N72">
        <v>16.725999999999999</v>
      </c>
      <c r="O72">
        <v>0</v>
      </c>
    </row>
    <row r="73" spans="1:15" x14ac:dyDescent="0.25">
      <c r="A73" t="s">
        <v>21</v>
      </c>
      <c r="B73" t="s">
        <v>15</v>
      </c>
      <c r="C73">
        <v>31</v>
      </c>
      <c r="D73">
        <v>100</v>
      </c>
      <c r="E73">
        <v>102400</v>
      </c>
      <c r="F73" t="str">
        <f t="shared" si="1"/>
        <v>castle256_blurkernel7_31_100_102400</v>
      </c>
      <c r="G73">
        <v>4.1062960000000004</v>
      </c>
      <c r="H73">
        <v>38.718438999999996</v>
      </c>
      <c r="I73">
        <v>1.9717735E-2</v>
      </c>
      <c r="J73">
        <v>8.6850000000000007E-6</v>
      </c>
      <c r="K73">
        <v>4.1687000000000003</v>
      </c>
      <c r="L73">
        <v>6.6755000000000004</v>
      </c>
      <c r="M73">
        <v>0</v>
      </c>
      <c r="N73">
        <v>13.0801</v>
      </c>
      <c r="O73">
        <v>0</v>
      </c>
    </row>
    <row r="74" spans="1:15" x14ac:dyDescent="0.25">
      <c r="A74" t="s">
        <v>21</v>
      </c>
      <c r="B74" t="s">
        <v>16</v>
      </c>
      <c r="C74">
        <v>3</v>
      </c>
      <c r="D74">
        <v>100</v>
      </c>
      <c r="E74">
        <v>200</v>
      </c>
      <c r="F74" t="str">
        <f t="shared" si="1"/>
        <v>castle256_blurkernel8_3_100_200</v>
      </c>
      <c r="G74">
        <v>59.286051999999998</v>
      </c>
      <c r="H74">
        <v>3.823264</v>
      </c>
      <c r="I74">
        <v>1.9042000000000002E-5</v>
      </c>
      <c r="J74">
        <v>8.7339999999999997E-6</v>
      </c>
      <c r="K74">
        <v>32.5779</v>
      </c>
      <c r="L74">
        <v>15.3126</v>
      </c>
      <c r="M74">
        <v>0</v>
      </c>
      <c r="N74">
        <v>33.662700000000001</v>
      </c>
      <c r="O74">
        <v>0</v>
      </c>
    </row>
    <row r="75" spans="1:15" x14ac:dyDescent="0.25">
      <c r="A75" t="s">
        <v>21</v>
      </c>
      <c r="B75" t="s">
        <v>16</v>
      </c>
      <c r="C75">
        <v>3</v>
      </c>
      <c r="D75">
        <v>100</v>
      </c>
      <c r="E75">
        <v>400</v>
      </c>
      <c r="F75" t="str">
        <f t="shared" si="1"/>
        <v>castle256_blurkernel8_3_100_400</v>
      </c>
      <c r="G75">
        <v>47.327181000000003</v>
      </c>
      <c r="H75">
        <v>3.500645</v>
      </c>
      <c r="I75">
        <v>3.9764000000000001E-5</v>
      </c>
      <c r="J75">
        <v>8.7339999999999997E-6</v>
      </c>
      <c r="K75">
        <v>29.381599999999999</v>
      </c>
      <c r="L75">
        <v>15.3126</v>
      </c>
      <c r="M75">
        <v>0</v>
      </c>
      <c r="N75">
        <v>31.3446</v>
      </c>
      <c r="O75">
        <v>0</v>
      </c>
    </row>
    <row r="76" spans="1:15" x14ac:dyDescent="0.25">
      <c r="A76" t="s">
        <v>21</v>
      </c>
      <c r="B76" t="s">
        <v>16</v>
      </c>
      <c r="C76">
        <v>3</v>
      </c>
      <c r="D76">
        <v>100</v>
      </c>
      <c r="E76">
        <v>800</v>
      </c>
      <c r="F76" t="str">
        <f t="shared" si="1"/>
        <v>castle256_blurkernel8_3_100_800</v>
      </c>
      <c r="G76">
        <v>40.302596999999999</v>
      </c>
      <c r="H76">
        <v>3.3454820000000001</v>
      </c>
      <c r="I76">
        <v>8.1453999999999996E-5</v>
      </c>
      <c r="J76">
        <v>8.7339999999999997E-6</v>
      </c>
      <c r="K76">
        <v>26.271100000000001</v>
      </c>
      <c r="L76">
        <v>15.3126</v>
      </c>
      <c r="M76">
        <v>0</v>
      </c>
      <c r="N76">
        <v>29.2333</v>
      </c>
      <c r="O76">
        <v>0</v>
      </c>
    </row>
    <row r="77" spans="1:15" x14ac:dyDescent="0.25">
      <c r="A77" t="s">
        <v>21</v>
      </c>
      <c r="B77" t="s">
        <v>16</v>
      </c>
      <c r="C77">
        <v>3</v>
      </c>
      <c r="D77">
        <v>100</v>
      </c>
      <c r="E77">
        <v>1600</v>
      </c>
      <c r="F77" t="str">
        <f t="shared" si="1"/>
        <v>castle256_blurkernel8_3_100_1600</v>
      </c>
      <c r="G77">
        <v>35.966093999999998</v>
      </c>
      <c r="H77">
        <v>3.2830499999999998</v>
      </c>
      <c r="I77">
        <v>1.6603500000000001E-4</v>
      </c>
      <c r="J77">
        <v>8.7339999999999997E-6</v>
      </c>
      <c r="K77">
        <v>23.1874</v>
      </c>
      <c r="L77">
        <v>15.3126</v>
      </c>
      <c r="M77">
        <v>0</v>
      </c>
      <c r="N77">
        <v>27.2348</v>
      </c>
      <c r="O77">
        <v>0</v>
      </c>
    </row>
    <row r="78" spans="1:15" x14ac:dyDescent="0.25">
      <c r="A78" t="s">
        <v>21</v>
      </c>
      <c r="B78" t="s">
        <v>16</v>
      </c>
      <c r="C78">
        <v>3</v>
      </c>
      <c r="D78">
        <v>100</v>
      </c>
      <c r="E78">
        <v>3200</v>
      </c>
      <c r="F78" t="str">
        <f t="shared" si="1"/>
        <v>castle256_blurkernel8_3_100_3200</v>
      </c>
      <c r="G78">
        <v>32.995826000000001</v>
      </c>
      <c r="H78">
        <v>3.2727400000000002</v>
      </c>
      <c r="I78">
        <v>3.39954E-4</v>
      </c>
      <c r="J78">
        <v>8.7339999999999997E-6</v>
      </c>
      <c r="K78">
        <v>20.096699999999998</v>
      </c>
      <c r="L78">
        <v>15.3126</v>
      </c>
      <c r="M78">
        <v>0</v>
      </c>
      <c r="N78">
        <v>25.3247</v>
      </c>
      <c r="O78">
        <v>0</v>
      </c>
    </row>
    <row r="79" spans="1:15" x14ac:dyDescent="0.25">
      <c r="A79" t="s">
        <v>21</v>
      </c>
      <c r="B79" t="s">
        <v>16</v>
      </c>
      <c r="C79">
        <v>3</v>
      </c>
      <c r="D79">
        <v>100</v>
      </c>
      <c r="E79">
        <v>6400</v>
      </c>
      <c r="F79" t="str">
        <f t="shared" si="1"/>
        <v>castle256_blurkernel8_3_100_6400</v>
      </c>
      <c r="G79">
        <v>30.595081</v>
      </c>
      <c r="H79">
        <v>3.2954289999999999</v>
      </c>
      <c r="I79">
        <v>6.9487300000000004E-4</v>
      </c>
      <c r="J79">
        <v>8.7339999999999997E-6</v>
      </c>
      <c r="K79">
        <v>17.0288</v>
      </c>
      <c r="L79">
        <v>15.3126</v>
      </c>
      <c r="M79">
        <v>0</v>
      </c>
      <c r="N79">
        <v>23.706199999999999</v>
      </c>
      <c r="O79">
        <v>0</v>
      </c>
    </row>
    <row r="80" spans="1:15" x14ac:dyDescent="0.25">
      <c r="A80" t="s">
        <v>21</v>
      </c>
      <c r="B80" t="s">
        <v>16</v>
      </c>
      <c r="C80">
        <v>3</v>
      </c>
      <c r="D80">
        <v>100</v>
      </c>
      <c r="E80">
        <v>12800</v>
      </c>
      <c r="F80" t="str">
        <f t="shared" si="1"/>
        <v>castle256_blurkernel8_3_100_12800</v>
      </c>
      <c r="G80">
        <v>28.372720999999999</v>
      </c>
      <c r="H80">
        <v>3.3362059999999998</v>
      </c>
      <c r="I80">
        <v>1.4583829999999999E-3</v>
      </c>
      <c r="J80">
        <v>8.7339999999999997E-6</v>
      </c>
      <c r="K80">
        <v>13.898300000000001</v>
      </c>
      <c r="L80">
        <v>15.3126</v>
      </c>
      <c r="M80">
        <v>0</v>
      </c>
      <c r="N80">
        <v>22.844000000000001</v>
      </c>
      <c r="O80">
        <v>0</v>
      </c>
    </row>
    <row r="81" spans="1:15" x14ac:dyDescent="0.25">
      <c r="A81" t="s">
        <v>21</v>
      </c>
      <c r="B81" t="s">
        <v>16</v>
      </c>
      <c r="C81">
        <v>3</v>
      </c>
      <c r="D81">
        <v>100</v>
      </c>
      <c r="E81">
        <v>25600</v>
      </c>
      <c r="F81" t="str">
        <f t="shared" si="1"/>
        <v>castle256_blurkernel8_3_100_25600</v>
      </c>
      <c r="G81">
        <v>26.426777999999999</v>
      </c>
      <c r="H81">
        <v>3.3795639999999998</v>
      </c>
      <c r="I81">
        <v>3.2085339999999999E-3</v>
      </c>
      <c r="J81">
        <v>8.7339999999999997E-6</v>
      </c>
      <c r="K81">
        <v>10.6668</v>
      </c>
      <c r="L81">
        <v>15.3126</v>
      </c>
      <c r="M81">
        <v>0</v>
      </c>
      <c r="N81">
        <v>22.749400000000001</v>
      </c>
      <c r="O81">
        <v>0</v>
      </c>
    </row>
    <row r="82" spans="1:15" x14ac:dyDescent="0.25">
      <c r="A82" t="s">
        <v>21</v>
      </c>
      <c r="B82" t="s">
        <v>16</v>
      </c>
      <c r="C82">
        <v>3</v>
      </c>
      <c r="D82">
        <v>100</v>
      </c>
      <c r="E82">
        <v>102400</v>
      </c>
      <c r="F82" t="str">
        <f t="shared" si="1"/>
        <v>castle256_blurkernel8_3_100_102400</v>
      </c>
      <c r="G82">
        <v>24.130428999999999</v>
      </c>
      <c r="H82">
        <v>3.426415</v>
      </c>
      <c r="I82">
        <v>1.9949907999999999E-2</v>
      </c>
      <c r="J82">
        <v>8.7339999999999997E-6</v>
      </c>
      <c r="K82">
        <v>4.1365999999999996</v>
      </c>
      <c r="L82">
        <v>15.314299999999999</v>
      </c>
      <c r="M82">
        <v>0</v>
      </c>
      <c r="N82">
        <v>22.5395</v>
      </c>
      <c r="O82">
        <v>0</v>
      </c>
    </row>
    <row r="83" spans="1:15" x14ac:dyDescent="0.25">
      <c r="A83" t="s">
        <v>21</v>
      </c>
      <c r="B83" t="s">
        <v>16</v>
      </c>
      <c r="C83">
        <v>7</v>
      </c>
      <c r="D83">
        <v>100</v>
      </c>
      <c r="E83">
        <v>200</v>
      </c>
      <c r="F83" t="str">
        <f t="shared" si="1"/>
        <v>castle256_blurkernel8_7_100_200</v>
      </c>
      <c r="G83">
        <v>52.55677</v>
      </c>
      <c r="H83">
        <v>10.138617999999999</v>
      </c>
      <c r="I83">
        <v>1.9037000000000001E-5</v>
      </c>
      <c r="J83">
        <v>8.6689999999999995E-6</v>
      </c>
      <c r="K83">
        <v>32.578200000000002</v>
      </c>
      <c r="L83">
        <v>10.733700000000001</v>
      </c>
      <c r="M83">
        <v>0</v>
      </c>
      <c r="N83">
        <v>32.889000000000003</v>
      </c>
      <c r="O83">
        <v>0</v>
      </c>
    </row>
    <row r="84" spans="1:15" x14ac:dyDescent="0.25">
      <c r="A84" t="s">
        <v>21</v>
      </c>
      <c r="B84" t="s">
        <v>16</v>
      </c>
      <c r="C84">
        <v>7</v>
      </c>
      <c r="D84">
        <v>100</v>
      </c>
      <c r="E84">
        <v>400</v>
      </c>
      <c r="F84" t="str">
        <f t="shared" si="1"/>
        <v>castle256_blurkernel8_7_100_400</v>
      </c>
      <c r="G84">
        <v>38.532268999999999</v>
      </c>
      <c r="H84">
        <v>9.2691470000000002</v>
      </c>
      <c r="I84">
        <v>3.9882000000000002E-5</v>
      </c>
      <c r="J84">
        <v>8.6689999999999995E-6</v>
      </c>
      <c r="K84">
        <v>29.368400000000001</v>
      </c>
      <c r="L84">
        <v>10.733700000000001</v>
      </c>
      <c r="M84">
        <v>0</v>
      </c>
      <c r="N84">
        <v>30.174399999999999</v>
      </c>
      <c r="O84">
        <v>0</v>
      </c>
    </row>
    <row r="85" spans="1:15" x14ac:dyDescent="0.25">
      <c r="A85" t="s">
        <v>21</v>
      </c>
      <c r="B85" t="s">
        <v>16</v>
      </c>
      <c r="C85">
        <v>7</v>
      </c>
      <c r="D85">
        <v>100</v>
      </c>
      <c r="E85">
        <v>800</v>
      </c>
      <c r="F85" t="str">
        <f t="shared" si="1"/>
        <v>castle256_blurkernel8_7_100_800</v>
      </c>
      <c r="G85">
        <v>29.719777000000001</v>
      </c>
      <c r="H85">
        <v>8.8421029999999998</v>
      </c>
      <c r="I85">
        <v>8.1508999999999995E-5</v>
      </c>
      <c r="J85">
        <v>8.6689999999999995E-6</v>
      </c>
      <c r="K85">
        <v>26.2697</v>
      </c>
      <c r="L85">
        <v>10.733700000000001</v>
      </c>
      <c r="M85">
        <v>0</v>
      </c>
      <c r="N85">
        <v>27.897300000000001</v>
      </c>
      <c r="O85">
        <v>0</v>
      </c>
    </row>
    <row r="86" spans="1:15" x14ac:dyDescent="0.25">
      <c r="A86" t="s">
        <v>21</v>
      </c>
      <c r="B86" t="s">
        <v>16</v>
      </c>
      <c r="C86">
        <v>7</v>
      </c>
      <c r="D86">
        <v>100</v>
      </c>
      <c r="E86">
        <v>1600</v>
      </c>
      <c r="F86" t="str">
        <f t="shared" si="1"/>
        <v>castle256_blurkernel8_7_100_1600</v>
      </c>
      <c r="G86">
        <v>24.104683000000001</v>
      </c>
      <c r="H86">
        <v>8.6417389999999994</v>
      </c>
      <c r="I86">
        <v>1.65293E-4</v>
      </c>
      <c r="J86">
        <v>8.6689999999999995E-6</v>
      </c>
      <c r="K86">
        <v>23.206</v>
      </c>
      <c r="L86">
        <v>10.733700000000001</v>
      </c>
      <c r="M86">
        <v>0</v>
      </c>
      <c r="N86">
        <v>25.7302</v>
      </c>
      <c r="O86">
        <v>0</v>
      </c>
    </row>
    <row r="87" spans="1:15" x14ac:dyDescent="0.25">
      <c r="A87" t="s">
        <v>21</v>
      </c>
      <c r="B87" t="s">
        <v>16</v>
      </c>
      <c r="C87">
        <v>7</v>
      </c>
      <c r="D87">
        <v>100</v>
      </c>
      <c r="E87">
        <v>3200</v>
      </c>
      <c r="F87" t="str">
        <f t="shared" si="1"/>
        <v>castle256_blurkernel8_7_100_3200</v>
      </c>
      <c r="G87">
        <v>20.502299000000001</v>
      </c>
      <c r="H87">
        <v>8.5561799999999995</v>
      </c>
      <c r="I87">
        <v>3.3697799999999998E-4</v>
      </c>
      <c r="J87">
        <v>8.6689999999999995E-6</v>
      </c>
      <c r="K87">
        <v>20.133600000000001</v>
      </c>
      <c r="L87">
        <v>10.733700000000001</v>
      </c>
      <c r="M87">
        <v>0</v>
      </c>
      <c r="N87">
        <v>23.521999999999998</v>
      </c>
      <c r="O87">
        <v>0</v>
      </c>
    </row>
    <row r="88" spans="1:15" x14ac:dyDescent="0.25">
      <c r="A88" t="s">
        <v>21</v>
      </c>
      <c r="B88" t="s">
        <v>16</v>
      </c>
      <c r="C88">
        <v>7</v>
      </c>
      <c r="D88">
        <v>100</v>
      </c>
      <c r="E88">
        <v>6400</v>
      </c>
      <c r="F88" t="str">
        <f t="shared" si="1"/>
        <v>castle256_blurkernel8_7_100_6400</v>
      </c>
      <c r="G88">
        <v>18.013715999999999</v>
      </c>
      <c r="H88">
        <v>8.536581</v>
      </c>
      <c r="I88">
        <v>6.9909300000000002E-4</v>
      </c>
      <c r="J88">
        <v>8.6689999999999995E-6</v>
      </c>
      <c r="K88">
        <v>17.0045</v>
      </c>
      <c r="L88">
        <v>10.733700000000001</v>
      </c>
      <c r="M88">
        <v>0</v>
      </c>
      <c r="N88">
        <v>21.346399999999999</v>
      </c>
      <c r="O88">
        <v>0</v>
      </c>
    </row>
    <row r="89" spans="1:15" x14ac:dyDescent="0.25">
      <c r="A89" t="s">
        <v>21</v>
      </c>
      <c r="B89" t="s">
        <v>16</v>
      </c>
      <c r="C89">
        <v>7</v>
      </c>
      <c r="D89">
        <v>100</v>
      </c>
      <c r="E89">
        <v>12800</v>
      </c>
      <c r="F89" t="str">
        <f t="shared" si="1"/>
        <v>castle256_blurkernel8_7_100_12800</v>
      </c>
      <c r="G89">
        <v>16.161368</v>
      </c>
      <c r="H89">
        <v>8.5519680000000005</v>
      </c>
      <c r="I89">
        <v>1.460704E-3</v>
      </c>
      <c r="J89">
        <v>8.6689999999999995E-6</v>
      </c>
      <c r="K89">
        <v>13.888400000000001</v>
      </c>
      <c r="L89">
        <v>10.733700000000001</v>
      </c>
      <c r="M89">
        <v>0</v>
      </c>
      <c r="N89">
        <v>19.788900000000002</v>
      </c>
      <c r="O89">
        <v>0</v>
      </c>
    </row>
    <row r="90" spans="1:15" x14ac:dyDescent="0.25">
      <c r="A90" t="s">
        <v>21</v>
      </c>
      <c r="B90" t="s">
        <v>16</v>
      </c>
      <c r="C90">
        <v>7</v>
      </c>
      <c r="D90">
        <v>100</v>
      </c>
      <c r="E90">
        <v>25600</v>
      </c>
      <c r="F90" t="str">
        <f t="shared" si="1"/>
        <v>castle256_blurkernel8_7_100_25600</v>
      </c>
      <c r="G90">
        <v>14.481889000000001</v>
      </c>
      <c r="H90">
        <v>8.5897400000000008</v>
      </c>
      <c r="I90">
        <v>3.2551149999999998E-3</v>
      </c>
      <c r="J90">
        <v>8.6689999999999995E-6</v>
      </c>
      <c r="K90">
        <v>10.587199999999999</v>
      </c>
      <c r="L90">
        <v>10.733700000000001</v>
      </c>
      <c r="M90">
        <v>0</v>
      </c>
      <c r="N90">
        <v>18.514500000000002</v>
      </c>
      <c r="O90">
        <v>0</v>
      </c>
    </row>
    <row r="91" spans="1:15" x14ac:dyDescent="0.25">
      <c r="A91" t="s">
        <v>21</v>
      </c>
      <c r="B91" t="s">
        <v>16</v>
      </c>
      <c r="C91">
        <v>7</v>
      </c>
      <c r="D91">
        <v>100</v>
      </c>
      <c r="E91">
        <v>102400</v>
      </c>
      <c r="F91" t="str">
        <f t="shared" si="1"/>
        <v>castle256_blurkernel8_7_100_102400</v>
      </c>
      <c r="G91">
        <v>11.541677999999999</v>
      </c>
      <c r="H91">
        <v>8.5981299999999994</v>
      </c>
      <c r="I91">
        <v>1.9993415E-2</v>
      </c>
      <c r="J91">
        <v>8.8179999999999993E-6</v>
      </c>
      <c r="K91">
        <v>4.1075999999999997</v>
      </c>
      <c r="L91">
        <v>10.7334</v>
      </c>
      <c r="M91">
        <v>0</v>
      </c>
      <c r="N91">
        <v>14.7637</v>
      </c>
      <c r="O91">
        <v>0</v>
      </c>
    </row>
    <row r="92" spans="1:15" x14ac:dyDescent="0.25">
      <c r="A92" t="s">
        <v>21</v>
      </c>
      <c r="B92" t="s">
        <v>16</v>
      </c>
      <c r="C92">
        <v>15</v>
      </c>
      <c r="D92">
        <v>100</v>
      </c>
      <c r="E92">
        <v>200</v>
      </c>
      <c r="F92" t="str">
        <f t="shared" si="1"/>
        <v>castle256_blurkernel8_15_100_200</v>
      </c>
      <c r="G92">
        <v>50.620596999999997</v>
      </c>
      <c r="H92">
        <v>22.376985000000001</v>
      </c>
      <c r="I92">
        <v>1.9055E-5</v>
      </c>
      <c r="J92">
        <v>8.7790000000000001E-6</v>
      </c>
      <c r="K92">
        <v>32.5747</v>
      </c>
      <c r="L92">
        <v>8.5747999999999998</v>
      </c>
      <c r="M92">
        <v>0</v>
      </c>
      <c r="N92">
        <v>32.671399999999998</v>
      </c>
      <c r="O92">
        <v>0</v>
      </c>
    </row>
    <row r="93" spans="1:15" x14ac:dyDescent="0.25">
      <c r="A93" t="s">
        <v>21</v>
      </c>
      <c r="B93" t="s">
        <v>16</v>
      </c>
      <c r="C93">
        <v>15</v>
      </c>
      <c r="D93">
        <v>100</v>
      </c>
      <c r="E93">
        <v>400</v>
      </c>
      <c r="F93" t="str">
        <f t="shared" si="1"/>
        <v>castle256_blurkernel8_15_100_400</v>
      </c>
      <c r="G93">
        <v>35.856096999999998</v>
      </c>
      <c r="H93">
        <v>20.471954</v>
      </c>
      <c r="I93">
        <v>3.9903000000000001E-5</v>
      </c>
      <c r="J93">
        <v>8.7159999999999992E-6</v>
      </c>
      <c r="K93">
        <v>29.3675</v>
      </c>
      <c r="L93">
        <v>8.5757999999999992</v>
      </c>
      <c r="M93">
        <v>0</v>
      </c>
      <c r="N93">
        <v>29.9009</v>
      </c>
      <c r="O93">
        <v>0</v>
      </c>
    </row>
    <row r="94" spans="1:15" x14ac:dyDescent="0.25">
      <c r="A94" t="s">
        <v>21</v>
      </c>
      <c r="B94" t="s">
        <v>16</v>
      </c>
      <c r="C94">
        <v>15</v>
      </c>
      <c r="D94">
        <v>100</v>
      </c>
      <c r="E94">
        <v>800</v>
      </c>
      <c r="F94" t="str">
        <f t="shared" si="1"/>
        <v>castle256_blurkernel8_15_100_800</v>
      </c>
      <c r="G94">
        <v>26.290420000000001</v>
      </c>
      <c r="H94">
        <v>19.434346000000001</v>
      </c>
      <c r="I94">
        <v>8.1089999999999998E-5</v>
      </c>
      <c r="J94">
        <v>8.7790000000000001E-6</v>
      </c>
      <c r="K94">
        <v>26.293900000000001</v>
      </c>
      <c r="L94">
        <v>8.5747999999999998</v>
      </c>
      <c r="M94">
        <v>0</v>
      </c>
      <c r="N94">
        <v>27.410599999999999</v>
      </c>
      <c r="O94">
        <v>0</v>
      </c>
    </row>
    <row r="95" spans="1:15" x14ac:dyDescent="0.25">
      <c r="A95" t="s">
        <v>21</v>
      </c>
      <c r="B95" t="s">
        <v>16</v>
      </c>
      <c r="C95">
        <v>15</v>
      </c>
      <c r="D95">
        <v>100</v>
      </c>
      <c r="E95">
        <v>1600</v>
      </c>
      <c r="F95" t="str">
        <f t="shared" si="1"/>
        <v>castle256_blurkernel8_15_100_1600</v>
      </c>
      <c r="G95">
        <v>19.798500000000001</v>
      </c>
      <c r="H95">
        <v>19.010573000000001</v>
      </c>
      <c r="I95">
        <v>1.6652400000000001E-4</v>
      </c>
      <c r="J95">
        <v>8.7159999999999992E-6</v>
      </c>
      <c r="K95">
        <v>23.182700000000001</v>
      </c>
      <c r="L95">
        <v>8.5757999999999992</v>
      </c>
      <c r="M95">
        <v>0</v>
      </c>
      <c r="N95">
        <v>24.976400000000002</v>
      </c>
      <c r="O95">
        <v>0</v>
      </c>
    </row>
    <row r="96" spans="1:15" x14ac:dyDescent="0.25">
      <c r="A96" t="s">
        <v>21</v>
      </c>
      <c r="B96" t="s">
        <v>16</v>
      </c>
      <c r="C96">
        <v>15</v>
      </c>
      <c r="D96">
        <v>100</v>
      </c>
      <c r="E96">
        <v>3200</v>
      </c>
      <c r="F96" t="str">
        <f t="shared" si="1"/>
        <v>castle256_blurkernel8_15_100_3200</v>
      </c>
      <c r="G96">
        <v>15.644565999999999</v>
      </c>
      <c r="H96">
        <v>18.719248</v>
      </c>
      <c r="I96">
        <v>3.3514200000000002E-4</v>
      </c>
      <c r="J96">
        <v>8.7790000000000001E-6</v>
      </c>
      <c r="K96">
        <v>20.157800000000002</v>
      </c>
      <c r="L96">
        <v>8.5747999999999998</v>
      </c>
      <c r="M96">
        <v>0</v>
      </c>
      <c r="N96">
        <v>22.950500000000002</v>
      </c>
      <c r="O96">
        <v>0</v>
      </c>
    </row>
    <row r="97" spans="1:15" x14ac:dyDescent="0.25">
      <c r="A97" t="s">
        <v>21</v>
      </c>
      <c r="B97" t="s">
        <v>16</v>
      </c>
      <c r="C97">
        <v>15</v>
      </c>
      <c r="D97">
        <v>100</v>
      </c>
      <c r="E97">
        <v>6400</v>
      </c>
      <c r="F97" t="str">
        <f t="shared" si="1"/>
        <v>castle256_blurkernel8_15_100_6400</v>
      </c>
      <c r="G97">
        <v>12.807529000000001</v>
      </c>
      <c r="H97">
        <v>18.685808999999999</v>
      </c>
      <c r="I97">
        <v>7.0239200000000003E-4</v>
      </c>
      <c r="J97">
        <v>8.7159999999999992E-6</v>
      </c>
      <c r="K97">
        <v>16.983499999999999</v>
      </c>
      <c r="L97">
        <v>8.5757999999999992</v>
      </c>
      <c r="M97">
        <v>0</v>
      </c>
      <c r="N97">
        <v>21.261299999999999</v>
      </c>
      <c r="O97">
        <v>0</v>
      </c>
    </row>
    <row r="98" spans="1:15" x14ac:dyDescent="0.25">
      <c r="A98" t="s">
        <v>21</v>
      </c>
      <c r="B98" t="s">
        <v>16</v>
      </c>
      <c r="C98">
        <v>15</v>
      </c>
      <c r="D98">
        <v>100</v>
      </c>
      <c r="E98">
        <v>12800</v>
      </c>
      <c r="F98" t="str">
        <f t="shared" si="1"/>
        <v>castle256_blurkernel8_15_100_12800</v>
      </c>
      <c r="G98">
        <v>10.863424</v>
      </c>
      <c r="H98">
        <v>18.596067999999999</v>
      </c>
      <c r="I98">
        <v>1.4572680000000001E-3</v>
      </c>
      <c r="J98">
        <v>8.7790000000000001E-6</v>
      </c>
      <c r="K98">
        <v>13.912599999999999</v>
      </c>
      <c r="L98">
        <v>8.5747999999999998</v>
      </c>
      <c r="M98">
        <v>0</v>
      </c>
      <c r="N98">
        <v>19.644300000000001</v>
      </c>
      <c r="O98">
        <v>0</v>
      </c>
    </row>
    <row r="99" spans="1:15" x14ac:dyDescent="0.25">
      <c r="A99" t="s">
        <v>21</v>
      </c>
      <c r="B99" t="s">
        <v>16</v>
      </c>
      <c r="C99">
        <v>15</v>
      </c>
      <c r="D99">
        <v>100</v>
      </c>
      <c r="E99">
        <v>25600</v>
      </c>
      <c r="F99" t="str">
        <f t="shared" si="1"/>
        <v>castle256_blurkernel8_15_100_25600</v>
      </c>
      <c r="G99">
        <v>9.3862559999999995</v>
      </c>
      <c r="H99">
        <v>18.674220999999999</v>
      </c>
      <c r="I99">
        <v>3.2465910000000001E-3</v>
      </c>
      <c r="J99">
        <v>8.7159999999999992E-6</v>
      </c>
      <c r="K99">
        <v>10.611599999999999</v>
      </c>
      <c r="L99">
        <v>8.5757999999999992</v>
      </c>
      <c r="M99">
        <v>0</v>
      </c>
      <c r="N99">
        <v>18.277000000000001</v>
      </c>
      <c r="O99">
        <v>0</v>
      </c>
    </row>
    <row r="100" spans="1:15" x14ac:dyDescent="0.25">
      <c r="A100" t="s">
        <v>21</v>
      </c>
      <c r="B100" t="s">
        <v>16</v>
      </c>
      <c r="C100">
        <v>15</v>
      </c>
      <c r="D100">
        <v>100</v>
      </c>
      <c r="E100">
        <v>102400</v>
      </c>
      <c r="F100" t="str">
        <f t="shared" si="1"/>
        <v>castle256_blurkernel8_15_100_102400</v>
      </c>
      <c r="G100">
        <v>7.1855570000000002</v>
      </c>
      <c r="H100">
        <v>18.717034999999999</v>
      </c>
      <c r="I100">
        <v>1.9863380999999999E-2</v>
      </c>
      <c r="J100">
        <v>8.7309999999999999E-6</v>
      </c>
      <c r="K100">
        <v>4.1454000000000004</v>
      </c>
      <c r="L100">
        <v>8.5749999999999993</v>
      </c>
      <c r="M100">
        <v>0</v>
      </c>
      <c r="N100">
        <v>15.071400000000001</v>
      </c>
      <c r="O100">
        <v>0</v>
      </c>
    </row>
    <row r="101" spans="1:15" x14ac:dyDescent="0.25">
      <c r="A101" t="s">
        <v>21</v>
      </c>
      <c r="B101" t="s">
        <v>16</v>
      </c>
      <c r="C101">
        <v>31</v>
      </c>
      <c r="D101">
        <v>100</v>
      </c>
      <c r="E101">
        <v>200</v>
      </c>
      <c r="F101" t="str">
        <f t="shared" si="1"/>
        <v>castle256_blurkernel8_31_100_200</v>
      </c>
      <c r="G101">
        <v>49.896054999999997</v>
      </c>
      <c r="H101">
        <v>46.775427000000001</v>
      </c>
      <c r="I101">
        <v>1.9171E-5</v>
      </c>
      <c r="J101">
        <v>8.7010000000000002E-6</v>
      </c>
      <c r="K101">
        <v>32.547899999999998</v>
      </c>
      <c r="L101">
        <v>6.6212</v>
      </c>
      <c r="M101">
        <v>0</v>
      </c>
      <c r="N101">
        <v>32.3964</v>
      </c>
      <c r="O101">
        <v>0</v>
      </c>
    </row>
    <row r="102" spans="1:15" x14ac:dyDescent="0.25">
      <c r="A102" t="s">
        <v>21</v>
      </c>
      <c r="B102" t="s">
        <v>16</v>
      </c>
      <c r="C102">
        <v>31</v>
      </c>
      <c r="D102">
        <v>100</v>
      </c>
      <c r="E102">
        <v>400</v>
      </c>
      <c r="F102" t="str">
        <f t="shared" si="1"/>
        <v>castle256_blurkernel8_31_100_400</v>
      </c>
      <c r="G102">
        <v>35.124501000000002</v>
      </c>
      <c r="H102">
        <v>42.711334999999998</v>
      </c>
      <c r="I102">
        <v>3.9390000000000001E-5</v>
      </c>
      <c r="J102">
        <v>8.7180000000000002E-6</v>
      </c>
      <c r="K102">
        <v>29.424299999999999</v>
      </c>
      <c r="L102">
        <v>6.6227999999999998</v>
      </c>
      <c r="M102">
        <v>0</v>
      </c>
      <c r="N102">
        <v>29.588200000000001</v>
      </c>
      <c r="O102">
        <v>0</v>
      </c>
    </row>
    <row r="103" spans="1:15" x14ac:dyDescent="0.25">
      <c r="A103" t="s">
        <v>21</v>
      </c>
      <c r="B103" t="s">
        <v>16</v>
      </c>
      <c r="C103">
        <v>31</v>
      </c>
      <c r="D103">
        <v>100</v>
      </c>
      <c r="E103">
        <v>800</v>
      </c>
      <c r="F103" t="str">
        <f t="shared" si="1"/>
        <v>castle256_blurkernel8_31_100_800</v>
      </c>
      <c r="G103">
        <v>24.825607000000002</v>
      </c>
      <c r="H103">
        <v>40.622315999999998</v>
      </c>
      <c r="I103">
        <v>8.1767000000000005E-5</v>
      </c>
      <c r="J103">
        <v>8.7010000000000002E-6</v>
      </c>
      <c r="K103">
        <v>26.256799999999998</v>
      </c>
      <c r="L103">
        <v>6.6212</v>
      </c>
      <c r="M103">
        <v>0</v>
      </c>
      <c r="N103">
        <v>26.950399999999998</v>
      </c>
      <c r="O103">
        <v>0</v>
      </c>
    </row>
    <row r="104" spans="1:15" x14ac:dyDescent="0.25">
      <c r="A104" t="s">
        <v>21</v>
      </c>
      <c r="B104" t="s">
        <v>16</v>
      </c>
      <c r="C104">
        <v>31</v>
      </c>
      <c r="D104">
        <v>100</v>
      </c>
      <c r="E104">
        <v>1600</v>
      </c>
      <c r="F104" t="str">
        <f t="shared" si="1"/>
        <v>castle256_blurkernel8_31_100_1600</v>
      </c>
      <c r="G104">
        <v>18.003516999999999</v>
      </c>
      <c r="H104">
        <v>39.546300000000002</v>
      </c>
      <c r="I104">
        <v>1.6621499999999999E-4</v>
      </c>
      <c r="J104">
        <v>8.7180000000000002E-6</v>
      </c>
      <c r="K104">
        <v>23.186</v>
      </c>
      <c r="L104">
        <v>6.6227999999999998</v>
      </c>
      <c r="M104">
        <v>0</v>
      </c>
      <c r="N104">
        <v>24.528400000000001</v>
      </c>
      <c r="O104">
        <v>0</v>
      </c>
    </row>
    <row r="105" spans="1:15" x14ac:dyDescent="0.25">
      <c r="A105" t="s">
        <v>21</v>
      </c>
      <c r="B105" t="s">
        <v>16</v>
      </c>
      <c r="C105">
        <v>31</v>
      </c>
      <c r="D105">
        <v>100</v>
      </c>
      <c r="E105">
        <v>3200</v>
      </c>
      <c r="F105" t="str">
        <f t="shared" si="1"/>
        <v>castle256_blurkernel8_31_100_3200</v>
      </c>
      <c r="G105">
        <v>13.305266</v>
      </c>
      <c r="H105">
        <v>39.071821999999997</v>
      </c>
      <c r="I105">
        <v>3.4120199999999998E-4</v>
      </c>
      <c r="J105">
        <v>8.7010000000000002E-6</v>
      </c>
      <c r="K105">
        <v>20.0868</v>
      </c>
      <c r="L105">
        <v>6.6212</v>
      </c>
      <c r="M105">
        <v>0</v>
      </c>
      <c r="N105">
        <v>22.279599999999999</v>
      </c>
      <c r="O105">
        <v>0</v>
      </c>
    </row>
    <row r="106" spans="1:15" x14ac:dyDescent="0.25">
      <c r="A106" t="s">
        <v>21</v>
      </c>
      <c r="B106" t="s">
        <v>16</v>
      </c>
      <c r="C106">
        <v>31</v>
      </c>
      <c r="D106">
        <v>100</v>
      </c>
      <c r="E106">
        <v>6400</v>
      </c>
      <c r="F106" t="str">
        <f t="shared" si="1"/>
        <v>castle256_blurkernel8_31_100_6400</v>
      </c>
      <c r="G106">
        <v>10.259353000000001</v>
      </c>
      <c r="H106">
        <v>38.786524999999997</v>
      </c>
      <c r="I106">
        <v>6.9637099999999999E-4</v>
      </c>
      <c r="J106">
        <v>8.7180000000000002E-6</v>
      </c>
      <c r="K106">
        <v>17.023800000000001</v>
      </c>
      <c r="L106">
        <v>6.6227999999999998</v>
      </c>
      <c r="M106">
        <v>0</v>
      </c>
      <c r="N106">
        <v>20.245699999999999</v>
      </c>
      <c r="O106">
        <v>0</v>
      </c>
    </row>
    <row r="107" spans="1:15" x14ac:dyDescent="0.25">
      <c r="A107" t="s">
        <v>21</v>
      </c>
      <c r="B107" t="s">
        <v>16</v>
      </c>
      <c r="C107">
        <v>31</v>
      </c>
      <c r="D107">
        <v>100</v>
      </c>
      <c r="E107">
        <v>12800</v>
      </c>
      <c r="F107" t="str">
        <f t="shared" si="1"/>
        <v>castle256_blurkernel8_31_100_12800</v>
      </c>
      <c r="G107">
        <v>8.1533239999999996</v>
      </c>
      <c r="H107">
        <v>38.719757999999999</v>
      </c>
      <c r="I107">
        <v>1.456487E-3</v>
      </c>
      <c r="J107">
        <v>8.7010000000000002E-6</v>
      </c>
      <c r="K107">
        <v>13.9016</v>
      </c>
      <c r="L107">
        <v>6.6212</v>
      </c>
      <c r="M107">
        <v>0</v>
      </c>
      <c r="N107">
        <v>18.6236</v>
      </c>
      <c r="O107">
        <v>0</v>
      </c>
    </row>
    <row r="108" spans="1:15" x14ac:dyDescent="0.25">
      <c r="A108" t="s">
        <v>21</v>
      </c>
      <c r="B108" t="s">
        <v>16</v>
      </c>
      <c r="C108">
        <v>31</v>
      </c>
      <c r="D108">
        <v>100</v>
      </c>
      <c r="E108">
        <v>25600</v>
      </c>
      <c r="F108" t="str">
        <f t="shared" si="1"/>
        <v>castle256_blurkernel8_31_100_25600</v>
      </c>
      <c r="G108">
        <v>6.6587519999999998</v>
      </c>
      <c r="H108">
        <v>38.645460999999997</v>
      </c>
      <c r="I108">
        <v>3.2598829999999999E-3</v>
      </c>
      <c r="J108">
        <v>8.7180000000000002E-6</v>
      </c>
      <c r="K108">
        <v>10.603899999999999</v>
      </c>
      <c r="L108">
        <v>6.6227999999999998</v>
      </c>
      <c r="M108">
        <v>0</v>
      </c>
      <c r="N108">
        <v>16.902699999999999</v>
      </c>
      <c r="O108">
        <v>0</v>
      </c>
    </row>
    <row r="109" spans="1:15" x14ac:dyDescent="0.25">
      <c r="A109" t="s">
        <v>21</v>
      </c>
      <c r="B109" t="s">
        <v>16</v>
      </c>
      <c r="C109">
        <v>31</v>
      </c>
      <c r="D109">
        <v>100</v>
      </c>
      <c r="E109">
        <v>102400</v>
      </c>
      <c r="F109" t="str">
        <f t="shared" si="1"/>
        <v>castle256_blurkernel8_31_100_102400</v>
      </c>
      <c r="G109">
        <v>4.8170089999999997</v>
      </c>
      <c r="H109">
        <v>38.738244000000002</v>
      </c>
      <c r="I109">
        <v>1.9889357E-2</v>
      </c>
      <c r="J109">
        <v>8.6829999999999997E-6</v>
      </c>
      <c r="K109">
        <v>4.1399999999999997</v>
      </c>
      <c r="L109">
        <v>6.6214000000000004</v>
      </c>
      <c r="M109">
        <v>0</v>
      </c>
      <c r="N109">
        <v>13.4201</v>
      </c>
      <c r="O109">
        <v>0</v>
      </c>
    </row>
    <row r="110" spans="1:15" x14ac:dyDescent="0.25">
      <c r="A110" t="s">
        <v>21</v>
      </c>
      <c r="B110" t="s">
        <v>17</v>
      </c>
      <c r="C110">
        <v>3</v>
      </c>
      <c r="D110">
        <v>100</v>
      </c>
      <c r="E110">
        <v>200</v>
      </c>
      <c r="F110" t="str">
        <f t="shared" si="1"/>
        <v>castle256_line_3_100_200</v>
      </c>
      <c r="G110">
        <v>64.280952999999997</v>
      </c>
      <c r="H110">
        <v>3.4967570000000001</v>
      </c>
      <c r="I110">
        <v>1.9060999999999999E-5</v>
      </c>
      <c r="J110">
        <v>8.6780000000000006E-6</v>
      </c>
      <c r="K110">
        <v>32.573300000000003</v>
      </c>
      <c r="L110">
        <v>13.135400000000001</v>
      </c>
      <c r="M110">
        <v>0</v>
      </c>
      <c r="N110">
        <v>33.8035</v>
      </c>
      <c r="O110">
        <v>0</v>
      </c>
    </row>
    <row r="111" spans="1:15" x14ac:dyDescent="0.25">
      <c r="A111" t="s">
        <v>21</v>
      </c>
      <c r="B111" t="s">
        <v>17</v>
      </c>
      <c r="C111">
        <v>3</v>
      </c>
      <c r="D111">
        <v>100</v>
      </c>
      <c r="E111">
        <v>400</v>
      </c>
      <c r="F111" t="str">
        <f t="shared" si="1"/>
        <v>castle256_line_3_100_400</v>
      </c>
      <c r="G111">
        <v>53.067234999999997</v>
      </c>
      <c r="H111">
        <v>3.2185389999999998</v>
      </c>
      <c r="I111">
        <v>3.9916000000000002E-5</v>
      </c>
      <c r="J111">
        <v>8.6780000000000006E-6</v>
      </c>
      <c r="K111">
        <v>29.369499999999999</v>
      </c>
      <c r="L111">
        <v>13.135400000000001</v>
      </c>
      <c r="M111">
        <v>0</v>
      </c>
      <c r="N111">
        <v>31.4359</v>
      </c>
      <c r="O111">
        <v>0</v>
      </c>
    </row>
    <row r="112" spans="1:15" x14ac:dyDescent="0.25">
      <c r="A112" t="s">
        <v>21</v>
      </c>
      <c r="B112" t="s">
        <v>17</v>
      </c>
      <c r="C112">
        <v>3</v>
      </c>
      <c r="D112">
        <v>100</v>
      </c>
      <c r="E112">
        <v>800</v>
      </c>
      <c r="F112" t="str">
        <f t="shared" si="1"/>
        <v>castle256_line_3_100_800</v>
      </c>
      <c r="G112">
        <v>46.249951000000003</v>
      </c>
      <c r="H112">
        <v>3.1099009999999998</v>
      </c>
      <c r="I112">
        <v>8.0631999999999996E-5</v>
      </c>
      <c r="J112">
        <v>8.6780000000000006E-6</v>
      </c>
      <c r="K112">
        <v>26.316800000000001</v>
      </c>
      <c r="L112">
        <v>13.135400000000001</v>
      </c>
      <c r="M112">
        <v>0</v>
      </c>
      <c r="N112">
        <v>29.321899999999999</v>
      </c>
      <c r="O112">
        <v>0</v>
      </c>
    </row>
    <row r="113" spans="1:15" x14ac:dyDescent="0.25">
      <c r="A113" t="s">
        <v>21</v>
      </c>
      <c r="B113" t="s">
        <v>17</v>
      </c>
      <c r="C113">
        <v>3</v>
      </c>
      <c r="D113">
        <v>100</v>
      </c>
      <c r="E113">
        <v>1600</v>
      </c>
      <c r="F113" t="str">
        <f t="shared" si="1"/>
        <v>castle256_line_3_100_1600</v>
      </c>
      <c r="G113">
        <v>40.993192000000001</v>
      </c>
      <c r="H113">
        <v>3.1051440000000001</v>
      </c>
      <c r="I113">
        <v>1.65153E-4</v>
      </c>
      <c r="J113">
        <v>8.6780000000000006E-6</v>
      </c>
      <c r="K113">
        <v>23.220099999999999</v>
      </c>
      <c r="L113">
        <v>13.135400000000001</v>
      </c>
      <c r="M113">
        <v>0</v>
      </c>
      <c r="N113">
        <v>27.374600000000001</v>
      </c>
      <c r="O113">
        <v>0</v>
      </c>
    </row>
    <row r="114" spans="1:15" x14ac:dyDescent="0.25">
      <c r="A114" t="s">
        <v>21</v>
      </c>
      <c r="B114" t="s">
        <v>17</v>
      </c>
      <c r="C114">
        <v>3</v>
      </c>
      <c r="D114">
        <v>100</v>
      </c>
      <c r="E114">
        <v>3200</v>
      </c>
      <c r="F114" t="str">
        <f t="shared" si="1"/>
        <v>castle256_line_3_100_3200</v>
      </c>
      <c r="G114">
        <v>36.615577000000002</v>
      </c>
      <c r="H114">
        <v>3.1573530000000001</v>
      </c>
      <c r="I114">
        <v>3.3734599999999998E-4</v>
      </c>
      <c r="J114">
        <v>8.6780000000000006E-6</v>
      </c>
      <c r="K114">
        <v>20.133900000000001</v>
      </c>
      <c r="L114">
        <v>13.135400000000001</v>
      </c>
      <c r="M114">
        <v>0</v>
      </c>
      <c r="N114">
        <v>25.605599999999999</v>
      </c>
      <c r="O114">
        <v>0</v>
      </c>
    </row>
    <row r="115" spans="1:15" x14ac:dyDescent="0.25">
      <c r="A115" t="s">
        <v>21</v>
      </c>
      <c r="B115" t="s">
        <v>17</v>
      </c>
      <c r="C115">
        <v>3</v>
      </c>
      <c r="D115">
        <v>100</v>
      </c>
      <c r="E115">
        <v>6400</v>
      </c>
      <c r="F115" t="str">
        <f t="shared" si="1"/>
        <v>castle256_line_3_100_6400</v>
      </c>
      <c r="G115">
        <v>32.676551000000003</v>
      </c>
      <c r="H115">
        <v>3.2371889999999999</v>
      </c>
      <c r="I115">
        <v>6.9143000000000004E-4</v>
      </c>
      <c r="J115">
        <v>8.6780000000000006E-6</v>
      </c>
      <c r="K115">
        <v>17.059100000000001</v>
      </c>
      <c r="L115">
        <v>13.135400000000001</v>
      </c>
      <c r="M115">
        <v>0</v>
      </c>
      <c r="N115">
        <v>23.970099999999999</v>
      </c>
      <c r="O115">
        <v>0</v>
      </c>
    </row>
    <row r="116" spans="1:15" x14ac:dyDescent="0.25">
      <c r="A116" t="s">
        <v>21</v>
      </c>
      <c r="B116" t="s">
        <v>17</v>
      </c>
      <c r="C116">
        <v>3</v>
      </c>
      <c r="D116">
        <v>100</v>
      </c>
      <c r="E116">
        <v>12800</v>
      </c>
      <c r="F116" t="str">
        <f t="shared" si="1"/>
        <v>castle256_line_3_100_12800</v>
      </c>
      <c r="G116">
        <v>29.005210999999999</v>
      </c>
      <c r="H116">
        <v>3.3264070000000001</v>
      </c>
      <c r="I116">
        <v>1.467262E-3</v>
      </c>
      <c r="J116">
        <v>8.6780000000000006E-6</v>
      </c>
      <c r="K116">
        <v>13.8681</v>
      </c>
      <c r="L116">
        <v>13.135400000000001</v>
      </c>
      <c r="M116">
        <v>0</v>
      </c>
      <c r="N116">
        <v>23.535399999999999</v>
      </c>
      <c r="O116">
        <v>0</v>
      </c>
    </row>
    <row r="117" spans="1:15" x14ac:dyDescent="0.25">
      <c r="A117" t="s">
        <v>21</v>
      </c>
      <c r="B117" t="s">
        <v>17</v>
      </c>
      <c r="C117">
        <v>3</v>
      </c>
      <c r="D117">
        <v>100</v>
      </c>
      <c r="E117">
        <v>25600</v>
      </c>
      <c r="F117" t="str">
        <f t="shared" si="1"/>
        <v>castle256_line_3_100_25600</v>
      </c>
      <c r="G117">
        <v>26.218024</v>
      </c>
      <c r="H117">
        <v>3.3953570000000002</v>
      </c>
      <c r="I117">
        <v>3.2498129999999998E-3</v>
      </c>
      <c r="J117">
        <v>8.6780000000000006E-6</v>
      </c>
      <c r="K117">
        <v>10.6045</v>
      </c>
      <c r="L117">
        <v>13.135400000000001</v>
      </c>
      <c r="M117">
        <v>0</v>
      </c>
      <c r="N117">
        <v>22.5365</v>
      </c>
      <c r="O117">
        <v>0</v>
      </c>
    </row>
    <row r="118" spans="1:15" x14ac:dyDescent="0.25">
      <c r="A118" t="s">
        <v>21</v>
      </c>
      <c r="B118" t="s">
        <v>17</v>
      </c>
      <c r="C118">
        <v>3</v>
      </c>
      <c r="D118">
        <v>100</v>
      </c>
      <c r="E118">
        <v>102400</v>
      </c>
      <c r="F118" t="str">
        <f t="shared" si="1"/>
        <v>castle256_line_3_100_102400</v>
      </c>
      <c r="G118">
        <v>23.979709</v>
      </c>
      <c r="H118">
        <v>3.4295800000000001</v>
      </c>
      <c r="I118">
        <v>2.0041665E-2</v>
      </c>
      <c r="J118">
        <v>8.7250000000000003E-6</v>
      </c>
      <c r="K118">
        <v>4.1035000000000004</v>
      </c>
      <c r="L118">
        <v>13.129300000000001</v>
      </c>
      <c r="M118">
        <v>0</v>
      </c>
      <c r="N118">
        <v>15.3255</v>
      </c>
      <c r="O118">
        <v>0</v>
      </c>
    </row>
    <row r="119" spans="1:15" x14ac:dyDescent="0.25">
      <c r="A119" t="s">
        <v>21</v>
      </c>
      <c r="B119" t="s">
        <v>17</v>
      </c>
      <c r="C119">
        <v>7</v>
      </c>
      <c r="D119">
        <v>100</v>
      </c>
      <c r="E119">
        <v>200</v>
      </c>
      <c r="F119" t="str">
        <f t="shared" si="1"/>
        <v>castle256_line_7_100_200</v>
      </c>
      <c r="G119">
        <v>56.374496999999998</v>
      </c>
      <c r="H119">
        <v>9.425179</v>
      </c>
      <c r="I119">
        <v>1.8967E-5</v>
      </c>
      <c r="J119">
        <v>8.7430000000000008E-6</v>
      </c>
      <c r="K119">
        <v>32.593400000000003</v>
      </c>
      <c r="L119">
        <v>9.6590000000000007</v>
      </c>
      <c r="M119">
        <v>0</v>
      </c>
      <c r="N119">
        <v>33.045900000000003</v>
      </c>
      <c r="O119">
        <v>0</v>
      </c>
    </row>
    <row r="120" spans="1:15" x14ac:dyDescent="0.25">
      <c r="A120" t="s">
        <v>21</v>
      </c>
      <c r="B120" t="s">
        <v>17</v>
      </c>
      <c r="C120">
        <v>7</v>
      </c>
      <c r="D120">
        <v>100</v>
      </c>
      <c r="E120">
        <v>400</v>
      </c>
      <c r="F120" t="str">
        <f t="shared" si="1"/>
        <v>castle256_line_7_100_400</v>
      </c>
      <c r="G120">
        <v>43.129447999999996</v>
      </c>
      <c r="H120">
        <v>8.6330039999999997</v>
      </c>
      <c r="I120">
        <v>4.0088E-5</v>
      </c>
      <c r="J120">
        <v>8.7430000000000008E-6</v>
      </c>
      <c r="K120">
        <v>29.3477</v>
      </c>
      <c r="L120">
        <v>9.6590000000000007</v>
      </c>
      <c r="M120">
        <v>0</v>
      </c>
      <c r="N120">
        <v>30.354099999999999</v>
      </c>
      <c r="O120">
        <v>0</v>
      </c>
    </row>
    <row r="121" spans="1:15" x14ac:dyDescent="0.25">
      <c r="A121" t="s">
        <v>21</v>
      </c>
      <c r="B121" t="s">
        <v>17</v>
      </c>
      <c r="C121">
        <v>7</v>
      </c>
      <c r="D121">
        <v>100</v>
      </c>
      <c r="E121">
        <v>800</v>
      </c>
      <c r="F121" t="str">
        <f t="shared" si="1"/>
        <v>castle256_line_7_100_800</v>
      </c>
      <c r="G121">
        <v>34.959902</v>
      </c>
      <c r="H121">
        <v>8.2904590000000002</v>
      </c>
      <c r="I121">
        <v>8.1549000000000001E-5</v>
      </c>
      <c r="J121">
        <v>8.7430000000000008E-6</v>
      </c>
      <c r="K121">
        <v>26.2683</v>
      </c>
      <c r="L121">
        <v>9.6590000000000007</v>
      </c>
      <c r="M121">
        <v>0</v>
      </c>
      <c r="N121">
        <v>27.8794</v>
      </c>
      <c r="O121">
        <v>0</v>
      </c>
    </row>
    <row r="122" spans="1:15" x14ac:dyDescent="0.25">
      <c r="A122" t="s">
        <v>21</v>
      </c>
      <c r="B122" t="s">
        <v>17</v>
      </c>
      <c r="C122">
        <v>7</v>
      </c>
      <c r="D122">
        <v>100</v>
      </c>
      <c r="E122">
        <v>1600</v>
      </c>
      <c r="F122" t="str">
        <f t="shared" si="1"/>
        <v>castle256_line_7_100_1600</v>
      </c>
      <c r="G122">
        <v>29.169241</v>
      </c>
      <c r="H122">
        <v>8.1831189999999996</v>
      </c>
      <c r="I122">
        <v>1.6839900000000001E-4</v>
      </c>
      <c r="J122">
        <v>8.7430000000000008E-6</v>
      </c>
      <c r="K122">
        <v>23.1264</v>
      </c>
      <c r="L122">
        <v>9.6590000000000007</v>
      </c>
      <c r="M122">
        <v>0</v>
      </c>
      <c r="N122">
        <v>25.4969</v>
      </c>
      <c r="O122">
        <v>0</v>
      </c>
    </row>
    <row r="123" spans="1:15" x14ac:dyDescent="0.25">
      <c r="A123" t="s">
        <v>21</v>
      </c>
      <c r="B123" t="s">
        <v>17</v>
      </c>
      <c r="C123">
        <v>7</v>
      </c>
      <c r="D123">
        <v>100</v>
      </c>
      <c r="E123">
        <v>3200</v>
      </c>
      <c r="F123" t="str">
        <f t="shared" si="1"/>
        <v>castle256_line_7_100_3200</v>
      </c>
      <c r="G123">
        <v>24.787051000000002</v>
      </c>
      <c r="H123">
        <v>8.2148520000000005</v>
      </c>
      <c r="I123">
        <v>3.3856700000000001E-4</v>
      </c>
      <c r="J123">
        <v>8.7430000000000008E-6</v>
      </c>
      <c r="K123">
        <v>20.118500000000001</v>
      </c>
      <c r="L123">
        <v>9.6590000000000007</v>
      </c>
      <c r="M123">
        <v>0</v>
      </c>
      <c r="N123">
        <v>23.447399999999998</v>
      </c>
      <c r="O123">
        <v>0</v>
      </c>
    </row>
    <row r="124" spans="1:15" x14ac:dyDescent="0.25">
      <c r="A124" t="s">
        <v>21</v>
      </c>
      <c r="B124" t="s">
        <v>17</v>
      </c>
      <c r="C124">
        <v>7</v>
      </c>
      <c r="D124">
        <v>100</v>
      </c>
      <c r="E124">
        <v>6400</v>
      </c>
      <c r="F124" t="str">
        <f t="shared" si="1"/>
        <v>castle256_line_7_100_6400</v>
      </c>
      <c r="G124">
        <v>21.344087999999999</v>
      </c>
      <c r="H124">
        <v>8.2869790000000005</v>
      </c>
      <c r="I124">
        <v>6.9453400000000002E-4</v>
      </c>
      <c r="J124">
        <v>8.7430000000000008E-6</v>
      </c>
      <c r="K124">
        <v>17.047000000000001</v>
      </c>
      <c r="L124">
        <v>9.6590000000000007</v>
      </c>
      <c r="M124">
        <v>0</v>
      </c>
      <c r="N124">
        <v>21.125399999999999</v>
      </c>
      <c r="O124">
        <v>0</v>
      </c>
    </row>
    <row r="125" spans="1:15" x14ac:dyDescent="0.25">
      <c r="A125" t="s">
        <v>21</v>
      </c>
      <c r="B125" t="s">
        <v>17</v>
      </c>
      <c r="C125">
        <v>7</v>
      </c>
      <c r="D125">
        <v>100</v>
      </c>
      <c r="E125">
        <v>12800</v>
      </c>
      <c r="F125" t="str">
        <f t="shared" si="1"/>
        <v>castle256_line_7_100_12800</v>
      </c>
      <c r="G125">
        <v>18.388459999999998</v>
      </c>
      <c r="H125">
        <v>8.3807460000000003</v>
      </c>
      <c r="I125">
        <v>1.4498860000000001E-3</v>
      </c>
      <c r="J125">
        <v>8.7430000000000008E-6</v>
      </c>
      <c r="K125">
        <v>13.914899999999999</v>
      </c>
      <c r="L125">
        <v>9.6590000000000007</v>
      </c>
      <c r="M125">
        <v>0</v>
      </c>
      <c r="N125">
        <v>20.046900000000001</v>
      </c>
      <c r="O125">
        <v>0</v>
      </c>
    </row>
    <row r="126" spans="1:15" x14ac:dyDescent="0.25">
      <c r="A126" t="s">
        <v>21</v>
      </c>
      <c r="B126" t="s">
        <v>17</v>
      </c>
      <c r="C126">
        <v>7</v>
      </c>
      <c r="D126">
        <v>100</v>
      </c>
      <c r="E126">
        <v>25600</v>
      </c>
      <c r="F126" t="str">
        <f t="shared" si="1"/>
        <v>castle256_line_7_100_25600</v>
      </c>
      <c r="G126">
        <v>15.664337</v>
      </c>
      <c r="H126">
        <v>8.4793990000000008</v>
      </c>
      <c r="I126">
        <v>3.2021760000000002E-3</v>
      </c>
      <c r="J126">
        <v>8.7430000000000008E-6</v>
      </c>
      <c r="K126">
        <v>10.662100000000001</v>
      </c>
      <c r="L126">
        <v>9.6590000000000007</v>
      </c>
      <c r="M126">
        <v>0</v>
      </c>
      <c r="N126">
        <v>18.080100000000002</v>
      </c>
      <c r="O126">
        <v>0</v>
      </c>
    </row>
    <row r="127" spans="1:15" x14ac:dyDescent="0.25">
      <c r="A127" t="s">
        <v>21</v>
      </c>
      <c r="B127" t="s">
        <v>17</v>
      </c>
      <c r="C127">
        <v>7</v>
      </c>
      <c r="D127">
        <v>100</v>
      </c>
      <c r="E127">
        <v>102400</v>
      </c>
      <c r="F127" t="str">
        <f t="shared" si="1"/>
        <v>castle256_line_7_100_102400</v>
      </c>
      <c r="G127">
        <v>11.382548999999999</v>
      </c>
      <c r="H127">
        <v>8.6529229999999995</v>
      </c>
      <c r="I127">
        <v>1.9995421999999999E-2</v>
      </c>
      <c r="J127">
        <v>8.6899999999999998E-6</v>
      </c>
      <c r="K127">
        <v>4.1273</v>
      </c>
      <c r="L127">
        <v>9.6593</v>
      </c>
      <c r="M127">
        <v>0</v>
      </c>
      <c r="N127">
        <v>12.1485</v>
      </c>
      <c r="O127">
        <v>0</v>
      </c>
    </row>
    <row r="128" spans="1:15" x14ac:dyDescent="0.25">
      <c r="A128" t="s">
        <v>21</v>
      </c>
      <c r="B128" t="s">
        <v>17</v>
      </c>
      <c r="C128">
        <v>15</v>
      </c>
      <c r="D128">
        <v>100</v>
      </c>
      <c r="E128">
        <v>200</v>
      </c>
      <c r="F128" t="str">
        <f t="shared" si="1"/>
        <v>castle256_line_15_100_200</v>
      </c>
      <c r="G128">
        <v>52.615065000000001</v>
      </c>
      <c r="H128">
        <v>21.454370999999998</v>
      </c>
      <c r="I128">
        <v>1.927E-5</v>
      </c>
      <c r="J128">
        <v>8.7239999999999998E-6</v>
      </c>
      <c r="K128">
        <v>32.525399999999998</v>
      </c>
      <c r="L128">
        <v>7.5202</v>
      </c>
      <c r="M128">
        <v>0</v>
      </c>
      <c r="N128">
        <v>32.6706</v>
      </c>
      <c r="O128">
        <v>0</v>
      </c>
    </row>
    <row r="129" spans="1:15" x14ac:dyDescent="0.25">
      <c r="A129" t="s">
        <v>21</v>
      </c>
      <c r="B129" t="s">
        <v>17</v>
      </c>
      <c r="C129">
        <v>15</v>
      </c>
      <c r="D129">
        <v>100</v>
      </c>
      <c r="E129">
        <v>400</v>
      </c>
      <c r="F129" t="str">
        <f t="shared" si="1"/>
        <v>castle256_line_15_100_400</v>
      </c>
      <c r="G129">
        <v>38.641277000000002</v>
      </c>
      <c r="H129">
        <v>19.648754</v>
      </c>
      <c r="I129">
        <v>4.0194999999999997E-5</v>
      </c>
      <c r="J129">
        <v>8.7069999999999998E-6</v>
      </c>
      <c r="K129">
        <v>29.3339</v>
      </c>
      <c r="L129">
        <v>7.5179</v>
      </c>
      <c r="M129">
        <v>0</v>
      </c>
      <c r="N129">
        <v>29.9436</v>
      </c>
      <c r="O129">
        <v>0</v>
      </c>
    </row>
    <row r="130" spans="1:15" x14ac:dyDescent="0.25">
      <c r="A130" t="s">
        <v>21</v>
      </c>
      <c r="B130" t="s">
        <v>17</v>
      </c>
      <c r="C130">
        <v>15</v>
      </c>
      <c r="D130">
        <v>100</v>
      </c>
      <c r="E130">
        <v>800</v>
      </c>
      <c r="F130" t="str">
        <f t="shared" ref="F130:F193" si="2">A130&amp;"_"&amp;B130&amp;"_"&amp;C130&amp;"_"&amp;D130&amp;"_"&amp;E130</f>
        <v>castle256_line_15_100_800</v>
      </c>
      <c r="G130">
        <v>29.557469999999999</v>
      </c>
      <c r="H130">
        <v>18.755303000000001</v>
      </c>
      <c r="I130">
        <v>8.2608000000000006E-5</v>
      </c>
      <c r="J130">
        <v>8.7239999999999998E-6</v>
      </c>
      <c r="K130">
        <v>26.212900000000001</v>
      </c>
      <c r="L130">
        <v>7.5202</v>
      </c>
      <c r="M130">
        <v>0</v>
      </c>
      <c r="N130">
        <v>27.319800000000001</v>
      </c>
      <c r="O130">
        <v>0</v>
      </c>
    </row>
    <row r="131" spans="1:15" x14ac:dyDescent="0.25">
      <c r="A131" t="s">
        <v>21</v>
      </c>
      <c r="B131" t="s">
        <v>17</v>
      </c>
      <c r="C131">
        <v>15</v>
      </c>
      <c r="D131">
        <v>100</v>
      </c>
      <c r="E131">
        <v>1600</v>
      </c>
      <c r="F131" t="str">
        <f t="shared" si="2"/>
        <v>castle256_line_15_100_1600</v>
      </c>
      <c r="G131">
        <v>23.485052</v>
      </c>
      <c r="H131">
        <v>18.429946000000001</v>
      </c>
      <c r="I131">
        <v>1.6551599999999999E-4</v>
      </c>
      <c r="J131">
        <v>8.7069999999999998E-6</v>
      </c>
      <c r="K131">
        <v>23.2102</v>
      </c>
      <c r="L131">
        <v>7.5179</v>
      </c>
      <c r="M131">
        <v>0</v>
      </c>
      <c r="N131">
        <v>24.931999999999999</v>
      </c>
      <c r="O131">
        <v>0</v>
      </c>
    </row>
    <row r="132" spans="1:15" x14ac:dyDescent="0.25">
      <c r="A132" t="s">
        <v>21</v>
      </c>
      <c r="B132" t="s">
        <v>17</v>
      </c>
      <c r="C132">
        <v>15</v>
      </c>
      <c r="D132">
        <v>100</v>
      </c>
      <c r="E132">
        <v>3200</v>
      </c>
      <c r="F132" t="str">
        <f t="shared" si="2"/>
        <v>castle256_line_15_100_3200</v>
      </c>
      <c r="G132">
        <v>19.008768</v>
      </c>
      <c r="H132">
        <v>18.319977999999999</v>
      </c>
      <c r="I132">
        <v>3.3594899999999999E-4</v>
      </c>
      <c r="J132">
        <v>8.7239999999999998E-6</v>
      </c>
      <c r="K132">
        <v>20.148399999999999</v>
      </c>
      <c r="L132">
        <v>7.5202</v>
      </c>
      <c r="M132">
        <v>0</v>
      </c>
      <c r="N132">
        <v>22.6585</v>
      </c>
      <c r="O132">
        <v>0</v>
      </c>
    </row>
    <row r="133" spans="1:15" x14ac:dyDescent="0.25">
      <c r="A133" t="s">
        <v>21</v>
      </c>
      <c r="B133" t="s">
        <v>17</v>
      </c>
      <c r="C133">
        <v>15</v>
      </c>
      <c r="D133">
        <v>100</v>
      </c>
      <c r="E133">
        <v>6400</v>
      </c>
      <c r="F133" t="str">
        <f t="shared" si="2"/>
        <v>castle256_line_15_100_6400</v>
      </c>
      <c r="G133">
        <v>15.751003000000001</v>
      </c>
      <c r="H133">
        <v>18.353798999999999</v>
      </c>
      <c r="I133">
        <v>6.87179E-4</v>
      </c>
      <c r="J133">
        <v>8.7069999999999998E-6</v>
      </c>
      <c r="K133">
        <v>17.0763</v>
      </c>
      <c r="L133">
        <v>7.5179</v>
      </c>
      <c r="M133">
        <v>0</v>
      </c>
      <c r="N133">
        <v>20.485299999999999</v>
      </c>
      <c r="O133">
        <v>0</v>
      </c>
    </row>
    <row r="134" spans="1:15" x14ac:dyDescent="0.25">
      <c r="A134" t="s">
        <v>21</v>
      </c>
      <c r="B134" t="s">
        <v>17</v>
      </c>
      <c r="C134">
        <v>15</v>
      </c>
      <c r="D134">
        <v>100</v>
      </c>
      <c r="E134">
        <v>12800</v>
      </c>
      <c r="F134" t="str">
        <f t="shared" si="2"/>
        <v>castle256_line_15_100_12800</v>
      </c>
      <c r="G134">
        <v>13.057817</v>
      </c>
      <c r="H134">
        <v>18.410126000000002</v>
      </c>
      <c r="I134">
        <v>1.4545339999999999E-3</v>
      </c>
      <c r="J134">
        <v>8.7239999999999998E-6</v>
      </c>
      <c r="K134">
        <v>13.8995</v>
      </c>
      <c r="L134">
        <v>7.5202</v>
      </c>
      <c r="M134">
        <v>0</v>
      </c>
      <c r="N134">
        <v>18.4739</v>
      </c>
      <c r="O134">
        <v>0</v>
      </c>
    </row>
    <row r="135" spans="1:15" x14ac:dyDescent="0.25">
      <c r="A135" t="s">
        <v>21</v>
      </c>
      <c r="B135" t="s">
        <v>17</v>
      </c>
      <c r="C135">
        <v>15</v>
      </c>
      <c r="D135">
        <v>100</v>
      </c>
      <c r="E135">
        <v>25600</v>
      </c>
      <c r="F135" t="str">
        <f t="shared" si="2"/>
        <v>castle256_line_15_100_25600</v>
      </c>
      <c r="G135">
        <v>10.793685999999999</v>
      </c>
      <c r="H135">
        <v>18.519687000000001</v>
      </c>
      <c r="I135">
        <v>3.2105129999999999E-3</v>
      </c>
      <c r="J135">
        <v>8.7069999999999998E-6</v>
      </c>
      <c r="K135">
        <v>10.6549</v>
      </c>
      <c r="L135">
        <v>7.5179</v>
      </c>
      <c r="M135">
        <v>0</v>
      </c>
      <c r="N135">
        <v>16.465499999999999</v>
      </c>
      <c r="O135">
        <v>0</v>
      </c>
    </row>
    <row r="136" spans="1:15" x14ac:dyDescent="0.25">
      <c r="A136" t="s">
        <v>21</v>
      </c>
      <c r="B136" t="s">
        <v>17</v>
      </c>
      <c r="C136">
        <v>15</v>
      </c>
      <c r="D136">
        <v>100</v>
      </c>
      <c r="E136">
        <v>102400</v>
      </c>
      <c r="F136" t="str">
        <f t="shared" si="2"/>
        <v>castle256_line_15_100_102400</v>
      </c>
      <c r="G136">
        <v>7.3548830000000001</v>
      </c>
      <c r="H136">
        <v>18.655882999999999</v>
      </c>
      <c r="I136">
        <v>1.9964541999999998E-2</v>
      </c>
      <c r="J136">
        <v>8.7150000000000004E-6</v>
      </c>
      <c r="K136">
        <v>4.1242999999999999</v>
      </c>
      <c r="L136">
        <v>7.5206999999999997</v>
      </c>
      <c r="M136">
        <v>0</v>
      </c>
      <c r="N136">
        <v>11.145899999999999</v>
      </c>
      <c r="O136">
        <v>0</v>
      </c>
    </row>
    <row r="137" spans="1:15" x14ac:dyDescent="0.25">
      <c r="A137" t="s">
        <v>21</v>
      </c>
      <c r="B137" t="s">
        <v>17</v>
      </c>
      <c r="C137">
        <v>31</v>
      </c>
      <c r="D137">
        <v>100</v>
      </c>
      <c r="E137">
        <v>200</v>
      </c>
      <c r="F137" t="str">
        <f t="shared" si="2"/>
        <v>castle256_line_31_100_200</v>
      </c>
      <c r="G137">
        <v>51.313836000000002</v>
      </c>
      <c r="H137">
        <v>45.615465999999998</v>
      </c>
      <c r="I137">
        <v>1.91E-5</v>
      </c>
      <c r="J137">
        <v>8.6969999999999999E-6</v>
      </c>
      <c r="K137">
        <v>32.563499999999998</v>
      </c>
      <c r="L137">
        <v>5.7591999999999999</v>
      </c>
      <c r="M137">
        <v>0</v>
      </c>
      <c r="N137">
        <v>32.6267</v>
      </c>
      <c r="O137">
        <v>0</v>
      </c>
    </row>
    <row r="138" spans="1:15" x14ac:dyDescent="0.25">
      <c r="A138" t="s">
        <v>21</v>
      </c>
      <c r="B138" t="s">
        <v>17</v>
      </c>
      <c r="C138">
        <v>31</v>
      </c>
      <c r="D138">
        <v>100</v>
      </c>
      <c r="E138">
        <v>400</v>
      </c>
      <c r="F138" t="str">
        <f t="shared" si="2"/>
        <v>castle256_line_31_100_400</v>
      </c>
      <c r="G138">
        <v>36.669060000000002</v>
      </c>
      <c r="H138">
        <v>41.666400000000003</v>
      </c>
      <c r="I138">
        <v>3.9938999999999998E-5</v>
      </c>
      <c r="J138">
        <v>8.6459999999999999E-6</v>
      </c>
      <c r="K138">
        <v>29.362100000000002</v>
      </c>
      <c r="L138">
        <v>5.7577999999999996</v>
      </c>
      <c r="M138">
        <v>0</v>
      </c>
      <c r="N138">
        <v>29.7682</v>
      </c>
      <c r="O138">
        <v>0</v>
      </c>
    </row>
    <row r="139" spans="1:15" x14ac:dyDescent="0.25">
      <c r="A139" t="s">
        <v>21</v>
      </c>
      <c r="B139" t="s">
        <v>17</v>
      </c>
      <c r="C139">
        <v>31</v>
      </c>
      <c r="D139">
        <v>100</v>
      </c>
      <c r="E139">
        <v>800</v>
      </c>
      <c r="F139" t="str">
        <f t="shared" si="2"/>
        <v>castle256_line_31_100_800</v>
      </c>
      <c r="G139">
        <v>26.917619999999999</v>
      </c>
      <c r="H139">
        <v>39.622790000000002</v>
      </c>
      <c r="I139">
        <v>8.1871000000000003E-5</v>
      </c>
      <c r="J139">
        <v>8.6969999999999999E-6</v>
      </c>
      <c r="K139">
        <v>26.248899999999999</v>
      </c>
      <c r="L139">
        <v>5.7591999999999999</v>
      </c>
      <c r="M139">
        <v>0</v>
      </c>
      <c r="N139">
        <v>27.149799999999999</v>
      </c>
      <c r="O139">
        <v>0</v>
      </c>
    </row>
    <row r="140" spans="1:15" x14ac:dyDescent="0.25">
      <c r="A140" t="s">
        <v>21</v>
      </c>
      <c r="B140" t="s">
        <v>17</v>
      </c>
      <c r="C140">
        <v>31</v>
      </c>
      <c r="D140">
        <v>100</v>
      </c>
      <c r="E140">
        <v>1600</v>
      </c>
      <c r="F140" t="str">
        <f t="shared" si="2"/>
        <v>castle256_line_31_100_1600</v>
      </c>
      <c r="G140">
        <v>20.432663999999999</v>
      </c>
      <c r="H140">
        <v>38.816569999999999</v>
      </c>
      <c r="I140">
        <v>1.6573E-4</v>
      </c>
      <c r="J140">
        <v>8.6459999999999999E-6</v>
      </c>
      <c r="K140">
        <v>23.1966</v>
      </c>
      <c r="L140">
        <v>5.7577999999999996</v>
      </c>
      <c r="M140">
        <v>0</v>
      </c>
      <c r="N140">
        <v>24.648700000000002</v>
      </c>
      <c r="O140">
        <v>0</v>
      </c>
    </row>
    <row r="141" spans="1:15" x14ac:dyDescent="0.25">
      <c r="A141" t="s">
        <v>21</v>
      </c>
      <c r="B141" t="s">
        <v>17</v>
      </c>
      <c r="C141">
        <v>31</v>
      </c>
      <c r="D141">
        <v>100</v>
      </c>
      <c r="E141">
        <v>3200</v>
      </c>
      <c r="F141" t="str">
        <f t="shared" si="2"/>
        <v>castle256_line_31_100_3200</v>
      </c>
      <c r="G141">
        <v>15.70505</v>
      </c>
      <c r="H141">
        <v>38.358643999999998</v>
      </c>
      <c r="I141">
        <v>3.3797500000000002E-4</v>
      </c>
      <c r="J141">
        <v>8.6969999999999999E-6</v>
      </c>
      <c r="K141">
        <v>20.126200000000001</v>
      </c>
      <c r="L141">
        <v>5.7591999999999999</v>
      </c>
      <c r="M141">
        <v>0</v>
      </c>
      <c r="N141">
        <v>22.254000000000001</v>
      </c>
      <c r="O141">
        <v>0</v>
      </c>
    </row>
    <row r="142" spans="1:15" x14ac:dyDescent="0.25">
      <c r="A142" t="s">
        <v>21</v>
      </c>
      <c r="B142" t="s">
        <v>17</v>
      </c>
      <c r="C142">
        <v>31</v>
      </c>
      <c r="D142">
        <v>100</v>
      </c>
      <c r="E142">
        <v>6400</v>
      </c>
      <c r="F142" t="str">
        <f t="shared" si="2"/>
        <v>castle256_line_31_100_6400</v>
      </c>
      <c r="G142">
        <v>12.460997000000001</v>
      </c>
      <c r="H142">
        <v>38.352846</v>
      </c>
      <c r="I142">
        <v>6.8857599999999999E-4</v>
      </c>
      <c r="J142">
        <v>8.6459999999999999E-6</v>
      </c>
      <c r="K142">
        <v>17.074300000000001</v>
      </c>
      <c r="L142">
        <v>5.7577999999999996</v>
      </c>
      <c r="M142">
        <v>0</v>
      </c>
      <c r="N142">
        <v>20.042400000000001</v>
      </c>
      <c r="O142">
        <v>0</v>
      </c>
    </row>
    <row r="143" spans="1:15" x14ac:dyDescent="0.25">
      <c r="A143" t="s">
        <v>21</v>
      </c>
      <c r="B143" t="s">
        <v>17</v>
      </c>
      <c r="C143">
        <v>31</v>
      </c>
      <c r="D143">
        <v>100</v>
      </c>
      <c r="E143">
        <v>12800</v>
      </c>
      <c r="F143" t="str">
        <f t="shared" si="2"/>
        <v>castle256_line_31_100_12800</v>
      </c>
      <c r="G143">
        <v>10.008023</v>
      </c>
      <c r="H143">
        <v>38.238717999999999</v>
      </c>
      <c r="I143">
        <v>1.449145E-3</v>
      </c>
      <c r="J143">
        <v>8.6969999999999999E-6</v>
      </c>
      <c r="K143">
        <v>13.9299</v>
      </c>
      <c r="L143">
        <v>5.7591999999999999</v>
      </c>
      <c r="M143">
        <v>0</v>
      </c>
      <c r="N143">
        <v>17.869800000000001</v>
      </c>
      <c r="O143">
        <v>0</v>
      </c>
    </row>
    <row r="144" spans="1:15" x14ac:dyDescent="0.25">
      <c r="A144" t="s">
        <v>21</v>
      </c>
      <c r="B144" t="s">
        <v>17</v>
      </c>
      <c r="C144">
        <v>31</v>
      </c>
      <c r="D144">
        <v>100</v>
      </c>
      <c r="E144">
        <v>25600</v>
      </c>
      <c r="F144" t="str">
        <f t="shared" si="2"/>
        <v>castle256_line_31_100_25600</v>
      </c>
      <c r="G144">
        <v>8.1066439999999993</v>
      </c>
      <c r="H144">
        <v>38.402180999999999</v>
      </c>
      <c r="I144">
        <v>3.1936239999999999E-3</v>
      </c>
      <c r="J144">
        <v>8.6459999999999999E-6</v>
      </c>
      <c r="K144">
        <v>10.661799999999999</v>
      </c>
      <c r="L144">
        <v>5.7577999999999996</v>
      </c>
      <c r="M144">
        <v>0</v>
      </c>
      <c r="N144">
        <v>15.838200000000001</v>
      </c>
      <c r="O144">
        <v>0</v>
      </c>
    </row>
    <row r="145" spans="1:15" x14ac:dyDescent="0.25">
      <c r="A145" t="s">
        <v>21</v>
      </c>
      <c r="B145" t="s">
        <v>17</v>
      </c>
      <c r="C145">
        <v>31</v>
      </c>
      <c r="D145">
        <v>100</v>
      </c>
      <c r="E145">
        <v>102400</v>
      </c>
      <c r="F145" t="str">
        <f t="shared" si="2"/>
        <v>castle256_line_31_100_102400</v>
      </c>
      <c r="G145">
        <v>5.2476079999999996</v>
      </c>
      <c r="H145">
        <v>38.375146999999998</v>
      </c>
      <c r="I145">
        <v>1.9777102000000001E-2</v>
      </c>
      <c r="J145">
        <v>8.7169999999999997E-6</v>
      </c>
      <c r="K145">
        <v>4.1430999999999996</v>
      </c>
      <c r="L145">
        <v>5.7599</v>
      </c>
      <c r="M145">
        <v>0</v>
      </c>
      <c r="N145">
        <v>10.500299999999999</v>
      </c>
      <c r="O145">
        <v>0</v>
      </c>
    </row>
    <row r="146" spans="1:15" x14ac:dyDescent="0.25">
      <c r="A146" t="s">
        <v>14</v>
      </c>
      <c r="B146" t="s">
        <v>18</v>
      </c>
      <c r="C146">
        <v>3</v>
      </c>
      <c r="D146">
        <v>100</v>
      </c>
      <c r="E146">
        <v>200</v>
      </c>
      <c r="F146" t="str">
        <f t="shared" si="2"/>
        <v>lena256_blurkernel10_3_100_200</v>
      </c>
      <c r="G146">
        <v>51.122661000000001</v>
      </c>
      <c r="H146">
        <v>4.0255859999999997</v>
      </c>
      <c r="I146">
        <v>2.0999E-5</v>
      </c>
      <c r="J146">
        <v>9.6490000000000003E-6</v>
      </c>
      <c r="K146">
        <v>32.166200000000003</v>
      </c>
      <c r="L146">
        <v>17.644500000000001</v>
      </c>
      <c r="M146">
        <v>0</v>
      </c>
      <c r="N146">
        <v>33.739800000000002</v>
      </c>
      <c r="O146">
        <v>0</v>
      </c>
    </row>
    <row r="147" spans="1:15" x14ac:dyDescent="0.25">
      <c r="A147" t="s">
        <v>14</v>
      </c>
      <c r="B147" t="s">
        <v>18</v>
      </c>
      <c r="C147">
        <v>3</v>
      </c>
      <c r="D147">
        <v>100</v>
      </c>
      <c r="E147">
        <v>400</v>
      </c>
      <c r="F147" t="str">
        <f t="shared" si="2"/>
        <v>lena256_blurkernel10_3_100_400</v>
      </c>
      <c r="G147">
        <v>40.382382999999997</v>
      </c>
      <c r="H147">
        <v>3.6884229999999998</v>
      </c>
      <c r="I147">
        <v>4.3600000000000003E-5</v>
      </c>
      <c r="J147">
        <v>9.6490000000000003E-6</v>
      </c>
      <c r="K147">
        <v>29.0017</v>
      </c>
      <c r="L147">
        <v>17.644500000000001</v>
      </c>
      <c r="M147">
        <v>0</v>
      </c>
      <c r="N147">
        <v>31.5624</v>
      </c>
      <c r="O147">
        <v>0</v>
      </c>
    </row>
    <row r="148" spans="1:15" x14ac:dyDescent="0.25">
      <c r="A148" t="s">
        <v>14</v>
      </c>
      <c r="B148" t="s">
        <v>18</v>
      </c>
      <c r="C148">
        <v>3</v>
      </c>
      <c r="D148">
        <v>100</v>
      </c>
      <c r="E148">
        <v>800</v>
      </c>
      <c r="F148" t="str">
        <f t="shared" si="2"/>
        <v>lena256_blurkernel10_3_100_800</v>
      </c>
      <c r="G148">
        <v>33.941422000000003</v>
      </c>
      <c r="H148">
        <v>3.5235919999999998</v>
      </c>
      <c r="I148">
        <v>8.9408999999999997E-5</v>
      </c>
      <c r="J148">
        <v>9.6490000000000003E-6</v>
      </c>
      <c r="K148">
        <v>25.8809</v>
      </c>
      <c r="L148">
        <v>17.644500000000001</v>
      </c>
      <c r="M148">
        <v>0</v>
      </c>
      <c r="N148">
        <v>29.737100000000002</v>
      </c>
      <c r="O148">
        <v>0</v>
      </c>
    </row>
    <row r="149" spans="1:15" x14ac:dyDescent="0.25">
      <c r="A149" t="s">
        <v>14</v>
      </c>
      <c r="B149" t="s">
        <v>18</v>
      </c>
      <c r="C149">
        <v>3</v>
      </c>
      <c r="D149">
        <v>100</v>
      </c>
      <c r="E149">
        <v>1600</v>
      </c>
      <c r="F149" t="str">
        <f t="shared" si="2"/>
        <v>lena256_blurkernel10_3_100_1600</v>
      </c>
      <c r="G149">
        <v>29.974851000000001</v>
      </c>
      <c r="H149">
        <v>3.4539200000000001</v>
      </c>
      <c r="I149">
        <v>1.8331099999999999E-4</v>
      </c>
      <c r="J149">
        <v>9.6490000000000003E-6</v>
      </c>
      <c r="K149">
        <v>22.777000000000001</v>
      </c>
      <c r="L149">
        <v>17.644500000000001</v>
      </c>
      <c r="M149">
        <v>0</v>
      </c>
      <c r="N149">
        <v>28.116900000000001</v>
      </c>
      <c r="O149">
        <v>0</v>
      </c>
    </row>
    <row r="150" spans="1:15" x14ac:dyDescent="0.25">
      <c r="A150" t="s">
        <v>14</v>
      </c>
      <c r="B150" t="s">
        <v>18</v>
      </c>
      <c r="C150">
        <v>3</v>
      </c>
      <c r="D150">
        <v>100</v>
      </c>
      <c r="E150">
        <v>3200</v>
      </c>
      <c r="F150" t="str">
        <f t="shared" si="2"/>
        <v>lena256_blurkernel10_3_100_3200</v>
      </c>
      <c r="G150">
        <v>27.499207999999999</v>
      </c>
      <c r="H150">
        <v>3.433462</v>
      </c>
      <c r="I150">
        <v>3.7134400000000001E-4</v>
      </c>
      <c r="J150">
        <v>9.6490000000000003E-6</v>
      </c>
      <c r="K150">
        <v>19.7316</v>
      </c>
      <c r="L150">
        <v>17.644500000000001</v>
      </c>
      <c r="M150">
        <v>0</v>
      </c>
      <c r="N150">
        <v>26.6709</v>
      </c>
      <c r="O150">
        <v>0</v>
      </c>
    </row>
    <row r="151" spans="1:15" x14ac:dyDescent="0.25">
      <c r="A151" t="s">
        <v>14</v>
      </c>
      <c r="B151" t="s">
        <v>18</v>
      </c>
      <c r="C151">
        <v>3</v>
      </c>
      <c r="D151">
        <v>100</v>
      </c>
      <c r="E151">
        <v>6400</v>
      </c>
      <c r="F151" t="str">
        <f t="shared" si="2"/>
        <v>lena256_blurkernel10_3_100_6400</v>
      </c>
      <c r="G151">
        <v>25.567865999999999</v>
      </c>
      <c r="H151">
        <v>3.4459900000000001</v>
      </c>
      <c r="I151">
        <v>7.5955599999999999E-4</v>
      </c>
      <c r="J151">
        <v>9.6490000000000003E-6</v>
      </c>
      <c r="K151">
        <v>16.670200000000001</v>
      </c>
      <c r="L151">
        <v>17.644500000000001</v>
      </c>
      <c r="M151">
        <v>0</v>
      </c>
      <c r="N151">
        <v>25.6111</v>
      </c>
      <c r="O151">
        <v>0</v>
      </c>
    </row>
    <row r="152" spans="1:15" x14ac:dyDescent="0.25">
      <c r="A152" t="s">
        <v>14</v>
      </c>
      <c r="B152" t="s">
        <v>18</v>
      </c>
      <c r="C152">
        <v>3</v>
      </c>
      <c r="D152">
        <v>100</v>
      </c>
      <c r="E152">
        <v>12800</v>
      </c>
      <c r="F152" t="str">
        <f t="shared" si="2"/>
        <v>lena256_blurkernel10_3_100_12800</v>
      </c>
      <c r="G152">
        <v>23.854966000000001</v>
      </c>
      <c r="H152">
        <v>3.476229</v>
      </c>
      <c r="I152">
        <v>1.614957E-3</v>
      </c>
      <c r="J152">
        <v>9.6490000000000003E-6</v>
      </c>
      <c r="K152">
        <v>13.4994</v>
      </c>
      <c r="L152">
        <v>17.644500000000001</v>
      </c>
      <c r="M152">
        <v>0</v>
      </c>
      <c r="N152">
        <v>24.563500000000001</v>
      </c>
      <c r="O152">
        <v>0</v>
      </c>
    </row>
    <row r="153" spans="1:15" x14ac:dyDescent="0.25">
      <c r="A153" t="s">
        <v>14</v>
      </c>
      <c r="B153" t="s">
        <v>18</v>
      </c>
      <c r="C153">
        <v>3</v>
      </c>
      <c r="D153">
        <v>100</v>
      </c>
      <c r="E153">
        <v>25600</v>
      </c>
      <c r="F153" t="str">
        <f t="shared" si="2"/>
        <v>lena256_blurkernel10_3_100_25600</v>
      </c>
      <c r="G153">
        <v>22.517782</v>
      </c>
      <c r="H153">
        <v>3.5060570000000002</v>
      </c>
      <c r="I153">
        <v>3.5950019999999999E-3</v>
      </c>
      <c r="J153">
        <v>9.6490000000000003E-6</v>
      </c>
      <c r="K153">
        <v>10.2514</v>
      </c>
      <c r="L153">
        <v>17.644500000000001</v>
      </c>
      <c r="M153">
        <v>0</v>
      </c>
      <c r="N153">
        <v>23.976800000000001</v>
      </c>
      <c r="O153">
        <v>0</v>
      </c>
    </row>
    <row r="154" spans="1:15" x14ac:dyDescent="0.25">
      <c r="A154" t="s">
        <v>14</v>
      </c>
      <c r="B154" t="s">
        <v>18</v>
      </c>
      <c r="C154">
        <v>3</v>
      </c>
      <c r="D154">
        <v>100</v>
      </c>
      <c r="E154">
        <v>102400</v>
      </c>
      <c r="F154" t="str">
        <f t="shared" si="2"/>
        <v>lena256_blurkernel10_3_100_102400</v>
      </c>
      <c r="G154">
        <v>21.229924</v>
      </c>
      <c r="H154">
        <v>3.5704950000000002</v>
      </c>
      <c r="I154">
        <v>2.1042022000000001E-2</v>
      </c>
      <c r="J154">
        <v>9.4660000000000005E-6</v>
      </c>
      <c r="K154">
        <v>4.1284000000000001</v>
      </c>
      <c r="L154">
        <v>17.6389</v>
      </c>
      <c r="M154">
        <v>0</v>
      </c>
      <c r="N154">
        <v>20.938600000000001</v>
      </c>
      <c r="O154">
        <v>0</v>
      </c>
    </row>
    <row r="155" spans="1:15" x14ac:dyDescent="0.25">
      <c r="A155" t="s">
        <v>14</v>
      </c>
      <c r="B155" t="s">
        <v>18</v>
      </c>
      <c r="C155">
        <v>7</v>
      </c>
      <c r="D155">
        <v>100</v>
      </c>
      <c r="E155">
        <v>200</v>
      </c>
      <c r="F155" t="str">
        <f t="shared" si="2"/>
        <v>lena256_blurkernel10_7_100_200</v>
      </c>
      <c r="G155">
        <v>45.697293000000002</v>
      </c>
      <c r="H155">
        <v>10.544544</v>
      </c>
      <c r="I155">
        <v>2.1043000000000002E-5</v>
      </c>
      <c r="J155">
        <v>9.5859999999999994E-6</v>
      </c>
      <c r="K155">
        <v>32.158799999999999</v>
      </c>
      <c r="L155">
        <v>12.0099</v>
      </c>
      <c r="M155">
        <v>0</v>
      </c>
      <c r="N155">
        <v>32.985799999999998</v>
      </c>
      <c r="O155">
        <v>0</v>
      </c>
    </row>
    <row r="156" spans="1:15" x14ac:dyDescent="0.25">
      <c r="A156" t="s">
        <v>14</v>
      </c>
      <c r="B156" t="s">
        <v>18</v>
      </c>
      <c r="C156">
        <v>7</v>
      </c>
      <c r="D156">
        <v>100</v>
      </c>
      <c r="E156">
        <v>400</v>
      </c>
      <c r="F156" t="str">
        <f t="shared" si="2"/>
        <v>lena256_blurkernel10_7_100_400</v>
      </c>
      <c r="G156">
        <v>33.247166</v>
      </c>
      <c r="H156">
        <v>9.6427359999999993</v>
      </c>
      <c r="I156">
        <v>4.3906999999999998E-5</v>
      </c>
      <c r="J156">
        <v>9.5859999999999994E-6</v>
      </c>
      <c r="K156">
        <v>28.967099999999999</v>
      </c>
      <c r="L156">
        <v>12.0099</v>
      </c>
      <c r="M156">
        <v>0</v>
      </c>
      <c r="N156">
        <v>30.3325</v>
      </c>
      <c r="O156">
        <v>0</v>
      </c>
    </row>
    <row r="157" spans="1:15" x14ac:dyDescent="0.25">
      <c r="A157" t="s">
        <v>14</v>
      </c>
      <c r="B157" t="s">
        <v>18</v>
      </c>
      <c r="C157">
        <v>7</v>
      </c>
      <c r="D157">
        <v>100</v>
      </c>
      <c r="E157">
        <v>800</v>
      </c>
      <c r="F157" t="str">
        <f t="shared" si="2"/>
        <v>lena256_blurkernel10_7_100_800</v>
      </c>
      <c r="G157">
        <v>25.307358000000001</v>
      </c>
      <c r="H157">
        <v>9.1944230000000005</v>
      </c>
      <c r="I157">
        <v>8.9678000000000004E-5</v>
      </c>
      <c r="J157">
        <v>9.5859999999999994E-6</v>
      </c>
      <c r="K157">
        <v>25.87</v>
      </c>
      <c r="L157">
        <v>12.0099</v>
      </c>
      <c r="M157">
        <v>0</v>
      </c>
      <c r="N157">
        <v>28.070699999999999</v>
      </c>
      <c r="O157">
        <v>0</v>
      </c>
    </row>
    <row r="158" spans="1:15" x14ac:dyDescent="0.25">
      <c r="A158" t="s">
        <v>14</v>
      </c>
      <c r="B158" t="s">
        <v>18</v>
      </c>
      <c r="C158">
        <v>7</v>
      </c>
      <c r="D158">
        <v>100</v>
      </c>
      <c r="E158">
        <v>1600</v>
      </c>
      <c r="F158" t="str">
        <f t="shared" si="2"/>
        <v>lena256_blurkernel10_7_100_1600</v>
      </c>
      <c r="G158">
        <v>20.315384000000002</v>
      </c>
      <c r="H158">
        <v>8.9786490000000008</v>
      </c>
      <c r="I158">
        <v>1.79867E-4</v>
      </c>
      <c r="J158">
        <v>9.5859999999999994E-6</v>
      </c>
      <c r="K158">
        <v>22.859100000000002</v>
      </c>
      <c r="L158">
        <v>12.0099</v>
      </c>
      <c r="M158">
        <v>0</v>
      </c>
      <c r="N158">
        <v>26.033300000000001</v>
      </c>
      <c r="O158">
        <v>0</v>
      </c>
    </row>
    <row r="159" spans="1:15" x14ac:dyDescent="0.25">
      <c r="A159" t="s">
        <v>14</v>
      </c>
      <c r="B159" t="s">
        <v>18</v>
      </c>
      <c r="C159">
        <v>7</v>
      </c>
      <c r="D159">
        <v>100</v>
      </c>
      <c r="E159">
        <v>3200</v>
      </c>
      <c r="F159" t="str">
        <f t="shared" si="2"/>
        <v>lena256_blurkernel10_7_100_3200</v>
      </c>
      <c r="G159">
        <v>17.114322999999999</v>
      </c>
      <c r="H159">
        <v>8.8760239999999992</v>
      </c>
      <c r="I159">
        <v>3.6634699999999999E-4</v>
      </c>
      <c r="J159">
        <v>9.5859999999999994E-6</v>
      </c>
      <c r="K159">
        <v>19.794699999999999</v>
      </c>
      <c r="L159">
        <v>12.0099</v>
      </c>
      <c r="M159">
        <v>0</v>
      </c>
      <c r="N159">
        <v>24.465199999999999</v>
      </c>
      <c r="O159">
        <v>0</v>
      </c>
    </row>
    <row r="160" spans="1:15" x14ac:dyDescent="0.25">
      <c r="A160" t="s">
        <v>14</v>
      </c>
      <c r="B160" t="s">
        <v>18</v>
      </c>
      <c r="C160">
        <v>7</v>
      </c>
      <c r="D160">
        <v>100</v>
      </c>
      <c r="E160">
        <v>6400</v>
      </c>
      <c r="F160" t="str">
        <f t="shared" si="2"/>
        <v>lena256_blurkernel10_7_100_6400</v>
      </c>
      <c r="G160">
        <v>15.123765000000001</v>
      </c>
      <c r="H160">
        <v>8.8328380000000006</v>
      </c>
      <c r="I160">
        <v>7.5985099999999997E-4</v>
      </c>
      <c r="J160">
        <v>9.5859999999999994E-6</v>
      </c>
      <c r="K160">
        <v>16.663900000000002</v>
      </c>
      <c r="L160">
        <v>12.0099</v>
      </c>
      <c r="M160">
        <v>0</v>
      </c>
      <c r="N160">
        <v>22.854199999999999</v>
      </c>
      <c r="O160">
        <v>0</v>
      </c>
    </row>
    <row r="161" spans="1:15" x14ac:dyDescent="0.25">
      <c r="A161" t="s">
        <v>14</v>
      </c>
      <c r="B161" t="s">
        <v>18</v>
      </c>
      <c r="C161">
        <v>7</v>
      </c>
      <c r="D161">
        <v>100</v>
      </c>
      <c r="E161">
        <v>12800</v>
      </c>
      <c r="F161" t="str">
        <f t="shared" si="2"/>
        <v>lena256_blurkernel10_7_100_12800</v>
      </c>
      <c r="G161">
        <v>13.704948</v>
      </c>
      <c r="H161">
        <v>8.8297500000000007</v>
      </c>
      <c r="I161">
        <v>1.6178099999999999E-3</v>
      </c>
      <c r="J161">
        <v>9.5859999999999994E-6</v>
      </c>
      <c r="K161">
        <v>13.4979</v>
      </c>
      <c r="L161">
        <v>12.0099</v>
      </c>
      <c r="M161">
        <v>0</v>
      </c>
      <c r="N161">
        <v>21.801500000000001</v>
      </c>
      <c r="O161">
        <v>0</v>
      </c>
    </row>
    <row r="162" spans="1:15" x14ac:dyDescent="0.25">
      <c r="A162" t="s">
        <v>14</v>
      </c>
      <c r="B162" t="s">
        <v>18</v>
      </c>
      <c r="C162">
        <v>7</v>
      </c>
      <c r="D162">
        <v>100</v>
      </c>
      <c r="E162">
        <v>25600</v>
      </c>
      <c r="F162" t="str">
        <f t="shared" si="2"/>
        <v>lena256_blurkernel10_7_100_25600</v>
      </c>
      <c r="G162">
        <v>12.674661</v>
      </c>
      <c r="H162">
        <v>8.843083</v>
      </c>
      <c r="I162">
        <v>3.5278470000000002E-3</v>
      </c>
      <c r="J162">
        <v>9.5859999999999994E-6</v>
      </c>
      <c r="K162">
        <v>10.334199999999999</v>
      </c>
      <c r="L162">
        <v>12.0099</v>
      </c>
      <c r="M162">
        <v>0</v>
      </c>
      <c r="N162">
        <v>20.579000000000001</v>
      </c>
      <c r="O162">
        <v>0</v>
      </c>
    </row>
    <row r="163" spans="1:15" x14ac:dyDescent="0.25">
      <c r="A163" t="s">
        <v>14</v>
      </c>
      <c r="B163" t="s">
        <v>18</v>
      </c>
      <c r="C163">
        <v>7</v>
      </c>
      <c r="D163">
        <v>100</v>
      </c>
      <c r="E163">
        <v>102400</v>
      </c>
      <c r="F163" t="str">
        <f t="shared" si="2"/>
        <v>lena256_blurkernel10_7_100_102400</v>
      </c>
      <c r="G163">
        <v>10.512522000000001</v>
      </c>
      <c r="H163">
        <v>8.9807670000000002</v>
      </c>
      <c r="I163">
        <v>2.1236685000000002E-2</v>
      </c>
      <c r="J163">
        <v>9.4450000000000002E-6</v>
      </c>
      <c r="K163">
        <v>4.0980999999999996</v>
      </c>
      <c r="L163">
        <v>12.0152</v>
      </c>
      <c r="M163">
        <v>0</v>
      </c>
      <c r="N163">
        <v>16.478899999999999</v>
      </c>
      <c r="O163">
        <v>0</v>
      </c>
    </row>
    <row r="164" spans="1:15" x14ac:dyDescent="0.25">
      <c r="A164" t="s">
        <v>14</v>
      </c>
      <c r="B164" t="s">
        <v>18</v>
      </c>
      <c r="C164">
        <v>15</v>
      </c>
      <c r="D164">
        <v>100</v>
      </c>
      <c r="E164">
        <v>200</v>
      </c>
      <c r="F164" t="str">
        <f t="shared" si="2"/>
        <v>lena256_blurkernel10_15_100_200</v>
      </c>
      <c r="G164">
        <v>44.734110000000001</v>
      </c>
      <c r="H164">
        <v>23.298757999999999</v>
      </c>
      <c r="I164">
        <v>2.0761E-5</v>
      </c>
      <c r="J164">
        <v>9.4879999999999996E-6</v>
      </c>
      <c r="K164">
        <v>32.217199999999998</v>
      </c>
      <c r="L164">
        <v>8.4255999999999993</v>
      </c>
      <c r="M164">
        <v>0</v>
      </c>
      <c r="N164">
        <v>32.114400000000003</v>
      </c>
      <c r="O164">
        <v>0</v>
      </c>
    </row>
    <row r="165" spans="1:15" x14ac:dyDescent="0.25">
      <c r="A165" t="s">
        <v>14</v>
      </c>
      <c r="B165" t="s">
        <v>18</v>
      </c>
      <c r="C165">
        <v>15</v>
      </c>
      <c r="D165">
        <v>100</v>
      </c>
      <c r="E165">
        <v>400</v>
      </c>
      <c r="F165" t="str">
        <f t="shared" si="2"/>
        <v>lena256_blurkernel10_15_100_400</v>
      </c>
      <c r="G165">
        <v>31.691465000000001</v>
      </c>
      <c r="H165">
        <v>21.223309</v>
      </c>
      <c r="I165">
        <v>4.3244000000000001E-5</v>
      </c>
      <c r="J165">
        <v>9.5279999999999992E-6</v>
      </c>
      <c r="K165">
        <v>29.034300000000002</v>
      </c>
      <c r="L165">
        <v>8.4263999999999992</v>
      </c>
      <c r="M165">
        <v>0</v>
      </c>
      <c r="N165">
        <v>30.002099999999999</v>
      </c>
      <c r="O165">
        <v>0</v>
      </c>
    </row>
    <row r="166" spans="1:15" x14ac:dyDescent="0.25">
      <c r="A166" t="s">
        <v>14</v>
      </c>
      <c r="B166" t="s">
        <v>18</v>
      </c>
      <c r="C166">
        <v>15</v>
      </c>
      <c r="D166">
        <v>100</v>
      </c>
      <c r="E166">
        <v>800</v>
      </c>
      <c r="F166" t="str">
        <f t="shared" si="2"/>
        <v>lena256_blurkernel10_15_100_800</v>
      </c>
      <c r="G166">
        <v>22.973517999999999</v>
      </c>
      <c r="H166">
        <v>20.251929000000001</v>
      </c>
      <c r="I166">
        <v>8.8629999999999997E-5</v>
      </c>
      <c r="J166">
        <v>9.4879999999999996E-6</v>
      </c>
      <c r="K166">
        <v>25.9207</v>
      </c>
      <c r="L166">
        <v>8.4255999999999993</v>
      </c>
      <c r="M166">
        <v>0</v>
      </c>
      <c r="N166">
        <v>27.5549</v>
      </c>
      <c r="O166">
        <v>0</v>
      </c>
    </row>
    <row r="167" spans="1:15" x14ac:dyDescent="0.25">
      <c r="A167" t="s">
        <v>14</v>
      </c>
      <c r="B167" t="s">
        <v>18</v>
      </c>
      <c r="C167">
        <v>15</v>
      </c>
      <c r="D167">
        <v>100</v>
      </c>
      <c r="E167">
        <v>1600</v>
      </c>
      <c r="F167" t="str">
        <f t="shared" si="2"/>
        <v>lena256_blurkernel10_15_100_1600</v>
      </c>
      <c r="G167">
        <v>17.157829</v>
      </c>
      <c r="H167">
        <v>19.690982999999999</v>
      </c>
      <c r="I167">
        <v>1.8311600000000001E-4</v>
      </c>
      <c r="J167">
        <v>9.5279999999999992E-6</v>
      </c>
      <c r="K167">
        <v>22.779699999999998</v>
      </c>
      <c r="L167">
        <v>8.4263999999999992</v>
      </c>
      <c r="M167">
        <v>0</v>
      </c>
      <c r="N167">
        <v>25.2668</v>
      </c>
      <c r="O167">
        <v>0</v>
      </c>
    </row>
    <row r="168" spans="1:15" x14ac:dyDescent="0.25">
      <c r="A168" t="s">
        <v>14</v>
      </c>
      <c r="B168" t="s">
        <v>18</v>
      </c>
      <c r="C168">
        <v>15</v>
      </c>
      <c r="D168">
        <v>100</v>
      </c>
      <c r="E168">
        <v>3200</v>
      </c>
      <c r="F168" t="str">
        <f t="shared" si="2"/>
        <v>lena256_blurkernel10_15_100_3200</v>
      </c>
      <c r="G168">
        <v>13.406724000000001</v>
      </c>
      <c r="H168">
        <v>19.496853000000002</v>
      </c>
      <c r="I168">
        <v>3.7041100000000001E-4</v>
      </c>
      <c r="J168">
        <v>9.4879999999999996E-6</v>
      </c>
      <c r="K168">
        <v>19.747499999999999</v>
      </c>
      <c r="L168">
        <v>8.4255999999999993</v>
      </c>
      <c r="M168">
        <v>0</v>
      </c>
      <c r="N168">
        <v>23.445900000000002</v>
      </c>
      <c r="O168">
        <v>0</v>
      </c>
    </row>
    <row r="169" spans="1:15" x14ac:dyDescent="0.25">
      <c r="A169" t="s">
        <v>14</v>
      </c>
      <c r="B169" t="s">
        <v>18</v>
      </c>
      <c r="C169">
        <v>15</v>
      </c>
      <c r="D169">
        <v>100</v>
      </c>
      <c r="E169">
        <v>6400</v>
      </c>
      <c r="F169" t="str">
        <f t="shared" si="2"/>
        <v>lena256_blurkernel10_15_100_6400</v>
      </c>
      <c r="G169">
        <v>10.922185000000001</v>
      </c>
      <c r="H169">
        <v>19.350273999999999</v>
      </c>
      <c r="I169">
        <v>7.6065599999999996E-4</v>
      </c>
      <c r="J169">
        <v>9.5279999999999992E-6</v>
      </c>
      <c r="K169">
        <v>16.671700000000001</v>
      </c>
      <c r="L169">
        <v>8.4263999999999992</v>
      </c>
      <c r="M169">
        <v>0</v>
      </c>
      <c r="N169">
        <v>21.9068</v>
      </c>
      <c r="O169">
        <v>0</v>
      </c>
    </row>
    <row r="170" spans="1:15" x14ac:dyDescent="0.25">
      <c r="A170" t="s">
        <v>14</v>
      </c>
      <c r="B170" t="s">
        <v>18</v>
      </c>
      <c r="C170">
        <v>15</v>
      </c>
      <c r="D170">
        <v>100</v>
      </c>
      <c r="E170">
        <v>12800</v>
      </c>
      <c r="F170" t="str">
        <f t="shared" si="2"/>
        <v>lena256_blurkernel10_15_100_12800</v>
      </c>
      <c r="G170">
        <v>9.2352209999999992</v>
      </c>
      <c r="H170">
        <v>19.353289</v>
      </c>
      <c r="I170">
        <v>1.621457E-3</v>
      </c>
      <c r="J170">
        <v>9.4879999999999996E-6</v>
      </c>
      <c r="K170">
        <v>13.4863</v>
      </c>
      <c r="L170">
        <v>8.4255999999999993</v>
      </c>
      <c r="M170">
        <v>0</v>
      </c>
      <c r="N170">
        <v>20.5213</v>
      </c>
      <c r="O170">
        <v>0</v>
      </c>
    </row>
    <row r="171" spans="1:15" x14ac:dyDescent="0.25">
      <c r="A171" t="s">
        <v>14</v>
      </c>
      <c r="B171" t="s">
        <v>18</v>
      </c>
      <c r="C171">
        <v>15</v>
      </c>
      <c r="D171">
        <v>100</v>
      </c>
      <c r="E171">
        <v>25600</v>
      </c>
      <c r="F171" t="str">
        <f t="shared" si="2"/>
        <v>lena256_blurkernel10_15_100_25600</v>
      </c>
      <c r="G171">
        <v>8.1069619999999993</v>
      </c>
      <c r="H171">
        <v>19.307655</v>
      </c>
      <c r="I171">
        <v>3.5659260000000001E-3</v>
      </c>
      <c r="J171">
        <v>9.5279999999999992E-6</v>
      </c>
      <c r="K171">
        <v>10.2957</v>
      </c>
      <c r="L171">
        <v>8.4263999999999992</v>
      </c>
      <c r="M171">
        <v>0</v>
      </c>
      <c r="N171">
        <v>19.436599999999999</v>
      </c>
      <c r="O171">
        <v>0</v>
      </c>
    </row>
    <row r="172" spans="1:15" x14ac:dyDescent="0.25">
      <c r="A172" t="s">
        <v>14</v>
      </c>
      <c r="B172" t="s">
        <v>18</v>
      </c>
      <c r="C172">
        <v>15</v>
      </c>
      <c r="D172">
        <v>100</v>
      </c>
      <c r="E172">
        <v>102400</v>
      </c>
      <c r="F172" t="str">
        <f t="shared" si="2"/>
        <v>lena256_blurkernel10_15_100_102400</v>
      </c>
      <c r="G172">
        <v>6.6109400000000003</v>
      </c>
      <c r="H172">
        <v>19.355170999999999</v>
      </c>
      <c r="I172">
        <v>2.1259394000000001E-2</v>
      </c>
      <c r="J172">
        <v>9.5109999999999992E-6</v>
      </c>
      <c r="K172">
        <v>4.0972999999999997</v>
      </c>
      <c r="L172">
        <v>8.4284999999999997</v>
      </c>
      <c r="M172">
        <v>0</v>
      </c>
      <c r="N172">
        <v>17.118200000000002</v>
      </c>
      <c r="O172">
        <v>0</v>
      </c>
    </row>
    <row r="173" spans="1:15" x14ac:dyDescent="0.25">
      <c r="A173" t="s">
        <v>14</v>
      </c>
      <c r="B173" t="s">
        <v>18</v>
      </c>
      <c r="C173">
        <v>31</v>
      </c>
      <c r="D173">
        <v>100</v>
      </c>
      <c r="E173">
        <v>200</v>
      </c>
      <c r="F173" t="str">
        <f t="shared" si="2"/>
        <v>lena256_blurkernel10_31_100_200</v>
      </c>
      <c r="G173">
        <v>44.239513000000002</v>
      </c>
      <c r="H173">
        <v>48.170738999999998</v>
      </c>
      <c r="I173">
        <v>2.0990000000000001E-5</v>
      </c>
      <c r="J173">
        <v>9.5070000000000006E-6</v>
      </c>
      <c r="K173">
        <v>32.168799999999997</v>
      </c>
      <c r="L173">
        <v>5.6357999999999997</v>
      </c>
      <c r="M173">
        <v>0</v>
      </c>
      <c r="N173">
        <v>31.509499999999999</v>
      </c>
      <c r="O173">
        <v>0</v>
      </c>
    </row>
    <row r="174" spans="1:15" x14ac:dyDescent="0.25">
      <c r="A174" t="s">
        <v>14</v>
      </c>
      <c r="B174" t="s">
        <v>18</v>
      </c>
      <c r="C174">
        <v>31</v>
      </c>
      <c r="D174">
        <v>100</v>
      </c>
      <c r="E174">
        <v>400</v>
      </c>
      <c r="F174" t="str">
        <f t="shared" si="2"/>
        <v>lena256_blurkernel10_31_100_400</v>
      </c>
      <c r="G174">
        <v>31.024228000000001</v>
      </c>
      <c r="H174">
        <v>44.027994</v>
      </c>
      <c r="I174">
        <v>4.3650999999999999E-5</v>
      </c>
      <c r="J174">
        <v>9.4509999999999998E-6</v>
      </c>
      <c r="K174">
        <v>28.992899999999999</v>
      </c>
      <c r="L174">
        <v>5.6353999999999997</v>
      </c>
      <c r="M174">
        <v>0</v>
      </c>
      <c r="N174">
        <v>28.576499999999999</v>
      </c>
      <c r="O174">
        <v>0</v>
      </c>
    </row>
    <row r="175" spans="1:15" x14ac:dyDescent="0.25">
      <c r="A175" t="s">
        <v>14</v>
      </c>
      <c r="B175" t="s">
        <v>18</v>
      </c>
      <c r="C175">
        <v>31</v>
      </c>
      <c r="D175">
        <v>100</v>
      </c>
      <c r="E175">
        <v>800</v>
      </c>
      <c r="F175" t="str">
        <f t="shared" si="2"/>
        <v>lena256_blurkernel10_31_100_800</v>
      </c>
      <c r="G175">
        <v>22.177126999999999</v>
      </c>
      <c r="H175">
        <v>41.800457999999999</v>
      </c>
      <c r="I175">
        <v>8.8729999999999999E-5</v>
      </c>
      <c r="J175">
        <v>9.5070000000000006E-6</v>
      </c>
      <c r="K175">
        <v>25.917899999999999</v>
      </c>
      <c r="L175">
        <v>5.6357999999999997</v>
      </c>
      <c r="M175">
        <v>0</v>
      </c>
      <c r="N175">
        <v>25.927499999999998</v>
      </c>
      <c r="O175">
        <v>0</v>
      </c>
    </row>
    <row r="176" spans="1:15" x14ac:dyDescent="0.25">
      <c r="A176" t="s">
        <v>14</v>
      </c>
      <c r="B176" t="s">
        <v>18</v>
      </c>
      <c r="C176">
        <v>31</v>
      </c>
      <c r="D176">
        <v>100</v>
      </c>
      <c r="E176">
        <v>1600</v>
      </c>
      <c r="F176" t="str">
        <f t="shared" si="2"/>
        <v>lena256_blurkernel10_31_100_1600</v>
      </c>
      <c r="G176">
        <v>15.869624999999999</v>
      </c>
      <c r="H176">
        <v>40.902518999999998</v>
      </c>
      <c r="I176">
        <v>1.8081299999999999E-4</v>
      </c>
      <c r="J176">
        <v>9.4509999999999998E-6</v>
      </c>
      <c r="K176">
        <v>22.835100000000001</v>
      </c>
      <c r="L176">
        <v>5.6353999999999997</v>
      </c>
      <c r="M176">
        <v>0</v>
      </c>
      <c r="N176">
        <v>23.4376</v>
      </c>
      <c r="O176">
        <v>0</v>
      </c>
    </row>
    <row r="177" spans="1:15" x14ac:dyDescent="0.25">
      <c r="A177" t="s">
        <v>14</v>
      </c>
      <c r="B177" t="s">
        <v>18</v>
      </c>
      <c r="C177">
        <v>31</v>
      </c>
      <c r="D177">
        <v>100</v>
      </c>
      <c r="E177">
        <v>3200</v>
      </c>
      <c r="F177" t="str">
        <f t="shared" si="2"/>
        <v>lena256_blurkernel10_31_100_3200</v>
      </c>
      <c r="G177">
        <v>12.028259</v>
      </c>
      <c r="H177">
        <v>40.184274000000002</v>
      </c>
      <c r="I177">
        <v>3.6713400000000003E-4</v>
      </c>
      <c r="J177">
        <v>9.5070000000000006E-6</v>
      </c>
      <c r="K177">
        <v>19.7818</v>
      </c>
      <c r="L177">
        <v>5.6357999999999997</v>
      </c>
      <c r="M177">
        <v>0</v>
      </c>
      <c r="N177">
        <v>21.529900000000001</v>
      </c>
      <c r="O177">
        <v>0</v>
      </c>
    </row>
    <row r="178" spans="1:15" x14ac:dyDescent="0.25">
      <c r="A178" t="s">
        <v>14</v>
      </c>
      <c r="B178" t="s">
        <v>18</v>
      </c>
      <c r="C178">
        <v>31</v>
      </c>
      <c r="D178">
        <v>100</v>
      </c>
      <c r="E178">
        <v>6400</v>
      </c>
      <c r="F178" t="str">
        <f t="shared" si="2"/>
        <v>lena256_blurkernel10_31_100_6400</v>
      </c>
      <c r="G178">
        <v>9.3005040000000001</v>
      </c>
      <c r="H178">
        <v>40.039712000000002</v>
      </c>
      <c r="I178">
        <v>7.5763600000000001E-4</v>
      </c>
      <c r="J178">
        <v>9.4509999999999998E-6</v>
      </c>
      <c r="K178">
        <v>16.679099999999998</v>
      </c>
      <c r="L178">
        <v>5.6353999999999997</v>
      </c>
      <c r="M178">
        <v>0</v>
      </c>
      <c r="N178">
        <v>19.792200000000001</v>
      </c>
      <c r="O178">
        <v>0</v>
      </c>
    </row>
    <row r="179" spans="1:15" x14ac:dyDescent="0.25">
      <c r="A179" t="s">
        <v>14</v>
      </c>
      <c r="B179" t="s">
        <v>18</v>
      </c>
      <c r="C179">
        <v>31</v>
      </c>
      <c r="D179">
        <v>100</v>
      </c>
      <c r="E179">
        <v>12800</v>
      </c>
      <c r="F179" t="str">
        <f t="shared" si="2"/>
        <v>lena256_blurkernel10_31_100_12800</v>
      </c>
      <c r="G179">
        <v>7.3925840000000003</v>
      </c>
      <c r="H179">
        <v>39.819572000000001</v>
      </c>
      <c r="I179">
        <v>1.604748E-3</v>
      </c>
      <c r="J179">
        <v>9.5070000000000006E-6</v>
      </c>
      <c r="K179">
        <v>13.5337</v>
      </c>
      <c r="L179">
        <v>5.6357999999999997</v>
      </c>
      <c r="M179">
        <v>0</v>
      </c>
      <c r="N179">
        <v>18.2578</v>
      </c>
      <c r="O179">
        <v>0</v>
      </c>
    </row>
    <row r="180" spans="1:15" x14ac:dyDescent="0.25">
      <c r="A180" t="s">
        <v>14</v>
      </c>
      <c r="B180" t="s">
        <v>18</v>
      </c>
      <c r="C180">
        <v>31</v>
      </c>
      <c r="D180">
        <v>100</v>
      </c>
      <c r="E180">
        <v>25600</v>
      </c>
      <c r="F180" t="str">
        <f t="shared" si="2"/>
        <v>lena256_blurkernel10_31_100_25600</v>
      </c>
      <c r="G180">
        <v>6.1245279999999998</v>
      </c>
      <c r="H180">
        <v>39.900612000000002</v>
      </c>
      <c r="I180">
        <v>3.537615E-3</v>
      </c>
      <c r="J180">
        <v>9.4509999999999998E-6</v>
      </c>
      <c r="K180">
        <v>10.318199999999999</v>
      </c>
      <c r="L180">
        <v>5.6353999999999997</v>
      </c>
      <c r="M180">
        <v>0</v>
      </c>
      <c r="N180">
        <v>17.142600000000002</v>
      </c>
      <c r="O180">
        <v>0</v>
      </c>
    </row>
    <row r="181" spans="1:15" x14ac:dyDescent="0.25">
      <c r="A181" t="s">
        <v>14</v>
      </c>
      <c r="B181" t="s">
        <v>18</v>
      </c>
      <c r="C181">
        <v>31</v>
      </c>
      <c r="D181">
        <v>100</v>
      </c>
      <c r="E181">
        <v>102400</v>
      </c>
      <c r="F181" t="str">
        <f t="shared" si="2"/>
        <v>lena256_blurkernel10_31_100_102400</v>
      </c>
      <c r="G181">
        <v>4.4212550000000004</v>
      </c>
      <c r="H181">
        <v>39.788916999999998</v>
      </c>
      <c r="I181">
        <v>2.0931994999999998E-2</v>
      </c>
      <c r="J181">
        <v>9.5179999999999993E-6</v>
      </c>
      <c r="K181">
        <v>4.1477000000000004</v>
      </c>
      <c r="L181">
        <v>5.6349999999999998</v>
      </c>
      <c r="M181">
        <v>0</v>
      </c>
      <c r="N181">
        <v>13.450799999999999</v>
      </c>
      <c r="O181">
        <v>0</v>
      </c>
    </row>
    <row r="182" spans="1:15" x14ac:dyDescent="0.25">
      <c r="A182" t="s">
        <v>14</v>
      </c>
      <c r="B182" t="s">
        <v>15</v>
      </c>
      <c r="C182">
        <v>3</v>
      </c>
      <c r="D182">
        <v>100</v>
      </c>
      <c r="E182">
        <v>200</v>
      </c>
      <c r="F182" t="str">
        <f t="shared" si="2"/>
        <v>lena256_blurkernel7_3_100_200</v>
      </c>
      <c r="G182">
        <v>51.088417999999997</v>
      </c>
      <c r="H182">
        <v>4.0541919999999996</v>
      </c>
      <c r="I182">
        <v>2.0800000000000001E-5</v>
      </c>
      <c r="J182">
        <v>9.6269999999999995E-6</v>
      </c>
      <c r="K182">
        <v>32.2089</v>
      </c>
      <c r="L182">
        <v>18.036999999999999</v>
      </c>
      <c r="M182">
        <v>0</v>
      </c>
      <c r="N182">
        <v>33.732100000000003</v>
      </c>
      <c r="O182">
        <v>0</v>
      </c>
    </row>
    <row r="183" spans="1:15" x14ac:dyDescent="0.25">
      <c r="A183" t="s">
        <v>14</v>
      </c>
      <c r="B183" t="s">
        <v>15</v>
      </c>
      <c r="C183">
        <v>3</v>
      </c>
      <c r="D183">
        <v>100</v>
      </c>
      <c r="E183">
        <v>400</v>
      </c>
      <c r="F183" t="str">
        <f t="shared" si="2"/>
        <v>lena256_blurkernel7_3_100_400</v>
      </c>
      <c r="G183">
        <v>40.099708</v>
      </c>
      <c r="H183">
        <v>3.7140599999999999</v>
      </c>
      <c r="I183">
        <v>4.3463E-5</v>
      </c>
      <c r="J183">
        <v>9.6269999999999995E-6</v>
      </c>
      <c r="K183">
        <v>29.01</v>
      </c>
      <c r="L183">
        <v>18.036999999999999</v>
      </c>
      <c r="M183">
        <v>0</v>
      </c>
      <c r="N183">
        <v>31.498899999999999</v>
      </c>
      <c r="O183">
        <v>0</v>
      </c>
    </row>
    <row r="184" spans="1:15" x14ac:dyDescent="0.25">
      <c r="A184" t="s">
        <v>14</v>
      </c>
      <c r="B184" t="s">
        <v>15</v>
      </c>
      <c r="C184">
        <v>3</v>
      </c>
      <c r="D184">
        <v>100</v>
      </c>
      <c r="E184">
        <v>800</v>
      </c>
      <c r="F184" t="str">
        <f t="shared" si="2"/>
        <v>lena256_blurkernel7_3_100_800</v>
      </c>
      <c r="G184">
        <v>33.409939999999999</v>
      </c>
      <c r="H184">
        <v>3.5525910000000001</v>
      </c>
      <c r="I184">
        <v>8.9815999999999995E-5</v>
      </c>
      <c r="J184">
        <v>9.6269999999999995E-6</v>
      </c>
      <c r="K184">
        <v>25.866499999999998</v>
      </c>
      <c r="L184">
        <v>18.036999999999999</v>
      </c>
      <c r="M184">
        <v>0</v>
      </c>
      <c r="N184">
        <v>29.541699999999999</v>
      </c>
      <c r="O184">
        <v>0</v>
      </c>
    </row>
    <row r="185" spans="1:15" x14ac:dyDescent="0.25">
      <c r="A185" t="s">
        <v>14</v>
      </c>
      <c r="B185" t="s">
        <v>15</v>
      </c>
      <c r="C185">
        <v>3</v>
      </c>
      <c r="D185">
        <v>100</v>
      </c>
      <c r="E185">
        <v>1600</v>
      </c>
      <c r="F185" t="str">
        <f t="shared" si="2"/>
        <v>lena256_blurkernel7_3_100_1600</v>
      </c>
      <c r="G185">
        <v>29.258907000000001</v>
      </c>
      <c r="H185">
        <v>3.4914079999999998</v>
      </c>
      <c r="I185">
        <v>1.8210399999999999E-4</v>
      </c>
      <c r="J185">
        <v>9.6269999999999995E-6</v>
      </c>
      <c r="K185">
        <v>22.803699999999999</v>
      </c>
      <c r="L185">
        <v>18.036999999999999</v>
      </c>
      <c r="M185">
        <v>0</v>
      </c>
      <c r="N185">
        <v>27.872699999999998</v>
      </c>
      <c r="O185">
        <v>0</v>
      </c>
    </row>
    <row r="186" spans="1:15" x14ac:dyDescent="0.25">
      <c r="A186" t="s">
        <v>14</v>
      </c>
      <c r="B186" t="s">
        <v>15</v>
      </c>
      <c r="C186">
        <v>3</v>
      </c>
      <c r="D186">
        <v>100</v>
      </c>
      <c r="E186">
        <v>3200</v>
      </c>
      <c r="F186" t="str">
        <f t="shared" si="2"/>
        <v>lena256_blurkernel7_3_100_3200</v>
      </c>
      <c r="G186">
        <v>26.467836999999999</v>
      </c>
      <c r="H186">
        <v>3.480413</v>
      </c>
      <c r="I186">
        <v>3.6836799999999999E-4</v>
      </c>
      <c r="J186">
        <v>9.6269999999999995E-6</v>
      </c>
      <c r="K186">
        <v>19.761700000000001</v>
      </c>
      <c r="L186">
        <v>18.036999999999999</v>
      </c>
      <c r="M186">
        <v>0</v>
      </c>
      <c r="N186">
        <v>26.278700000000001</v>
      </c>
      <c r="O186">
        <v>0</v>
      </c>
    </row>
    <row r="187" spans="1:15" x14ac:dyDescent="0.25">
      <c r="A187" t="s">
        <v>14</v>
      </c>
      <c r="B187" t="s">
        <v>15</v>
      </c>
      <c r="C187">
        <v>3</v>
      </c>
      <c r="D187">
        <v>100</v>
      </c>
      <c r="E187">
        <v>6400</v>
      </c>
      <c r="F187" t="str">
        <f t="shared" si="2"/>
        <v>lena256_blurkernel7_3_100_6400</v>
      </c>
      <c r="G187">
        <v>24.439585000000001</v>
      </c>
      <c r="H187">
        <v>3.4932940000000001</v>
      </c>
      <c r="I187">
        <v>7.5631899999999998E-4</v>
      </c>
      <c r="J187">
        <v>9.6269999999999995E-6</v>
      </c>
      <c r="K187">
        <v>16.685400000000001</v>
      </c>
      <c r="L187">
        <v>18.036999999999999</v>
      </c>
      <c r="M187">
        <v>0</v>
      </c>
      <c r="N187">
        <v>25.039899999999999</v>
      </c>
      <c r="O187">
        <v>0</v>
      </c>
    </row>
    <row r="188" spans="1:15" x14ac:dyDescent="0.25">
      <c r="A188" t="s">
        <v>14</v>
      </c>
      <c r="B188" t="s">
        <v>15</v>
      </c>
      <c r="C188">
        <v>3</v>
      </c>
      <c r="D188">
        <v>100</v>
      </c>
      <c r="E188">
        <v>12800</v>
      </c>
      <c r="F188" t="str">
        <f t="shared" si="2"/>
        <v>lena256_blurkernel7_3_100_12800</v>
      </c>
      <c r="G188">
        <v>22.925008999999999</v>
      </c>
      <c r="H188">
        <v>3.5138210000000001</v>
      </c>
      <c r="I188">
        <v>1.6239900000000001E-3</v>
      </c>
      <c r="J188">
        <v>9.6269999999999995E-6</v>
      </c>
      <c r="K188">
        <v>13.4811</v>
      </c>
      <c r="L188">
        <v>18.036999999999999</v>
      </c>
      <c r="M188">
        <v>0</v>
      </c>
      <c r="N188">
        <v>24.224900000000002</v>
      </c>
      <c r="O188">
        <v>0</v>
      </c>
    </row>
    <row r="189" spans="1:15" x14ac:dyDescent="0.25">
      <c r="A189" t="s">
        <v>14</v>
      </c>
      <c r="B189" t="s">
        <v>15</v>
      </c>
      <c r="C189">
        <v>3</v>
      </c>
      <c r="D189">
        <v>100</v>
      </c>
      <c r="E189">
        <v>25600</v>
      </c>
      <c r="F189" t="str">
        <f t="shared" si="2"/>
        <v>lena256_blurkernel7_3_100_25600</v>
      </c>
      <c r="G189">
        <v>21.991959000000001</v>
      </c>
      <c r="H189">
        <v>3.529242</v>
      </c>
      <c r="I189">
        <v>3.5312070000000002E-3</v>
      </c>
      <c r="J189">
        <v>9.6269999999999995E-6</v>
      </c>
      <c r="K189">
        <v>10.335800000000001</v>
      </c>
      <c r="L189">
        <v>18.036999999999999</v>
      </c>
      <c r="M189">
        <v>0</v>
      </c>
      <c r="N189">
        <v>23.292200000000001</v>
      </c>
      <c r="O189">
        <v>0</v>
      </c>
    </row>
    <row r="190" spans="1:15" x14ac:dyDescent="0.25">
      <c r="A190" t="s">
        <v>14</v>
      </c>
      <c r="B190" t="s">
        <v>15</v>
      </c>
      <c r="C190">
        <v>3</v>
      </c>
      <c r="D190">
        <v>100</v>
      </c>
      <c r="E190">
        <v>102400</v>
      </c>
      <c r="F190" t="str">
        <f t="shared" si="2"/>
        <v>lena256_blurkernel7_3_100_102400</v>
      </c>
      <c r="G190">
        <v>21.018516000000002</v>
      </c>
      <c r="H190">
        <v>3.5453260000000002</v>
      </c>
      <c r="I190">
        <v>2.1129139000000002E-2</v>
      </c>
      <c r="J190">
        <v>9.6090000000000007E-6</v>
      </c>
      <c r="K190">
        <v>4.0945</v>
      </c>
      <c r="L190">
        <v>18.034600000000001</v>
      </c>
      <c r="M190">
        <v>0</v>
      </c>
      <c r="N190">
        <v>22.2683</v>
      </c>
      <c r="O190">
        <v>0</v>
      </c>
    </row>
    <row r="191" spans="1:15" x14ac:dyDescent="0.25">
      <c r="A191" t="s">
        <v>14</v>
      </c>
      <c r="B191" t="s">
        <v>15</v>
      </c>
      <c r="C191">
        <v>7</v>
      </c>
      <c r="D191">
        <v>100</v>
      </c>
      <c r="E191">
        <v>200</v>
      </c>
      <c r="F191" t="str">
        <f t="shared" si="2"/>
        <v>lena256_blurkernel7_7_100_200</v>
      </c>
      <c r="G191">
        <v>45.617646000000001</v>
      </c>
      <c r="H191">
        <v>10.621981999999999</v>
      </c>
      <c r="I191">
        <v>2.0979E-5</v>
      </c>
      <c r="J191">
        <v>9.4909999999999994E-6</v>
      </c>
      <c r="K191">
        <v>32.171799999999998</v>
      </c>
      <c r="L191">
        <v>12.171799999999999</v>
      </c>
      <c r="M191">
        <v>0</v>
      </c>
      <c r="N191">
        <v>32.9056</v>
      </c>
      <c r="O191">
        <v>0</v>
      </c>
    </row>
    <row r="192" spans="1:15" x14ac:dyDescent="0.25">
      <c r="A192" t="s">
        <v>14</v>
      </c>
      <c r="B192" t="s">
        <v>15</v>
      </c>
      <c r="C192">
        <v>7</v>
      </c>
      <c r="D192">
        <v>100</v>
      </c>
      <c r="E192">
        <v>400</v>
      </c>
      <c r="F192" t="str">
        <f t="shared" si="2"/>
        <v>lena256_blurkernel7_7_100_400</v>
      </c>
      <c r="G192">
        <v>33.174968</v>
      </c>
      <c r="H192">
        <v>9.7244229999999998</v>
      </c>
      <c r="I192">
        <v>4.3489999999999999E-5</v>
      </c>
      <c r="J192">
        <v>9.4909999999999994E-6</v>
      </c>
      <c r="K192">
        <v>29.007400000000001</v>
      </c>
      <c r="L192">
        <v>12.171799999999999</v>
      </c>
      <c r="M192">
        <v>0</v>
      </c>
      <c r="N192">
        <v>30.267600000000002</v>
      </c>
      <c r="O192">
        <v>0</v>
      </c>
    </row>
    <row r="193" spans="1:15" x14ac:dyDescent="0.25">
      <c r="A193" t="s">
        <v>14</v>
      </c>
      <c r="B193" t="s">
        <v>15</v>
      </c>
      <c r="C193">
        <v>7</v>
      </c>
      <c r="D193">
        <v>100</v>
      </c>
      <c r="E193">
        <v>800</v>
      </c>
      <c r="F193" t="str">
        <f t="shared" si="2"/>
        <v>lena256_blurkernel7_7_100_800</v>
      </c>
      <c r="G193">
        <v>25.014641000000001</v>
      </c>
      <c r="H193">
        <v>9.2641299999999998</v>
      </c>
      <c r="I193">
        <v>9.0105999999999994E-5</v>
      </c>
      <c r="J193">
        <v>9.4909999999999994E-6</v>
      </c>
      <c r="K193">
        <v>25.849</v>
      </c>
      <c r="L193">
        <v>12.171799999999999</v>
      </c>
      <c r="M193">
        <v>0</v>
      </c>
      <c r="N193">
        <v>27.921900000000001</v>
      </c>
      <c r="O193">
        <v>0</v>
      </c>
    </row>
    <row r="194" spans="1:15" x14ac:dyDescent="0.25">
      <c r="A194" t="s">
        <v>14</v>
      </c>
      <c r="B194" t="s">
        <v>15</v>
      </c>
      <c r="C194">
        <v>7</v>
      </c>
      <c r="D194">
        <v>100</v>
      </c>
      <c r="E194">
        <v>1600</v>
      </c>
      <c r="F194" t="str">
        <f t="shared" ref="F194:F257" si="3">A194&amp;"_"&amp;B194&amp;"_"&amp;C194&amp;"_"&amp;D194&amp;"_"&amp;E194</f>
        <v>lena256_blurkernel7_7_100_1600</v>
      </c>
      <c r="G194">
        <v>19.888926999999999</v>
      </c>
      <c r="H194">
        <v>9.0479149999999997</v>
      </c>
      <c r="I194">
        <v>1.83122E-4</v>
      </c>
      <c r="J194">
        <v>9.4909999999999994E-6</v>
      </c>
      <c r="K194">
        <v>22.782699999999998</v>
      </c>
      <c r="L194">
        <v>12.171799999999999</v>
      </c>
      <c r="M194">
        <v>0</v>
      </c>
      <c r="N194">
        <v>25.756399999999999</v>
      </c>
      <c r="O194">
        <v>0</v>
      </c>
    </row>
    <row r="195" spans="1:15" x14ac:dyDescent="0.25">
      <c r="A195" t="s">
        <v>14</v>
      </c>
      <c r="B195" t="s">
        <v>15</v>
      </c>
      <c r="C195">
        <v>7</v>
      </c>
      <c r="D195">
        <v>100</v>
      </c>
      <c r="E195">
        <v>3200</v>
      </c>
      <c r="F195" t="str">
        <f t="shared" si="3"/>
        <v>lena256_blurkernel7_7_100_3200</v>
      </c>
      <c r="G195">
        <v>16.724065</v>
      </c>
      <c r="H195">
        <v>8.9494620000000005</v>
      </c>
      <c r="I195">
        <v>3.6646999999999998E-4</v>
      </c>
      <c r="J195">
        <v>9.4909999999999994E-6</v>
      </c>
      <c r="K195">
        <v>19.795000000000002</v>
      </c>
      <c r="L195">
        <v>12.171799999999999</v>
      </c>
      <c r="M195">
        <v>0</v>
      </c>
      <c r="N195">
        <v>23.9419</v>
      </c>
      <c r="O195">
        <v>0</v>
      </c>
    </row>
    <row r="196" spans="1:15" x14ac:dyDescent="0.25">
      <c r="A196" t="s">
        <v>14</v>
      </c>
      <c r="B196" t="s">
        <v>15</v>
      </c>
      <c r="C196">
        <v>7</v>
      </c>
      <c r="D196">
        <v>100</v>
      </c>
      <c r="E196">
        <v>6400</v>
      </c>
      <c r="F196" t="str">
        <f t="shared" si="3"/>
        <v>lena256_blurkernel7_7_100_6400</v>
      </c>
      <c r="G196">
        <v>14.665209000000001</v>
      </c>
      <c r="H196">
        <v>8.9061990000000009</v>
      </c>
      <c r="I196">
        <v>7.6465699999999997E-4</v>
      </c>
      <c r="J196">
        <v>9.4909999999999994E-6</v>
      </c>
      <c r="K196">
        <v>16.650200000000002</v>
      </c>
      <c r="L196">
        <v>12.171799999999999</v>
      </c>
      <c r="M196">
        <v>0</v>
      </c>
      <c r="N196">
        <v>22.271599999999999</v>
      </c>
      <c r="O196">
        <v>0</v>
      </c>
    </row>
    <row r="197" spans="1:15" x14ac:dyDescent="0.25">
      <c r="A197" t="s">
        <v>14</v>
      </c>
      <c r="B197" t="s">
        <v>15</v>
      </c>
      <c r="C197">
        <v>7</v>
      </c>
      <c r="D197">
        <v>100</v>
      </c>
      <c r="E197">
        <v>12800</v>
      </c>
      <c r="F197" t="str">
        <f t="shared" si="3"/>
        <v>lena256_blurkernel7_7_100_12800</v>
      </c>
      <c r="G197">
        <v>13.259009000000001</v>
      </c>
      <c r="H197">
        <v>8.9016900000000003</v>
      </c>
      <c r="I197">
        <v>1.606225E-3</v>
      </c>
      <c r="J197">
        <v>9.4909999999999994E-6</v>
      </c>
      <c r="K197">
        <v>13.531499999999999</v>
      </c>
      <c r="L197">
        <v>12.171799999999999</v>
      </c>
      <c r="M197">
        <v>0</v>
      </c>
      <c r="N197">
        <v>20.7056</v>
      </c>
      <c r="O197">
        <v>0</v>
      </c>
    </row>
    <row r="198" spans="1:15" x14ac:dyDescent="0.25">
      <c r="A198" t="s">
        <v>14</v>
      </c>
      <c r="B198" t="s">
        <v>15</v>
      </c>
      <c r="C198">
        <v>7</v>
      </c>
      <c r="D198">
        <v>100</v>
      </c>
      <c r="E198">
        <v>25600</v>
      </c>
      <c r="F198" t="str">
        <f t="shared" si="3"/>
        <v>lena256_blurkernel7_7_100_25600</v>
      </c>
      <c r="G198">
        <v>12.071282</v>
      </c>
      <c r="H198">
        <v>8.9207450000000001</v>
      </c>
      <c r="I198">
        <v>3.5127579999999999E-3</v>
      </c>
      <c r="J198">
        <v>9.4909999999999994E-6</v>
      </c>
      <c r="K198">
        <v>10.3461</v>
      </c>
      <c r="L198">
        <v>12.171799999999999</v>
      </c>
      <c r="M198">
        <v>0</v>
      </c>
      <c r="N198">
        <v>18.921600000000002</v>
      </c>
      <c r="O198">
        <v>0</v>
      </c>
    </row>
    <row r="199" spans="1:15" x14ac:dyDescent="0.25">
      <c r="A199" t="s">
        <v>14</v>
      </c>
      <c r="B199" t="s">
        <v>15</v>
      </c>
      <c r="C199">
        <v>7</v>
      </c>
      <c r="D199">
        <v>100</v>
      </c>
      <c r="E199">
        <v>102400</v>
      </c>
      <c r="F199" t="str">
        <f t="shared" si="3"/>
        <v>lena256_blurkernel7_7_100_102400</v>
      </c>
      <c r="G199">
        <v>10.05063</v>
      </c>
      <c r="H199">
        <v>8.9135489999999997</v>
      </c>
      <c r="I199">
        <v>2.1037726E-2</v>
      </c>
      <c r="J199">
        <v>9.6260000000000007E-6</v>
      </c>
      <c r="K199">
        <v>4.1162999999999998</v>
      </c>
      <c r="L199">
        <v>12.1745</v>
      </c>
      <c r="M199">
        <v>0</v>
      </c>
      <c r="N199">
        <v>14.941800000000001</v>
      </c>
      <c r="O199">
        <v>0</v>
      </c>
    </row>
    <row r="200" spans="1:15" x14ac:dyDescent="0.25">
      <c r="A200" t="s">
        <v>14</v>
      </c>
      <c r="B200" t="s">
        <v>15</v>
      </c>
      <c r="C200">
        <v>15</v>
      </c>
      <c r="D200">
        <v>100</v>
      </c>
      <c r="E200">
        <v>200</v>
      </c>
      <c r="F200" t="str">
        <f t="shared" si="3"/>
        <v>lena256_blurkernel7_15_100_200</v>
      </c>
      <c r="G200">
        <v>44.493639999999999</v>
      </c>
      <c r="H200">
        <v>23.274025000000002</v>
      </c>
      <c r="I200">
        <v>2.0778999999999999E-5</v>
      </c>
      <c r="J200">
        <v>9.628E-6</v>
      </c>
      <c r="K200">
        <v>32.211799999999997</v>
      </c>
      <c r="L200">
        <v>8.2086000000000006</v>
      </c>
      <c r="M200">
        <v>0</v>
      </c>
      <c r="N200">
        <v>32.707099999999997</v>
      </c>
      <c r="O200">
        <v>0</v>
      </c>
    </row>
    <row r="201" spans="1:15" x14ac:dyDescent="0.25">
      <c r="A201" t="s">
        <v>14</v>
      </c>
      <c r="B201" t="s">
        <v>15</v>
      </c>
      <c r="C201">
        <v>15</v>
      </c>
      <c r="D201">
        <v>100</v>
      </c>
      <c r="E201">
        <v>400</v>
      </c>
      <c r="F201" t="str">
        <f t="shared" si="3"/>
        <v>lena256_blurkernel7_15_100_400</v>
      </c>
      <c r="G201">
        <v>31.148498</v>
      </c>
      <c r="H201">
        <v>21.286740000000002</v>
      </c>
      <c r="I201">
        <v>4.3822000000000002E-5</v>
      </c>
      <c r="J201">
        <v>9.5240000000000006E-6</v>
      </c>
      <c r="K201">
        <v>28.977</v>
      </c>
      <c r="L201">
        <v>8.2110000000000003</v>
      </c>
      <c r="M201">
        <v>0</v>
      </c>
      <c r="N201">
        <v>29.8689</v>
      </c>
      <c r="O201">
        <v>0</v>
      </c>
    </row>
    <row r="202" spans="1:15" x14ac:dyDescent="0.25">
      <c r="A202" t="s">
        <v>14</v>
      </c>
      <c r="B202" t="s">
        <v>15</v>
      </c>
      <c r="C202">
        <v>15</v>
      </c>
      <c r="D202">
        <v>100</v>
      </c>
      <c r="E202">
        <v>800</v>
      </c>
      <c r="F202" t="str">
        <f t="shared" si="3"/>
        <v>lena256_blurkernel7_15_100_800</v>
      </c>
      <c r="G202">
        <v>22.474847</v>
      </c>
      <c r="H202">
        <v>20.172139000000001</v>
      </c>
      <c r="I202">
        <v>8.9203999999999995E-5</v>
      </c>
      <c r="J202">
        <v>9.628E-6</v>
      </c>
      <c r="K202">
        <v>25.8933</v>
      </c>
      <c r="L202">
        <v>8.2086000000000006</v>
      </c>
      <c r="M202">
        <v>0</v>
      </c>
      <c r="N202">
        <v>27.420100000000001</v>
      </c>
      <c r="O202">
        <v>0</v>
      </c>
    </row>
    <row r="203" spans="1:15" x14ac:dyDescent="0.25">
      <c r="A203" t="s">
        <v>14</v>
      </c>
      <c r="B203" t="s">
        <v>15</v>
      </c>
      <c r="C203">
        <v>15</v>
      </c>
      <c r="D203">
        <v>100</v>
      </c>
      <c r="E203">
        <v>1600</v>
      </c>
      <c r="F203" t="str">
        <f t="shared" si="3"/>
        <v>lena256_blurkernel7_15_100_1600</v>
      </c>
      <c r="G203">
        <v>16.574349000000002</v>
      </c>
      <c r="H203">
        <v>19.763392</v>
      </c>
      <c r="I203">
        <v>1.8186799999999999E-4</v>
      </c>
      <c r="J203">
        <v>9.5240000000000006E-6</v>
      </c>
      <c r="K203">
        <v>22.810500000000001</v>
      </c>
      <c r="L203">
        <v>8.2110000000000003</v>
      </c>
      <c r="M203">
        <v>0</v>
      </c>
      <c r="N203">
        <v>25.178000000000001</v>
      </c>
      <c r="O203">
        <v>0</v>
      </c>
    </row>
    <row r="204" spans="1:15" x14ac:dyDescent="0.25">
      <c r="A204" t="s">
        <v>14</v>
      </c>
      <c r="B204" t="s">
        <v>15</v>
      </c>
      <c r="C204">
        <v>15</v>
      </c>
      <c r="D204">
        <v>100</v>
      </c>
      <c r="E204">
        <v>3200</v>
      </c>
      <c r="F204" t="str">
        <f t="shared" si="3"/>
        <v>lena256_blurkernel7_15_100_3200</v>
      </c>
      <c r="G204">
        <v>12.63973</v>
      </c>
      <c r="H204">
        <v>19.4133</v>
      </c>
      <c r="I204">
        <v>3.6966100000000002E-4</v>
      </c>
      <c r="J204">
        <v>9.628E-6</v>
      </c>
      <c r="K204">
        <v>19.756399999999999</v>
      </c>
      <c r="L204">
        <v>8.2086000000000006</v>
      </c>
      <c r="M204">
        <v>0</v>
      </c>
      <c r="N204">
        <v>23.127099999999999</v>
      </c>
      <c r="O204">
        <v>0</v>
      </c>
    </row>
    <row r="205" spans="1:15" x14ac:dyDescent="0.25">
      <c r="A205" t="s">
        <v>14</v>
      </c>
      <c r="B205" t="s">
        <v>15</v>
      </c>
      <c r="C205">
        <v>15</v>
      </c>
      <c r="D205">
        <v>100</v>
      </c>
      <c r="E205">
        <v>6400</v>
      </c>
      <c r="F205" t="str">
        <f t="shared" si="3"/>
        <v>lena256_blurkernel7_15_100_6400</v>
      </c>
      <c r="G205">
        <v>10.038809000000001</v>
      </c>
      <c r="H205">
        <v>19.401361999999999</v>
      </c>
      <c r="I205">
        <v>7.6514200000000001E-4</v>
      </c>
      <c r="J205">
        <v>9.5240000000000006E-6</v>
      </c>
      <c r="K205">
        <v>16.6434</v>
      </c>
      <c r="L205">
        <v>8.2110000000000003</v>
      </c>
      <c r="M205">
        <v>0</v>
      </c>
      <c r="N205">
        <v>21.258900000000001</v>
      </c>
      <c r="O205">
        <v>0</v>
      </c>
    </row>
    <row r="206" spans="1:15" x14ac:dyDescent="0.25">
      <c r="A206" t="s">
        <v>14</v>
      </c>
      <c r="B206" t="s">
        <v>15</v>
      </c>
      <c r="C206">
        <v>15</v>
      </c>
      <c r="D206">
        <v>100</v>
      </c>
      <c r="E206">
        <v>12800</v>
      </c>
      <c r="F206" t="str">
        <f t="shared" si="3"/>
        <v>lena256_blurkernel7_15_100_12800</v>
      </c>
      <c r="G206">
        <v>8.3122159999999994</v>
      </c>
      <c r="H206">
        <v>19.251139999999999</v>
      </c>
      <c r="I206">
        <v>1.5952220000000001E-3</v>
      </c>
      <c r="J206">
        <v>9.628E-6</v>
      </c>
      <c r="K206">
        <v>13.5556</v>
      </c>
      <c r="L206">
        <v>8.2086000000000006</v>
      </c>
      <c r="M206">
        <v>0</v>
      </c>
      <c r="N206">
        <v>19.804400000000001</v>
      </c>
      <c r="O206">
        <v>0</v>
      </c>
    </row>
    <row r="207" spans="1:15" x14ac:dyDescent="0.25">
      <c r="A207" t="s">
        <v>14</v>
      </c>
      <c r="B207" t="s">
        <v>15</v>
      </c>
      <c r="C207">
        <v>15</v>
      </c>
      <c r="D207">
        <v>100</v>
      </c>
      <c r="E207">
        <v>25600</v>
      </c>
      <c r="F207" t="str">
        <f t="shared" si="3"/>
        <v>lena256_blurkernel7_15_100_25600</v>
      </c>
      <c r="G207">
        <v>7.1814819999999999</v>
      </c>
      <c r="H207">
        <v>19.340778</v>
      </c>
      <c r="I207">
        <v>3.5585930000000001E-3</v>
      </c>
      <c r="J207">
        <v>9.5240000000000006E-6</v>
      </c>
      <c r="K207">
        <v>10.315</v>
      </c>
      <c r="L207">
        <v>8.2110000000000003</v>
      </c>
      <c r="M207">
        <v>0</v>
      </c>
      <c r="N207">
        <v>18.7834</v>
      </c>
      <c r="O207">
        <v>0</v>
      </c>
    </row>
    <row r="208" spans="1:15" x14ac:dyDescent="0.25">
      <c r="A208" t="s">
        <v>14</v>
      </c>
      <c r="B208" t="s">
        <v>15</v>
      </c>
      <c r="C208">
        <v>15</v>
      </c>
      <c r="D208">
        <v>100</v>
      </c>
      <c r="E208">
        <v>102400</v>
      </c>
      <c r="F208" t="str">
        <f t="shared" si="3"/>
        <v>lena256_blurkernel7_15_100_102400</v>
      </c>
      <c r="G208">
        <v>5.86965</v>
      </c>
      <c r="H208">
        <v>19.337347000000001</v>
      </c>
      <c r="I208">
        <v>2.1018678999999998E-2</v>
      </c>
      <c r="J208">
        <v>9.5370000000000003E-6</v>
      </c>
      <c r="K208">
        <v>4.1410999999999998</v>
      </c>
      <c r="L208">
        <v>8.2100000000000009</v>
      </c>
      <c r="M208">
        <v>0</v>
      </c>
      <c r="N208">
        <v>15.458600000000001</v>
      </c>
      <c r="O208">
        <v>0</v>
      </c>
    </row>
    <row r="209" spans="1:15" x14ac:dyDescent="0.25">
      <c r="A209" t="s">
        <v>14</v>
      </c>
      <c r="B209" t="s">
        <v>15</v>
      </c>
      <c r="C209">
        <v>31</v>
      </c>
      <c r="D209">
        <v>100</v>
      </c>
      <c r="E209">
        <v>200</v>
      </c>
      <c r="F209" t="str">
        <f t="shared" si="3"/>
        <v>lena256_blurkernel7_31_100_200</v>
      </c>
      <c r="G209">
        <v>44.294725</v>
      </c>
      <c r="H209">
        <v>48.234746999999999</v>
      </c>
      <c r="I209">
        <v>2.0839000000000002E-5</v>
      </c>
      <c r="J209">
        <v>9.5410000000000006E-6</v>
      </c>
      <c r="K209">
        <v>32.200400000000002</v>
      </c>
      <c r="L209">
        <v>5.3174000000000001</v>
      </c>
      <c r="M209">
        <v>0</v>
      </c>
      <c r="N209">
        <v>32.2333</v>
      </c>
      <c r="O209">
        <v>0</v>
      </c>
    </row>
    <row r="210" spans="1:15" x14ac:dyDescent="0.25">
      <c r="A210" t="s">
        <v>14</v>
      </c>
      <c r="B210" t="s">
        <v>15</v>
      </c>
      <c r="C210">
        <v>31</v>
      </c>
      <c r="D210">
        <v>100</v>
      </c>
      <c r="E210">
        <v>400</v>
      </c>
      <c r="F210" t="str">
        <f t="shared" si="3"/>
        <v>lena256_blurkernel7_31_100_400</v>
      </c>
      <c r="G210">
        <v>30.827767999999999</v>
      </c>
      <c r="H210">
        <v>43.800880999999997</v>
      </c>
      <c r="I210">
        <v>4.3560000000000003E-5</v>
      </c>
      <c r="J210">
        <v>9.6099999999999995E-6</v>
      </c>
      <c r="K210">
        <v>28.998899999999999</v>
      </c>
      <c r="L210">
        <v>5.3193999999999999</v>
      </c>
      <c r="M210">
        <v>0</v>
      </c>
      <c r="N210">
        <v>29.401199999999999</v>
      </c>
      <c r="O210">
        <v>0</v>
      </c>
    </row>
    <row r="211" spans="1:15" x14ac:dyDescent="0.25">
      <c r="A211" t="s">
        <v>14</v>
      </c>
      <c r="B211" t="s">
        <v>15</v>
      </c>
      <c r="C211">
        <v>31</v>
      </c>
      <c r="D211">
        <v>100</v>
      </c>
      <c r="E211">
        <v>800</v>
      </c>
      <c r="F211" t="str">
        <f t="shared" si="3"/>
        <v>lena256_blurkernel7_31_100_800</v>
      </c>
      <c r="G211">
        <v>21.74277</v>
      </c>
      <c r="H211">
        <v>41.745837999999999</v>
      </c>
      <c r="I211">
        <v>8.9677000000000002E-5</v>
      </c>
      <c r="J211">
        <v>9.5410000000000006E-6</v>
      </c>
      <c r="K211">
        <v>25.869900000000001</v>
      </c>
      <c r="L211">
        <v>5.3174000000000001</v>
      </c>
      <c r="M211">
        <v>0</v>
      </c>
      <c r="N211">
        <v>26.841799999999999</v>
      </c>
      <c r="O211">
        <v>0</v>
      </c>
    </row>
    <row r="212" spans="1:15" x14ac:dyDescent="0.25">
      <c r="A212" t="s">
        <v>14</v>
      </c>
      <c r="B212" t="s">
        <v>15</v>
      </c>
      <c r="C212">
        <v>31</v>
      </c>
      <c r="D212">
        <v>100</v>
      </c>
      <c r="E212">
        <v>1600</v>
      </c>
      <c r="F212" t="str">
        <f t="shared" si="3"/>
        <v>lena256_blurkernel7_31_100_1600</v>
      </c>
      <c r="G212">
        <v>15.543908</v>
      </c>
      <c r="H212">
        <v>40.519975000000002</v>
      </c>
      <c r="I212">
        <v>1.83437E-4</v>
      </c>
      <c r="J212">
        <v>9.6099999999999995E-6</v>
      </c>
      <c r="K212">
        <v>22.772500000000001</v>
      </c>
      <c r="L212">
        <v>5.3193999999999999</v>
      </c>
      <c r="M212">
        <v>0</v>
      </c>
      <c r="N212">
        <v>24.4802</v>
      </c>
      <c r="O212">
        <v>0</v>
      </c>
    </row>
    <row r="213" spans="1:15" x14ac:dyDescent="0.25">
      <c r="A213" t="s">
        <v>14</v>
      </c>
      <c r="B213" t="s">
        <v>15</v>
      </c>
      <c r="C213">
        <v>31</v>
      </c>
      <c r="D213">
        <v>100</v>
      </c>
      <c r="E213">
        <v>3200</v>
      </c>
      <c r="F213" t="str">
        <f t="shared" si="3"/>
        <v>lena256_blurkernel7_31_100_3200</v>
      </c>
      <c r="G213">
        <v>11.404577</v>
      </c>
      <c r="H213">
        <v>40.120415000000001</v>
      </c>
      <c r="I213">
        <v>3.6990699999999999E-4</v>
      </c>
      <c r="J213">
        <v>9.5410000000000006E-6</v>
      </c>
      <c r="K213">
        <v>19.752099999999999</v>
      </c>
      <c r="L213">
        <v>5.3174000000000001</v>
      </c>
      <c r="M213">
        <v>0</v>
      </c>
      <c r="N213">
        <v>22.332000000000001</v>
      </c>
      <c r="O213">
        <v>0</v>
      </c>
    </row>
    <row r="214" spans="1:15" x14ac:dyDescent="0.25">
      <c r="A214" t="s">
        <v>14</v>
      </c>
      <c r="B214" t="s">
        <v>15</v>
      </c>
      <c r="C214">
        <v>31</v>
      </c>
      <c r="D214">
        <v>100</v>
      </c>
      <c r="E214">
        <v>6400</v>
      </c>
      <c r="F214" t="str">
        <f t="shared" si="3"/>
        <v>lena256_blurkernel7_31_100_6400</v>
      </c>
      <c r="G214">
        <v>8.5038319999999992</v>
      </c>
      <c r="H214">
        <v>39.72242</v>
      </c>
      <c r="I214">
        <v>7.5977399999999995E-4</v>
      </c>
      <c r="J214">
        <v>9.6099999999999995E-6</v>
      </c>
      <c r="K214">
        <v>16.6691</v>
      </c>
      <c r="L214">
        <v>5.3193999999999999</v>
      </c>
      <c r="M214">
        <v>0</v>
      </c>
      <c r="N214">
        <v>20.227599999999999</v>
      </c>
      <c r="O214">
        <v>0</v>
      </c>
    </row>
    <row r="215" spans="1:15" x14ac:dyDescent="0.25">
      <c r="A215" t="s">
        <v>14</v>
      </c>
      <c r="B215" t="s">
        <v>15</v>
      </c>
      <c r="C215">
        <v>31</v>
      </c>
      <c r="D215">
        <v>100</v>
      </c>
      <c r="E215">
        <v>12800</v>
      </c>
      <c r="F215" t="str">
        <f t="shared" si="3"/>
        <v>lena256_blurkernel7_31_100_12800</v>
      </c>
      <c r="G215">
        <v>6.5522530000000003</v>
      </c>
      <c r="H215">
        <v>39.732953999999999</v>
      </c>
      <c r="I215">
        <v>1.613689E-3</v>
      </c>
      <c r="J215">
        <v>9.5410000000000006E-6</v>
      </c>
      <c r="K215">
        <v>13.503399999999999</v>
      </c>
      <c r="L215">
        <v>5.3174000000000001</v>
      </c>
      <c r="M215">
        <v>0</v>
      </c>
      <c r="N215">
        <v>18.439800000000002</v>
      </c>
      <c r="O215">
        <v>0</v>
      </c>
    </row>
    <row r="216" spans="1:15" x14ac:dyDescent="0.25">
      <c r="A216" t="s">
        <v>14</v>
      </c>
      <c r="B216" t="s">
        <v>15</v>
      </c>
      <c r="C216">
        <v>31</v>
      </c>
      <c r="D216">
        <v>100</v>
      </c>
      <c r="E216">
        <v>25600</v>
      </c>
      <c r="F216" t="str">
        <f t="shared" si="3"/>
        <v>lena256_blurkernel7_31_100_25600</v>
      </c>
      <c r="G216">
        <v>5.2041950000000003</v>
      </c>
      <c r="H216">
        <v>39.546695</v>
      </c>
      <c r="I216">
        <v>3.5400420000000002E-3</v>
      </c>
      <c r="J216">
        <v>9.6099999999999995E-6</v>
      </c>
      <c r="K216">
        <v>10.3154</v>
      </c>
      <c r="L216">
        <v>5.3193999999999999</v>
      </c>
      <c r="M216">
        <v>0</v>
      </c>
      <c r="N216">
        <v>16.919699999999999</v>
      </c>
      <c r="O216">
        <v>0</v>
      </c>
    </row>
    <row r="217" spans="1:15" x14ac:dyDescent="0.25">
      <c r="A217" t="s">
        <v>14</v>
      </c>
      <c r="B217" t="s">
        <v>15</v>
      </c>
      <c r="C217">
        <v>31</v>
      </c>
      <c r="D217">
        <v>100</v>
      </c>
      <c r="E217">
        <v>102400</v>
      </c>
      <c r="F217" t="str">
        <f t="shared" si="3"/>
        <v>lena256_blurkernel7_31_100_102400</v>
      </c>
      <c r="G217">
        <v>3.7009379999999998</v>
      </c>
      <c r="H217">
        <v>39.609557000000002</v>
      </c>
      <c r="I217">
        <v>2.1100318E-2</v>
      </c>
      <c r="J217">
        <v>9.5719999999999992E-6</v>
      </c>
      <c r="K217">
        <v>4.1026999999999996</v>
      </c>
      <c r="L217">
        <v>5.3188000000000004</v>
      </c>
      <c r="M217">
        <v>0</v>
      </c>
      <c r="N217">
        <v>14.0984</v>
      </c>
      <c r="O217">
        <v>0</v>
      </c>
    </row>
    <row r="218" spans="1:15" x14ac:dyDescent="0.25">
      <c r="A218" t="s">
        <v>14</v>
      </c>
      <c r="B218" t="s">
        <v>16</v>
      </c>
      <c r="C218">
        <v>3</v>
      </c>
      <c r="D218">
        <v>100</v>
      </c>
      <c r="E218">
        <v>200</v>
      </c>
      <c r="F218" t="str">
        <f t="shared" si="3"/>
        <v>lena256_blurkernel8_3_100_200</v>
      </c>
      <c r="G218">
        <v>52.294750000000001</v>
      </c>
      <c r="H218">
        <v>3.978488</v>
      </c>
      <c r="I218">
        <v>2.0812999999999999E-5</v>
      </c>
      <c r="J218">
        <v>9.4949999999999997E-6</v>
      </c>
      <c r="K218">
        <v>32.204900000000002</v>
      </c>
      <c r="L218">
        <v>17.5886</v>
      </c>
      <c r="M218">
        <v>0</v>
      </c>
      <c r="N218">
        <v>33.953299999999999</v>
      </c>
      <c r="O218">
        <v>0</v>
      </c>
    </row>
    <row r="219" spans="1:15" x14ac:dyDescent="0.25">
      <c r="A219" t="s">
        <v>14</v>
      </c>
      <c r="B219" t="s">
        <v>16</v>
      </c>
      <c r="C219">
        <v>3</v>
      </c>
      <c r="D219">
        <v>100</v>
      </c>
      <c r="E219">
        <v>400</v>
      </c>
      <c r="F219" t="str">
        <f t="shared" si="3"/>
        <v>lena256_blurkernel8_3_100_400</v>
      </c>
      <c r="G219">
        <v>41.499173999999996</v>
      </c>
      <c r="H219">
        <v>3.6534439999999999</v>
      </c>
      <c r="I219">
        <v>4.3621999999999997E-5</v>
      </c>
      <c r="J219">
        <v>9.4949999999999997E-6</v>
      </c>
      <c r="K219">
        <v>28.9968</v>
      </c>
      <c r="L219">
        <v>17.5886</v>
      </c>
      <c r="M219">
        <v>0</v>
      </c>
      <c r="N219">
        <v>31.823599999999999</v>
      </c>
      <c r="O219">
        <v>0</v>
      </c>
    </row>
    <row r="220" spans="1:15" x14ac:dyDescent="0.25">
      <c r="A220" t="s">
        <v>14</v>
      </c>
      <c r="B220" t="s">
        <v>16</v>
      </c>
      <c r="C220">
        <v>3</v>
      </c>
      <c r="D220">
        <v>100</v>
      </c>
      <c r="E220">
        <v>800</v>
      </c>
      <c r="F220" t="str">
        <f t="shared" si="3"/>
        <v>lena256_blurkernel8_3_100_800</v>
      </c>
      <c r="G220">
        <v>35.018250000000002</v>
      </c>
      <c r="H220">
        <v>3.5081009999999999</v>
      </c>
      <c r="I220">
        <v>8.8844999999999994E-5</v>
      </c>
      <c r="J220">
        <v>9.4949999999999997E-6</v>
      </c>
      <c r="K220">
        <v>25.9086</v>
      </c>
      <c r="L220">
        <v>17.5886</v>
      </c>
      <c r="M220">
        <v>0</v>
      </c>
      <c r="N220">
        <v>30.152899999999999</v>
      </c>
      <c r="O220">
        <v>0</v>
      </c>
    </row>
    <row r="221" spans="1:15" x14ac:dyDescent="0.25">
      <c r="A221" t="s">
        <v>14</v>
      </c>
      <c r="B221" t="s">
        <v>16</v>
      </c>
      <c r="C221">
        <v>3</v>
      </c>
      <c r="D221">
        <v>100</v>
      </c>
      <c r="E221">
        <v>1600</v>
      </c>
      <c r="F221" t="str">
        <f t="shared" si="3"/>
        <v>lena256_blurkernel8_3_100_1600</v>
      </c>
      <c r="G221">
        <v>30.691127999999999</v>
      </c>
      <c r="H221">
        <v>3.4608159999999999</v>
      </c>
      <c r="I221">
        <v>1.8141399999999999E-4</v>
      </c>
      <c r="J221">
        <v>9.4949999999999997E-6</v>
      </c>
      <c r="K221">
        <v>22.822900000000001</v>
      </c>
      <c r="L221">
        <v>17.5886</v>
      </c>
      <c r="M221">
        <v>0</v>
      </c>
      <c r="N221">
        <v>28.625800000000002</v>
      </c>
      <c r="O221">
        <v>0</v>
      </c>
    </row>
    <row r="222" spans="1:15" x14ac:dyDescent="0.25">
      <c r="A222" t="s">
        <v>14</v>
      </c>
      <c r="B222" t="s">
        <v>16</v>
      </c>
      <c r="C222">
        <v>3</v>
      </c>
      <c r="D222">
        <v>100</v>
      </c>
      <c r="E222">
        <v>3200</v>
      </c>
      <c r="F222" t="str">
        <f t="shared" si="3"/>
        <v>lena256_blurkernel8_3_100_3200</v>
      </c>
      <c r="G222">
        <v>27.633407999999999</v>
      </c>
      <c r="H222">
        <v>3.4642689999999998</v>
      </c>
      <c r="I222">
        <v>3.6995700000000002E-4</v>
      </c>
      <c r="J222">
        <v>9.4949999999999997E-6</v>
      </c>
      <c r="K222">
        <v>19.752400000000002</v>
      </c>
      <c r="L222">
        <v>17.5886</v>
      </c>
      <c r="M222">
        <v>0</v>
      </c>
      <c r="N222">
        <v>27.519400000000001</v>
      </c>
      <c r="O222">
        <v>0</v>
      </c>
    </row>
    <row r="223" spans="1:15" x14ac:dyDescent="0.25">
      <c r="A223" t="s">
        <v>14</v>
      </c>
      <c r="B223" t="s">
        <v>16</v>
      </c>
      <c r="C223">
        <v>3</v>
      </c>
      <c r="D223">
        <v>100</v>
      </c>
      <c r="E223">
        <v>6400</v>
      </c>
      <c r="F223" t="str">
        <f t="shared" si="3"/>
        <v>lena256_blurkernel8_3_100_6400</v>
      </c>
      <c r="G223">
        <v>25.317796999999999</v>
      </c>
      <c r="H223">
        <v>3.4906470000000001</v>
      </c>
      <c r="I223">
        <v>7.6385699999999995E-4</v>
      </c>
      <c r="J223">
        <v>9.4949999999999997E-6</v>
      </c>
      <c r="K223">
        <v>16.659099999999999</v>
      </c>
      <c r="L223">
        <v>17.5886</v>
      </c>
      <c r="M223">
        <v>0</v>
      </c>
      <c r="N223">
        <v>26.6371</v>
      </c>
      <c r="O223">
        <v>0</v>
      </c>
    </row>
    <row r="224" spans="1:15" x14ac:dyDescent="0.25">
      <c r="A224" t="s">
        <v>14</v>
      </c>
      <c r="B224" t="s">
        <v>16</v>
      </c>
      <c r="C224">
        <v>3</v>
      </c>
      <c r="D224">
        <v>100</v>
      </c>
      <c r="E224">
        <v>12800</v>
      </c>
      <c r="F224" t="str">
        <f t="shared" si="3"/>
        <v>lena256_blurkernel8_3_100_12800</v>
      </c>
      <c r="G224">
        <v>23.686568999999999</v>
      </c>
      <c r="H224">
        <v>3.518122</v>
      </c>
      <c r="I224">
        <v>1.6176509999999999E-3</v>
      </c>
      <c r="J224">
        <v>9.4949999999999997E-6</v>
      </c>
      <c r="K224">
        <v>13.4894</v>
      </c>
      <c r="L224">
        <v>17.5886</v>
      </c>
      <c r="M224">
        <v>0</v>
      </c>
      <c r="N224">
        <v>25.920500000000001</v>
      </c>
      <c r="O224">
        <v>0</v>
      </c>
    </row>
    <row r="225" spans="1:15" x14ac:dyDescent="0.25">
      <c r="A225" t="s">
        <v>14</v>
      </c>
      <c r="B225" t="s">
        <v>16</v>
      </c>
      <c r="C225">
        <v>3</v>
      </c>
      <c r="D225">
        <v>100</v>
      </c>
      <c r="E225">
        <v>25600</v>
      </c>
      <c r="F225" t="str">
        <f t="shared" si="3"/>
        <v>lena256_blurkernel8_3_100_25600</v>
      </c>
      <c r="G225">
        <v>22.575042</v>
      </c>
      <c r="H225">
        <v>3.5399340000000001</v>
      </c>
      <c r="I225">
        <v>3.518176E-3</v>
      </c>
      <c r="J225">
        <v>9.4949999999999997E-6</v>
      </c>
      <c r="K225">
        <v>10.360099999999999</v>
      </c>
      <c r="L225">
        <v>17.5886</v>
      </c>
      <c r="M225">
        <v>0</v>
      </c>
      <c r="N225">
        <v>25.326699999999999</v>
      </c>
      <c r="O225">
        <v>0</v>
      </c>
    </row>
    <row r="226" spans="1:15" x14ac:dyDescent="0.25">
      <c r="A226" t="s">
        <v>14</v>
      </c>
      <c r="B226" t="s">
        <v>16</v>
      </c>
      <c r="C226">
        <v>3</v>
      </c>
      <c r="D226">
        <v>100</v>
      </c>
      <c r="E226">
        <v>102400</v>
      </c>
      <c r="F226" t="str">
        <f t="shared" si="3"/>
        <v>lena256_blurkernel8_3_100_102400</v>
      </c>
      <c r="G226">
        <v>21.285394</v>
      </c>
      <c r="H226">
        <v>3.5728270000000002</v>
      </c>
      <c r="I226">
        <v>2.1088530000000001E-2</v>
      </c>
      <c r="J226">
        <v>9.4509999999999998E-6</v>
      </c>
      <c r="K226">
        <v>4.1063999999999998</v>
      </c>
      <c r="L226">
        <v>17.587499999999999</v>
      </c>
      <c r="M226">
        <v>0</v>
      </c>
      <c r="N226">
        <v>23.116099999999999</v>
      </c>
      <c r="O226">
        <v>0</v>
      </c>
    </row>
    <row r="227" spans="1:15" x14ac:dyDescent="0.25">
      <c r="A227" t="s">
        <v>14</v>
      </c>
      <c r="B227" t="s">
        <v>16</v>
      </c>
      <c r="C227">
        <v>7</v>
      </c>
      <c r="D227">
        <v>100</v>
      </c>
      <c r="E227">
        <v>200</v>
      </c>
      <c r="F227" t="str">
        <f t="shared" si="3"/>
        <v>lena256_blurkernel8_7_100_200</v>
      </c>
      <c r="G227">
        <v>46.603087000000002</v>
      </c>
      <c r="H227">
        <v>10.517125</v>
      </c>
      <c r="I227">
        <v>2.0625E-5</v>
      </c>
      <c r="J227">
        <v>9.4769999999999992E-6</v>
      </c>
      <c r="K227">
        <v>32.244599999999998</v>
      </c>
      <c r="L227">
        <v>12.0031</v>
      </c>
      <c r="M227">
        <v>0</v>
      </c>
      <c r="N227">
        <v>32.861800000000002</v>
      </c>
      <c r="O227">
        <v>0</v>
      </c>
    </row>
    <row r="228" spans="1:15" x14ac:dyDescent="0.25">
      <c r="A228" t="s">
        <v>14</v>
      </c>
      <c r="B228" t="s">
        <v>16</v>
      </c>
      <c r="C228">
        <v>7</v>
      </c>
      <c r="D228">
        <v>100</v>
      </c>
      <c r="E228">
        <v>400</v>
      </c>
      <c r="F228" t="str">
        <f t="shared" si="3"/>
        <v>lena256_blurkernel8_7_100_400</v>
      </c>
      <c r="G228">
        <v>33.977851999999999</v>
      </c>
      <c r="H228">
        <v>9.6058869999999992</v>
      </c>
      <c r="I228">
        <v>4.3619999999999999E-5</v>
      </c>
      <c r="J228">
        <v>9.4769999999999992E-6</v>
      </c>
      <c r="K228">
        <v>28.995100000000001</v>
      </c>
      <c r="L228">
        <v>12.0031</v>
      </c>
      <c r="M228">
        <v>0</v>
      </c>
      <c r="N228">
        <v>30.5154</v>
      </c>
      <c r="O228">
        <v>0</v>
      </c>
    </row>
    <row r="229" spans="1:15" x14ac:dyDescent="0.25">
      <c r="A229" t="s">
        <v>14</v>
      </c>
      <c r="B229" t="s">
        <v>16</v>
      </c>
      <c r="C229">
        <v>7</v>
      </c>
      <c r="D229">
        <v>100</v>
      </c>
      <c r="E229">
        <v>800</v>
      </c>
      <c r="F229" t="str">
        <f t="shared" si="3"/>
        <v>lena256_blurkernel8_7_100_800</v>
      </c>
      <c r="G229">
        <v>26.070549</v>
      </c>
      <c r="H229">
        <v>9.1693149999999992</v>
      </c>
      <c r="I229">
        <v>8.9513999999999997E-5</v>
      </c>
      <c r="J229">
        <v>9.4769999999999992E-6</v>
      </c>
      <c r="K229">
        <v>25.876300000000001</v>
      </c>
      <c r="L229">
        <v>12.0031</v>
      </c>
      <c r="M229">
        <v>0</v>
      </c>
      <c r="N229">
        <v>28.264299999999999</v>
      </c>
      <c r="O229">
        <v>0</v>
      </c>
    </row>
    <row r="230" spans="1:15" x14ac:dyDescent="0.25">
      <c r="A230" t="s">
        <v>14</v>
      </c>
      <c r="B230" t="s">
        <v>16</v>
      </c>
      <c r="C230">
        <v>7</v>
      </c>
      <c r="D230">
        <v>100</v>
      </c>
      <c r="E230">
        <v>1600</v>
      </c>
      <c r="F230" t="str">
        <f t="shared" si="3"/>
        <v>lena256_blurkernel8_7_100_1600</v>
      </c>
      <c r="G230">
        <v>20.975252999999999</v>
      </c>
      <c r="H230">
        <v>8.9681289999999994</v>
      </c>
      <c r="I230">
        <v>1.82599E-4</v>
      </c>
      <c r="J230">
        <v>9.4769999999999992E-6</v>
      </c>
      <c r="K230">
        <v>22.7958</v>
      </c>
      <c r="L230">
        <v>12.0031</v>
      </c>
      <c r="M230">
        <v>0</v>
      </c>
      <c r="N230">
        <v>26.288699999999999</v>
      </c>
      <c r="O230">
        <v>0</v>
      </c>
    </row>
    <row r="231" spans="1:15" x14ac:dyDescent="0.25">
      <c r="A231" t="s">
        <v>14</v>
      </c>
      <c r="B231" t="s">
        <v>16</v>
      </c>
      <c r="C231">
        <v>7</v>
      </c>
      <c r="D231">
        <v>100</v>
      </c>
      <c r="E231">
        <v>3200</v>
      </c>
      <c r="F231" t="str">
        <f t="shared" si="3"/>
        <v>lena256_blurkernel8_7_100_3200</v>
      </c>
      <c r="G231">
        <v>17.742101999999999</v>
      </c>
      <c r="H231">
        <v>8.8847749999999994</v>
      </c>
      <c r="I231">
        <v>3.6962300000000002E-4</v>
      </c>
      <c r="J231">
        <v>9.4769999999999992E-6</v>
      </c>
      <c r="K231">
        <v>19.761600000000001</v>
      </c>
      <c r="L231">
        <v>12.0031</v>
      </c>
      <c r="M231">
        <v>0</v>
      </c>
      <c r="N231">
        <v>24.7148</v>
      </c>
      <c r="O231">
        <v>0</v>
      </c>
    </row>
    <row r="232" spans="1:15" x14ac:dyDescent="0.25">
      <c r="A232" t="s">
        <v>14</v>
      </c>
      <c r="B232" t="s">
        <v>16</v>
      </c>
      <c r="C232">
        <v>7</v>
      </c>
      <c r="D232">
        <v>100</v>
      </c>
      <c r="E232">
        <v>6400</v>
      </c>
      <c r="F232" t="str">
        <f t="shared" si="3"/>
        <v>lena256_blurkernel8_7_100_6400</v>
      </c>
      <c r="G232">
        <v>15.512241</v>
      </c>
      <c r="H232">
        <v>8.8635470000000005</v>
      </c>
      <c r="I232">
        <v>7.6691900000000002E-4</v>
      </c>
      <c r="J232">
        <v>9.4769999999999992E-6</v>
      </c>
      <c r="K232">
        <v>16.642800000000001</v>
      </c>
      <c r="L232">
        <v>12.0031</v>
      </c>
      <c r="M232">
        <v>0</v>
      </c>
      <c r="N232">
        <v>23.153400000000001</v>
      </c>
      <c r="O232">
        <v>0</v>
      </c>
    </row>
    <row r="233" spans="1:15" x14ac:dyDescent="0.25">
      <c r="A233" t="s">
        <v>14</v>
      </c>
      <c r="B233" t="s">
        <v>16</v>
      </c>
      <c r="C233">
        <v>7</v>
      </c>
      <c r="D233">
        <v>100</v>
      </c>
      <c r="E233">
        <v>12800</v>
      </c>
      <c r="F233" t="str">
        <f t="shared" si="3"/>
        <v>lena256_blurkernel8_7_100_12800</v>
      </c>
      <c r="G233">
        <v>13.783006</v>
      </c>
      <c r="H233">
        <v>8.8822209999999995</v>
      </c>
      <c r="I233">
        <v>1.612179E-3</v>
      </c>
      <c r="J233">
        <v>9.4769999999999992E-6</v>
      </c>
      <c r="K233">
        <v>13.507199999999999</v>
      </c>
      <c r="L233">
        <v>12.0031</v>
      </c>
      <c r="M233">
        <v>0</v>
      </c>
      <c r="N233">
        <v>21.860199999999999</v>
      </c>
      <c r="O233">
        <v>0</v>
      </c>
    </row>
    <row r="234" spans="1:15" x14ac:dyDescent="0.25">
      <c r="A234" t="s">
        <v>14</v>
      </c>
      <c r="B234" t="s">
        <v>16</v>
      </c>
      <c r="C234">
        <v>7</v>
      </c>
      <c r="D234">
        <v>100</v>
      </c>
      <c r="E234">
        <v>25600</v>
      </c>
      <c r="F234" t="str">
        <f t="shared" si="3"/>
        <v>lena256_blurkernel8_7_100_25600</v>
      </c>
      <c r="G234">
        <v>12.376163</v>
      </c>
      <c r="H234">
        <v>8.9147800000000004</v>
      </c>
      <c r="I234">
        <v>3.5564920000000001E-3</v>
      </c>
      <c r="J234">
        <v>9.4769999999999992E-6</v>
      </c>
      <c r="K234">
        <v>10.298500000000001</v>
      </c>
      <c r="L234">
        <v>12.0031</v>
      </c>
      <c r="M234">
        <v>0</v>
      </c>
      <c r="N234">
        <v>21.180199999999999</v>
      </c>
      <c r="O234">
        <v>0</v>
      </c>
    </row>
    <row r="235" spans="1:15" x14ac:dyDescent="0.25">
      <c r="A235" t="s">
        <v>14</v>
      </c>
      <c r="B235" t="s">
        <v>16</v>
      </c>
      <c r="C235">
        <v>7</v>
      </c>
      <c r="D235">
        <v>100</v>
      </c>
      <c r="E235">
        <v>102400</v>
      </c>
      <c r="F235" t="str">
        <f t="shared" si="3"/>
        <v>lena256_blurkernel8_7_100_102400</v>
      </c>
      <c r="G235">
        <v>10.053305</v>
      </c>
      <c r="H235">
        <v>8.9662500000000005</v>
      </c>
      <c r="I235">
        <v>2.1213724E-2</v>
      </c>
      <c r="J235">
        <v>9.5219999999999996E-6</v>
      </c>
      <c r="K235">
        <v>4.0976999999999997</v>
      </c>
      <c r="L235">
        <v>12.004300000000001</v>
      </c>
      <c r="M235">
        <v>0</v>
      </c>
      <c r="N235">
        <v>15.6584</v>
      </c>
      <c r="O235">
        <v>0</v>
      </c>
    </row>
    <row r="236" spans="1:15" x14ac:dyDescent="0.25">
      <c r="A236" t="s">
        <v>14</v>
      </c>
      <c r="B236" t="s">
        <v>16</v>
      </c>
      <c r="C236">
        <v>15</v>
      </c>
      <c r="D236">
        <v>100</v>
      </c>
      <c r="E236">
        <v>200</v>
      </c>
      <c r="F236" t="str">
        <f t="shared" si="3"/>
        <v>lena256_blurkernel8_15_100_200</v>
      </c>
      <c r="G236">
        <v>44.664202000000003</v>
      </c>
      <c r="H236">
        <v>23.118221999999999</v>
      </c>
      <c r="I236">
        <v>2.0978000000000001E-5</v>
      </c>
      <c r="J236">
        <v>9.5619999999999993E-6</v>
      </c>
      <c r="K236">
        <v>32.1736</v>
      </c>
      <c r="L236">
        <v>8.2194000000000003</v>
      </c>
      <c r="M236">
        <v>0</v>
      </c>
      <c r="N236">
        <v>32.615900000000003</v>
      </c>
      <c r="O236">
        <v>0</v>
      </c>
    </row>
    <row r="237" spans="1:15" x14ac:dyDescent="0.25">
      <c r="A237" t="s">
        <v>14</v>
      </c>
      <c r="B237" t="s">
        <v>16</v>
      </c>
      <c r="C237">
        <v>15</v>
      </c>
      <c r="D237">
        <v>100</v>
      </c>
      <c r="E237">
        <v>400</v>
      </c>
      <c r="F237" t="str">
        <f t="shared" si="3"/>
        <v>lena256_blurkernel8_15_100_400</v>
      </c>
      <c r="G237">
        <v>31.862772</v>
      </c>
      <c r="H237">
        <v>21.171213999999999</v>
      </c>
      <c r="I237">
        <v>4.3192000000000003E-5</v>
      </c>
      <c r="J237">
        <v>9.5259999999999999E-6</v>
      </c>
      <c r="K237">
        <v>29.0379</v>
      </c>
      <c r="L237">
        <v>8.2180999999999997</v>
      </c>
      <c r="M237">
        <v>0</v>
      </c>
      <c r="N237">
        <v>29.8431</v>
      </c>
      <c r="O237">
        <v>0</v>
      </c>
    </row>
    <row r="238" spans="1:15" x14ac:dyDescent="0.25">
      <c r="A238" t="s">
        <v>14</v>
      </c>
      <c r="B238" t="s">
        <v>16</v>
      </c>
      <c r="C238">
        <v>15</v>
      </c>
      <c r="D238">
        <v>100</v>
      </c>
      <c r="E238">
        <v>800</v>
      </c>
      <c r="F238" t="str">
        <f t="shared" si="3"/>
        <v>lena256_blurkernel8_15_100_800</v>
      </c>
      <c r="G238">
        <v>23.038454000000002</v>
      </c>
      <c r="H238">
        <v>20.102768999999999</v>
      </c>
      <c r="I238">
        <v>9.0153000000000002E-5</v>
      </c>
      <c r="J238">
        <v>9.5619999999999993E-6</v>
      </c>
      <c r="K238">
        <v>25.847100000000001</v>
      </c>
      <c r="L238">
        <v>8.2194000000000003</v>
      </c>
      <c r="M238">
        <v>0</v>
      </c>
      <c r="N238">
        <v>27.477</v>
      </c>
      <c r="O238">
        <v>0</v>
      </c>
    </row>
    <row r="239" spans="1:15" x14ac:dyDescent="0.25">
      <c r="A239" t="s">
        <v>14</v>
      </c>
      <c r="B239" t="s">
        <v>16</v>
      </c>
      <c r="C239">
        <v>15</v>
      </c>
      <c r="D239">
        <v>100</v>
      </c>
      <c r="E239">
        <v>1600</v>
      </c>
      <c r="F239" t="str">
        <f t="shared" si="3"/>
        <v>lena256_blurkernel8_15_100_1600</v>
      </c>
      <c r="G239">
        <v>17.449448</v>
      </c>
      <c r="H239">
        <v>19.650072000000002</v>
      </c>
      <c r="I239">
        <v>1.81375E-4</v>
      </c>
      <c r="J239">
        <v>9.5259999999999999E-6</v>
      </c>
      <c r="K239">
        <v>22.8246</v>
      </c>
      <c r="L239">
        <v>8.2180999999999997</v>
      </c>
      <c r="M239">
        <v>0</v>
      </c>
      <c r="N239">
        <v>25.392800000000001</v>
      </c>
      <c r="O239">
        <v>0</v>
      </c>
    </row>
    <row r="240" spans="1:15" x14ac:dyDescent="0.25">
      <c r="A240" t="s">
        <v>14</v>
      </c>
      <c r="B240" t="s">
        <v>16</v>
      </c>
      <c r="C240">
        <v>15</v>
      </c>
      <c r="D240">
        <v>100</v>
      </c>
      <c r="E240">
        <v>3200</v>
      </c>
      <c r="F240" t="str">
        <f t="shared" si="3"/>
        <v>lena256_blurkernel8_15_100_3200</v>
      </c>
      <c r="G240">
        <v>13.701396000000001</v>
      </c>
      <c r="H240">
        <v>19.380531000000001</v>
      </c>
      <c r="I240">
        <v>3.6745899999999999E-4</v>
      </c>
      <c r="J240">
        <v>9.5619999999999993E-6</v>
      </c>
      <c r="K240">
        <v>19.7729</v>
      </c>
      <c r="L240">
        <v>8.2194000000000003</v>
      </c>
      <c r="M240">
        <v>0</v>
      </c>
      <c r="N240">
        <v>23.398900000000001</v>
      </c>
      <c r="O240">
        <v>0</v>
      </c>
    </row>
    <row r="241" spans="1:15" x14ac:dyDescent="0.25">
      <c r="A241" t="s">
        <v>14</v>
      </c>
      <c r="B241" t="s">
        <v>16</v>
      </c>
      <c r="C241">
        <v>15</v>
      </c>
      <c r="D241">
        <v>100</v>
      </c>
      <c r="E241">
        <v>6400</v>
      </c>
      <c r="F241" t="str">
        <f t="shared" si="3"/>
        <v>lena256_blurkernel8_15_100_6400</v>
      </c>
      <c r="G241">
        <v>11.186574999999999</v>
      </c>
      <c r="H241">
        <v>19.314679999999999</v>
      </c>
      <c r="I241">
        <v>7.5987500000000003E-4</v>
      </c>
      <c r="J241">
        <v>9.5259999999999999E-6</v>
      </c>
      <c r="K241">
        <v>16.6692</v>
      </c>
      <c r="L241">
        <v>8.2180999999999997</v>
      </c>
      <c r="M241">
        <v>0</v>
      </c>
      <c r="N241">
        <v>21.772300000000001</v>
      </c>
      <c r="O241">
        <v>0</v>
      </c>
    </row>
    <row r="242" spans="1:15" x14ac:dyDescent="0.25">
      <c r="A242" t="s">
        <v>14</v>
      </c>
      <c r="B242" t="s">
        <v>16</v>
      </c>
      <c r="C242">
        <v>15</v>
      </c>
      <c r="D242">
        <v>100</v>
      </c>
      <c r="E242">
        <v>12800</v>
      </c>
      <c r="F242" t="str">
        <f t="shared" si="3"/>
        <v>lena256_blurkernel8_15_100_12800</v>
      </c>
      <c r="G242">
        <v>9.4478519999999993</v>
      </c>
      <c r="H242">
        <v>19.249309</v>
      </c>
      <c r="I242">
        <v>1.6125639999999999E-3</v>
      </c>
      <c r="J242">
        <v>9.5619999999999993E-6</v>
      </c>
      <c r="K242">
        <v>13.5154</v>
      </c>
      <c r="L242">
        <v>8.2194000000000003</v>
      </c>
      <c r="M242">
        <v>0</v>
      </c>
      <c r="N242">
        <v>20.496400000000001</v>
      </c>
      <c r="O242">
        <v>0</v>
      </c>
    </row>
    <row r="243" spans="1:15" x14ac:dyDescent="0.25">
      <c r="A243" t="s">
        <v>14</v>
      </c>
      <c r="B243" t="s">
        <v>16</v>
      </c>
      <c r="C243">
        <v>15</v>
      </c>
      <c r="D243">
        <v>100</v>
      </c>
      <c r="E243">
        <v>25600</v>
      </c>
      <c r="F243" t="str">
        <f t="shared" si="3"/>
        <v>lena256_blurkernel8_15_100_25600</v>
      </c>
      <c r="G243">
        <v>8.2086100000000002</v>
      </c>
      <c r="H243">
        <v>19.290410999999999</v>
      </c>
      <c r="I243">
        <v>3.5852150000000001E-3</v>
      </c>
      <c r="J243">
        <v>9.5259999999999999E-6</v>
      </c>
      <c r="K243">
        <v>10.2545</v>
      </c>
      <c r="L243">
        <v>8.2180999999999997</v>
      </c>
      <c r="M243">
        <v>0</v>
      </c>
      <c r="N243">
        <v>19.495100000000001</v>
      </c>
      <c r="O243">
        <v>0</v>
      </c>
    </row>
    <row r="244" spans="1:15" x14ac:dyDescent="0.25">
      <c r="A244" t="s">
        <v>14</v>
      </c>
      <c r="B244" t="s">
        <v>16</v>
      </c>
      <c r="C244">
        <v>15</v>
      </c>
      <c r="D244">
        <v>100</v>
      </c>
      <c r="E244">
        <v>102400</v>
      </c>
      <c r="F244" t="str">
        <f t="shared" si="3"/>
        <v>lena256_blurkernel8_15_100_102400</v>
      </c>
      <c r="G244">
        <v>6.3090679999999999</v>
      </c>
      <c r="H244">
        <v>19.325101</v>
      </c>
      <c r="I244">
        <v>2.1188993999999999E-2</v>
      </c>
      <c r="J244">
        <v>9.5480000000000007E-6</v>
      </c>
      <c r="K244">
        <v>4.1041999999999996</v>
      </c>
      <c r="L244">
        <v>8.2194000000000003</v>
      </c>
      <c r="M244">
        <v>0</v>
      </c>
      <c r="N244">
        <v>15.705500000000001</v>
      </c>
      <c r="O244">
        <v>0</v>
      </c>
    </row>
    <row r="245" spans="1:15" x14ac:dyDescent="0.25">
      <c r="A245" t="s">
        <v>14</v>
      </c>
      <c r="B245" t="s">
        <v>16</v>
      </c>
      <c r="C245">
        <v>31</v>
      </c>
      <c r="D245">
        <v>100</v>
      </c>
      <c r="E245">
        <v>200</v>
      </c>
      <c r="F245" t="str">
        <f t="shared" si="3"/>
        <v>lena256_blurkernel8_31_100_200</v>
      </c>
      <c r="G245">
        <v>44.511468999999998</v>
      </c>
      <c r="H245">
        <v>48.281649999999999</v>
      </c>
      <c r="I245">
        <v>2.0721E-5</v>
      </c>
      <c r="J245">
        <v>9.5000000000000005E-6</v>
      </c>
      <c r="K245">
        <v>32.223500000000001</v>
      </c>
      <c r="L245">
        <v>5.3051000000000004</v>
      </c>
      <c r="M245">
        <v>0</v>
      </c>
      <c r="N245">
        <v>31.910799999999998</v>
      </c>
      <c r="O245">
        <v>0</v>
      </c>
    </row>
    <row r="246" spans="1:15" x14ac:dyDescent="0.25">
      <c r="A246" t="s">
        <v>14</v>
      </c>
      <c r="B246" t="s">
        <v>16</v>
      </c>
      <c r="C246">
        <v>31</v>
      </c>
      <c r="D246">
        <v>100</v>
      </c>
      <c r="E246">
        <v>400</v>
      </c>
      <c r="F246" t="str">
        <f t="shared" si="3"/>
        <v>lena256_blurkernel8_31_100_400</v>
      </c>
      <c r="G246">
        <v>31.114661000000002</v>
      </c>
      <c r="H246">
        <v>43.911307000000001</v>
      </c>
      <c r="I246">
        <v>4.3189999999999998E-5</v>
      </c>
      <c r="J246">
        <v>9.5449999999999992E-6</v>
      </c>
      <c r="K246">
        <v>29.0381</v>
      </c>
      <c r="L246">
        <v>5.3060999999999998</v>
      </c>
      <c r="M246">
        <v>0</v>
      </c>
      <c r="N246">
        <v>29.1419</v>
      </c>
      <c r="O246">
        <v>0</v>
      </c>
    </row>
    <row r="247" spans="1:15" x14ac:dyDescent="0.25">
      <c r="A247" t="s">
        <v>14</v>
      </c>
      <c r="B247" t="s">
        <v>16</v>
      </c>
      <c r="C247">
        <v>31</v>
      </c>
      <c r="D247">
        <v>100</v>
      </c>
      <c r="E247">
        <v>800</v>
      </c>
      <c r="F247" t="str">
        <f t="shared" si="3"/>
        <v>lena256_blurkernel8_31_100_800</v>
      </c>
      <c r="G247">
        <v>22.062194999999999</v>
      </c>
      <c r="H247">
        <v>41.805796000000001</v>
      </c>
      <c r="I247">
        <v>8.9067999999999995E-5</v>
      </c>
      <c r="J247">
        <v>9.5000000000000005E-6</v>
      </c>
      <c r="K247">
        <v>25.8995</v>
      </c>
      <c r="L247">
        <v>5.3051000000000004</v>
      </c>
      <c r="M247">
        <v>0</v>
      </c>
      <c r="N247">
        <v>26.570699999999999</v>
      </c>
      <c r="O247">
        <v>0</v>
      </c>
    </row>
    <row r="248" spans="1:15" x14ac:dyDescent="0.25">
      <c r="A248" t="s">
        <v>14</v>
      </c>
      <c r="B248" t="s">
        <v>16</v>
      </c>
      <c r="C248">
        <v>31</v>
      </c>
      <c r="D248">
        <v>100</v>
      </c>
      <c r="E248">
        <v>1600</v>
      </c>
      <c r="F248" t="str">
        <f t="shared" si="3"/>
        <v>lena256_blurkernel8_31_100_1600</v>
      </c>
      <c r="G248">
        <v>15.966108999999999</v>
      </c>
      <c r="H248">
        <v>40.631193000000003</v>
      </c>
      <c r="I248">
        <v>1.8165100000000001E-4</v>
      </c>
      <c r="J248">
        <v>9.5449999999999992E-6</v>
      </c>
      <c r="K248">
        <v>22.813800000000001</v>
      </c>
      <c r="L248">
        <v>5.3060999999999998</v>
      </c>
      <c r="M248">
        <v>0</v>
      </c>
      <c r="N248">
        <v>24.185400000000001</v>
      </c>
      <c r="O248">
        <v>0</v>
      </c>
    </row>
    <row r="249" spans="1:15" x14ac:dyDescent="0.25">
      <c r="A249" t="s">
        <v>14</v>
      </c>
      <c r="B249" t="s">
        <v>16</v>
      </c>
      <c r="C249">
        <v>31</v>
      </c>
      <c r="D249">
        <v>100</v>
      </c>
      <c r="E249">
        <v>3200</v>
      </c>
      <c r="F249" t="str">
        <f t="shared" si="3"/>
        <v>lena256_blurkernel8_31_100_3200</v>
      </c>
      <c r="G249">
        <v>11.890314</v>
      </c>
      <c r="H249">
        <v>40.193491000000002</v>
      </c>
      <c r="I249">
        <v>3.6665800000000001E-4</v>
      </c>
      <c r="J249">
        <v>9.5000000000000005E-6</v>
      </c>
      <c r="K249">
        <v>19.794899999999998</v>
      </c>
      <c r="L249">
        <v>5.3051000000000004</v>
      </c>
      <c r="M249">
        <v>0</v>
      </c>
      <c r="N249">
        <v>22.1051</v>
      </c>
      <c r="O249">
        <v>0</v>
      </c>
    </row>
    <row r="250" spans="1:15" x14ac:dyDescent="0.25">
      <c r="A250" t="s">
        <v>14</v>
      </c>
      <c r="B250" t="s">
        <v>16</v>
      </c>
      <c r="C250">
        <v>31</v>
      </c>
      <c r="D250">
        <v>100</v>
      </c>
      <c r="E250">
        <v>6400</v>
      </c>
      <c r="F250" t="str">
        <f t="shared" si="3"/>
        <v>lena256_blurkernel8_31_100_6400</v>
      </c>
      <c r="G250">
        <v>9.0721600000000002</v>
      </c>
      <c r="H250">
        <v>39.841124999999998</v>
      </c>
      <c r="I250">
        <v>7.6186699999999995E-4</v>
      </c>
      <c r="J250">
        <v>9.5449999999999992E-6</v>
      </c>
      <c r="K250">
        <v>16.664400000000001</v>
      </c>
      <c r="L250">
        <v>5.3060999999999998</v>
      </c>
      <c r="M250">
        <v>0</v>
      </c>
      <c r="N250">
        <v>20.120100000000001</v>
      </c>
      <c r="O250">
        <v>0</v>
      </c>
    </row>
    <row r="251" spans="1:15" x14ac:dyDescent="0.25">
      <c r="A251" t="s">
        <v>14</v>
      </c>
      <c r="B251" t="s">
        <v>16</v>
      </c>
      <c r="C251">
        <v>31</v>
      </c>
      <c r="D251">
        <v>100</v>
      </c>
      <c r="E251">
        <v>12800</v>
      </c>
      <c r="F251" t="str">
        <f t="shared" si="3"/>
        <v>lena256_blurkernel8_31_100_12800</v>
      </c>
      <c r="G251">
        <v>7.2037509999999996</v>
      </c>
      <c r="H251">
        <v>39.817498999999998</v>
      </c>
      <c r="I251">
        <v>1.6175440000000001E-3</v>
      </c>
      <c r="J251">
        <v>9.5000000000000005E-6</v>
      </c>
      <c r="K251">
        <v>13.4907</v>
      </c>
      <c r="L251">
        <v>5.3051000000000004</v>
      </c>
      <c r="M251">
        <v>0</v>
      </c>
      <c r="N251">
        <v>18.411799999999999</v>
      </c>
      <c r="O251">
        <v>0</v>
      </c>
    </row>
    <row r="252" spans="1:15" x14ac:dyDescent="0.25">
      <c r="A252" t="s">
        <v>14</v>
      </c>
      <c r="B252" t="s">
        <v>16</v>
      </c>
      <c r="C252">
        <v>31</v>
      </c>
      <c r="D252">
        <v>100</v>
      </c>
      <c r="E252">
        <v>25600</v>
      </c>
      <c r="F252" t="str">
        <f t="shared" si="3"/>
        <v>lena256_blurkernel8_31_100_25600</v>
      </c>
      <c r="G252">
        <v>5.916061</v>
      </c>
      <c r="H252">
        <v>39.687967</v>
      </c>
      <c r="I252">
        <v>3.563302E-3</v>
      </c>
      <c r="J252">
        <v>9.5449999999999992E-6</v>
      </c>
      <c r="K252">
        <v>10.287100000000001</v>
      </c>
      <c r="L252">
        <v>5.3060999999999998</v>
      </c>
      <c r="M252">
        <v>0</v>
      </c>
      <c r="N252">
        <v>17.0535</v>
      </c>
      <c r="O252">
        <v>0</v>
      </c>
    </row>
    <row r="253" spans="1:15" x14ac:dyDescent="0.25">
      <c r="A253" t="s">
        <v>14</v>
      </c>
      <c r="B253" t="s">
        <v>16</v>
      </c>
      <c r="C253">
        <v>31</v>
      </c>
      <c r="D253">
        <v>100</v>
      </c>
      <c r="E253">
        <v>102400</v>
      </c>
      <c r="F253" t="str">
        <f t="shared" si="3"/>
        <v>lena256_blurkernel8_31_100_102400</v>
      </c>
      <c r="G253">
        <v>4.2519539999999996</v>
      </c>
      <c r="H253">
        <v>39.705275</v>
      </c>
      <c r="I253">
        <v>2.0931994999999998E-2</v>
      </c>
      <c r="J253">
        <v>9.5449999999999992E-6</v>
      </c>
      <c r="K253">
        <v>4.1477000000000004</v>
      </c>
      <c r="L253">
        <v>5.3034999999999997</v>
      </c>
      <c r="M253">
        <v>0</v>
      </c>
      <c r="N253">
        <v>12.9933</v>
      </c>
      <c r="O253">
        <v>0</v>
      </c>
    </row>
    <row r="254" spans="1:15" x14ac:dyDescent="0.25">
      <c r="A254" t="s">
        <v>14</v>
      </c>
      <c r="B254" t="s">
        <v>17</v>
      </c>
      <c r="C254">
        <v>3</v>
      </c>
      <c r="D254">
        <v>100</v>
      </c>
      <c r="E254">
        <v>200</v>
      </c>
      <c r="F254" t="str">
        <f t="shared" si="3"/>
        <v>lena256_line_3_100_200</v>
      </c>
      <c r="G254">
        <v>56.504685000000002</v>
      </c>
      <c r="H254">
        <v>3.6216979999999999</v>
      </c>
      <c r="I254">
        <v>2.0832999999999999E-5</v>
      </c>
      <c r="J254">
        <v>9.5859999999999994E-6</v>
      </c>
      <c r="K254">
        <v>32.2012</v>
      </c>
      <c r="L254">
        <v>15.063499999999999</v>
      </c>
      <c r="M254">
        <v>0</v>
      </c>
      <c r="N254">
        <v>34.119300000000003</v>
      </c>
      <c r="O254">
        <v>0</v>
      </c>
    </row>
    <row r="255" spans="1:15" x14ac:dyDescent="0.25">
      <c r="A255" t="s">
        <v>14</v>
      </c>
      <c r="B255" t="s">
        <v>17</v>
      </c>
      <c r="C255">
        <v>3</v>
      </c>
      <c r="D255">
        <v>100</v>
      </c>
      <c r="E255">
        <v>400</v>
      </c>
      <c r="F255" t="str">
        <f t="shared" si="3"/>
        <v>lena256_line_3_100_400</v>
      </c>
      <c r="G255">
        <v>46.293356000000003</v>
      </c>
      <c r="H255">
        <v>3.354209</v>
      </c>
      <c r="I255">
        <v>4.3192000000000003E-5</v>
      </c>
      <c r="J255">
        <v>9.5859999999999994E-6</v>
      </c>
      <c r="K255">
        <v>29.0379</v>
      </c>
      <c r="L255">
        <v>15.063499999999999</v>
      </c>
      <c r="M255">
        <v>0</v>
      </c>
      <c r="N255">
        <v>32.033200000000001</v>
      </c>
      <c r="O255">
        <v>0</v>
      </c>
    </row>
    <row r="256" spans="1:15" x14ac:dyDescent="0.25">
      <c r="A256" t="s">
        <v>14</v>
      </c>
      <c r="B256" t="s">
        <v>17</v>
      </c>
      <c r="C256">
        <v>3</v>
      </c>
      <c r="D256">
        <v>100</v>
      </c>
      <c r="E256">
        <v>800</v>
      </c>
      <c r="F256" t="str">
        <f t="shared" si="3"/>
        <v>lena256_line_3_100_800</v>
      </c>
      <c r="G256">
        <v>39.556068000000003</v>
      </c>
      <c r="H256">
        <v>3.2576239999999999</v>
      </c>
      <c r="I256">
        <v>8.9153999999999994E-5</v>
      </c>
      <c r="J256">
        <v>9.5859999999999994E-6</v>
      </c>
      <c r="K256">
        <v>25.896999999999998</v>
      </c>
      <c r="L256">
        <v>15.063499999999999</v>
      </c>
      <c r="M256">
        <v>0</v>
      </c>
      <c r="N256">
        <v>30.028600000000001</v>
      </c>
      <c r="O256">
        <v>0</v>
      </c>
    </row>
    <row r="257" spans="1:15" x14ac:dyDescent="0.25">
      <c r="A257" t="s">
        <v>14</v>
      </c>
      <c r="B257" t="s">
        <v>17</v>
      </c>
      <c r="C257">
        <v>3</v>
      </c>
      <c r="D257">
        <v>100</v>
      </c>
      <c r="E257">
        <v>1600</v>
      </c>
      <c r="F257" t="str">
        <f t="shared" si="3"/>
        <v>lena256_line_3_100_1600</v>
      </c>
      <c r="G257">
        <v>34.618613000000003</v>
      </c>
      <c r="H257">
        <v>3.2640169999999999</v>
      </c>
      <c r="I257">
        <v>1.8090900000000001E-4</v>
      </c>
      <c r="J257">
        <v>9.5859999999999994E-6</v>
      </c>
      <c r="K257">
        <v>22.8323</v>
      </c>
      <c r="L257">
        <v>15.063499999999999</v>
      </c>
      <c r="M257">
        <v>0</v>
      </c>
      <c r="N257">
        <v>28.4011</v>
      </c>
      <c r="O257">
        <v>0</v>
      </c>
    </row>
    <row r="258" spans="1:15" x14ac:dyDescent="0.25">
      <c r="A258" t="s">
        <v>14</v>
      </c>
      <c r="B258" t="s">
        <v>17</v>
      </c>
      <c r="C258">
        <v>3</v>
      </c>
      <c r="D258">
        <v>100</v>
      </c>
      <c r="E258">
        <v>3200</v>
      </c>
      <c r="F258" t="str">
        <f t="shared" ref="F258:F321" si="4">A258&amp;"_"&amp;B258&amp;"_"&amp;C258&amp;"_"&amp;D258&amp;"_"&amp;E258</f>
        <v>lena256_line_3_100_3200</v>
      </c>
      <c r="G258">
        <v>30.592155999999999</v>
      </c>
      <c r="H258">
        <v>3.3186529999999999</v>
      </c>
      <c r="I258">
        <v>3.7420299999999998E-4</v>
      </c>
      <c r="J258">
        <v>9.5859999999999994E-6</v>
      </c>
      <c r="K258">
        <v>19.696899999999999</v>
      </c>
      <c r="L258">
        <v>15.063499999999999</v>
      </c>
      <c r="M258">
        <v>0</v>
      </c>
      <c r="N258">
        <v>26.226299999999998</v>
      </c>
      <c r="O258">
        <v>0</v>
      </c>
    </row>
    <row r="259" spans="1:15" x14ac:dyDescent="0.25">
      <c r="A259" t="s">
        <v>14</v>
      </c>
      <c r="B259" t="s">
        <v>17</v>
      </c>
      <c r="C259">
        <v>3</v>
      </c>
      <c r="D259">
        <v>100</v>
      </c>
      <c r="E259">
        <v>6400</v>
      </c>
      <c r="F259" t="str">
        <f t="shared" si="4"/>
        <v>lena256_line_3_100_6400</v>
      </c>
      <c r="G259">
        <v>27.519836999999999</v>
      </c>
      <c r="H259">
        <v>3.3820239999999999</v>
      </c>
      <c r="I259">
        <v>7.6496300000000001E-4</v>
      </c>
      <c r="J259">
        <v>9.5859999999999994E-6</v>
      </c>
      <c r="K259">
        <v>16.638100000000001</v>
      </c>
      <c r="L259">
        <v>15.063499999999999</v>
      </c>
      <c r="M259">
        <v>0</v>
      </c>
      <c r="N259">
        <v>24.2364</v>
      </c>
      <c r="O259">
        <v>0</v>
      </c>
    </row>
    <row r="260" spans="1:15" x14ac:dyDescent="0.25">
      <c r="A260" t="s">
        <v>14</v>
      </c>
      <c r="B260" t="s">
        <v>17</v>
      </c>
      <c r="C260">
        <v>3</v>
      </c>
      <c r="D260">
        <v>100</v>
      </c>
      <c r="E260">
        <v>12800</v>
      </c>
      <c r="F260" t="str">
        <f t="shared" si="4"/>
        <v>lena256_line_3_100_12800</v>
      </c>
      <c r="G260">
        <v>24.809479</v>
      </c>
      <c r="H260">
        <v>3.4522910000000002</v>
      </c>
      <c r="I260">
        <v>1.6084179999999999E-3</v>
      </c>
      <c r="J260">
        <v>9.5859999999999994E-6</v>
      </c>
      <c r="K260">
        <v>13.519500000000001</v>
      </c>
      <c r="L260">
        <v>15.063499999999999</v>
      </c>
      <c r="M260">
        <v>0</v>
      </c>
      <c r="N260">
        <v>23.4772</v>
      </c>
      <c r="O260">
        <v>0</v>
      </c>
    </row>
    <row r="261" spans="1:15" x14ac:dyDescent="0.25">
      <c r="A261" t="s">
        <v>14</v>
      </c>
      <c r="B261" t="s">
        <v>17</v>
      </c>
      <c r="C261">
        <v>3</v>
      </c>
      <c r="D261">
        <v>100</v>
      </c>
      <c r="E261">
        <v>25600</v>
      </c>
      <c r="F261" t="str">
        <f t="shared" si="4"/>
        <v>lena256_line_3_100_25600</v>
      </c>
      <c r="G261">
        <v>22.885355000000001</v>
      </c>
      <c r="H261">
        <v>3.5041690000000001</v>
      </c>
      <c r="I261">
        <v>3.56661E-3</v>
      </c>
      <c r="J261">
        <v>9.5859999999999994E-6</v>
      </c>
      <c r="K261">
        <v>10.279199999999999</v>
      </c>
      <c r="L261">
        <v>15.063499999999999</v>
      </c>
      <c r="M261">
        <v>0</v>
      </c>
      <c r="N261">
        <v>22.8401</v>
      </c>
      <c r="O261">
        <v>0</v>
      </c>
    </row>
    <row r="262" spans="1:15" x14ac:dyDescent="0.25">
      <c r="A262" t="s">
        <v>14</v>
      </c>
      <c r="B262" t="s">
        <v>17</v>
      </c>
      <c r="C262">
        <v>3</v>
      </c>
      <c r="D262">
        <v>100</v>
      </c>
      <c r="E262">
        <v>102400</v>
      </c>
      <c r="F262" t="str">
        <f t="shared" si="4"/>
        <v>lena256_line_3_100_102400</v>
      </c>
      <c r="G262">
        <v>20.984998999999998</v>
      </c>
      <c r="H262">
        <v>3.5526970000000002</v>
      </c>
      <c r="I262">
        <v>2.1102335E-2</v>
      </c>
      <c r="J262">
        <v>9.5589999999999994E-6</v>
      </c>
      <c r="K262">
        <v>4.1588000000000003</v>
      </c>
      <c r="L262">
        <v>15.0642</v>
      </c>
      <c r="M262">
        <v>0</v>
      </c>
      <c r="N262">
        <v>13.813000000000001</v>
      </c>
      <c r="O262">
        <v>0</v>
      </c>
    </row>
    <row r="263" spans="1:15" x14ac:dyDescent="0.25">
      <c r="A263" t="s">
        <v>14</v>
      </c>
      <c r="B263" t="s">
        <v>17</v>
      </c>
      <c r="C263">
        <v>7</v>
      </c>
      <c r="D263">
        <v>100</v>
      </c>
      <c r="E263">
        <v>200</v>
      </c>
      <c r="F263" t="str">
        <f t="shared" si="4"/>
        <v>lena256_line_7_100_200</v>
      </c>
      <c r="G263">
        <v>49.847630000000002</v>
      </c>
      <c r="H263">
        <v>9.8086520000000004</v>
      </c>
      <c r="I263">
        <v>2.0656E-5</v>
      </c>
      <c r="J263">
        <v>9.4769999999999992E-6</v>
      </c>
      <c r="K263">
        <v>32.239100000000001</v>
      </c>
      <c r="L263">
        <v>10.084099999999999</v>
      </c>
      <c r="M263">
        <v>0</v>
      </c>
      <c r="N263">
        <v>33.286299999999997</v>
      </c>
      <c r="O263">
        <v>0</v>
      </c>
    </row>
    <row r="264" spans="1:15" x14ac:dyDescent="0.25">
      <c r="A264" t="s">
        <v>14</v>
      </c>
      <c r="B264" t="s">
        <v>17</v>
      </c>
      <c r="C264">
        <v>7</v>
      </c>
      <c r="D264">
        <v>100</v>
      </c>
      <c r="E264">
        <v>400</v>
      </c>
      <c r="F264" t="str">
        <f t="shared" si="4"/>
        <v>lena256_line_7_100_400</v>
      </c>
      <c r="G264">
        <v>37.906213999999999</v>
      </c>
      <c r="H264">
        <v>9.0159719999999997</v>
      </c>
      <c r="I264">
        <v>4.3556000000000001E-5</v>
      </c>
      <c r="J264">
        <v>9.4769999999999992E-6</v>
      </c>
      <c r="K264">
        <v>29.003</v>
      </c>
      <c r="L264">
        <v>10.084099999999999</v>
      </c>
      <c r="M264">
        <v>0</v>
      </c>
      <c r="N264">
        <v>30.551600000000001</v>
      </c>
      <c r="O264">
        <v>0</v>
      </c>
    </row>
    <row r="265" spans="1:15" x14ac:dyDescent="0.25">
      <c r="A265" t="s">
        <v>14</v>
      </c>
      <c r="B265" t="s">
        <v>17</v>
      </c>
      <c r="C265">
        <v>7</v>
      </c>
      <c r="D265">
        <v>100</v>
      </c>
      <c r="E265">
        <v>800</v>
      </c>
      <c r="F265" t="str">
        <f t="shared" si="4"/>
        <v>lena256_line_7_100_800</v>
      </c>
      <c r="G265">
        <v>30.368625999999999</v>
      </c>
      <c r="H265">
        <v>8.6821280000000005</v>
      </c>
      <c r="I265">
        <v>8.8572999999999994E-5</v>
      </c>
      <c r="J265">
        <v>9.4769999999999992E-6</v>
      </c>
      <c r="K265">
        <v>25.927199999999999</v>
      </c>
      <c r="L265">
        <v>10.084099999999999</v>
      </c>
      <c r="M265">
        <v>0</v>
      </c>
      <c r="N265">
        <v>28.43</v>
      </c>
      <c r="O265">
        <v>0</v>
      </c>
    </row>
    <row r="266" spans="1:15" x14ac:dyDescent="0.25">
      <c r="A266" t="s">
        <v>14</v>
      </c>
      <c r="B266" t="s">
        <v>17</v>
      </c>
      <c r="C266">
        <v>7</v>
      </c>
      <c r="D266">
        <v>100</v>
      </c>
      <c r="E266">
        <v>1600</v>
      </c>
      <c r="F266" t="str">
        <f t="shared" si="4"/>
        <v>lena256_line_7_100_1600</v>
      </c>
      <c r="G266">
        <v>24.795572</v>
      </c>
      <c r="H266">
        <v>8.5976590000000002</v>
      </c>
      <c r="I266">
        <v>1.8311600000000001E-4</v>
      </c>
      <c r="J266">
        <v>9.4769999999999992E-6</v>
      </c>
      <c r="K266">
        <v>22.779699999999998</v>
      </c>
      <c r="L266">
        <v>10.084099999999999</v>
      </c>
      <c r="M266">
        <v>0</v>
      </c>
      <c r="N266">
        <v>26.242599999999999</v>
      </c>
      <c r="O266">
        <v>0</v>
      </c>
    </row>
    <row r="267" spans="1:15" x14ac:dyDescent="0.25">
      <c r="A267" t="s">
        <v>14</v>
      </c>
      <c r="B267" t="s">
        <v>17</v>
      </c>
      <c r="C267">
        <v>7</v>
      </c>
      <c r="D267">
        <v>100</v>
      </c>
      <c r="E267">
        <v>3200</v>
      </c>
      <c r="F267" t="str">
        <f t="shared" si="4"/>
        <v>lena256_line_7_100_3200</v>
      </c>
      <c r="G267">
        <v>20.808078999999999</v>
      </c>
      <c r="H267">
        <v>8.6237530000000007</v>
      </c>
      <c r="I267">
        <v>3.6908999999999998E-4</v>
      </c>
      <c r="J267">
        <v>9.4769999999999992E-6</v>
      </c>
      <c r="K267">
        <v>19.763000000000002</v>
      </c>
      <c r="L267">
        <v>10.084099999999999</v>
      </c>
      <c r="M267">
        <v>0</v>
      </c>
      <c r="N267">
        <v>24.390599999999999</v>
      </c>
      <c r="O267">
        <v>0</v>
      </c>
    </row>
    <row r="268" spans="1:15" x14ac:dyDescent="0.25">
      <c r="A268" t="s">
        <v>14</v>
      </c>
      <c r="B268" t="s">
        <v>17</v>
      </c>
      <c r="C268">
        <v>7</v>
      </c>
      <c r="D268">
        <v>100</v>
      </c>
      <c r="E268">
        <v>6400</v>
      </c>
      <c r="F268" t="str">
        <f t="shared" si="4"/>
        <v>lena256_line_7_100_6400</v>
      </c>
      <c r="G268">
        <v>17.940296</v>
      </c>
      <c r="H268">
        <v>8.6719139999999992</v>
      </c>
      <c r="I268">
        <v>7.6747600000000001E-4</v>
      </c>
      <c r="J268">
        <v>9.4769999999999992E-6</v>
      </c>
      <c r="K268">
        <v>16.6343</v>
      </c>
      <c r="L268">
        <v>10.084099999999999</v>
      </c>
      <c r="M268">
        <v>0</v>
      </c>
      <c r="N268">
        <v>22.585799999999999</v>
      </c>
      <c r="O268">
        <v>0</v>
      </c>
    </row>
    <row r="269" spans="1:15" x14ac:dyDescent="0.25">
      <c r="A269" t="s">
        <v>14</v>
      </c>
      <c r="B269" t="s">
        <v>17</v>
      </c>
      <c r="C269">
        <v>7</v>
      </c>
      <c r="D269">
        <v>100</v>
      </c>
      <c r="E269">
        <v>12800</v>
      </c>
      <c r="F269" t="str">
        <f t="shared" si="4"/>
        <v>lena256_line_7_100_12800</v>
      </c>
      <c r="G269">
        <v>15.662791</v>
      </c>
      <c r="H269">
        <v>8.7403340000000007</v>
      </c>
      <c r="I269">
        <v>1.599797E-3</v>
      </c>
      <c r="J269">
        <v>9.4769999999999992E-6</v>
      </c>
      <c r="K269">
        <v>13.535299999999999</v>
      </c>
      <c r="L269">
        <v>10.084099999999999</v>
      </c>
      <c r="M269">
        <v>0</v>
      </c>
      <c r="N269">
        <v>20.579499999999999</v>
      </c>
      <c r="O269">
        <v>0</v>
      </c>
    </row>
    <row r="270" spans="1:15" x14ac:dyDescent="0.25">
      <c r="A270" t="s">
        <v>14</v>
      </c>
      <c r="B270" t="s">
        <v>17</v>
      </c>
      <c r="C270">
        <v>7</v>
      </c>
      <c r="D270">
        <v>100</v>
      </c>
      <c r="E270">
        <v>25600</v>
      </c>
      <c r="F270" t="str">
        <f t="shared" si="4"/>
        <v>lena256_line_7_100_25600</v>
      </c>
      <c r="G270">
        <v>13.674459000000001</v>
      </c>
      <c r="H270">
        <v>8.8146740000000001</v>
      </c>
      <c r="I270">
        <v>3.5078739999999998E-3</v>
      </c>
      <c r="J270">
        <v>9.4769999999999992E-6</v>
      </c>
      <c r="K270">
        <v>10.3613</v>
      </c>
      <c r="L270">
        <v>10.084099999999999</v>
      </c>
      <c r="M270">
        <v>0</v>
      </c>
      <c r="N270">
        <v>19.109100000000002</v>
      </c>
      <c r="O270">
        <v>0</v>
      </c>
    </row>
    <row r="271" spans="1:15" x14ac:dyDescent="0.25">
      <c r="A271" t="s">
        <v>14</v>
      </c>
      <c r="B271" t="s">
        <v>17</v>
      </c>
      <c r="C271">
        <v>7</v>
      </c>
      <c r="D271">
        <v>100</v>
      </c>
      <c r="E271">
        <v>102400</v>
      </c>
      <c r="F271" t="str">
        <f t="shared" si="4"/>
        <v>lena256_line_7_100_102400</v>
      </c>
      <c r="G271">
        <v>10.269071</v>
      </c>
      <c r="H271">
        <v>8.8732520000000008</v>
      </c>
      <c r="I271">
        <v>2.0992028999999999E-2</v>
      </c>
      <c r="J271">
        <v>9.6269999999999995E-6</v>
      </c>
      <c r="K271">
        <v>4.1063999999999998</v>
      </c>
      <c r="L271">
        <v>10.083299999999999</v>
      </c>
      <c r="M271">
        <v>0</v>
      </c>
      <c r="N271">
        <v>12.545299999999999</v>
      </c>
      <c r="O271">
        <v>0</v>
      </c>
    </row>
    <row r="272" spans="1:15" x14ac:dyDescent="0.25">
      <c r="A272" t="s">
        <v>14</v>
      </c>
      <c r="B272" t="s">
        <v>17</v>
      </c>
      <c r="C272">
        <v>15</v>
      </c>
      <c r="D272">
        <v>100</v>
      </c>
      <c r="E272">
        <v>200</v>
      </c>
      <c r="F272" t="str">
        <f t="shared" si="4"/>
        <v>lena256_line_15_100_200</v>
      </c>
      <c r="G272">
        <v>46.558684</v>
      </c>
      <c r="H272">
        <v>22.156835000000001</v>
      </c>
      <c r="I272">
        <v>2.1089000000000001E-5</v>
      </c>
      <c r="J272">
        <v>9.5200000000000003E-6</v>
      </c>
      <c r="K272">
        <v>32.148200000000003</v>
      </c>
      <c r="L272">
        <v>6.5674000000000001</v>
      </c>
      <c r="M272">
        <v>0</v>
      </c>
      <c r="N272">
        <v>32.8279</v>
      </c>
      <c r="O272">
        <v>0</v>
      </c>
    </row>
    <row r="273" spans="1:15" x14ac:dyDescent="0.25">
      <c r="A273" t="s">
        <v>14</v>
      </c>
      <c r="B273" t="s">
        <v>17</v>
      </c>
      <c r="C273">
        <v>15</v>
      </c>
      <c r="D273">
        <v>100</v>
      </c>
      <c r="E273">
        <v>400</v>
      </c>
      <c r="F273" t="str">
        <f t="shared" si="4"/>
        <v>lena256_line_15_100_400</v>
      </c>
      <c r="G273">
        <v>34.241807999999999</v>
      </c>
      <c r="H273">
        <v>20.278579000000001</v>
      </c>
      <c r="I273">
        <v>4.3528000000000001E-5</v>
      </c>
      <c r="J273">
        <v>9.5410000000000006E-6</v>
      </c>
      <c r="K273">
        <v>29.004000000000001</v>
      </c>
      <c r="L273">
        <v>6.5651999999999999</v>
      </c>
      <c r="M273">
        <v>0</v>
      </c>
      <c r="N273">
        <v>30.164899999999999</v>
      </c>
      <c r="O273">
        <v>0</v>
      </c>
    </row>
    <row r="274" spans="1:15" x14ac:dyDescent="0.25">
      <c r="A274" t="s">
        <v>14</v>
      </c>
      <c r="B274" t="s">
        <v>17</v>
      </c>
      <c r="C274">
        <v>15</v>
      </c>
      <c r="D274">
        <v>100</v>
      </c>
      <c r="E274">
        <v>800</v>
      </c>
      <c r="F274" t="str">
        <f t="shared" si="4"/>
        <v>lena256_line_15_100_800</v>
      </c>
      <c r="G274">
        <v>25.924379999999999</v>
      </c>
      <c r="H274">
        <v>19.449202</v>
      </c>
      <c r="I274">
        <v>8.8549999999999998E-5</v>
      </c>
      <c r="J274">
        <v>9.5200000000000003E-6</v>
      </c>
      <c r="K274">
        <v>25.927</v>
      </c>
      <c r="L274">
        <v>6.5674000000000001</v>
      </c>
      <c r="M274">
        <v>0</v>
      </c>
      <c r="N274">
        <v>27.7729</v>
      </c>
      <c r="O274">
        <v>0</v>
      </c>
    </row>
    <row r="275" spans="1:15" x14ac:dyDescent="0.25">
      <c r="A275" t="s">
        <v>14</v>
      </c>
      <c r="B275" t="s">
        <v>17</v>
      </c>
      <c r="C275">
        <v>15</v>
      </c>
      <c r="D275">
        <v>100</v>
      </c>
      <c r="E275">
        <v>1600</v>
      </c>
      <c r="F275" t="str">
        <f t="shared" si="4"/>
        <v>lena256_line_15_100_1600</v>
      </c>
      <c r="G275">
        <v>20.135451</v>
      </c>
      <c r="H275">
        <v>19.054417999999998</v>
      </c>
      <c r="I275">
        <v>1.8269400000000001E-4</v>
      </c>
      <c r="J275">
        <v>9.5410000000000006E-6</v>
      </c>
      <c r="K275">
        <v>22.7897</v>
      </c>
      <c r="L275">
        <v>6.5651999999999999</v>
      </c>
      <c r="M275">
        <v>0</v>
      </c>
      <c r="N275">
        <v>25.393999999999998</v>
      </c>
      <c r="O275">
        <v>0</v>
      </c>
    </row>
    <row r="276" spans="1:15" x14ac:dyDescent="0.25">
      <c r="A276" t="s">
        <v>14</v>
      </c>
      <c r="B276" t="s">
        <v>17</v>
      </c>
      <c r="C276">
        <v>15</v>
      </c>
      <c r="D276">
        <v>100</v>
      </c>
      <c r="E276">
        <v>3200</v>
      </c>
      <c r="F276" t="str">
        <f t="shared" si="4"/>
        <v>lena256_line_15_100_3200</v>
      </c>
      <c r="G276">
        <v>16.043880999999999</v>
      </c>
      <c r="H276">
        <v>18.985814999999999</v>
      </c>
      <c r="I276">
        <v>3.6836699999999998E-4</v>
      </c>
      <c r="J276">
        <v>9.5200000000000003E-6</v>
      </c>
      <c r="K276">
        <v>19.771999999999998</v>
      </c>
      <c r="L276">
        <v>6.5674000000000001</v>
      </c>
      <c r="M276">
        <v>0</v>
      </c>
      <c r="N276">
        <v>23.3095</v>
      </c>
      <c r="O276">
        <v>0</v>
      </c>
    </row>
    <row r="277" spans="1:15" x14ac:dyDescent="0.25">
      <c r="A277" t="s">
        <v>14</v>
      </c>
      <c r="B277" t="s">
        <v>17</v>
      </c>
      <c r="C277">
        <v>15</v>
      </c>
      <c r="D277">
        <v>100</v>
      </c>
      <c r="E277">
        <v>6400</v>
      </c>
      <c r="F277" t="str">
        <f t="shared" si="4"/>
        <v>lena256_line_15_100_6400</v>
      </c>
      <c r="G277">
        <v>13.198256000000001</v>
      </c>
      <c r="H277">
        <v>18.952030000000001</v>
      </c>
      <c r="I277">
        <v>7.5834800000000005E-4</v>
      </c>
      <c r="J277">
        <v>9.5410000000000006E-6</v>
      </c>
      <c r="K277">
        <v>16.689599999999999</v>
      </c>
      <c r="L277">
        <v>6.5651999999999999</v>
      </c>
      <c r="M277">
        <v>0</v>
      </c>
      <c r="N277">
        <v>21.238900000000001</v>
      </c>
      <c r="O277">
        <v>0</v>
      </c>
    </row>
    <row r="278" spans="1:15" x14ac:dyDescent="0.25">
      <c r="A278" t="s">
        <v>14</v>
      </c>
      <c r="B278" t="s">
        <v>17</v>
      </c>
      <c r="C278">
        <v>15</v>
      </c>
      <c r="D278">
        <v>100</v>
      </c>
      <c r="E278">
        <v>12800</v>
      </c>
      <c r="F278" t="str">
        <f t="shared" si="4"/>
        <v>lena256_line_15_100_12800</v>
      </c>
      <c r="G278">
        <v>11.156074</v>
      </c>
      <c r="H278">
        <v>19.004933999999999</v>
      </c>
      <c r="I278">
        <v>1.5967609999999999E-3</v>
      </c>
      <c r="J278">
        <v>9.5200000000000003E-6</v>
      </c>
      <c r="K278">
        <v>13.5412</v>
      </c>
      <c r="L278">
        <v>6.5674000000000001</v>
      </c>
      <c r="M278">
        <v>0</v>
      </c>
      <c r="N278">
        <v>19.2624</v>
      </c>
      <c r="O278">
        <v>0</v>
      </c>
    </row>
    <row r="279" spans="1:15" x14ac:dyDescent="0.25">
      <c r="A279" t="s">
        <v>14</v>
      </c>
      <c r="B279" t="s">
        <v>17</v>
      </c>
      <c r="C279">
        <v>15</v>
      </c>
      <c r="D279">
        <v>100</v>
      </c>
      <c r="E279">
        <v>25600</v>
      </c>
      <c r="F279" t="str">
        <f t="shared" si="4"/>
        <v>lena256_line_15_100_25600</v>
      </c>
      <c r="G279">
        <v>9.2939109999999996</v>
      </c>
      <c r="H279">
        <v>19.057528999999999</v>
      </c>
      <c r="I279">
        <v>3.514611E-3</v>
      </c>
      <c r="J279">
        <v>9.5410000000000006E-6</v>
      </c>
      <c r="K279">
        <v>10.3573</v>
      </c>
      <c r="L279">
        <v>6.5651999999999999</v>
      </c>
      <c r="M279">
        <v>0</v>
      </c>
      <c r="N279">
        <v>17.668099999999999</v>
      </c>
      <c r="O279">
        <v>0</v>
      </c>
    </row>
    <row r="280" spans="1:15" x14ac:dyDescent="0.25">
      <c r="A280" t="s">
        <v>14</v>
      </c>
      <c r="B280" t="s">
        <v>17</v>
      </c>
      <c r="C280">
        <v>15</v>
      </c>
      <c r="D280">
        <v>100</v>
      </c>
      <c r="E280">
        <v>102400</v>
      </c>
      <c r="F280" t="str">
        <f t="shared" si="4"/>
        <v>lena256_line_15_100_102400</v>
      </c>
      <c r="G280">
        <v>6.6341049999999999</v>
      </c>
      <c r="H280">
        <v>19.15962</v>
      </c>
      <c r="I280">
        <v>2.1003108999999999E-2</v>
      </c>
      <c r="J280">
        <v>9.5589999999999994E-6</v>
      </c>
      <c r="K280">
        <v>4.1265000000000001</v>
      </c>
      <c r="L280">
        <v>6.5646000000000004</v>
      </c>
      <c r="M280">
        <v>0</v>
      </c>
      <c r="N280">
        <v>12.359500000000001</v>
      </c>
      <c r="O280">
        <v>0</v>
      </c>
    </row>
    <row r="281" spans="1:15" x14ac:dyDescent="0.25">
      <c r="A281" t="s">
        <v>14</v>
      </c>
      <c r="B281" t="s">
        <v>17</v>
      </c>
      <c r="C281">
        <v>31</v>
      </c>
      <c r="D281">
        <v>100</v>
      </c>
      <c r="E281">
        <v>200</v>
      </c>
      <c r="F281" t="str">
        <f t="shared" si="4"/>
        <v>lena256_line_31_100_200</v>
      </c>
      <c r="G281">
        <v>45.621952999999998</v>
      </c>
      <c r="H281">
        <v>46.782283</v>
      </c>
      <c r="I281">
        <v>2.084E-5</v>
      </c>
      <c r="J281">
        <v>9.5740000000000002E-6</v>
      </c>
      <c r="K281">
        <v>32.1999</v>
      </c>
      <c r="L281">
        <v>3.6444000000000001</v>
      </c>
      <c r="M281">
        <v>0</v>
      </c>
      <c r="N281">
        <v>32.747300000000003</v>
      </c>
      <c r="O281">
        <v>0</v>
      </c>
    </row>
    <row r="282" spans="1:15" x14ac:dyDescent="0.25">
      <c r="A282" t="s">
        <v>14</v>
      </c>
      <c r="B282" t="s">
        <v>17</v>
      </c>
      <c r="C282">
        <v>31</v>
      </c>
      <c r="D282">
        <v>100</v>
      </c>
      <c r="E282">
        <v>400</v>
      </c>
      <c r="F282" t="str">
        <f t="shared" si="4"/>
        <v>lena256_line_31_100_400</v>
      </c>
      <c r="G282">
        <v>32.427397999999997</v>
      </c>
      <c r="H282">
        <v>42.670845999999997</v>
      </c>
      <c r="I282">
        <v>4.3683999999999997E-5</v>
      </c>
      <c r="J282">
        <v>9.5440000000000004E-6</v>
      </c>
      <c r="K282">
        <v>28.9879</v>
      </c>
      <c r="L282">
        <v>3.6465999999999998</v>
      </c>
      <c r="M282">
        <v>0</v>
      </c>
      <c r="N282">
        <v>29.973400000000002</v>
      </c>
      <c r="O282">
        <v>0</v>
      </c>
    </row>
    <row r="283" spans="1:15" x14ac:dyDescent="0.25">
      <c r="A283" t="s">
        <v>14</v>
      </c>
      <c r="B283" t="s">
        <v>17</v>
      </c>
      <c r="C283">
        <v>31</v>
      </c>
      <c r="D283">
        <v>100</v>
      </c>
      <c r="E283">
        <v>800</v>
      </c>
      <c r="F283" t="str">
        <f t="shared" si="4"/>
        <v>lena256_line_31_100_800</v>
      </c>
      <c r="G283">
        <v>23.689976999999999</v>
      </c>
      <c r="H283">
        <v>40.556171999999997</v>
      </c>
      <c r="I283">
        <v>9.0030000000000004E-5</v>
      </c>
      <c r="J283">
        <v>9.5740000000000002E-6</v>
      </c>
      <c r="K283">
        <v>25.8583</v>
      </c>
      <c r="L283">
        <v>3.6444000000000001</v>
      </c>
      <c r="M283">
        <v>0</v>
      </c>
      <c r="N283">
        <v>27.3794</v>
      </c>
      <c r="O283">
        <v>0</v>
      </c>
    </row>
    <row r="284" spans="1:15" x14ac:dyDescent="0.25">
      <c r="A284" t="s">
        <v>14</v>
      </c>
      <c r="B284" t="s">
        <v>17</v>
      </c>
      <c r="C284">
        <v>31</v>
      </c>
      <c r="D284">
        <v>100</v>
      </c>
      <c r="E284">
        <v>1600</v>
      </c>
      <c r="F284" t="str">
        <f t="shared" si="4"/>
        <v>lena256_line_31_100_1600</v>
      </c>
      <c r="G284">
        <v>17.736142999999998</v>
      </c>
      <c r="H284">
        <v>39.712038</v>
      </c>
      <c r="I284">
        <v>1.82175E-4</v>
      </c>
      <c r="J284">
        <v>9.5440000000000004E-6</v>
      </c>
      <c r="K284">
        <v>22.8048</v>
      </c>
      <c r="L284">
        <v>3.6465999999999998</v>
      </c>
      <c r="M284">
        <v>0</v>
      </c>
      <c r="N284">
        <v>25.002099999999999</v>
      </c>
      <c r="O284">
        <v>0</v>
      </c>
    </row>
    <row r="285" spans="1:15" x14ac:dyDescent="0.25">
      <c r="A285" t="s">
        <v>14</v>
      </c>
      <c r="B285" t="s">
        <v>17</v>
      </c>
      <c r="C285">
        <v>31</v>
      </c>
      <c r="D285">
        <v>100</v>
      </c>
      <c r="E285">
        <v>3200</v>
      </c>
      <c r="F285" t="str">
        <f t="shared" si="4"/>
        <v>lena256_line_31_100_3200</v>
      </c>
      <c r="G285">
        <v>13.545899</v>
      </c>
      <c r="H285">
        <v>39.273645999999999</v>
      </c>
      <c r="I285">
        <v>3.6759100000000001E-4</v>
      </c>
      <c r="J285">
        <v>9.5740000000000002E-6</v>
      </c>
      <c r="K285">
        <v>19.775200000000002</v>
      </c>
      <c r="L285">
        <v>3.6444000000000001</v>
      </c>
      <c r="M285">
        <v>0</v>
      </c>
      <c r="N285">
        <v>22.741900000000001</v>
      </c>
      <c r="O285">
        <v>0</v>
      </c>
    </row>
    <row r="286" spans="1:15" x14ac:dyDescent="0.25">
      <c r="A286" t="s">
        <v>14</v>
      </c>
      <c r="B286" t="s">
        <v>17</v>
      </c>
      <c r="C286">
        <v>31</v>
      </c>
      <c r="D286">
        <v>100</v>
      </c>
      <c r="E286">
        <v>6400</v>
      </c>
      <c r="F286" t="str">
        <f t="shared" si="4"/>
        <v>lena256_line_31_100_6400</v>
      </c>
      <c r="G286">
        <v>10.576983</v>
      </c>
      <c r="H286">
        <v>39.183135</v>
      </c>
      <c r="I286">
        <v>7.6682599999999997E-4</v>
      </c>
      <c r="J286">
        <v>9.5440000000000004E-6</v>
      </c>
      <c r="K286">
        <v>16.647300000000001</v>
      </c>
      <c r="L286">
        <v>3.6465999999999998</v>
      </c>
      <c r="M286">
        <v>0</v>
      </c>
      <c r="N286">
        <v>20.621600000000001</v>
      </c>
      <c r="O286">
        <v>0</v>
      </c>
    </row>
    <row r="287" spans="1:15" x14ac:dyDescent="0.25">
      <c r="A287" t="s">
        <v>14</v>
      </c>
      <c r="B287" t="s">
        <v>17</v>
      </c>
      <c r="C287">
        <v>31</v>
      </c>
      <c r="D287">
        <v>100</v>
      </c>
      <c r="E287">
        <v>12800</v>
      </c>
      <c r="F287" t="str">
        <f t="shared" si="4"/>
        <v>lena256_line_31_100_12800</v>
      </c>
      <c r="G287">
        <v>8.5511870000000005</v>
      </c>
      <c r="H287">
        <v>39.080952000000003</v>
      </c>
      <c r="I287">
        <v>1.6098390000000001E-3</v>
      </c>
      <c r="J287">
        <v>9.5740000000000002E-6</v>
      </c>
      <c r="K287">
        <v>13.521599999999999</v>
      </c>
      <c r="L287">
        <v>3.6444000000000001</v>
      </c>
      <c r="M287">
        <v>0</v>
      </c>
      <c r="N287">
        <v>18.687100000000001</v>
      </c>
      <c r="O287">
        <v>0</v>
      </c>
    </row>
    <row r="288" spans="1:15" x14ac:dyDescent="0.25">
      <c r="A288" t="s">
        <v>14</v>
      </c>
      <c r="B288" t="s">
        <v>17</v>
      </c>
      <c r="C288">
        <v>31</v>
      </c>
      <c r="D288">
        <v>100</v>
      </c>
      <c r="E288">
        <v>25600</v>
      </c>
      <c r="F288" t="str">
        <f t="shared" si="4"/>
        <v>lena256_line_31_100_25600</v>
      </c>
      <c r="G288">
        <v>6.9954499999999999</v>
      </c>
      <c r="H288">
        <v>39.169432</v>
      </c>
      <c r="I288">
        <v>3.5791439999999998E-3</v>
      </c>
      <c r="J288">
        <v>9.5440000000000004E-6</v>
      </c>
      <c r="K288">
        <v>10.270899999999999</v>
      </c>
      <c r="L288">
        <v>3.6465999999999998</v>
      </c>
      <c r="M288">
        <v>0</v>
      </c>
      <c r="N288">
        <v>16.4557</v>
      </c>
      <c r="O288">
        <v>0</v>
      </c>
    </row>
    <row r="289" spans="1:15" x14ac:dyDescent="0.25">
      <c r="A289" t="s">
        <v>14</v>
      </c>
      <c r="B289" t="s">
        <v>17</v>
      </c>
      <c r="C289">
        <v>31</v>
      </c>
      <c r="D289">
        <v>100</v>
      </c>
      <c r="E289">
        <v>102400</v>
      </c>
      <c r="F289" t="str">
        <f t="shared" si="4"/>
        <v>lena256_line_31_100_102400</v>
      </c>
      <c r="G289">
        <v>4.7259099999999998</v>
      </c>
      <c r="H289">
        <v>39.218291999999998</v>
      </c>
      <c r="I289">
        <v>2.1100318E-2</v>
      </c>
      <c r="J289">
        <v>9.5710000000000004E-6</v>
      </c>
      <c r="K289">
        <v>4.1026999999999996</v>
      </c>
      <c r="L289">
        <v>3.6444000000000001</v>
      </c>
      <c r="M289">
        <v>0</v>
      </c>
      <c r="N289">
        <v>11.723800000000001</v>
      </c>
      <c r="O289">
        <v>0</v>
      </c>
    </row>
    <row r="290" spans="1:15" x14ac:dyDescent="0.25">
      <c r="A290" t="s">
        <v>20</v>
      </c>
      <c r="B290" t="s">
        <v>18</v>
      </c>
      <c r="C290">
        <v>3</v>
      </c>
      <c r="D290">
        <v>100</v>
      </c>
      <c r="E290">
        <v>200</v>
      </c>
      <c r="F290" t="str">
        <f t="shared" si="4"/>
        <v>text256_blurkernel10_3_100_200</v>
      </c>
      <c r="G290">
        <v>31.096889000000001</v>
      </c>
      <c r="H290">
        <v>7.3992820000000004</v>
      </c>
      <c r="I290">
        <v>1.6905000000000002E-5</v>
      </c>
      <c r="J290">
        <v>9.7270000000000002E-6</v>
      </c>
      <c r="K290">
        <v>35.621400000000001</v>
      </c>
      <c r="L290">
        <v>7.1307</v>
      </c>
      <c r="M290">
        <v>0</v>
      </c>
      <c r="N290">
        <v>37.0349</v>
      </c>
      <c r="O290">
        <v>0</v>
      </c>
    </row>
    <row r="291" spans="1:15" x14ac:dyDescent="0.25">
      <c r="A291" t="s">
        <v>20</v>
      </c>
      <c r="B291" t="s">
        <v>18</v>
      </c>
      <c r="C291">
        <v>3</v>
      </c>
      <c r="D291">
        <v>100</v>
      </c>
      <c r="E291">
        <v>400</v>
      </c>
      <c r="F291" t="str">
        <f t="shared" si="4"/>
        <v>text256_blurkernel10_3_100_400</v>
      </c>
      <c r="G291">
        <v>24.342081</v>
      </c>
      <c r="H291">
        <v>6.6542349999999999</v>
      </c>
      <c r="I291">
        <v>3.4656999999999997E-5</v>
      </c>
      <c r="J291">
        <v>9.7270000000000002E-6</v>
      </c>
      <c r="K291">
        <v>32.49</v>
      </c>
      <c r="L291">
        <v>7.1307</v>
      </c>
      <c r="M291">
        <v>0</v>
      </c>
      <c r="N291">
        <v>34.779600000000002</v>
      </c>
      <c r="O291">
        <v>0</v>
      </c>
    </row>
    <row r="292" spans="1:15" x14ac:dyDescent="0.25">
      <c r="A292" t="s">
        <v>20</v>
      </c>
      <c r="B292" t="s">
        <v>18</v>
      </c>
      <c r="C292">
        <v>3</v>
      </c>
      <c r="D292">
        <v>100</v>
      </c>
      <c r="E292">
        <v>800</v>
      </c>
      <c r="F292" t="str">
        <f t="shared" si="4"/>
        <v>text256_blurkernel10_3_100_800</v>
      </c>
      <c r="G292">
        <v>20.284638999999999</v>
      </c>
      <c r="H292">
        <v>6.2627969999999999</v>
      </c>
      <c r="I292">
        <v>7.0454E-5</v>
      </c>
      <c r="J292">
        <v>9.7270000000000002E-6</v>
      </c>
      <c r="K292">
        <v>29.395099999999999</v>
      </c>
      <c r="L292">
        <v>7.1307</v>
      </c>
      <c r="M292">
        <v>0</v>
      </c>
      <c r="N292">
        <v>32.767200000000003</v>
      </c>
      <c r="O292">
        <v>0</v>
      </c>
    </row>
    <row r="293" spans="1:15" x14ac:dyDescent="0.25">
      <c r="A293" t="s">
        <v>20</v>
      </c>
      <c r="B293" t="s">
        <v>18</v>
      </c>
      <c r="C293">
        <v>3</v>
      </c>
      <c r="D293">
        <v>100</v>
      </c>
      <c r="E293">
        <v>1600</v>
      </c>
      <c r="F293" t="str">
        <f t="shared" si="4"/>
        <v>text256_blurkernel10_3_100_1600</v>
      </c>
      <c r="G293">
        <v>17.978045999999999</v>
      </c>
      <c r="H293">
        <v>6.0647260000000003</v>
      </c>
      <c r="I293">
        <v>1.41762E-4</v>
      </c>
      <c r="J293">
        <v>9.7270000000000002E-6</v>
      </c>
      <c r="K293">
        <v>26.343499999999999</v>
      </c>
      <c r="L293">
        <v>7.1307</v>
      </c>
      <c r="M293">
        <v>0</v>
      </c>
      <c r="N293">
        <v>31.127099999999999</v>
      </c>
      <c r="O293">
        <v>0</v>
      </c>
    </row>
    <row r="294" spans="1:15" x14ac:dyDescent="0.25">
      <c r="A294" t="s">
        <v>20</v>
      </c>
      <c r="B294" t="s">
        <v>18</v>
      </c>
      <c r="C294">
        <v>3</v>
      </c>
      <c r="D294">
        <v>100</v>
      </c>
      <c r="E294">
        <v>3200</v>
      </c>
      <c r="F294" t="str">
        <f t="shared" si="4"/>
        <v>text256_blurkernel10_3_100_3200</v>
      </c>
      <c r="G294">
        <v>16.716259000000001</v>
      </c>
      <c r="H294">
        <v>5.9630710000000002</v>
      </c>
      <c r="I294">
        <v>2.8766799999999998E-4</v>
      </c>
      <c r="J294">
        <v>9.7270000000000002E-6</v>
      </c>
      <c r="K294">
        <v>23.251200000000001</v>
      </c>
      <c r="L294">
        <v>7.1307</v>
      </c>
      <c r="M294">
        <v>0</v>
      </c>
      <c r="N294">
        <v>29.642399999999999</v>
      </c>
      <c r="O294">
        <v>0</v>
      </c>
    </row>
    <row r="295" spans="1:15" x14ac:dyDescent="0.25">
      <c r="A295" t="s">
        <v>20</v>
      </c>
      <c r="B295" t="s">
        <v>18</v>
      </c>
      <c r="C295">
        <v>3</v>
      </c>
      <c r="D295">
        <v>100</v>
      </c>
      <c r="E295">
        <v>6400</v>
      </c>
      <c r="F295" t="str">
        <f t="shared" si="4"/>
        <v>text256_blurkernel10_3_100_6400</v>
      </c>
      <c r="G295">
        <v>16.034998000000002</v>
      </c>
      <c r="H295">
        <v>5.9175630000000004</v>
      </c>
      <c r="I295">
        <v>5.8496500000000001E-4</v>
      </c>
      <c r="J295">
        <v>9.7270000000000002E-6</v>
      </c>
      <c r="K295">
        <v>20.135100000000001</v>
      </c>
      <c r="L295">
        <v>7.1307</v>
      </c>
      <c r="M295">
        <v>0</v>
      </c>
      <c r="N295">
        <v>27.726700000000001</v>
      </c>
      <c r="O295">
        <v>0</v>
      </c>
    </row>
    <row r="296" spans="1:15" x14ac:dyDescent="0.25">
      <c r="A296" t="s">
        <v>20</v>
      </c>
      <c r="B296" t="s">
        <v>18</v>
      </c>
      <c r="C296">
        <v>3</v>
      </c>
      <c r="D296">
        <v>100</v>
      </c>
      <c r="E296">
        <v>12800</v>
      </c>
      <c r="F296" t="str">
        <f t="shared" si="4"/>
        <v>text256_blurkernel10_3_100_12800</v>
      </c>
      <c r="G296">
        <v>15.641697000000001</v>
      </c>
      <c r="H296">
        <v>5.9030180000000003</v>
      </c>
      <c r="I296">
        <v>1.2165769999999999E-3</v>
      </c>
      <c r="J296">
        <v>9.7270000000000002E-6</v>
      </c>
      <c r="K296">
        <v>16.922000000000001</v>
      </c>
      <c r="L296">
        <v>7.1307</v>
      </c>
      <c r="M296">
        <v>0</v>
      </c>
      <c r="N296">
        <v>23.218499999999999</v>
      </c>
      <c r="O296">
        <v>0</v>
      </c>
    </row>
    <row r="297" spans="1:15" x14ac:dyDescent="0.25">
      <c r="A297" t="s">
        <v>20</v>
      </c>
      <c r="B297" t="s">
        <v>18</v>
      </c>
      <c r="C297">
        <v>3</v>
      </c>
      <c r="D297">
        <v>100</v>
      </c>
      <c r="E297">
        <v>25600</v>
      </c>
      <c r="F297" t="str">
        <f t="shared" si="4"/>
        <v>text256_blurkernel10_3_100_25600</v>
      </c>
      <c r="G297">
        <v>15.366365</v>
      </c>
      <c r="H297">
        <v>5.9104580000000002</v>
      </c>
      <c r="I297">
        <v>2.5396360000000001E-3</v>
      </c>
      <c r="J297">
        <v>9.7270000000000002E-6</v>
      </c>
      <c r="K297">
        <v>13.704599999999999</v>
      </c>
      <c r="L297">
        <v>7.1307</v>
      </c>
      <c r="M297">
        <v>0</v>
      </c>
      <c r="N297">
        <v>21.416699999999999</v>
      </c>
      <c r="O297">
        <v>0</v>
      </c>
    </row>
    <row r="298" spans="1:15" x14ac:dyDescent="0.25">
      <c r="A298" t="s">
        <v>20</v>
      </c>
      <c r="B298" t="s">
        <v>18</v>
      </c>
      <c r="C298">
        <v>3</v>
      </c>
      <c r="D298">
        <v>100</v>
      </c>
      <c r="E298">
        <v>102400</v>
      </c>
      <c r="F298" t="str">
        <f t="shared" si="4"/>
        <v>text256_blurkernel10_3_100_102400</v>
      </c>
      <c r="G298">
        <v>14.745421</v>
      </c>
      <c r="H298">
        <v>5.9850469999999998</v>
      </c>
      <c r="I298">
        <v>1.3486514999999999E-2</v>
      </c>
      <c r="J298">
        <v>9.7329999999999998E-6</v>
      </c>
      <c r="K298">
        <v>6.6943000000000001</v>
      </c>
      <c r="L298">
        <v>7.1291000000000002</v>
      </c>
      <c r="M298">
        <v>0</v>
      </c>
      <c r="N298">
        <v>18.781300000000002</v>
      </c>
      <c r="O298">
        <v>0</v>
      </c>
    </row>
    <row r="299" spans="1:15" x14ac:dyDescent="0.25">
      <c r="A299" t="s">
        <v>20</v>
      </c>
      <c r="B299" t="s">
        <v>18</v>
      </c>
      <c r="C299">
        <v>7</v>
      </c>
      <c r="D299">
        <v>100</v>
      </c>
      <c r="E299">
        <v>200</v>
      </c>
      <c r="F299" t="str">
        <f t="shared" si="4"/>
        <v>text256_blurkernel10_7_100_200</v>
      </c>
      <c r="G299">
        <v>28.182181</v>
      </c>
      <c r="H299">
        <v>18.225071</v>
      </c>
      <c r="I299">
        <v>1.6897000000000001E-5</v>
      </c>
      <c r="J299">
        <v>1.1831000000000001E-5</v>
      </c>
      <c r="K299">
        <v>35.620399999999997</v>
      </c>
      <c r="L299">
        <v>2.1817000000000002</v>
      </c>
      <c r="M299">
        <v>0</v>
      </c>
      <c r="N299">
        <v>35.928400000000003</v>
      </c>
      <c r="O299">
        <v>0</v>
      </c>
    </row>
    <row r="300" spans="1:15" x14ac:dyDescent="0.25">
      <c r="A300" t="s">
        <v>20</v>
      </c>
      <c r="B300" t="s">
        <v>18</v>
      </c>
      <c r="C300">
        <v>7</v>
      </c>
      <c r="D300">
        <v>100</v>
      </c>
      <c r="E300">
        <v>400</v>
      </c>
      <c r="F300" t="str">
        <f t="shared" si="4"/>
        <v>text256_blurkernel10_7_100_400</v>
      </c>
      <c r="G300">
        <v>20.287860999999999</v>
      </c>
      <c r="H300">
        <v>16.100035999999999</v>
      </c>
      <c r="I300">
        <v>3.5034999999999999E-5</v>
      </c>
      <c r="J300">
        <v>1.1831000000000001E-5</v>
      </c>
      <c r="K300">
        <v>32.448099999999997</v>
      </c>
      <c r="L300">
        <v>2.1817000000000002</v>
      </c>
      <c r="M300">
        <v>0</v>
      </c>
      <c r="N300">
        <v>33.211199999999998</v>
      </c>
      <c r="O300">
        <v>0</v>
      </c>
    </row>
    <row r="301" spans="1:15" x14ac:dyDescent="0.25">
      <c r="A301" t="s">
        <v>20</v>
      </c>
      <c r="B301" t="s">
        <v>18</v>
      </c>
      <c r="C301">
        <v>7</v>
      </c>
      <c r="D301">
        <v>100</v>
      </c>
      <c r="E301">
        <v>800</v>
      </c>
      <c r="F301" t="str">
        <f t="shared" si="4"/>
        <v>text256_blurkernel10_7_100_800</v>
      </c>
      <c r="G301">
        <v>15.159001999999999</v>
      </c>
      <c r="H301">
        <v>14.986791999999999</v>
      </c>
      <c r="I301">
        <v>7.1486E-5</v>
      </c>
      <c r="J301">
        <v>1.1831000000000001E-5</v>
      </c>
      <c r="K301">
        <v>29.3355</v>
      </c>
      <c r="L301">
        <v>2.1817000000000002</v>
      </c>
      <c r="M301">
        <v>0</v>
      </c>
      <c r="N301">
        <v>30.667400000000001</v>
      </c>
      <c r="O301">
        <v>0</v>
      </c>
    </row>
    <row r="302" spans="1:15" x14ac:dyDescent="0.25">
      <c r="A302" t="s">
        <v>20</v>
      </c>
      <c r="B302" t="s">
        <v>18</v>
      </c>
      <c r="C302">
        <v>7</v>
      </c>
      <c r="D302">
        <v>100</v>
      </c>
      <c r="E302">
        <v>1600</v>
      </c>
      <c r="F302" t="str">
        <f t="shared" si="4"/>
        <v>text256_blurkernel10_7_100_1600</v>
      </c>
      <c r="G302">
        <v>11.903543000000001</v>
      </c>
      <c r="H302">
        <v>14.415603000000001</v>
      </c>
      <c r="I302">
        <v>1.4434300000000001E-4</v>
      </c>
      <c r="J302">
        <v>1.1831000000000001E-5</v>
      </c>
      <c r="K302">
        <v>26.265599999999999</v>
      </c>
      <c r="L302">
        <v>2.1817000000000002</v>
      </c>
      <c r="M302">
        <v>0</v>
      </c>
      <c r="N302">
        <v>28.2941</v>
      </c>
      <c r="O302">
        <v>0</v>
      </c>
    </row>
    <row r="303" spans="1:15" x14ac:dyDescent="0.25">
      <c r="A303" t="s">
        <v>20</v>
      </c>
      <c r="B303" t="s">
        <v>18</v>
      </c>
      <c r="C303">
        <v>7</v>
      </c>
      <c r="D303">
        <v>100</v>
      </c>
      <c r="E303">
        <v>3200</v>
      </c>
      <c r="F303" t="str">
        <f t="shared" si="4"/>
        <v>text256_blurkernel10_7_100_3200</v>
      </c>
      <c r="G303">
        <v>9.8861139999999992</v>
      </c>
      <c r="H303">
        <v>14.124871000000001</v>
      </c>
      <c r="I303">
        <v>2.9322700000000002E-4</v>
      </c>
      <c r="J303">
        <v>1.1831000000000001E-5</v>
      </c>
      <c r="K303">
        <v>23.163900000000002</v>
      </c>
      <c r="L303">
        <v>2.1817000000000002</v>
      </c>
      <c r="M303">
        <v>0</v>
      </c>
      <c r="N303">
        <v>26.1568</v>
      </c>
      <c r="O303">
        <v>0</v>
      </c>
    </row>
    <row r="304" spans="1:15" x14ac:dyDescent="0.25">
      <c r="A304" t="s">
        <v>20</v>
      </c>
      <c r="B304" t="s">
        <v>18</v>
      </c>
      <c r="C304">
        <v>7</v>
      </c>
      <c r="D304">
        <v>100</v>
      </c>
      <c r="E304">
        <v>6400</v>
      </c>
      <c r="F304" t="str">
        <f t="shared" si="4"/>
        <v>text256_blurkernel10_7_100_6400</v>
      </c>
      <c r="G304">
        <v>8.7644690000000001</v>
      </c>
      <c r="H304">
        <v>13.984146000000001</v>
      </c>
      <c r="I304">
        <v>5.7872299999999995E-4</v>
      </c>
      <c r="J304">
        <v>1.1831000000000001E-5</v>
      </c>
      <c r="K304">
        <v>20.1816</v>
      </c>
      <c r="L304">
        <v>2.1817000000000002</v>
      </c>
      <c r="M304">
        <v>0</v>
      </c>
      <c r="N304">
        <v>24.225100000000001</v>
      </c>
      <c r="O304">
        <v>0</v>
      </c>
    </row>
    <row r="305" spans="1:15" x14ac:dyDescent="0.25">
      <c r="A305" t="s">
        <v>20</v>
      </c>
      <c r="B305" t="s">
        <v>18</v>
      </c>
      <c r="C305">
        <v>7</v>
      </c>
      <c r="D305">
        <v>100</v>
      </c>
      <c r="E305">
        <v>12800</v>
      </c>
      <c r="F305" t="str">
        <f t="shared" si="4"/>
        <v>text256_blurkernel10_7_100_12800</v>
      </c>
      <c r="G305">
        <v>8.0960099999999997</v>
      </c>
      <c r="H305">
        <v>13.912067</v>
      </c>
      <c r="I305">
        <v>1.2083910000000001E-3</v>
      </c>
      <c r="J305">
        <v>1.1831000000000001E-5</v>
      </c>
      <c r="K305">
        <v>16.953399999999998</v>
      </c>
      <c r="L305">
        <v>2.1817000000000002</v>
      </c>
      <c r="M305">
        <v>0</v>
      </c>
      <c r="N305">
        <v>21.735299999999999</v>
      </c>
      <c r="O305">
        <v>0</v>
      </c>
    </row>
    <row r="306" spans="1:15" x14ac:dyDescent="0.25">
      <c r="A306" t="s">
        <v>20</v>
      </c>
      <c r="B306" t="s">
        <v>18</v>
      </c>
      <c r="C306">
        <v>7</v>
      </c>
      <c r="D306">
        <v>100</v>
      </c>
      <c r="E306">
        <v>25600</v>
      </c>
      <c r="F306" t="str">
        <f t="shared" si="4"/>
        <v>text256_blurkernel10_7_100_25600</v>
      </c>
      <c r="G306">
        <v>7.7399050000000003</v>
      </c>
      <c r="H306">
        <v>13.882704</v>
      </c>
      <c r="I306">
        <v>2.5647389999999999E-3</v>
      </c>
      <c r="J306">
        <v>1.1831000000000001E-5</v>
      </c>
      <c r="K306">
        <v>13.661099999999999</v>
      </c>
      <c r="L306">
        <v>2.1817000000000002</v>
      </c>
      <c r="M306">
        <v>0</v>
      </c>
      <c r="N306">
        <v>19.911300000000001</v>
      </c>
      <c r="O306">
        <v>0</v>
      </c>
    </row>
    <row r="307" spans="1:15" x14ac:dyDescent="0.25">
      <c r="A307" t="s">
        <v>20</v>
      </c>
      <c r="B307" t="s">
        <v>18</v>
      </c>
      <c r="C307">
        <v>7</v>
      </c>
      <c r="D307">
        <v>100</v>
      </c>
      <c r="E307">
        <v>102400</v>
      </c>
      <c r="F307" t="str">
        <f t="shared" si="4"/>
        <v>text256_blurkernel10_7_100_102400</v>
      </c>
      <c r="G307">
        <v>7.3053090000000003</v>
      </c>
      <c r="H307">
        <v>13.857042</v>
      </c>
      <c r="I307">
        <v>1.3472919E-2</v>
      </c>
      <c r="J307">
        <v>1.1914E-5</v>
      </c>
      <c r="K307">
        <v>6.7069999999999999</v>
      </c>
      <c r="L307">
        <v>2.1821000000000002</v>
      </c>
      <c r="M307">
        <v>0</v>
      </c>
      <c r="N307">
        <v>15.1959</v>
      </c>
      <c r="O307">
        <v>0</v>
      </c>
    </row>
    <row r="308" spans="1:15" x14ac:dyDescent="0.25">
      <c r="A308" t="s">
        <v>20</v>
      </c>
      <c r="B308" t="s">
        <v>18</v>
      </c>
      <c r="C308">
        <v>15</v>
      </c>
      <c r="D308">
        <v>100</v>
      </c>
      <c r="E308">
        <v>200</v>
      </c>
      <c r="F308" t="str">
        <f t="shared" si="4"/>
        <v>text256_blurkernel10_15_100_200</v>
      </c>
      <c r="G308">
        <v>27.780716999999999</v>
      </c>
      <c r="H308">
        <v>37.989488000000001</v>
      </c>
      <c r="I308">
        <v>1.6656000000000001E-5</v>
      </c>
      <c r="J308">
        <v>1.4620000000000001E-5</v>
      </c>
      <c r="K308">
        <v>35.694000000000003</v>
      </c>
      <c r="L308">
        <v>1.3024</v>
      </c>
      <c r="M308">
        <v>0</v>
      </c>
      <c r="N308">
        <v>35.7211</v>
      </c>
      <c r="O308">
        <v>0</v>
      </c>
    </row>
    <row r="309" spans="1:15" x14ac:dyDescent="0.25">
      <c r="A309" t="s">
        <v>20</v>
      </c>
      <c r="B309" t="s">
        <v>18</v>
      </c>
      <c r="C309">
        <v>15</v>
      </c>
      <c r="D309">
        <v>100</v>
      </c>
      <c r="E309">
        <v>400</v>
      </c>
      <c r="F309" t="str">
        <f t="shared" si="4"/>
        <v>text256_blurkernel10_15_100_400</v>
      </c>
      <c r="G309">
        <v>19.404440000000001</v>
      </c>
      <c r="H309">
        <v>32.918582999999998</v>
      </c>
      <c r="I309">
        <v>3.5055000000000002E-5</v>
      </c>
      <c r="J309">
        <v>1.4511999999999999E-5</v>
      </c>
      <c r="K309">
        <v>32.441800000000001</v>
      </c>
      <c r="L309">
        <v>1.3007</v>
      </c>
      <c r="M309">
        <v>0</v>
      </c>
      <c r="N309">
        <v>32.5685</v>
      </c>
      <c r="O309">
        <v>0</v>
      </c>
    </row>
    <row r="310" spans="1:15" x14ac:dyDescent="0.25">
      <c r="A310" t="s">
        <v>20</v>
      </c>
      <c r="B310" t="s">
        <v>18</v>
      </c>
      <c r="C310">
        <v>15</v>
      </c>
      <c r="D310">
        <v>100</v>
      </c>
      <c r="E310">
        <v>800</v>
      </c>
      <c r="F310" t="str">
        <f t="shared" si="4"/>
        <v>text256_blurkernel10_15_100_800</v>
      </c>
      <c r="G310">
        <v>14.040932</v>
      </c>
      <c r="H310">
        <v>30.211898999999999</v>
      </c>
      <c r="I310">
        <v>7.0207000000000001E-5</v>
      </c>
      <c r="J310">
        <v>1.4620000000000001E-5</v>
      </c>
      <c r="K310">
        <v>29.414200000000001</v>
      </c>
      <c r="L310">
        <v>1.3024</v>
      </c>
      <c r="M310">
        <v>0</v>
      </c>
      <c r="N310">
        <v>29.832899999999999</v>
      </c>
      <c r="O310">
        <v>0</v>
      </c>
    </row>
    <row r="311" spans="1:15" x14ac:dyDescent="0.25">
      <c r="A311" t="s">
        <v>20</v>
      </c>
      <c r="B311" t="s">
        <v>18</v>
      </c>
      <c r="C311">
        <v>15</v>
      </c>
      <c r="D311">
        <v>100</v>
      </c>
      <c r="E311">
        <v>1600</v>
      </c>
      <c r="F311" t="str">
        <f t="shared" si="4"/>
        <v>text256_blurkernel10_15_100_1600</v>
      </c>
      <c r="G311">
        <v>10.357435000000001</v>
      </c>
      <c r="H311">
        <v>28.906901999999999</v>
      </c>
      <c r="I311">
        <v>1.4123E-4</v>
      </c>
      <c r="J311">
        <v>1.4511999999999999E-5</v>
      </c>
      <c r="K311">
        <v>26.355499999999999</v>
      </c>
      <c r="L311">
        <v>1.3007</v>
      </c>
      <c r="M311">
        <v>0</v>
      </c>
      <c r="N311">
        <v>27.146100000000001</v>
      </c>
      <c r="O311">
        <v>0</v>
      </c>
    </row>
    <row r="312" spans="1:15" x14ac:dyDescent="0.25">
      <c r="A312" t="s">
        <v>20</v>
      </c>
      <c r="B312" t="s">
        <v>18</v>
      </c>
      <c r="C312">
        <v>15</v>
      </c>
      <c r="D312">
        <v>100</v>
      </c>
      <c r="E312">
        <v>3200</v>
      </c>
      <c r="F312" t="str">
        <f t="shared" si="4"/>
        <v>text256_blurkernel10_15_100_3200</v>
      </c>
      <c r="G312">
        <v>7.8034470000000002</v>
      </c>
      <c r="H312">
        <v>28.069762999999998</v>
      </c>
      <c r="I312">
        <v>2.9350200000000001E-4</v>
      </c>
      <c r="J312">
        <v>1.4620000000000001E-5</v>
      </c>
      <c r="K312">
        <v>23.155200000000001</v>
      </c>
      <c r="L312">
        <v>1.3024</v>
      </c>
      <c r="M312">
        <v>0</v>
      </c>
      <c r="N312">
        <v>24.605799999999999</v>
      </c>
      <c r="O312">
        <v>0</v>
      </c>
    </row>
    <row r="313" spans="1:15" x14ac:dyDescent="0.25">
      <c r="A313" t="s">
        <v>20</v>
      </c>
      <c r="B313" t="s">
        <v>18</v>
      </c>
      <c r="C313">
        <v>15</v>
      </c>
      <c r="D313">
        <v>100</v>
      </c>
      <c r="E313">
        <v>6400</v>
      </c>
      <c r="F313" t="str">
        <f t="shared" si="4"/>
        <v>text256_blurkernel10_15_100_6400</v>
      </c>
      <c r="G313">
        <v>6.2970839999999999</v>
      </c>
      <c r="H313">
        <v>27.819894999999999</v>
      </c>
      <c r="I313">
        <v>5.8574099999999997E-4</v>
      </c>
      <c r="J313">
        <v>1.4511999999999999E-5</v>
      </c>
      <c r="K313">
        <v>20.13</v>
      </c>
      <c r="L313">
        <v>1.3007</v>
      </c>
      <c r="M313">
        <v>0</v>
      </c>
      <c r="N313">
        <v>22.442299999999999</v>
      </c>
      <c r="O313">
        <v>0</v>
      </c>
    </row>
    <row r="314" spans="1:15" x14ac:dyDescent="0.25">
      <c r="A314" t="s">
        <v>20</v>
      </c>
      <c r="B314" t="s">
        <v>18</v>
      </c>
      <c r="C314">
        <v>15</v>
      </c>
      <c r="D314">
        <v>100</v>
      </c>
      <c r="E314">
        <v>12800</v>
      </c>
      <c r="F314" t="str">
        <f t="shared" si="4"/>
        <v>text256_blurkernel10_15_100_12800</v>
      </c>
      <c r="G314">
        <v>5.3199920000000001</v>
      </c>
      <c r="H314">
        <v>27.543469000000002</v>
      </c>
      <c r="I314">
        <v>1.2128110000000001E-3</v>
      </c>
      <c r="J314">
        <v>1.4620000000000001E-5</v>
      </c>
      <c r="K314">
        <v>16.936299999999999</v>
      </c>
      <c r="L314">
        <v>1.3024</v>
      </c>
      <c r="M314">
        <v>0</v>
      </c>
      <c r="N314">
        <v>20.4589</v>
      </c>
      <c r="O314">
        <v>0</v>
      </c>
    </row>
    <row r="315" spans="1:15" x14ac:dyDescent="0.25">
      <c r="A315" t="s">
        <v>20</v>
      </c>
      <c r="B315" t="s">
        <v>18</v>
      </c>
      <c r="C315">
        <v>15</v>
      </c>
      <c r="D315">
        <v>100</v>
      </c>
      <c r="E315">
        <v>25600</v>
      </c>
      <c r="F315" t="str">
        <f t="shared" si="4"/>
        <v>text256_blurkernel10_15_100_25600</v>
      </c>
      <c r="G315">
        <v>4.7780829999999996</v>
      </c>
      <c r="H315">
        <v>27.567691</v>
      </c>
      <c r="I315">
        <v>2.5022820000000002E-3</v>
      </c>
      <c r="J315">
        <v>1.4511999999999999E-5</v>
      </c>
      <c r="K315">
        <v>13.768599999999999</v>
      </c>
      <c r="L315">
        <v>1.3007</v>
      </c>
      <c r="M315">
        <v>0</v>
      </c>
      <c r="N315">
        <v>18.6084</v>
      </c>
      <c r="O315">
        <v>0</v>
      </c>
    </row>
    <row r="316" spans="1:15" x14ac:dyDescent="0.25">
      <c r="A316" t="s">
        <v>20</v>
      </c>
      <c r="B316" t="s">
        <v>18</v>
      </c>
      <c r="C316">
        <v>15</v>
      </c>
      <c r="D316">
        <v>100</v>
      </c>
      <c r="E316">
        <v>102400</v>
      </c>
      <c r="F316" t="str">
        <f t="shared" si="4"/>
        <v>text256_blurkernel10_15_100_102400</v>
      </c>
      <c r="G316">
        <v>4.1921309999999998</v>
      </c>
      <c r="H316">
        <v>27.476785</v>
      </c>
      <c r="I316">
        <v>1.3415847E-2</v>
      </c>
      <c r="J316">
        <v>1.4589E-5</v>
      </c>
      <c r="K316">
        <v>6.7103999999999999</v>
      </c>
      <c r="L316">
        <v>1.3013999999999999</v>
      </c>
      <c r="M316">
        <v>0</v>
      </c>
      <c r="N316">
        <v>14.038500000000001</v>
      </c>
      <c r="O316">
        <v>0</v>
      </c>
    </row>
    <row r="317" spans="1:15" x14ac:dyDescent="0.25">
      <c r="A317" t="s">
        <v>20</v>
      </c>
      <c r="B317" t="s">
        <v>18</v>
      </c>
      <c r="C317">
        <v>31</v>
      </c>
      <c r="D317">
        <v>100</v>
      </c>
      <c r="E317">
        <v>200</v>
      </c>
      <c r="F317" t="str">
        <f t="shared" si="4"/>
        <v>text256_blurkernel10_31_100_200</v>
      </c>
      <c r="G317">
        <v>27.474564000000001</v>
      </c>
      <c r="H317">
        <v>76.938428999999999</v>
      </c>
      <c r="I317">
        <v>1.6838999999999999E-5</v>
      </c>
      <c r="J317">
        <v>1.6286E-5</v>
      </c>
      <c r="K317">
        <v>35.64</v>
      </c>
      <c r="L317">
        <v>0.2394</v>
      </c>
      <c r="M317">
        <v>0</v>
      </c>
      <c r="N317">
        <v>35.392299999999999</v>
      </c>
      <c r="O317">
        <v>0</v>
      </c>
    </row>
    <row r="318" spans="1:15" x14ac:dyDescent="0.25">
      <c r="A318" t="s">
        <v>20</v>
      </c>
      <c r="B318" t="s">
        <v>18</v>
      </c>
      <c r="C318">
        <v>31</v>
      </c>
      <c r="D318">
        <v>100</v>
      </c>
      <c r="E318">
        <v>400</v>
      </c>
      <c r="F318" t="str">
        <f t="shared" si="4"/>
        <v>text256_blurkernel10_31_100_400</v>
      </c>
      <c r="G318">
        <v>19.085062000000001</v>
      </c>
      <c r="H318">
        <v>66.040953999999999</v>
      </c>
      <c r="I318">
        <v>3.5318999999999998E-5</v>
      </c>
      <c r="J318">
        <v>1.6208000000000001E-5</v>
      </c>
      <c r="K318">
        <v>32.415100000000002</v>
      </c>
      <c r="L318">
        <v>0.23810000000000001</v>
      </c>
      <c r="M318">
        <v>0</v>
      </c>
      <c r="N318">
        <v>32.041200000000003</v>
      </c>
      <c r="O318">
        <v>0</v>
      </c>
    </row>
    <row r="319" spans="1:15" x14ac:dyDescent="0.25">
      <c r="A319" t="s">
        <v>20</v>
      </c>
      <c r="B319" t="s">
        <v>18</v>
      </c>
      <c r="C319">
        <v>31</v>
      </c>
      <c r="D319">
        <v>100</v>
      </c>
      <c r="E319">
        <v>800</v>
      </c>
      <c r="F319" t="str">
        <f t="shared" si="4"/>
        <v>text256_blurkernel10_31_100_800</v>
      </c>
      <c r="G319">
        <v>13.572587</v>
      </c>
      <c r="H319">
        <v>60.210296999999997</v>
      </c>
      <c r="I319">
        <v>7.1367999999999998E-5</v>
      </c>
      <c r="J319">
        <v>1.6286E-5</v>
      </c>
      <c r="K319">
        <v>29.341200000000001</v>
      </c>
      <c r="L319">
        <v>0.2394</v>
      </c>
      <c r="M319">
        <v>0</v>
      </c>
      <c r="N319">
        <v>29.013100000000001</v>
      </c>
      <c r="O319">
        <v>0</v>
      </c>
    </row>
    <row r="320" spans="1:15" x14ac:dyDescent="0.25">
      <c r="A320" t="s">
        <v>20</v>
      </c>
      <c r="B320" t="s">
        <v>18</v>
      </c>
      <c r="C320">
        <v>31</v>
      </c>
      <c r="D320">
        <v>100</v>
      </c>
      <c r="E320">
        <v>1600</v>
      </c>
      <c r="F320" t="str">
        <f t="shared" si="4"/>
        <v>text256_blurkernel10_31_100_1600</v>
      </c>
      <c r="G320">
        <v>9.8197500000000009</v>
      </c>
      <c r="H320">
        <v>57.330334999999998</v>
      </c>
      <c r="I320">
        <v>1.4223E-4</v>
      </c>
      <c r="J320">
        <v>1.6208000000000001E-5</v>
      </c>
      <c r="K320">
        <v>26.328099999999999</v>
      </c>
      <c r="L320">
        <v>0.23810000000000001</v>
      </c>
      <c r="M320">
        <v>0</v>
      </c>
      <c r="N320">
        <v>26.1693</v>
      </c>
      <c r="O320">
        <v>0</v>
      </c>
    </row>
    <row r="321" spans="1:15" x14ac:dyDescent="0.25">
      <c r="A321" t="s">
        <v>20</v>
      </c>
      <c r="B321" t="s">
        <v>18</v>
      </c>
      <c r="C321">
        <v>31</v>
      </c>
      <c r="D321">
        <v>100</v>
      </c>
      <c r="E321">
        <v>3200</v>
      </c>
      <c r="F321" t="str">
        <f t="shared" si="4"/>
        <v>text256_blurkernel10_31_100_3200</v>
      </c>
      <c r="G321">
        <v>7.1573520000000004</v>
      </c>
      <c r="H321">
        <v>55.606928000000003</v>
      </c>
      <c r="I321">
        <v>2.9020499999999998E-4</v>
      </c>
      <c r="J321">
        <v>1.6286E-5</v>
      </c>
      <c r="K321">
        <v>23.210999999999999</v>
      </c>
      <c r="L321">
        <v>0.2394</v>
      </c>
      <c r="M321">
        <v>0</v>
      </c>
      <c r="N321">
        <v>23.3474</v>
      </c>
      <c r="O321">
        <v>0</v>
      </c>
    </row>
    <row r="322" spans="1:15" x14ac:dyDescent="0.25">
      <c r="A322" t="s">
        <v>20</v>
      </c>
      <c r="B322" t="s">
        <v>18</v>
      </c>
      <c r="C322">
        <v>31</v>
      </c>
      <c r="D322">
        <v>100</v>
      </c>
      <c r="E322">
        <v>6400</v>
      </c>
      <c r="F322" t="str">
        <f t="shared" ref="F322:F385" si="5">A322&amp;"_"&amp;B322&amp;"_"&amp;C322&amp;"_"&amp;D322&amp;"_"&amp;E322</f>
        <v>text256_blurkernel10_31_100_6400</v>
      </c>
      <c r="G322">
        <v>5.4224480000000002</v>
      </c>
      <c r="H322">
        <v>54.955629000000002</v>
      </c>
      <c r="I322">
        <v>5.8229799999999997E-4</v>
      </c>
      <c r="J322">
        <v>1.6208000000000001E-5</v>
      </c>
      <c r="K322">
        <v>20.153199999999998</v>
      </c>
      <c r="L322">
        <v>0.23810000000000001</v>
      </c>
      <c r="M322">
        <v>0</v>
      </c>
      <c r="N322">
        <v>20.842600000000001</v>
      </c>
      <c r="O322">
        <v>0</v>
      </c>
    </row>
    <row r="323" spans="1:15" x14ac:dyDescent="0.25">
      <c r="A323" t="s">
        <v>20</v>
      </c>
      <c r="B323" t="s">
        <v>18</v>
      </c>
      <c r="C323">
        <v>31</v>
      </c>
      <c r="D323">
        <v>100</v>
      </c>
      <c r="E323">
        <v>12800</v>
      </c>
      <c r="F323" t="str">
        <f t="shared" si="5"/>
        <v>text256_blurkernel10_31_100_12800</v>
      </c>
      <c r="G323">
        <v>4.2537440000000002</v>
      </c>
      <c r="H323">
        <v>54.419919</v>
      </c>
      <c r="I323">
        <v>1.212657E-3</v>
      </c>
      <c r="J323">
        <v>1.6286E-5</v>
      </c>
      <c r="K323">
        <v>16.9361</v>
      </c>
      <c r="L323">
        <v>0.2394</v>
      </c>
      <c r="M323">
        <v>0</v>
      </c>
      <c r="N323">
        <v>18.465399999999999</v>
      </c>
      <c r="O323">
        <v>0</v>
      </c>
    </row>
    <row r="324" spans="1:15" x14ac:dyDescent="0.25">
      <c r="A324" t="s">
        <v>20</v>
      </c>
      <c r="B324" t="s">
        <v>18</v>
      </c>
      <c r="C324">
        <v>31</v>
      </c>
      <c r="D324">
        <v>100</v>
      </c>
      <c r="E324">
        <v>25600</v>
      </c>
      <c r="F324" t="str">
        <f t="shared" si="5"/>
        <v>text256_blurkernel10_31_100_25600</v>
      </c>
      <c r="G324">
        <v>3.5523690000000001</v>
      </c>
      <c r="H324">
        <v>54.356335000000001</v>
      </c>
      <c r="I324">
        <v>2.5643480000000001E-3</v>
      </c>
      <c r="J324">
        <v>1.6208000000000001E-5</v>
      </c>
      <c r="K324">
        <v>13.662599999999999</v>
      </c>
      <c r="L324">
        <v>0.23810000000000001</v>
      </c>
      <c r="M324">
        <v>0</v>
      </c>
      <c r="N324">
        <v>16.229099999999999</v>
      </c>
      <c r="O324">
        <v>0</v>
      </c>
    </row>
    <row r="325" spans="1:15" x14ac:dyDescent="0.25">
      <c r="A325" t="s">
        <v>20</v>
      </c>
      <c r="B325" t="s">
        <v>18</v>
      </c>
      <c r="C325">
        <v>31</v>
      </c>
      <c r="D325">
        <v>100</v>
      </c>
      <c r="E325">
        <v>102400</v>
      </c>
      <c r="F325" t="str">
        <f t="shared" si="5"/>
        <v>text256_blurkernel10_31_100_102400</v>
      </c>
      <c r="G325">
        <v>2.8242150000000001</v>
      </c>
      <c r="H325">
        <v>53.819253000000003</v>
      </c>
      <c r="I325">
        <v>1.3367736E-2</v>
      </c>
      <c r="J325">
        <v>1.6477000000000002E-5</v>
      </c>
      <c r="K325">
        <v>6.7313000000000001</v>
      </c>
      <c r="L325">
        <v>0.2384</v>
      </c>
      <c r="M325">
        <v>0</v>
      </c>
      <c r="N325">
        <v>12.0632</v>
      </c>
      <c r="O325">
        <v>0</v>
      </c>
    </row>
    <row r="326" spans="1:15" x14ac:dyDescent="0.25">
      <c r="A326" t="s">
        <v>20</v>
      </c>
      <c r="B326" t="s">
        <v>15</v>
      </c>
      <c r="C326">
        <v>3</v>
      </c>
      <c r="D326">
        <v>100</v>
      </c>
      <c r="E326">
        <v>200</v>
      </c>
      <c r="F326" t="str">
        <f t="shared" si="5"/>
        <v>text256_blurkernel7_3_100_200</v>
      </c>
      <c r="G326">
        <v>31.035682999999999</v>
      </c>
      <c r="H326">
        <v>7.4570119999999998</v>
      </c>
      <c r="I326">
        <v>1.6881999999999999E-5</v>
      </c>
      <c r="J326">
        <v>9.6369999999999994E-6</v>
      </c>
      <c r="K326">
        <v>35.6233</v>
      </c>
      <c r="L326">
        <v>9.2096999999999998</v>
      </c>
      <c r="M326">
        <v>0</v>
      </c>
      <c r="N326">
        <v>37.025399999999998</v>
      </c>
      <c r="O326">
        <v>0</v>
      </c>
    </row>
    <row r="327" spans="1:15" x14ac:dyDescent="0.25">
      <c r="A327" t="s">
        <v>20</v>
      </c>
      <c r="B327" t="s">
        <v>15</v>
      </c>
      <c r="C327">
        <v>3</v>
      </c>
      <c r="D327">
        <v>100</v>
      </c>
      <c r="E327">
        <v>400</v>
      </c>
      <c r="F327" t="str">
        <f t="shared" si="5"/>
        <v>text256_blurkernel7_3_100_400</v>
      </c>
      <c r="G327">
        <v>24.119060000000001</v>
      </c>
      <c r="H327">
        <v>6.6977570000000002</v>
      </c>
      <c r="I327">
        <v>3.5284999999999998E-5</v>
      </c>
      <c r="J327">
        <v>9.6369999999999994E-6</v>
      </c>
      <c r="K327">
        <v>32.417700000000004</v>
      </c>
      <c r="L327">
        <v>9.2096999999999998</v>
      </c>
      <c r="M327">
        <v>0</v>
      </c>
      <c r="N327">
        <v>34.682099999999998</v>
      </c>
      <c r="O327">
        <v>0</v>
      </c>
    </row>
    <row r="328" spans="1:15" x14ac:dyDescent="0.25">
      <c r="A328" t="s">
        <v>20</v>
      </c>
      <c r="B328" t="s">
        <v>15</v>
      </c>
      <c r="C328">
        <v>3</v>
      </c>
      <c r="D328">
        <v>100</v>
      </c>
      <c r="E328">
        <v>800</v>
      </c>
      <c r="F328" t="str">
        <f t="shared" si="5"/>
        <v>text256_blurkernel7_3_100_800</v>
      </c>
      <c r="G328">
        <v>20.084610000000001</v>
      </c>
      <c r="H328">
        <v>6.3098780000000003</v>
      </c>
      <c r="I328">
        <v>7.2145999999999997E-5</v>
      </c>
      <c r="J328">
        <v>9.6369999999999994E-6</v>
      </c>
      <c r="K328">
        <v>29.299900000000001</v>
      </c>
      <c r="L328">
        <v>9.2096999999999998</v>
      </c>
      <c r="M328">
        <v>0</v>
      </c>
      <c r="N328">
        <v>31.716799999999999</v>
      </c>
      <c r="O328">
        <v>0</v>
      </c>
    </row>
    <row r="329" spans="1:15" x14ac:dyDescent="0.25">
      <c r="A329" t="s">
        <v>20</v>
      </c>
      <c r="B329" t="s">
        <v>15</v>
      </c>
      <c r="C329">
        <v>3</v>
      </c>
      <c r="D329">
        <v>100</v>
      </c>
      <c r="E329">
        <v>1600</v>
      </c>
      <c r="F329" t="str">
        <f t="shared" si="5"/>
        <v>text256_blurkernel7_3_100_1600</v>
      </c>
      <c r="G329">
        <v>17.858378999999999</v>
      </c>
      <c r="H329">
        <v>6.1165370000000001</v>
      </c>
      <c r="I329">
        <v>1.43466E-4</v>
      </c>
      <c r="J329">
        <v>9.6369999999999994E-6</v>
      </c>
      <c r="K329">
        <v>26.296500000000002</v>
      </c>
      <c r="L329">
        <v>9.2096999999999998</v>
      </c>
      <c r="M329">
        <v>0</v>
      </c>
      <c r="N329">
        <v>30.931100000000001</v>
      </c>
      <c r="O329">
        <v>0</v>
      </c>
    </row>
    <row r="330" spans="1:15" x14ac:dyDescent="0.25">
      <c r="A330" t="s">
        <v>20</v>
      </c>
      <c r="B330" t="s">
        <v>15</v>
      </c>
      <c r="C330">
        <v>3</v>
      </c>
      <c r="D330">
        <v>100</v>
      </c>
      <c r="E330">
        <v>3200</v>
      </c>
      <c r="F330" t="str">
        <f t="shared" si="5"/>
        <v>text256_blurkernel7_3_100_3200</v>
      </c>
      <c r="G330">
        <v>16.624473999999999</v>
      </c>
      <c r="H330">
        <v>6.01586</v>
      </c>
      <c r="I330">
        <v>2.8875299999999999E-4</v>
      </c>
      <c r="J330">
        <v>9.6369999999999994E-6</v>
      </c>
      <c r="K330">
        <v>23.228200000000001</v>
      </c>
      <c r="L330">
        <v>9.2096999999999998</v>
      </c>
      <c r="M330">
        <v>0</v>
      </c>
      <c r="N330">
        <v>29.3813</v>
      </c>
      <c r="O330">
        <v>0</v>
      </c>
    </row>
    <row r="331" spans="1:15" x14ac:dyDescent="0.25">
      <c r="A331" t="s">
        <v>20</v>
      </c>
      <c r="B331" t="s">
        <v>15</v>
      </c>
      <c r="C331">
        <v>3</v>
      </c>
      <c r="D331">
        <v>100</v>
      </c>
      <c r="E331">
        <v>6400</v>
      </c>
      <c r="F331" t="str">
        <f t="shared" si="5"/>
        <v>text256_blurkernel7_3_100_6400</v>
      </c>
      <c r="G331">
        <v>15.996316</v>
      </c>
      <c r="H331">
        <v>5.9647069999999998</v>
      </c>
      <c r="I331">
        <v>5.8383600000000001E-4</v>
      </c>
      <c r="J331">
        <v>9.6369999999999994E-6</v>
      </c>
      <c r="K331">
        <v>20.1447</v>
      </c>
      <c r="L331">
        <v>9.2096999999999998</v>
      </c>
      <c r="M331">
        <v>0</v>
      </c>
      <c r="N331">
        <v>26.372299999999999</v>
      </c>
      <c r="O331">
        <v>0</v>
      </c>
    </row>
    <row r="332" spans="1:15" x14ac:dyDescent="0.25">
      <c r="A332" t="s">
        <v>20</v>
      </c>
      <c r="B332" t="s">
        <v>15</v>
      </c>
      <c r="C332">
        <v>3</v>
      </c>
      <c r="D332">
        <v>100</v>
      </c>
      <c r="E332">
        <v>12800</v>
      </c>
      <c r="F332" t="str">
        <f t="shared" si="5"/>
        <v>text256_blurkernel7_3_100_12800</v>
      </c>
      <c r="G332">
        <v>15.675497</v>
      </c>
      <c r="H332">
        <v>5.9416000000000002</v>
      </c>
      <c r="I332">
        <v>1.207673E-3</v>
      </c>
      <c r="J332">
        <v>9.6369999999999994E-6</v>
      </c>
      <c r="K332">
        <v>16.957000000000001</v>
      </c>
      <c r="L332">
        <v>9.2096999999999998</v>
      </c>
      <c r="M332">
        <v>0</v>
      </c>
      <c r="N332">
        <v>23.302</v>
      </c>
      <c r="O332">
        <v>0</v>
      </c>
    </row>
    <row r="333" spans="1:15" x14ac:dyDescent="0.25">
      <c r="A333" t="s">
        <v>20</v>
      </c>
      <c r="B333" t="s">
        <v>15</v>
      </c>
      <c r="C333">
        <v>3</v>
      </c>
      <c r="D333">
        <v>100</v>
      </c>
      <c r="E333">
        <v>25600</v>
      </c>
      <c r="F333" t="str">
        <f t="shared" si="5"/>
        <v>text256_blurkernel7_3_100_25600</v>
      </c>
      <c r="G333">
        <v>15.474900999999999</v>
      </c>
      <c r="H333">
        <v>5.939991</v>
      </c>
      <c r="I333">
        <v>2.5907840000000001E-3</v>
      </c>
      <c r="J333">
        <v>9.6369999999999994E-6</v>
      </c>
      <c r="K333">
        <v>13.617699999999999</v>
      </c>
      <c r="L333">
        <v>9.2096999999999998</v>
      </c>
      <c r="M333">
        <v>0</v>
      </c>
      <c r="N333">
        <v>19.764900000000001</v>
      </c>
      <c r="O333">
        <v>0</v>
      </c>
    </row>
    <row r="334" spans="1:15" x14ac:dyDescent="0.25">
      <c r="A334" t="s">
        <v>20</v>
      </c>
      <c r="B334" t="s">
        <v>15</v>
      </c>
      <c r="C334">
        <v>3</v>
      </c>
      <c r="D334">
        <v>100</v>
      </c>
      <c r="E334">
        <v>102400</v>
      </c>
      <c r="F334" t="str">
        <f t="shared" si="5"/>
        <v>text256_blurkernel7_3_100_102400</v>
      </c>
      <c r="G334">
        <v>14.874995</v>
      </c>
      <c r="H334">
        <v>5.9437569999999997</v>
      </c>
      <c r="I334">
        <v>1.3464896000000001E-2</v>
      </c>
      <c r="J334">
        <v>9.8179999999999999E-6</v>
      </c>
      <c r="K334">
        <v>6.7039999999999997</v>
      </c>
      <c r="L334">
        <v>9.2131000000000007</v>
      </c>
      <c r="M334">
        <v>0</v>
      </c>
      <c r="N334">
        <v>18.8781</v>
      </c>
      <c r="O334">
        <v>0</v>
      </c>
    </row>
    <row r="335" spans="1:15" x14ac:dyDescent="0.25">
      <c r="A335" t="s">
        <v>20</v>
      </c>
      <c r="B335" t="s">
        <v>15</v>
      </c>
      <c r="C335">
        <v>7</v>
      </c>
      <c r="D335">
        <v>100</v>
      </c>
      <c r="E335">
        <v>200</v>
      </c>
      <c r="F335" t="str">
        <f t="shared" si="5"/>
        <v>text256_blurkernel7_7_100_200</v>
      </c>
      <c r="G335">
        <v>28.182904000000001</v>
      </c>
      <c r="H335">
        <v>18.407598</v>
      </c>
      <c r="I335">
        <v>1.6799999999999998E-5</v>
      </c>
      <c r="J335">
        <v>1.1653E-5</v>
      </c>
      <c r="K335">
        <v>35.6462</v>
      </c>
      <c r="L335">
        <v>3.1002999999999998</v>
      </c>
      <c r="M335">
        <v>0</v>
      </c>
      <c r="N335">
        <v>35.929600000000001</v>
      </c>
      <c r="O335">
        <v>0</v>
      </c>
    </row>
    <row r="336" spans="1:15" x14ac:dyDescent="0.25">
      <c r="A336" t="s">
        <v>20</v>
      </c>
      <c r="B336" t="s">
        <v>15</v>
      </c>
      <c r="C336">
        <v>7</v>
      </c>
      <c r="D336">
        <v>100</v>
      </c>
      <c r="E336">
        <v>400</v>
      </c>
      <c r="F336" t="str">
        <f t="shared" si="5"/>
        <v>text256_blurkernel7_7_100_400</v>
      </c>
      <c r="G336">
        <v>20.115745</v>
      </c>
      <c r="H336">
        <v>16.246832000000001</v>
      </c>
      <c r="I336">
        <v>3.5348000000000001E-5</v>
      </c>
      <c r="J336">
        <v>1.1653E-5</v>
      </c>
      <c r="K336">
        <v>32.4086</v>
      </c>
      <c r="L336">
        <v>3.1002999999999998</v>
      </c>
      <c r="M336">
        <v>0</v>
      </c>
      <c r="N336">
        <v>33.073500000000003</v>
      </c>
      <c r="O336">
        <v>0</v>
      </c>
    </row>
    <row r="337" spans="1:15" x14ac:dyDescent="0.25">
      <c r="A337" t="s">
        <v>20</v>
      </c>
      <c r="B337" t="s">
        <v>15</v>
      </c>
      <c r="C337">
        <v>7</v>
      </c>
      <c r="D337">
        <v>100</v>
      </c>
      <c r="E337">
        <v>800</v>
      </c>
      <c r="F337" t="str">
        <f t="shared" si="5"/>
        <v>text256_blurkernel7_7_100_800</v>
      </c>
      <c r="G337">
        <v>15.073684</v>
      </c>
      <c r="H337">
        <v>15.160954</v>
      </c>
      <c r="I337">
        <v>7.1105000000000004E-5</v>
      </c>
      <c r="J337">
        <v>1.1653E-5</v>
      </c>
      <c r="K337">
        <v>29.362100000000002</v>
      </c>
      <c r="L337">
        <v>3.1002999999999998</v>
      </c>
      <c r="M337">
        <v>0</v>
      </c>
      <c r="N337">
        <v>30.588899999999999</v>
      </c>
      <c r="O337">
        <v>0</v>
      </c>
    </row>
    <row r="338" spans="1:15" x14ac:dyDescent="0.25">
      <c r="A338" t="s">
        <v>20</v>
      </c>
      <c r="B338" t="s">
        <v>15</v>
      </c>
      <c r="C338">
        <v>7</v>
      </c>
      <c r="D338">
        <v>100</v>
      </c>
      <c r="E338">
        <v>1600</v>
      </c>
      <c r="F338" t="str">
        <f t="shared" si="5"/>
        <v>text256_blurkernel7_7_100_1600</v>
      </c>
      <c r="G338">
        <v>11.780219000000001</v>
      </c>
      <c r="H338">
        <v>14.590764999999999</v>
      </c>
      <c r="I338">
        <v>1.4342399999999999E-4</v>
      </c>
      <c r="J338">
        <v>1.1653E-5</v>
      </c>
      <c r="K338">
        <v>26.291399999999999</v>
      </c>
      <c r="L338">
        <v>3.1002999999999998</v>
      </c>
      <c r="M338">
        <v>0</v>
      </c>
      <c r="N338">
        <v>28.241499999999998</v>
      </c>
      <c r="O338">
        <v>0</v>
      </c>
    </row>
    <row r="339" spans="1:15" x14ac:dyDescent="0.25">
      <c r="A339" t="s">
        <v>20</v>
      </c>
      <c r="B339" t="s">
        <v>15</v>
      </c>
      <c r="C339">
        <v>7</v>
      </c>
      <c r="D339">
        <v>100</v>
      </c>
      <c r="E339">
        <v>3200</v>
      </c>
      <c r="F339" t="str">
        <f t="shared" si="5"/>
        <v>text256_blurkernel7_7_100_3200</v>
      </c>
      <c r="G339">
        <v>9.7340769999999992</v>
      </c>
      <c r="H339">
        <v>14.296116</v>
      </c>
      <c r="I339">
        <v>2.9178800000000002E-4</v>
      </c>
      <c r="J339">
        <v>1.1653E-5</v>
      </c>
      <c r="K339">
        <v>23.180299999999999</v>
      </c>
      <c r="L339">
        <v>3.1002999999999998</v>
      </c>
      <c r="M339">
        <v>0</v>
      </c>
      <c r="N339">
        <v>26.041599999999999</v>
      </c>
      <c r="O339">
        <v>0</v>
      </c>
    </row>
    <row r="340" spans="1:15" x14ac:dyDescent="0.25">
      <c r="A340" t="s">
        <v>20</v>
      </c>
      <c r="B340" t="s">
        <v>15</v>
      </c>
      <c r="C340">
        <v>7</v>
      </c>
      <c r="D340">
        <v>100</v>
      </c>
      <c r="E340">
        <v>6400</v>
      </c>
      <c r="F340" t="str">
        <f t="shared" si="5"/>
        <v>text256_blurkernel7_7_100_6400</v>
      </c>
      <c r="G340">
        <v>8.5498410000000007</v>
      </c>
      <c r="H340">
        <v>14.150323</v>
      </c>
      <c r="I340">
        <v>5.9487600000000004E-4</v>
      </c>
      <c r="J340">
        <v>1.1653E-5</v>
      </c>
      <c r="K340">
        <v>20.064599999999999</v>
      </c>
      <c r="L340">
        <v>3.1002999999999998</v>
      </c>
      <c r="M340">
        <v>0</v>
      </c>
      <c r="N340">
        <v>23.928999999999998</v>
      </c>
      <c r="O340">
        <v>0</v>
      </c>
    </row>
    <row r="341" spans="1:15" x14ac:dyDescent="0.25">
      <c r="A341" t="s">
        <v>20</v>
      </c>
      <c r="B341" t="s">
        <v>15</v>
      </c>
      <c r="C341">
        <v>7</v>
      </c>
      <c r="D341">
        <v>100</v>
      </c>
      <c r="E341">
        <v>12800</v>
      </c>
      <c r="F341" t="str">
        <f t="shared" si="5"/>
        <v>text256_blurkernel7_7_100_12800</v>
      </c>
      <c r="G341">
        <v>7.9037810000000004</v>
      </c>
      <c r="H341">
        <v>14.078405</v>
      </c>
      <c r="I341">
        <v>1.229157E-3</v>
      </c>
      <c r="J341">
        <v>1.1653E-5</v>
      </c>
      <c r="K341">
        <v>16.877099999999999</v>
      </c>
      <c r="L341">
        <v>3.1002999999999998</v>
      </c>
      <c r="M341">
        <v>0</v>
      </c>
      <c r="N341">
        <v>21.760300000000001</v>
      </c>
      <c r="O341">
        <v>0</v>
      </c>
    </row>
    <row r="342" spans="1:15" x14ac:dyDescent="0.25">
      <c r="A342" t="s">
        <v>20</v>
      </c>
      <c r="B342" t="s">
        <v>15</v>
      </c>
      <c r="C342">
        <v>7</v>
      </c>
      <c r="D342">
        <v>100</v>
      </c>
      <c r="E342">
        <v>25600</v>
      </c>
      <c r="F342" t="str">
        <f t="shared" si="5"/>
        <v>text256_blurkernel7_7_100_25600</v>
      </c>
      <c r="G342">
        <v>7.5823970000000003</v>
      </c>
      <c r="H342">
        <v>14.044034</v>
      </c>
      <c r="I342">
        <v>2.5750399999999998E-3</v>
      </c>
      <c r="J342">
        <v>1.1653E-5</v>
      </c>
      <c r="K342">
        <v>13.6441</v>
      </c>
      <c r="L342">
        <v>3.1002999999999998</v>
      </c>
      <c r="M342">
        <v>0</v>
      </c>
      <c r="N342">
        <v>14.8383</v>
      </c>
      <c r="O342">
        <v>0</v>
      </c>
    </row>
    <row r="343" spans="1:15" x14ac:dyDescent="0.25">
      <c r="A343" t="s">
        <v>20</v>
      </c>
      <c r="B343" t="s">
        <v>15</v>
      </c>
      <c r="C343">
        <v>7</v>
      </c>
      <c r="D343">
        <v>100</v>
      </c>
      <c r="E343">
        <v>102400</v>
      </c>
      <c r="F343" t="str">
        <f t="shared" si="5"/>
        <v>text256_blurkernel7_7_100_102400</v>
      </c>
      <c r="G343">
        <v>7.3152200000000001</v>
      </c>
      <c r="H343">
        <v>13.974468</v>
      </c>
      <c r="I343">
        <v>1.3445360999999999E-2</v>
      </c>
      <c r="J343">
        <v>1.1754E-5</v>
      </c>
      <c r="K343">
        <v>6.7065000000000001</v>
      </c>
      <c r="L343">
        <v>3.1011000000000002</v>
      </c>
      <c r="M343">
        <v>0</v>
      </c>
      <c r="N343">
        <v>11.451000000000001</v>
      </c>
      <c r="O343">
        <v>0</v>
      </c>
    </row>
    <row r="344" spans="1:15" x14ac:dyDescent="0.25">
      <c r="A344" t="s">
        <v>20</v>
      </c>
      <c r="B344" t="s">
        <v>15</v>
      </c>
      <c r="C344">
        <v>15</v>
      </c>
      <c r="D344">
        <v>100</v>
      </c>
      <c r="E344">
        <v>200</v>
      </c>
      <c r="F344" t="str">
        <f t="shared" si="5"/>
        <v>text256_blurkernel7_15_100_200</v>
      </c>
      <c r="G344">
        <v>27.538163999999998</v>
      </c>
      <c r="H344">
        <v>38.316215999999997</v>
      </c>
      <c r="I344">
        <v>1.6837000000000002E-5</v>
      </c>
      <c r="J344">
        <v>1.4338999999999999E-5</v>
      </c>
      <c r="K344">
        <v>35.640300000000003</v>
      </c>
      <c r="L344">
        <v>1.5187999999999999</v>
      </c>
      <c r="M344">
        <v>0</v>
      </c>
      <c r="N344">
        <v>35.993699999999997</v>
      </c>
      <c r="O344">
        <v>0</v>
      </c>
    </row>
    <row r="345" spans="1:15" x14ac:dyDescent="0.25">
      <c r="A345" t="s">
        <v>20</v>
      </c>
      <c r="B345" t="s">
        <v>15</v>
      </c>
      <c r="C345">
        <v>15</v>
      </c>
      <c r="D345">
        <v>100</v>
      </c>
      <c r="E345">
        <v>400</v>
      </c>
      <c r="F345" t="str">
        <f t="shared" si="5"/>
        <v>text256_blurkernel7_15_100_400</v>
      </c>
      <c r="G345">
        <v>19.095616</v>
      </c>
      <c r="H345">
        <v>33.291319999999999</v>
      </c>
      <c r="I345">
        <v>3.5747999999999997E-5</v>
      </c>
      <c r="J345">
        <v>1.4187E-5</v>
      </c>
      <c r="K345">
        <v>32.359499999999997</v>
      </c>
      <c r="L345">
        <v>1.5178</v>
      </c>
      <c r="M345">
        <v>0</v>
      </c>
      <c r="N345">
        <v>32.915799999999997</v>
      </c>
      <c r="O345">
        <v>0</v>
      </c>
    </row>
    <row r="346" spans="1:15" x14ac:dyDescent="0.25">
      <c r="A346" t="s">
        <v>20</v>
      </c>
      <c r="B346" t="s">
        <v>15</v>
      </c>
      <c r="C346">
        <v>15</v>
      </c>
      <c r="D346">
        <v>100</v>
      </c>
      <c r="E346">
        <v>800</v>
      </c>
      <c r="F346" t="str">
        <f t="shared" si="5"/>
        <v>text256_blurkernel7_15_100_800</v>
      </c>
      <c r="G346">
        <v>13.810915</v>
      </c>
      <c r="H346">
        <v>30.623414</v>
      </c>
      <c r="I346">
        <v>7.0840000000000006E-5</v>
      </c>
      <c r="J346">
        <v>1.4338999999999999E-5</v>
      </c>
      <c r="K346">
        <v>29.3795</v>
      </c>
      <c r="L346">
        <v>1.5187999999999999</v>
      </c>
      <c r="M346">
        <v>0</v>
      </c>
      <c r="N346">
        <v>30.273499999999999</v>
      </c>
      <c r="O346">
        <v>0</v>
      </c>
    </row>
    <row r="347" spans="1:15" x14ac:dyDescent="0.25">
      <c r="A347" t="s">
        <v>20</v>
      </c>
      <c r="B347" t="s">
        <v>15</v>
      </c>
      <c r="C347">
        <v>15</v>
      </c>
      <c r="D347">
        <v>100</v>
      </c>
      <c r="E347">
        <v>1600</v>
      </c>
      <c r="F347" t="str">
        <f t="shared" si="5"/>
        <v>text256_blurkernel7_15_100_1600</v>
      </c>
      <c r="G347">
        <v>10.065442000000001</v>
      </c>
      <c r="H347">
        <v>29.372647000000001</v>
      </c>
      <c r="I347">
        <v>1.4327900000000001E-4</v>
      </c>
      <c r="J347">
        <v>1.4187E-5</v>
      </c>
      <c r="K347">
        <v>26.293399999999998</v>
      </c>
      <c r="L347">
        <v>1.5178</v>
      </c>
      <c r="M347">
        <v>0</v>
      </c>
      <c r="N347">
        <v>27.6419</v>
      </c>
      <c r="O347">
        <v>0</v>
      </c>
    </row>
    <row r="348" spans="1:15" x14ac:dyDescent="0.25">
      <c r="A348" t="s">
        <v>20</v>
      </c>
      <c r="B348" t="s">
        <v>15</v>
      </c>
      <c r="C348">
        <v>15</v>
      </c>
      <c r="D348">
        <v>100</v>
      </c>
      <c r="E348">
        <v>3200</v>
      </c>
      <c r="F348" t="str">
        <f t="shared" si="5"/>
        <v>text256_blurkernel7_15_100_3200</v>
      </c>
      <c r="G348">
        <v>7.5262529999999996</v>
      </c>
      <c r="H348">
        <v>28.515550000000001</v>
      </c>
      <c r="I348">
        <v>2.9118900000000002E-4</v>
      </c>
      <c r="J348">
        <v>1.4338999999999999E-5</v>
      </c>
      <c r="K348">
        <v>23.191700000000001</v>
      </c>
      <c r="L348">
        <v>1.5187999999999999</v>
      </c>
      <c r="M348">
        <v>0</v>
      </c>
      <c r="N348">
        <v>25.133299999999998</v>
      </c>
      <c r="O348">
        <v>0</v>
      </c>
    </row>
    <row r="349" spans="1:15" x14ac:dyDescent="0.25">
      <c r="A349" t="s">
        <v>20</v>
      </c>
      <c r="B349" t="s">
        <v>15</v>
      </c>
      <c r="C349">
        <v>15</v>
      </c>
      <c r="D349">
        <v>100</v>
      </c>
      <c r="E349">
        <v>6400</v>
      </c>
      <c r="F349" t="str">
        <f t="shared" si="5"/>
        <v>text256_blurkernel7_15_100_6400</v>
      </c>
      <c r="G349">
        <v>5.8929510000000001</v>
      </c>
      <c r="H349">
        <v>28.306642</v>
      </c>
      <c r="I349">
        <v>5.9393399999999996E-4</v>
      </c>
      <c r="J349">
        <v>1.4187E-5</v>
      </c>
      <c r="K349">
        <v>20.0685</v>
      </c>
      <c r="L349">
        <v>1.5178</v>
      </c>
      <c r="M349">
        <v>0</v>
      </c>
      <c r="N349">
        <v>22.755600000000001</v>
      </c>
      <c r="O349">
        <v>0</v>
      </c>
    </row>
    <row r="350" spans="1:15" x14ac:dyDescent="0.25">
      <c r="A350" t="s">
        <v>20</v>
      </c>
      <c r="B350" t="s">
        <v>15</v>
      </c>
      <c r="C350">
        <v>15</v>
      </c>
      <c r="D350">
        <v>100</v>
      </c>
      <c r="E350">
        <v>12800</v>
      </c>
      <c r="F350" t="str">
        <f t="shared" si="5"/>
        <v>text256_blurkernel7_15_100_12800</v>
      </c>
      <c r="G350">
        <v>4.8839639999999997</v>
      </c>
      <c r="H350">
        <v>27.988772999999998</v>
      </c>
      <c r="I350">
        <v>1.194931E-3</v>
      </c>
      <c r="J350">
        <v>1.4338999999999999E-5</v>
      </c>
      <c r="K350">
        <v>16.9986</v>
      </c>
      <c r="L350">
        <v>1.5187999999999999</v>
      </c>
      <c r="M350">
        <v>0</v>
      </c>
      <c r="N350">
        <v>20.5319</v>
      </c>
      <c r="O350">
        <v>0</v>
      </c>
    </row>
    <row r="351" spans="1:15" x14ac:dyDescent="0.25">
      <c r="A351" t="s">
        <v>20</v>
      </c>
      <c r="B351" t="s">
        <v>15</v>
      </c>
      <c r="C351">
        <v>15</v>
      </c>
      <c r="D351">
        <v>100</v>
      </c>
      <c r="E351">
        <v>25600</v>
      </c>
      <c r="F351" t="str">
        <f t="shared" si="5"/>
        <v>text256_blurkernel7_15_100_25600</v>
      </c>
      <c r="G351">
        <v>4.2751060000000001</v>
      </c>
      <c r="H351">
        <v>28.052406999999999</v>
      </c>
      <c r="I351">
        <v>2.550751E-3</v>
      </c>
      <c r="J351">
        <v>1.4187E-5</v>
      </c>
      <c r="K351">
        <v>13.685700000000001</v>
      </c>
      <c r="L351">
        <v>1.5178</v>
      </c>
      <c r="M351">
        <v>0</v>
      </c>
      <c r="N351">
        <v>18.635300000000001</v>
      </c>
      <c r="O351">
        <v>0</v>
      </c>
    </row>
    <row r="352" spans="1:15" x14ac:dyDescent="0.25">
      <c r="A352" t="s">
        <v>20</v>
      </c>
      <c r="B352" t="s">
        <v>15</v>
      </c>
      <c r="C352">
        <v>15</v>
      </c>
      <c r="D352">
        <v>100</v>
      </c>
      <c r="E352">
        <v>102400</v>
      </c>
      <c r="F352" t="str">
        <f t="shared" si="5"/>
        <v>text256_blurkernel7_15_100_102400</v>
      </c>
      <c r="G352">
        <v>3.7147199999999998</v>
      </c>
      <c r="H352">
        <v>27.957543999999999</v>
      </c>
      <c r="I352">
        <v>1.3488484E-2</v>
      </c>
      <c r="J352">
        <v>1.4243000000000001E-5</v>
      </c>
      <c r="K352">
        <v>6.7035999999999998</v>
      </c>
      <c r="L352">
        <v>1.5177</v>
      </c>
      <c r="M352">
        <v>0</v>
      </c>
      <c r="N352">
        <v>13.2485</v>
      </c>
      <c r="O352">
        <v>0</v>
      </c>
    </row>
    <row r="353" spans="1:15" x14ac:dyDescent="0.25">
      <c r="A353" t="s">
        <v>20</v>
      </c>
      <c r="B353" t="s">
        <v>15</v>
      </c>
      <c r="C353">
        <v>31</v>
      </c>
      <c r="D353">
        <v>100</v>
      </c>
      <c r="E353">
        <v>200</v>
      </c>
      <c r="F353" t="str">
        <f t="shared" si="5"/>
        <v>text256_blurkernel7_31_100_200</v>
      </c>
      <c r="G353">
        <v>27.572388</v>
      </c>
      <c r="H353">
        <v>77.451487999999998</v>
      </c>
      <c r="I353">
        <v>1.6654E-5</v>
      </c>
      <c r="J353">
        <v>1.6291999999999999E-5</v>
      </c>
      <c r="K353">
        <v>35.680799999999998</v>
      </c>
      <c r="L353">
        <v>0.78349999999999997</v>
      </c>
      <c r="M353">
        <v>0</v>
      </c>
      <c r="N353">
        <v>35.959099999999999</v>
      </c>
      <c r="O353">
        <v>0</v>
      </c>
    </row>
    <row r="354" spans="1:15" x14ac:dyDescent="0.25">
      <c r="A354" t="s">
        <v>20</v>
      </c>
      <c r="B354" t="s">
        <v>15</v>
      </c>
      <c r="C354">
        <v>31</v>
      </c>
      <c r="D354">
        <v>100</v>
      </c>
      <c r="E354">
        <v>400</v>
      </c>
      <c r="F354" t="str">
        <f t="shared" si="5"/>
        <v>text256_blurkernel7_31_100_400</v>
      </c>
      <c r="G354">
        <v>19.096858000000001</v>
      </c>
      <c r="H354">
        <v>66.309021999999999</v>
      </c>
      <c r="I354">
        <v>3.4959999999999997E-5</v>
      </c>
      <c r="J354">
        <v>1.6286999999999998E-5</v>
      </c>
      <c r="K354">
        <v>32.462899999999998</v>
      </c>
      <c r="L354">
        <v>0.78390000000000004</v>
      </c>
      <c r="M354">
        <v>0</v>
      </c>
      <c r="N354">
        <v>32.933399999999999</v>
      </c>
      <c r="O354">
        <v>0</v>
      </c>
    </row>
    <row r="355" spans="1:15" x14ac:dyDescent="0.25">
      <c r="A355" t="s">
        <v>20</v>
      </c>
      <c r="B355" t="s">
        <v>15</v>
      </c>
      <c r="C355">
        <v>31</v>
      </c>
      <c r="D355">
        <v>100</v>
      </c>
      <c r="E355">
        <v>800</v>
      </c>
      <c r="F355" t="str">
        <f t="shared" si="5"/>
        <v>text256_blurkernel7_31_100_800</v>
      </c>
      <c r="G355">
        <v>13.477453000000001</v>
      </c>
      <c r="H355">
        <v>60.449793</v>
      </c>
      <c r="I355">
        <v>7.1145999999999999E-5</v>
      </c>
      <c r="J355">
        <v>1.6291999999999999E-5</v>
      </c>
      <c r="K355">
        <v>29.360700000000001</v>
      </c>
      <c r="L355">
        <v>0.78349999999999997</v>
      </c>
      <c r="M355">
        <v>0</v>
      </c>
      <c r="N355">
        <v>30.063800000000001</v>
      </c>
      <c r="O355">
        <v>0</v>
      </c>
    </row>
    <row r="356" spans="1:15" x14ac:dyDescent="0.25">
      <c r="A356" t="s">
        <v>20</v>
      </c>
      <c r="B356" t="s">
        <v>15</v>
      </c>
      <c r="C356">
        <v>31</v>
      </c>
      <c r="D356">
        <v>100</v>
      </c>
      <c r="E356">
        <v>1600</v>
      </c>
      <c r="F356" t="str">
        <f t="shared" si="5"/>
        <v>text256_blurkernel7_31_100_1600</v>
      </c>
      <c r="G356">
        <v>9.5911109999999997</v>
      </c>
      <c r="H356">
        <v>57.391955000000003</v>
      </c>
      <c r="I356">
        <v>1.4409700000000001E-4</v>
      </c>
      <c r="J356">
        <v>1.6286999999999998E-5</v>
      </c>
      <c r="K356">
        <v>26.273499999999999</v>
      </c>
      <c r="L356">
        <v>0.78390000000000004</v>
      </c>
      <c r="M356">
        <v>0</v>
      </c>
      <c r="N356">
        <v>27.293399999999998</v>
      </c>
      <c r="O356">
        <v>0</v>
      </c>
    </row>
    <row r="357" spans="1:15" x14ac:dyDescent="0.25">
      <c r="A357" t="s">
        <v>20</v>
      </c>
      <c r="B357" t="s">
        <v>15</v>
      </c>
      <c r="C357">
        <v>31</v>
      </c>
      <c r="D357">
        <v>100</v>
      </c>
      <c r="E357">
        <v>3200</v>
      </c>
      <c r="F357" t="str">
        <f t="shared" si="5"/>
        <v>text256_blurkernel7_31_100_3200</v>
      </c>
      <c r="G357">
        <v>6.9262899999999998</v>
      </c>
      <c r="H357">
        <v>55.811402000000001</v>
      </c>
      <c r="I357">
        <v>2.90227E-4</v>
      </c>
      <c r="J357">
        <v>1.6291999999999999E-5</v>
      </c>
      <c r="K357">
        <v>23.2044</v>
      </c>
      <c r="L357">
        <v>0.78349999999999997</v>
      </c>
      <c r="M357">
        <v>0</v>
      </c>
      <c r="N357">
        <v>24.591100000000001</v>
      </c>
      <c r="O357">
        <v>0</v>
      </c>
    </row>
    <row r="358" spans="1:15" x14ac:dyDescent="0.25">
      <c r="A358" t="s">
        <v>20</v>
      </c>
      <c r="B358" t="s">
        <v>15</v>
      </c>
      <c r="C358">
        <v>31</v>
      </c>
      <c r="D358">
        <v>100</v>
      </c>
      <c r="E358">
        <v>6400</v>
      </c>
      <c r="F358" t="str">
        <f t="shared" si="5"/>
        <v>text256_blurkernel7_31_100_6400</v>
      </c>
      <c r="G358">
        <v>5.1118420000000002</v>
      </c>
      <c r="H358">
        <v>55.036093999999999</v>
      </c>
      <c r="I358">
        <v>5.8266899999999996E-4</v>
      </c>
      <c r="J358">
        <v>1.6286999999999998E-5</v>
      </c>
      <c r="K358">
        <v>20.1511</v>
      </c>
      <c r="L358">
        <v>0.78390000000000004</v>
      </c>
      <c r="M358">
        <v>0</v>
      </c>
      <c r="N358">
        <v>21.957699999999999</v>
      </c>
      <c r="O358">
        <v>0</v>
      </c>
    </row>
    <row r="359" spans="1:15" x14ac:dyDescent="0.25">
      <c r="A359" t="s">
        <v>20</v>
      </c>
      <c r="B359" t="s">
        <v>15</v>
      </c>
      <c r="C359">
        <v>31</v>
      </c>
      <c r="D359">
        <v>100</v>
      </c>
      <c r="E359">
        <v>12800</v>
      </c>
      <c r="F359" t="str">
        <f t="shared" si="5"/>
        <v>text256_blurkernel7_31_100_12800</v>
      </c>
      <c r="G359">
        <v>3.8721909999999999</v>
      </c>
      <c r="H359">
        <v>54.617809999999999</v>
      </c>
      <c r="I359">
        <v>1.199182E-3</v>
      </c>
      <c r="J359">
        <v>1.6291999999999999E-5</v>
      </c>
      <c r="K359">
        <v>16.9861</v>
      </c>
      <c r="L359">
        <v>0.78349999999999997</v>
      </c>
      <c r="M359">
        <v>0</v>
      </c>
      <c r="N359">
        <v>19.295999999999999</v>
      </c>
      <c r="O359">
        <v>0</v>
      </c>
    </row>
    <row r="360" spans="1:15" x14ac:dyDescent="0.25">
      <c r="A360" t="s">
        <v>20</v>
      </c>
      <c r="B360" t="s">
        <v>15</v>
      </c>
      <c r="C360">
        <v>31</v>
      </c>
      <c r="D360">
        <v>100</v>
      </c>
      <c r="E360">
        <v>25600</v>
      </c>
      <c r="F360" t="str">
        <f t="shared" si="5"/>
        <v>text256_blurkernel7_31_100_25600</v>
      </c>
      <c r="G360">
        <v>2.8441329999999998</v>
      </c>
      <c r="H360">
        <v>54.520733999999997</v>
      </c>
      <c r="I360">
        <v>2.5413499999999999E-3</v>
      </c>
      <c r="J360">
        <v>1.6286999999999998E-5</v>
      </c>
      <c r="K360">
        <v>13.701599999999999</v>
      </c>
      <c r="L360">
        <v>0.78390000000000004</v>
      </c>
      <c r="M360">
        <v>0</v>
      </c>
      <c r="N360">
        <v>16.387599999999999</v>
      </c>
      <c r="O360">
        <v>0</v>
      </c>
    </row>
    <row r="361" spans="1:15" x14ac:dyDescent="0.25">
      <c r="A361" t="s">
        <v>20</v>
      </c>
      <c r="B361" t="s">
        <v>15</v>
      </c>
      <c r="C361">
        <v>31</v>
      </c>
      <c r="D361">
        <v>100</v>
      </c>
      <c r="E361">
        <v>102400</v>
      </c>
      <c r="F361" t="str">
        <f t="shared" si="5"/>
        <v>text256_blurkernel7_31_100_102400</v>
      </c>
      <c r="G361">
        <v>2.2778990000000001</v>
      </c>
      <c r="H361">
        <v>54.714168000000001</v>
      </c>
      <c r="I361">
        <v>1.3322601999999999E-2</v>
      </c>
      <c r="J361">
        <v>1.6045E-5</v>
      </c>
      <c r="K361">
        <v>6.7450000000000001</v>
      </c>
      <c r="L361">
        <v>0.78359999999999996</v>
      </c>
      <c r="M361">
        <v>0</v>
      </c>
      <c r="N361">
        <v>11.744</v>
      </c>
      <c r="O361">
        <v>0</v>
      </c>
    </row>
    <row r="362" spans="1:15" x14ac:dyDescent="0.25">
      <c r="A362" t="s">
        <v>20</v>
      </c>
      <c r="B362" t="s">
        <v>16</v>
      </c>
      <c r="C362">
        <v>3</v>
      </c>
      <c r="D362">
        <v>100</v>
      </c>
      <c r="E362">
        <v>200</v>
      </c>
      <c r="F362" t="str">
        <f t="shared" si="5"/>
        <v>text256_blurkernel8_3_100_200</v>
      </c>
      <c r="G362">
        <v>31.907063999999998</v>
      </c>
      <c r="H362">
        <v>7.2930929999999998</v>
      </c>
      <c r="I362">
        <v>1.6492000000000001E-5</v>
      </c>
      <c r="J362">
        <v>9.679E-6</v>
      </c>
      <c r="K362">
        <v>35.725000000000001</v>
      </c>
      <c r="L362">
        <v>8.6287000000000003</v>
      </c>
      <c r="M362">
        <v>0</v>
      </c>
      <c r="N362">
        <v>37.277700000000003</v>
      </c>
      <c r="O362">
        <v>0</v>
      </c>
    </row>
    <row r="363" spans="1:15" x14ac:dyDescent="0.25">
      <c r="A363" t="s">
        <v>20</v>
      </c>
      <c r="B363" t="s">
        <v>16</v>
      </c>
      <c r="C363">
        <v>3</v>
      </c>
      <c r="D363">
        <v>100</v>
      </c>
      <c r="E363">
        <v>400</v>
      </c>
      <c r="F363" t="str">
        <f t="shared" si="5"/>
        <v>text256_blurkernel8_3_100_400</v>
      </c>
      <c r="G363">
        <v>24.988125</v>
      </c>
      <c r="H363">
        <v>6.5314629999999996</v>
      </c>
      <c r="I363">
        <v>3.4785E-5</v>
      </c>
      <c r="J363">
        <v>9.679E-6</v>
      </c>
      <c r="K363">
        <v>32.475099999999998</v>
      </c>
      <c r="L363">
        <v>8.6287000000000003</v>
      </c>
      <c r="M363">
        <v>0</v>
      </c>
      <c r="N363">
        <v>34.991100000000003</v>
      </c>
      <c r="O363">
        <v>0</v>
      </c>
    </row>
    <row r="364" spans="1:15" x14ac:dyDescent="0.25">
      <c r="A364" t="s">
        <v>20</v>
      </c>
      <c r="B364" t="s">
        <v>16</v>
      </c>
      <c r="C364">
        <v>3</v>
      </c>
      <c r="D364">
        <v>100</v>
      </c>
      <c r="E364">
        <v>800</v>
      </c>
      <c r="F364" t="str">
        <f t="shared" si="5"/>
        <v>text256_blurkernel8_3_100_800</v>
      </c>
      <c r="G364">
        <v>21.067181999999999</v>
      </c>
      <c r="H364">
        <v>6.1474929999999999</v>
      </c>
      <c r="I364">
        <v>7.1123000000000003E-5</v>
      </c>
      <c r="J364">
        <v>9.679E-6</v>
      </c>
      <c r="K364">
        <v>29.361000000000001</v>
      </c>
      <c r="L364">
        <v>8.6287000000000003</v>
      </c>
      <c r="M364">
        <v>0</v>
      </c>
      <c r="N364">
        <v>33.164499999999997</v>
      </c>
      <c r="O364">
        <v>0</v>
      </c>
    </row>
    <row r="365" spans="1:15" x14ac:dyDescent="0.25">
      <c r="A365" t="s">
        <v>20</v>
      </c>
      <c r="B365" t="s">
        <v>16</v>
      </c>
      <c r="C365">
        <v>3</v>
      </c>
      <c r="D365">
        <v>100</v>
      </c>
      <c r="E365">
        <v>1600</v>
      </c>
      <c r="F365" t="str">
        <f t="shared" si="5"/>
        <v>text256_blurkernel8_3_100_1600</v>
      </c>
      <c r="G365">
        <v>18.884692000000001</v>
      </c>
      <c r="H365">
        <v>5.9534880000000001</v>
      </c>
      <c r="I365">
        <v>1.4390099999999999E-4</v>
      </c>
      <c r="J365">
        <v>9.679E-6</v>
      </c>
      <c r="K365">
        <v>26.277699999999999</v>
      </c>
      <c r="L365">
        <v>8.6287000000000003</v>
      </c>
      <c r="M365">
        <v>0</v>
      </c>
      <c r="N365">
        <v>31.718699999999998</v>
      </c>
      <c r="O365">
        <v>0</v>
      </c>
    </row>
    <row r="366" spans="1:15" x14ac:dyDescent="0.25">
      <c r="A366" t="s">
        <v>20</v>
      </c>
      <c r="B366" t="s">
        <v>16</v>
      </c>
      <c r="C366">
        <v>3</v>
      </c>
      <c r="D366">
        <v>100</v>
      </c>
      <c r="E366">
        <v>3200</v>
      </c>
      <c r="F366" t="str">
        <f t="shared" si="5"/>
        <v>text256_blurkernel8_3_100_3200</v>
      </c>
      <c r="G366">
        <v>17.724284000000001</v>
      </c>
      <c r="H366">
        <v>5.8578169999999998</v>
      </c>
      <c r="I366">
        <v>2.8787300000000001E-4</v>
      </c>
      <c r="J366">
        <v>9.679E-6</v>
      </c>
      <c r="K366">
        <v>23.238600000000002</v>
      </c>
      <c r="L366">
        <v>8.6287000000000003</v>
      </c>
      <c r="M366">
        <v>0</v>
      </c>
      <c r="N366">
        <v>29.501999999999999</v>
      </c>
      <c r="O366">
        <v>0</v>
      </c>
    </row>
    <row r="367" spans="1:15" x14ac:dyDescent="0.25">
      <c r="A367" t="s">
        <v>20</v>
      </c>
      <c r="B367" t="s">
        <v>16</v>
      </c>
      <c r="C367">
        <v>3</v>
      </c>
      <c r="D367">
        <v>100</v>
      </c>
      <c r="E367">
        <v>6400</v>
      </c>
      <c r="F367" t="str">
        <f t="shared" si="5"/>
        <v>text256_blurkernel8_3_100_6400</v>
      </c>
      <c r="G367">
        <v>17.084631000000002</v>
      </c>
      <c r="H367">
        <v>5.8136279999999996</v>
      </c>
      <c r="I367">
        <v>5.8754E-4</v>
      </c>
      <c r="J367">
        <v>9.679E-6</v>
      </c>
      <c r="K367">
        <v>20.114599999999999</v>
      </c>
      <c r="L367">
        <v>8.6287000000000003</v>
      </c>
      <c r="M367">
        <v>0</v>
      </c>
      <c r="N367">
        <v>27.576000000000001</v>
      </c>
      <c r="O367">
        <v>0</v>
      </c>
    </row>
    <row r="368" spans="1:15" x14ac:dyDescent="0.25">
      <c r="A368" t="s">
        <v>20</v>
      </c>
      <c r="B368" t="s">
        <v>16</v>
      </c>
      <c r="C368">
        <v>3</v>
      </c>
      <c r="D368">
        <v>100</v>
      </c>
      <c r="E368">
        <v>12800</v>
      </c>
      <c r="F368" t="str">
        <f t="shared" si="5"/>
        <v>text256_blurkernel8_3_100_12800</v>
      </c>
      <c r="G368">
        <v>16.737501999999999</v>
      </c>
      <c r="H368">
        <v>5.7980689999999999</v>
      </c>
      <c r="I368">
        <v>1.212206E-3</v>
      </c>
      <c r="J368">
        <v>9.679E-6</v>
      </c>
      <c r="K368">
        <v>16.9392</v>
      </c>
      <c r="L368">
        <v>8.6287000000000003</v>
      </c>
      <c r="M368">
        <v>0</v>
      </c>
      <c r="N368">
        <v>25.127800000000001</v>
      </c>
      <c r="O368">
        <v>0</v>
      </c>
    </row>
    <row r="369" spans="1:15" x14ac:dyDescent="0.25">
      <c r="A369" t="s">
        <v>20</v>
      </c>
      <c r="B369" t="s">
        <v>16</v>
      </c>
      <c r="C369">
        <v>3</v>
      </c>
      <c r="D369">
        <v>100</v>
      </c>
      <c r="E369">
        <v>25600</v>
      </c>
      <c r="F369" t="str">
        <f t="shared" si="5"/>
        <v>text256_blurkernel8_3_100_25600</v>
      </c>
      <c r="G369">
        <v>16.416729</v>
      </c>
      <c r="H369">
        <v>5.8138920000000001</v>
      </c>
      <c r="I369">
        <v>2.5473219999999999E-3</v>
      </c>
      <c r="J369">
        <v>9.679E-6</v>
      </c>
      <c r="K369">
        <v>13.6905</v>
      </c>
      <c r="L369">
        <v>8.6287000000000003</v>
      </c>
      <c r="M369">
        <v>0</v>
      </c>
      <c r="N369">
        <v>22.772500000000001</v>
      </c>
      <c r="O369">
        <v>0</v>
      </c>
    </row>
    <row r="370" spans="1:15" x14ac:dyDescent="0.25">
      <c r="A370" t="s">
        <v>20</v>
      </c>
      <c r="B370" t="s">
        <v>16</v>
      </c>
      <c r="C370">
        <v>3</v>
      </c>
      <c r="D370">
        <v>100</v>
      </c>
      <c r="E370">
        <v>102400</v>
      </c>
      <c r="F370" t="str">
        <f t="shared" si="5"/>
        <v>text256_blurkernel8_3_100_102400</v>
      </c>
      <c r="G370">
        <v>15.428974999999999</v>
      </c>
      <c r="H370">
        <v>5.882803</v>
      </c>
      <c r="I370">
        <v>1.3642668E-2</v>
      </c>
      <c r="J370">
        <v>9.8220000000000002E-6</v>
      </c>
      <c r="K370">
        <v>6.6523000000000003</v>
      </c>
      <c r="L370">
        <v>8.6303999999999998</v>
      </c>
      <c r="M370">
        <v>0</v>
      </c>
      <c r="N370">
        <v>23.9041</v>
      </c>
      <c r="O370">
        <v>0</v>
      </c>
    </row>
    <row r="371" spans="1:15" x14ac:dyDescent="0.25">
      <c r="A371" t="s">
        <v>20</v>
      </c>
      <c r="B371" t="s">
        <v>16</v>
      </c>
      <c r="C371">
        <v>7</v>
      </c>
      <c r="D371">
        <v>100</v>
      </c>
      <c r="E371">
        <v>200</v>
      </c>
      <c r="F371" t="str">
        <f t="shared" si="5"/>
        <v>text256_blurkernel8_7_100_200</v>
      </c>
      <c r="G371">
        <v>28.369130999999999</v>
      </c>
      <c r="H371">
        <v>18.065351</v>
      </c>
      <c r="I371">
        <v>1.6908000000000001E-5</v>
      </c>
      <c r="J371">
        <v>1.1783000000000001E-5</v>
      </c>
      <c r="K371">
        <v>35.618400000000001</v>
      </c>
      <c r="L371">
        <v>2.7490999999999999</v>
      </c>
      <c r="M371">
        <v>0</v>
      </c>
      <c r="N371">
        <v>35.822200000000002</v>
      </c>
      <c r="O371">
        <v>0</v>
      </c>
    </row>
    <row r="372" spans="1:15" x14ac:dyDescent="0.25">
      <c r="A372" t="s">
        <v>20</v>
      </c>
      <c r="B372" t="s">
        <v>16</v>
      </c>
      <c r="C372">
        <v>7</v>
      </c>
      <c r="D372">
        <v>100</v>
      </c>
      <c r="E372">
        <v>400</v>
      </c>
      <c r="F372" t="str">
        <f t="shared" si="5"/>
        <v>text256_blurkernel8_7_100_400</v>
      </c>
      <c r="G372">
        <v>20.614218999999999</v>
      </c>
      <c r="H372">
        <v>15.981903000000001</v>
      </c>
      <c r="I372">
        <v>3.4863999999999997E-5</v>
      </c>
      <c r="J372">
        <v>1.1783000000000001E-5</v>
      </c>
      <c r="K372">
        <v>32.473999999999997</v>
      </c>
      <c r="L372">
        <v>2.7490999999999999</v>
      </c>
      <c r="M372">
        <v>0</v>
      </c>
      <c r="N372">
        <v>33.0625</v>
      </c>
      <c r="O372">
        <v>0</v>
      </c>
    </row>
    <row r="373" spans="1:15" x14ac:dyDescent="0.25">
      <c r="A373" t="s">
        <v>20</v>
      </c>
      <c r="B373" t="s">
        <v>16</v>
      </c>
      <c r="C373">
        <v>7</v>
      </c>
      <c r="D373">
        <v>100</v>
      </c>
      <c r="E373">
        <v>800</v>
      </c>
      <c r="F373" t="str">
        <f t="shared" si="5"/>
        <v>text256_blurkernel8_7_100_800</v>
      </c>
      <c r="G373">
        <v>15.603534</v>
      </c>
      <c r="H373">
        <v>14.885861999999999</v>
      </c>
      <c r="I373">
        <v>7.0748999999999996E-5</v>
      </c>
      <c r="J373">
        <v>1.1783000000000001E-5</v>
      </c>
      <c r="K373">
        <v>29.380199999999999</v>
      </c>
      <c r="L373">
        <v>2.7490999999999999</v>
      </c>
      <c r="M373">
        <v>0</v>
      </c>
      <c r="N373">
        <v>30.578900000000001</v>
      </c>
      <c r="O373">
        <v>0</v>
      </c>
    </row>
    <row r="374" spans="1:15" x14ac:dyDescent="0.25">
      <c r="A374" t="s">
        <v>20</v>
      </c>
      <c r="B374" t="s">
        <v>16</v>
      </c>
      <c r="C374">
        <v>7</v>
      </c>
      <c r="D374">
        <v>100</v>
      </c>
      <c r="E374">
        <v>1600</v>
      </c>
      <c r="F374" t="str">
        <f t="shared" si="5"/>
        <v>text256_blurkernel8_7_100_1600</v>
      </c>
      <c r="G374">
        <v>12.444696</v>
      </c>
      <c r="H374">
        <v>14.323130000000001</v>
      </c>
      <c r="I374">
        <v>1.4208499999999999E-4</v>
      </c>
      <c r="J374">
        <v>1.1783000000000001E-5</v>
      </c>
      <c r="K374">
        <v>26.334</v>
      </c>
      <c r="L374">
        <v>2.7490999999999999</v>
      </c>
      <c r="M374">
        <v>0</v>
      </c>
      <c r="N374">
        <v>28.442499999999999</v>
      </c>
      <c r="O374">
        <v>0</v>
      </c>
    </row>
    <row r="375" spans="1:15" x14ac:dyDescent="0.25">
      <c r="A375" t="s">
        <v>20</v>
      </c>
      <c r="B375" t="s">
        <v>16</v>
      </c>
      <c r="C375">
        <v>7</v>
      </c>
      <c r="D375">
        <v>100</v>
      </c>
      <c r="E375">
        <v>3200</v>
      </c>
      <c r="F375" t="str">
        <f t="shared" si="5"/>
        <v>text256_blurkernel8_7_100_3200</v>
      </c>
      <c r="G375">
        <v>10.518046999999999</v>
      </c>
      <c r="H375">
        <v>14.036918</v>
      </c>
      <c r="I375">
        <v>2.8552200000000002E-4</v>
      </c>
      <c r="J375">
        <v>1.1783000000000001E-5</v>
      </c>
      <c r="K375">
        <v>23.2851</v>
      </c>
      <c r="L375">
        <v>2.7490999999999999</v>
      </c>
      <c r="M375">
        <v>0</v>
      </c>
      <c r="N375">
        <v>26.395600000000002</v>
      </c>
      <c r="O375">
        <v>0</v>
      </c>
    </row>
    <row r="376" spans="1:15" x14ac:dyDescent="0.25">
      <c r="A376" t="s">
        <v>20</v>
      </c>
      <c r="B376" t="s">
        <v>16</v>
      </c>
      <c r="C376">
        <v>7</v>
      </c>
      <c r="D376">
        <v>100</v>
      </c>
      <c r="E376">
        <v>6400</v>
      </c>
      <c r="F376" t="str">
        <f t="shared" si="5"/>
        <v>text256_blurkernel8_7_100_6400</v>
      </c>
      <c r="G376">
        <v>9.3620669999999997</v>
      </c>
      <c r="H376">
        <v>13.893558000000001</v>
      </c>
      <c r="I376">
        <v>5.9235600000000005E-4</v>
      </c>
      <c r="J376">
        <v>1.1783000000000001E-5</v>
      </c>
      <c r="K376">
        <v>20.0824</v>
      </c>
      <c r="L376">
        <v>2.7490999999999999</v>
      </c>
      <c r="M376">
        <v>0</v>
      </c>
      <c r="N376">
        <v>24.450900000000001</v>
      </c>
      <c r="O376">
        <v>0</v>
      </c>
    </row>
    <row r="377" spans="1:15" x14ac:dyDescent="0.25">
      <c r="A377" t="s">
        <v>20</v>
      </c>
      <c r="B377" t="s">
        <v>16</v>
      </c>
      <c r="C377">
        <v>7</v>
      </c>
      <c r="D377">
        <v>100</v>
      </c>
      <c r="E377">
        <v>12800</v>
      </c>
      <c r="F377" t="str">
        <f t="shared" si="5"/>
        <v>text256_blurkernel8_7_100_12800</v>
      </c>
      <c r="G377">
        <v>8.7191329999999994</v>
      </c>
      <c r="H377">
        <v>13.835219</v>
      </c>
      <c r="I377">
        <v>1.2200030000000001E-3</v>
      </c>
      <c r="J377">
        <v>1.1783000000000001E-5</v>
      </c>
      <c r="K377">
        <v>16.9114</v>
      </c>
      <c r="L377">
        <v>2.7490999999999999</v>
      </c>
      <c r="M377">
        <v>0</v>
      </c>
      <c r="N377">
        <v>21.9695</v>
      </c>
      <c r="O377">
        <v>0</v>
      </c>
    </row>
    <row r="378" spans="1:15" x14ac:dyDescent="0.25">
      <c r="A378" t="s">
        <v>20</v>
      </c>
      <c r="B378" t="s">
        <v>16</v>
      </c>
      <c r="C378">
        <v>7</v>
      </c>
      <c r="D378">
        <v>100</v>
      </c>
      <c r="E378">
        <v>25600</v>
      </c>
      <c r="F378" t="str">
        <f t="shared" si="5"/>
        <v>text256_blurkernel8_7_100_25600</v>
      </c>
      <c r="G378">
        <v>8.3399239999999999</v>
      </c>
      <c r="H378">
        <v>13.819267</v>
      </c>
      <c r="I378">
        <v>2.5629239999999998E-3</v>
      </c>
      <c r="J378">
        <v>1.1783000000000001E-5</v>
      </c>
      <c r="K378">
        <v>13.664199999999999</v>
      </c>
      <c r="L378">
        <v>2.7490999999999999</v>
      </c>
      <c r="M378">
        <v>0</v>
      </c>
      <c r="N378">
        <v>19.665900000000001</v>
      </c>
      <c r="O378">
        <v>0</v>
      </c>
    </row>
    <row r="379" spans="1:15" x14ac:dyDescent="0.25">
      <c r="A379" t="s">
        <v>20</v>
      </c>
      <c r="B379" t="s">
        <v>16</v>
      </c>
      <c r="C379">
        <v>7</v>
      </c>
      <c r="D379">
        <v>100</v>
      </c>
      <c r="E379">
        <v>102400</v>
      </c>
      <c r="F379" t="str">
        <f t="shared" si="5"/>
        <v>text256_blurkernel8_7_100_102400</v>
      </c>
      <c r="G379">
        <v>7.8159939999999999</v>
      </c>
      <c r="H379">
        <v>13.830387</v>
      </c>
      <c r="I379">
        <v>1.3697229999999999E-2</v>
      </c>
      <c r="J379">
        <v>1.1847E-5</v>
      </c>
      <c r="K379">
        <v>6.6264000000000003</v>
      </c>
      <c r="L379">
        <v>2.7492000000000001</v>
      </c>
      <c r="M379">
        <v>0</v>
      </c>
      <c r="N379">
        <v>14.692299999999999</v>
      </c>
      <c r="O379">
        <v>0</v>
      </c>
    </row>
    <row r="380" spans="1:15" x14ac:dyDescent="0.25">
      <c r="A380" t="s">
        <v>20</v>
      </c>
      <c r="B380" t="s">
        <v>16</v>
      </c>
      <c r="C380">
        <v>15</v>
      </c>
      <c r="D380">
        <v>100</v>
      </c>
      <c r="E380">
        <v>200</v>
      </c>
      <c r="F380" t="str">
        <f t="shared" si="5"/>
        <v>text256_blurkernel8_15_100_200</v>
      </c>
      <c r="G380">
        <v>27.878312999999999</v>
      </c>
      <c r="H380">
        <v>38.308503000000002</v>
      </c>
      <c r="I380">
        <v>1.6558999999999998E-5</v>
      </c>
      <c r="J380">
        <v>1.4173E-5</v>
      </c>
      <c r="K380">
        <v>35.706600000000002</v>
      </c>
      <c r="L380">
        <v>1.6826000000000001</v>
      </c>
      <c r="M380">
        <v>0</v>
      </c>
      <c r="N380">
        <v>35.950899999999997</v>
      </c>
      <c r="O380">
        <v>0</v>
      </c>
    </row>
    <row r="381" spans="1:15" x14ac:dyDescent="0.25">
      <c r="A381" t="s">
        <v>20</v>
      </c>
      <c r="B381" t="s">
        <v>16</v>
      </c>
      <c r="C381">
        <v>15</v>
      </c>
      <c r="D381">
        <v>100</v>
      </c>
      <c r="E381">
        <v>400</v>
      </c>
      <c r="F381" t="str">
        <f t="shared" si="5"/>
        <v>text256_blurkernel8_15_100_400</v>
      </c>
      <c r="G381">
        <v>19.679722999999999</v>
      </c>
      <c r="H381">
        <v>33.325730999999998</v>
      </c>
      <c r="I381">
        <v>3.4202000000000002E-5</v>
      </c>
      <c r="J381">
        <v>1.4124999999999999E-5</v>
      </c>
      <c r="K381">
        <v>32.551200000000001</v>
      </c>
      <c r="L381">
        <v>1.6812</v>
      </c>
      <c r="M381">
        <v>0</v>
      </c>
      <c r="N381">
        <v>32.974200000000003</v>
      </c>
      <c r="O381">
        <v>0</v>
      </c>
    </row>
    <row r="382" spans="1:15" x14ac:dyDescent="0.25">
      <c r="A382" t="s">
        <v>20</v>
      </c>
      <c r="B382" t="s">
        <v>16</v>
      </c>
      <c r="C382">
        <v>15</v>
      </c>
      <c r="D382">
        <v>100</v>
      </c>
      <c r="E382">
        <v>800</v>
      </c>
      <c r="F382" t="str">
        <f t="shared" si="5"/>
        <v>text256_blurkernel8_15_100_800</v>
      </c>
      <c r="G382">
        <v>14.086884</v>
      </c>
      <c r="H382">
        <v>30.568629999999999</v>
      </c>
      <c r="I382">
        <v>7.0575999999999996E-5</v>
      </c>
      <c r="J382">
        <v>1.4173E-5</v>
      </c>
      <c r="K382">
        <v>29.385999999999999</v>
      </c>
      <c r="L382">
        <v>1.6826000000000001</v>
      </c>
      <c r="M382">
        <v>0</v>
      </c>
      <c r="N382">
        <v>30.159300000000002</v>
      </c>
      <c r="O382">
        <v>0</v>
      </c>
    </row>
    <row r="383" spans="1:15" x14ac:dyDescent="0.25">
      <c r="A383" t="s">
        <v>20</v>
      </c>
      <c r="B383" t="s">
        <v>16</v>
      </c>
      <c r="C383">
        <v>15</v>
      </c>
      <c r="D383">
        <v>100</v>
      </c>
      <c r="E383">
        <v>1600</v>
      </c>
      <c r="F383" t="str">
        <f t="shared" si="5"/>
        <v>text256_blurkernel8_15_100_1600</v>
      </c>
      <c r="G383">
        <v>10.394702000000001</v>
      </c>
      <c r="H383">
        <v>29.221384</v>
      </c>
      <c r="I383">
        <v>1.4395099999999999E-4</v>
      </c>
      <c r="J383">
        <v>1.4124999999999999E-5</v>
      </c>
      <c r="K383">
        <v>26.2745</v>
      </c>
      <c r="L383">
        <v>1.6812</v>
      </c>
      <c r="M383">
        <v>0</v>
      </c>
      <c r="N383">
        <v>27.549499999999998</v>
      </c>
      <c r="O383">
        <v>0</v>
      </c>
    </row>
    <row r="384" spans="1:15" x14ac:dyDescent="0.25">
      <c r="A384" t="s">
        <v>20</v>
      </c>
      <c r="B384" t="s">
        <v>16</v>
      </c>
      <c r="C384">
        <v>15</v>
      </c>
      <c r="D384">
        <v>100</v>
      </c>
      <c r="E384">
        <v>3200</v>
      </c>
      <c r="F384" t="str">
        <f t="shared" si="5"/>
        <v>text256_blurkernel8_15_100_3200</v>
      </c>
      <c r="G384">
        <v>8.0231630000000003</v>
      </c>
      <c r="H384">
        <v>28.485514999999999</v>
      </c>
      <c r="I384">
        <v>2.8818499999999999E-4</v>
      </c>
      <c r="J384">
        <v>1.4173E-5</v>
      </c>
      <c r="K384">
        <v>23.232900000000001</v>
      </c>
      <c r="L384">
        <v>1.6826000000000001</v>
      </c>
      <c r="M384">
        <v>0</v>
      </c>
      <c r="N384">
        <v>25.215299999999999</v>
      </c>
      <c r="O384">
        <v>0</v>
      </c>
    </row>
    <row r="385" spans="1:15" x14ac:dyDescent="0.25">
      <c r="A385" t="s">
        <v>20</v>
      </c>
      <c r="B385" t="s">
        <v>16</v>
      </c>
      <c r="C385">
        <v>15</v>
      </c>
      <c r="D385">
        <v>100</v>
      </c>
      <c r="E385">
        <v>6400</v>
      </c>
      <c r="F385" t="str">
        <f t="shared" si="5"/>
        <v>text256_blurkernel8_15_100_6400</v>
      </c>
      <c r="G385">
        <v>6.5085490000000004</v>
      </c>
      <c r="H385">
        <v>28.175173000000001</v>
      </c>
      <c r="I385">
        <v>5.8628900000000004E-4</v>
      </c>
      <c r="J385">
        <v>1.4124999999999999E-5</v>
      </c>
      <c r="K385">
        <v>20.123999999999999</v>
      </c>
      <c r="L385">
        <v>1.6812</v>
      </c>
      <c r="M385">
        <v>0</v>
      </c>
      <c r="N385">
        <v>23.036100000000001</v>
      </c>
      <c r="O385">
        <v>0</v>
      </c>
    </row>
    <row r="386" spans="1:15" x14ac:dyDescent="0.25">
      <c r="A386" t="s">
        <v>20</v>
      </c>
      <c r="B386" t="s">
        <v>16</v>
      </c>
      <c r="C386">
        <v>15</v>
      </c>
      <c r="D386">
        <v>100</v>
      </c>
      <c r="E386">
        <v>12800</v>
      </c>
      <c r="F386" t="str">
        <f t="shared" ref="F386:F449" si="6">A386&amp;"_"&amp;B386&amp;"_"&amp;C386&amp;"_"&amp;D386&amp;"_"&amp;E386</f>
        <v>text256_blurkernel8_15_100_12800</v>
      </c>
      <c r="G386">
        <v>5.5812790000000003</v>
      </c>
      <c r="H386">
        <v>27.957149000000001</v>
      </c>
      <c r="I386">
        <v>1.2067270000000001E-3</v>
      </c>
      <c r="J386">
        <v>1.4173E-5</v>
      </c>
      <c r="K386">
        <v>16.958200000000001</v>
      </c>
      <c r="L386">
        <v>1.6826000000000001</v>
      </c>
      <c r="M386">
        <v>0</v>
      </c>
      <c r="N386">
        <v>21.031300000000002</v>
      </c>
      <c r="O386">
        <v>0</v>
      </c>
    </row>
    <row r="387" spans="1:15" x14ac:dyDescent="0.25">
      <c r="A387" t="s">
        <v>20</v>
      </c>
      <c r="B387" t="s">
        <v>16</v>
      </c>
      <c r="C387">
        <v>15</v>
      </c>
      <c r="D387">
        <v>100</v>
      </c>
      <c r="E387">
        <v>25600</v>
      </c>
      <c r="F387" t="str">
        <f t="shared" si="6"/>
        <v>text256_blurkernel8_15_100_25600</v>
      </c>
      <c r="G387">
        <v>5.0587039999999996</v>
      </c>
      <c r="H387">
        <v>27.924244999999999</v>
      </c>
      <c r="I387">
        <v>2.5552309999999998E-3</v>
      </c>
      <c r="J387">
        <v>1.4124999999999999E-5</v>
      </c>
      <c r="K387">
        <v>13.6778</v>
      </c>
      <c r="L387">
        <v>1.6812</v>
      </c>
      <c r="M387">
        <v>0</v>
      </c>
      <c r="N387">
        <v>19.059799999999999</v>
      </c>
      <c r="O387">
        <v>0</v>
      </c>
    </row>
    <row r="388" spans="1:15" x14ac:dyDescent="0.25">
      <c r="A388" t="s">
        <v>20</v>
      </c>
      <c r="B388" t="s">
        <v>16</v>
      </c>
      <c r="C388">
        <v>15</v>
      </c>
      <c r="D388">
        <v>100</v>
      </c>
      <c r="E388">
        <v>102400</v>
      </c>
      <c r="F388" t="str">
        <f t="shared" si="6"/>
        <v>text256_blurkernel8_15_100_102400</v>
      </c>
      <c r="G388">
        <v>4.5109839999999997</v>
      </c>
      <c r="H388">
        <v>27.972884000000001</v>
      </c>
      <c r="I388">
        <v>1.3303987999999999E-2</v>
      </c>
      <c r="J388">
        <v>1.4070000000000001E-5</v>
      </c>
      <c r="K388">
        <v>6.7599</v>
      </c>
      <c r="L388">
        <v>1.6813</v>
      </c>
      <c r="M388">
        <v>0</v>
      </c>
      <c r="N388">
        <v>14.5532</v>
      </c>
      <c r="O388">
        <v>0</v>
      </c>
    </row>
    <row r="389" spans="1:15" x14ac:dyDescent="0.25">
      <c r="A389" t="s">
        <v>20</v>
      </c>
      <c r="B389" t="s">
        <v>16</v>
      </c>
      <c r="C389">
        <v>31</v>
      </c>
      <c r="D389">
        <v>100</v>
      </c>
      <c r="E389">
        <v>200</v>
      </c>
      <c r="F389" t="str">
        <f t="shared" si="6"/>
        <v>text256_blurkernel8_31_100_200</v>
      </c>
      <c r="G389">
        <v>27.615354</v>
      </c>
      <c r="H389">
        <v>77.569580000000002</v>
      </c>
      <c r="I389">
        <v>1.6637999999999999E-5</v>
      </c>
      <c r="J389">
        <v>1.6053E-5</v>
      </c>
      <c r="K389">
        <v>35.683100000000003</v>
      </c>
      <c r="L389">
        <v>0.86629999999999996</v>
      </c>
      <c r="M389">
        <v>0</v>
      </c>
      <c r="N389">
        <v>35.863799999999998</v>
      </c>
      <c r="O389">
        <v>0</v>
      </c>
    </row>
    <row r="390" spans="1:15" x14ac:dyDescent="0.25">
      <c r="A390" t="s">
        <v>20</v>
      </c>
      <c r="B390" t="s">
        <v>16</v>
      </c>
      <c r="C390">
        <v>31</v>
      </c>
      <c r="D390">
        <v>100</v>
      </c>
      <c r="E390">
        <v>400</v>
      </c>
      <c r="F390" t="str">
        <f t="shared" si="6"/>
        <v>text256_blurkernel8_31_100_400</v>
      </c>
      <c r="G390">
        <v>19.211904000000001</v>
      </c>
      <c r="H390">
        <v>66.651077000000001</v>
      </c>
      <c r="I390">
        <v>3.4730999999999997E-5</v>
      </c>
      <c r="J390">
        <v>1.5982E-5</v>
      </c>
      <c r="K390">
        <v>32.481999999999999</v>
      </c>
      <c r="L390">
        <v>0.86570000000000003</v>
      </c>
      <c r="M390">
        <v>0</v>
      </c>
      <c r="N390">
        <v>32.735799999999998</v>
      </c>
      <c r="O390">
        <v>0</v>
      </c>
    </row>
    <row r="391" spans="1:15" x14ac:dyDescent="0.25">
      <c r="A391" t="s">
        <v>20</v>
      </c>
      <c r="B391" t="s">
        <v>16</v>
      </c>
      <c r="C391">
        <v>31</v>
      </c>
      <c r="D391">
        <v>100</v>
      </c>
      <c r="E391">
        <v>800</v>
      </c>
      <c r="F391" t="str">
        <f t="shared" si="6"/>
        <v>text256_blurkernel8_31_100_800</v>
      </c>
      <c r="G391">
        <v>13.615709000000001</v>
      </c>
      <c r="H391">
        <v>60.735666000000002</v>
      </c>
      <c r="I391">
        <v>7.0506000000000006E-5</v>
      </c>
      <c r="J391">
        <v>1.6053E-5</v>
      </c>
      <c r="K391">
        <v>29.395600000000002</v>
      </c>
      <c r="L391">
        <v>0.86629999999999996</v>
      </c>
      <c r="M391">
        <v>0</v>
      </c>
      <c r="N391">
        <v>29.7866</v>
      </c>
      <c r="O391">
        <v>0</v>
      </c>
    </row>
    <row r="392" spans="1:15" x14ac:dyDescent="0.25">
      <c r="A392" t="s">
        <v>20</v>
      </c>
      <c r="B392" t="s">
        <v>16</v>
      </c>
      <c r="C392">
        <v>31</v>
      </c>
      <c r="D392">
        <v>100</v>
      </c>
      <c r="E392">
        <v>1600</v>
      </c>
      <c r="F392" t="str">
        <f t="shared" si="6"/>
        <v>text256_blurkernel8_31_100_1600</v>
      </c>
      <c r="G392">
        <v>9.6910670000000003</v>
      </c>
      <c r="H392">
        <v>57.744120000000002</v>
      </c>
      <c r="I392">
        <v>1.4467899999999999E-4</v>
      </c>
      <c r="J392">
        <v>1.5982E-5</v>
      </c>
      <c r="K392">
        <v>26.262899999999998</v>
      </c>
      <c r="L392">
        <v>0.86570000000000003</v>
      </c>
      <c r="M392">
        <v>0</v>
      </c>
      <c r="N392">
        <v>26.952999999999999</v>
      </c>
      <c r="O392">
        <v>0</v>
      </c>
    </row>
    <row r="393" spans="1:15" x14ac:dyDescent="0.25">
      <c r="A393" t="s">
        <v>20</v>
      </c>
      <c r="B393" t="s">
        <v>16</v>
      </c>
      <c r="C393">
        <v>31</v>
      </c>
      <c r="D393">
        <v>100</v>
      </c>
      <c r="E393">
        <v>3200</v>
      </c>
      <c r="F393" t="str">
        <f t="shared" si="6"/>
        <v>text256_blurkernel8_31_100_3200</v>
      </c>
      <c r="G393">
        <v>7.0922260000000001</v>
      </c>
      <c r="H393">
        <v>56.091127999999998</v>
      </c>
      <c r="I393">
        <v>2.8993600000000002E-4</v>
      </c>
      <c r="J393">
        <v>1.6053E-5</v>
      </c>
      <c r="K393">
        <v>23.214300000000001</v>
      </c>
      <c r="L393">
        <v>0.86629999999999996</v>
      </c>
      <c r="M393">
        <v>0</v>
      </c>
      <c r="N393">
        <v>24.2319</v>
      </c>
      <c r="O393">
        <v>0</v>
      </c>
    </row>
    <row r="394" spans="1:15" x14ac:dyDescent="0.25">
      <c r="A394" t="s">
        <v>20</v>
      </c>
      <c r="B394" t="s">
        <v>16</v>
      </c>
      <c r="C394">
        <v>31</v>
      </c>
      <c r="D394">
        <v>100</v>
      </c>
      <c r="E394">
        <v>6400</v>
      </c>
      <c r="F394" t="str">
        <f t="shared" si="6"/>
        <v>text256_blurkernel8_31_100_6400</v>
      </c>
      <c r="G394">
        <v>5.3397709999999998</v>
      </c>
      <c r="H394">
        <v>55.429206999999998</v>
      </c>
      <c r="I394">
        <v>5.8213000000000004E-4</v>
      </c>
      <c r="J394">
        <v>1.5982E-5</v>
      </c>
      <c r="K394">
        <v>20.157599999999999</v>
      </c>
      <c r="L394">
        <v>0.86570000000000003</v>
      </c>
      <c r="M394">
        <v>0</v>
      </c>
      <c r="N394">
        <v>21.669499999999999</v>
      </c>
      <c r="O394">
        <v>0</v>
      </c>
    </row>
    <row r="395" spans="1:15" x14ac:dyDescent="0.25">
      <c r="A395" t="s">
        <v>20</v>
      </c>
      <c r="B395" t="s">
        <v>16</v>
      </c>
      <c r="C395">
        <v>31</v>
      </c>
      <c r="D395">
        <v>100</v>
      </c>
      <c r="E395">
        <v>12800</v>
      </c>
      <c r="F395" t="str">
        <f t="shared" si="6"/>
        <v>text256_blurkernel8_31_100_12800</v>
      </c>
      <c r="G395">
        <v>4.166207</v>
      </c>
      <c r="H395">
        <v>54.903585999999997</v>
      </c>
      <c r="I395">
        <v>1.202758E-3</v>
      </c>
      <c r="J395">
        <v>1.6053E-5</v>
      </c>
      <c r="K395">
        <v>16.9739</v>
      </c>
      <c r="L395">
        <v>0.86629999999999996</v>
      </c>
      <c r="M395">
        <v>0</v>
      </c>
      <c r="N395">
        <v>19.107199999999999</v>
      </c>
      <c r="O395">
        <v>0</v>
      </c>
    </row>
    <row r="396" spans="1:15" x14ac:dyDescent="0.25">
      <c r="A396" t="s">
        <v>20</v>
      </c>
      <c r="B396" t="s">
        <v>16</v>
      </c>
      <c r="C396">
        <v>31</v>
      </c>
      <c r="D396">
        <v>100</v>
      </c>
      <c r="E396">
        <v>25600</v>
      </c>
      <c r="F396" t="str">
        <f t="shared" si="6"/>
        <v>text256_blurkernel8_31_100_25600</v>
      </c>
      <c r="G396">
        <v>3.434847</v>
      </c>
      <c r="H396">
        <v>54.828158000000002</v>
      </c>
      <c r="I396">
        <v>2.5638430000000001E-3</v>
      </c>
      <c r="J396">
        <v>1.5982E-5</v>
      </c>
      <c r="K396">
        <v>13.663</v>
      </c>
      <c r="L396">
        <v>0.86570000000000003</v>
      </c>
      <c r="M396">
        <v>0</v>
      </c>
      <c r="N396">
        <v>16.9328</v>
      </c>
      <c r="O396">
        <v>0</v>
      </c>
    </row>
    <row r="397" spans="1:15" x14ac:dyDescent="0.25">
      <c r="A397" t="s">
        <v>20</v>
      </c>
      <c r="B397" t="s">
        <v>16</v>
      </c>
      <c r="C397">
        <v>31</v>
      </c>
      <c r="D397">
        <v>100</v>
      </c>
      <c r="E397">
        <v>102400</v>
      </c>
      <c r="F397" t="str">
        <f t="shared" si="6"/>
        <v>text256_blurkernel8_31_100_102400</v>
      </c>
      <c r="G397">
        <v>2.761317</v>
      </c>
      <c r="H397">
        <v>54.895234000000002</v>
      </c>
      <c r="I397">
        <v>1.3429508999999999E-2</v>
      </c>
      <c r="J397">
        <v>1.5875999999999998E-5</v>
      </c>
      <c r="K397">
        <v>6.7234999999999996</v>
      </c>
      <c r="L397">
        <v>0.86809999999999998</v>
      </c>
      <c r="M397">
        <v>0</v>
      </c>
      <c r="N397">
        <v>12.9018</v>
      </c>
      <c r="O397">
        <v>0</v>
      </c>
    </row>
    <row r="398" spans="1:15" x14ac:dyDescent="0.25">
      <c r="A398" t="s">
        <v>20</v>
      </c>
      <c r="B398" t="s">
        <v>17</v>
      </c>
      <c r="C398">
        <v>3</v>
      </c>
      <c r="D398">
        <v>100</v>
      </c>
      <c r="E398">
        <v>200</v>
      </c>
      <c r="F398" t="str">
        <f t="shared" si="6"/>
        <v>text256_line_3_100_200</v>
      </c>
      <c r="G398">
        <v>34.267941</v>
      </c>
      <c r="H398">
        <v>6.6426590000000001</v>
      </c>
      <c r="I398">
        <v>1.6765E-5</v>
      </c>
      <c r="J398">
        <v>9.4599999999999992E-6</v>
      </c>
      <c r="K398">
        <v>35.658299999999997</v>
      </c>
      <c r="L398">
        <v>5.9833999999999996</v>
      </c>
      <c r="M398">
        <v>0</v>
      </c>
      <c r="N398">
        <v>37.531199999999998</v>
      </c>
      <c r="O398">
        <v>0</v>
      </c>
    </row>
    <row r="399" spans="1:15" x14ac:dyDescent="0.25">
      <c r="A399" t="s">
        <v>20</v>
      </c>
      <c r="B399" t="s">
        <v>17</v>
      </c>
      <c r="C399">
        <v>3</v>
      </c>
      <c r="D399">
        <v>100</v>
      </c>
      <c r="E399">
        <v>400</v>
      </c>
      <c r="F399" t="str">
        <f t="shared" si="6"/>
        <v>text256_line_3_100_400</v>
      </c>
      <c r="G399">
        <v>28.127213000000001</v>
      </c>
      <c r="H399">
        <v>5.976407</v>
      </c>
      <c r="I399">
        <v>3.4857000000000002E-5</v>
      </c>
      <c r="J399">
        <v>9.4599999999999992E-6</v>
      </c>
      <c r="K399">
        <v>32.471400000000003</v>
      </c>
      <c r="L399">
        <v>5.9833999999999996</v>
      </c>
      <c r="M399">
        <v>0</v>
      </c>
      <c r="N399">
        <v>35.377400000000002</v>
      </c>
      <c r="O399">
        <v>0</v>
      </c>
    </row>
    <row r="400" spans="1:15" x14ac:dyDescent="0.25">
      <c r="A400" t="s">
        <v>20</v>
      </c>
      <c r="B400" t="s">
        <v>17</v>
      </c>
      <c r="C400">
        <v>3</v>
      </c>
      <c r="D400">
        <v>100</v>
      </c>
      <c r="E400">
        <v>800</v>
      </c>
      <c r="F400" t="str">
        <f t="shared" si="6"/>
        <v>text256_line_3_100_800</v>
      </c>
      <c r="G400">
        <v>24.628900000000002</v>
      </c>
      <c r="H400">
        <v>5.6364679999999998</v>
      </c>
      <c r="I400">
        <v>7.1958999999999993E-5</v>
      </c>
      <c r="J400">
        <v>9.4599999999999992E-6</v>
      </c>
      <c r="K400">
        <v>29.305199999999999</v>
      </c>
      <c r="L400">
        <v>5.9833999999999996</v>
      </c>
      <c r="M400">
        <v>0</v>
      </c>
      <c r="N400">
        <v>33.491700000000002</v>
      </c>
      <c r="O400">
        <v>0</v>
      </c>
    </row>
    <row r="401" spans="1:15" x14ac:dyDescent="0.25">
      <c r="A401" t="s">
        <v>20</v>
      </c>
      <c r="B401" t="s">
        <v>17</v>
      </c>
      <c r="C401">
        <v>3</v>
      </c>
      <c r="D401">
        <v>100</v>
      </c>
      <c r="E401">
        <v>1600</v>
      </c>
      <c r="F401" t="str">
        <f t="shared" si="6"/>
        <v>text256_line_3_100_1600</v>
      </c>
      <c r="G401">
        <v>22.767244000000002</v>
      </c>
      <c r="H401">
        <v>5.4797890000000002</v>
      </c>
      <c r="I401">
        <v>1.426E-4</v>
      </c>
      <c r="J401">
        <v>9.4599999999999992E-6</v>
      </c>
      <c r="K401">
        <v>26.317799999999998</v>
      </c>
      <c r="L401">
        <v>5.9833999999999996</v>
      </c>
      <c r="M401">
        <v>0</v>
      </c>
      <c r="N401">
        <v>31.947199999999999</v>
      </c>
      <c r="O401">
        <v>0</v>
      </c>
    </row>
    <row r="402" spans="1:15" x14ac:dyDescent="0.25">
      <c r="A402" t="s">
        <v>20</v>
      </c>
      <c r="B402" t="s">
        <v>17</v>
      </c>
      <c r="C402">
        <v>3</v>
      </c>
      <c r="D402">
        <v>100</v>
      </c>
      <c r="E402">
        <v>3200</v>
      </c>
      <c r="F402" t="str">
        <f t="shared" si="6"/>
        <v>text256_line_3_100_3200</v>
      </c>
      <c r="G402">
        <v>21.622858000000001</v>
      </c>
      <c r="H402">
        <v>5.4155449999999998</v>
      </c>
      <c r="I402">
        <v>2.8878999999999998E-4</v>
      </c>
      <c r="J402">
        <v>9.4599999999999992E-6</v>
      </c>
      <c r="K402">
        <v>23.227900000000002</v>
      </c>
      <c r="L402">
        <v>5.9833999999999996</v>
      </c>
      <c r="M402">
        <v>0</v>
      </c>
      <c r="N402">
        <v>30.4681</v>
      </c>
      <c r="O402">
        <v>0</v>
      </c>
    </row>
    <row r="403" spans="1:15" x14ac:dyDescent="0.25">
      <c r="A403" t="s">
        <v>20</v>
      </c>
      <c r="B403" t="s">
        <v>17</v>
      </c>
      <c r="C403">
        <v>3</v>
      </c>
      <c r="D403">
        <v>100</v>
      </c>
      <c r="E403">
        <v>6400</v>
      </c>
      <c r="F403" t="str">
        <f t="shared" si="6"/>
        <v>text256_line_3_100_6400</v>
      </c>
      <c r="G403">
        <v>20.755634000000001</v>
      </c>
      <c r="H403">
        <v>5.4224680000000003</v>
      </c>
      <c r="I403">
        <v>5.8692E-4</v>
      </c>
      <c r="J403">
        <v>9.4599999999999992E-6</v>
      </c>
      <c r="K403">
        <v>20.1175</v>
      </c>
      <c r="L403">
        <v>5.9833999999999996</v>
      </c>
      <c r="M403">
        <v>0</v>
      </c>
      <c r="N403">
        <v>29.1387</v>
      </c>
      <c r="O403">
        <v>0</v>
      </c>
    </row>
    <row r="404" spans="1:15" x14ac:dyDescent="0.25">
      <c r="A404" t="s">
        <v>20</v>
      </c>
      <c r="B404" t="s">
        <v>17</v>
      </c>
      <c r="C404">
        <v>3</v>
      </c>
      <c r="D404">
        <v>100</v>
      </c>
      <c r="E404">
        <v>12800</v>
      </c>
      <c r="F404" t="str">
        <f t="shared" si="6"/>
        <v>text256_line_3_100_12800</v>
      </c>
      <c r="G404">
        <v>19.851521000000002</v>
      </c>
      <c r="H404">
        <v>5.4900260000000003</v>
      </c>
      <c r="I404">
        <v>1.187521E-3</v>
      </c>
      <c r="J404">
        <v>9.4599999999999992E-6</v>
      </c>
      <c r="K404">
        <v>17.028600000000001</v>
      </c>
      <c r="L404">
        <v>5.9833999999999996</v>
      </c>
      <c r="M404">
        <v>0</v>
      </c>
      <c r="N404">
        <v>24.895800000000001</v>
      </c>
      <c r="O404">
        <v>0</v>
      </c>
    </row>
    <row r="405" spans="1:15" x14ac:dyDescent="0.25">
      <c r="A405" t="s">
        <v>20</v>
      </c>
      <c r="B405" t="s">
        <v>17</v>
      </c>
      <c r="C405">
        <v>3</v>
      </c>
      <c r="D405">
        <v>100</v>
      </c>
      <c r="E405">
        <v>25600</v>
      </c>
      <c r="F405" t="str">
        <f t="shared" si="6"/>
        <v>text256_line_3_100_25600</v>
      </c>
      <c r="G405">
        <v>18.695371999999999</v>
      </c>
      <c r="H405">
        <v>5.6156610000000002</v>
      </c>
      <c r="I405">
        <v>2.5639199999999999E-3</v>
      </c>
      <c r="J405">
        <v>9.4599999999999992E-6</v>
      </c>
      <c r="K405">
        <v>13.6623</v>
      </c>
      <c r="L405">
        <v>5.9833999999999996</v>
      </c>
      <c r="M405">
        <v>0</v>
      </c>
      <c r="N405">
        <v>27.071000000000002</v>
      </c>
      <c r="O405">
        <v>0</v>
      </c>
    </row>
    <row r="406" spans="1:15" x14ac:dyDescent="0.25">
      <c r="A406" t="s">
        <v>20</v>
      </c>
      <c r="B406" t="s">
        <v>17</v>
      </c>
      <c r="C406">
        <v>3</v>
      </c>
      <c r="D406">
        <v>100</v>
      </c>
      <c r="E406">
        <v>102400</v>
      </c>
      <c r="F406" t="str">
        <f t="shared" si="6"/>
        <v>text256_line_3_100_102400</v>
      </c>
      <c r="G406">
        <v>16.114398999999999</v>
      </c>
      <c r="H406">
        <v>5.9600249999999999</v>
      </c>
      <c r="I406">
        <v>1.3561208E-2</v>
      </c>
      <c r="J406">
        <v>9.4089999999999992E-6</v>
      </c>
      <c r="K406">
        <v>6.6673</v>
      </c>
      <c r="L406">
        <v>5.9843000000000002</v>
      </c>
      <c r="M406">
        <v>0</v>
      </c>
      <c r="N406">
        <v>23.473400000000002</v>
      </c>
      <c r="O406">
        <v>0</v>
      </c>
    </row>
    <row r="407" spans="1:15" x14ac:dyDescent="0.25">
      <c r="A407" t="s">
        <v>20</v>
      </c>
      <c r="B407" t="s">
        <v>17</v>
      </c>
      <c r="C407">
        <v>7</v>
      </c>
      <c r="D407">
        <v>100</v>
      </c>
      <c r="E407">
        <v>200</v>
      </c>
      <c r="F407" t="str">
        <f t="shared" si="6"/>
        <v>text256_line_7_100_200</v>
      </c>
      <c r="G407">
        <v>29.911836999999998</v>
      </c>
      <c r="H407">
        <v>16.957858000000002</v>
      </c>
      <c r="I407">
        <v>1.6912E-5</v>
      </c>
      <c r="J407">
        <v>1.1404E-5</v>
      </c>
      <c r="K407">
        <v>35.617400000000004</v>
      </c>
      <c r="L407">
        <v>1.8143</v>
      </c>
      <c r="M407">
        <v>0</v>
      </c>
      <c r="N407">
        <v>36.427700000000002</v>
      </c>
      <c r="O407">
        <v>0</v>
      </c>
    </row>
    <row r="408" spans="1:15" x14ac:dyDescent="0.25">
      <c r="A408" t="s">
        <v>20</v>
      </c>
      <c r="B408" t="s">
        <v>17</v>
      </c>
      <c r="C408">
        <v>7</v>
      </c>
      <c r="D408">
        <v>100</v>
      </c>
      <c r="E408">
        <v>400</v>
      </c>
      <c r="F408" t="str">
        <f t="shared" si="6"/>
        <v>text256_line_7_100_400</v>
      </c>
      <c r="G408">
        <v>22.613558000000001</v>
      </c>
      <c r="H408">
        <v>15.026792</v>
      </c>
      <c r="I408">
        <v>3.5185999999999998E-5</v>
      </c>
      <c r="J408">
        <v>1.1404E-5</v>
      </c>
      <c r="K408">
        <v>32.433399999999999</v>
      </c>
      <c r="L408">
        <v>1.8143</v>
      </c>
      <c r="M408">
        <v>0</v>
      </c>
      <c r="N408">
        <v>33.768999999999998</v>
      </c>
      <c r="O408">
        <v>0</v>
      </c>
    </row>
    <row r="409" spans="1:15" x14ac:dyDescent="0.25">
      <c r="A409" t="s">
        <v>20</v>
      </c>
      <c r="B409" t="s">
        <v>17</v>
      </c>
      <c r="C409">
        <v>7</v>
      </c>
      <c r="D409">
        <v>100</v>
      </c>
      <c r="E409">
        <v>800</v>
      </c>
      <c r="F409" t="str">
        <f t="shared" si="6"/>
        <v>text256_line_7_100_800</v>
      </c>
      <c r="G409">
        <v>18.192177000000001</v>
      </c>
      <c r="H409">
        <v>14.033224000000001</v>
      </c>
      <c r="I409">
        <v>7.1459999999999997E-5</v>
      </c>
      <c r="J409">
        <v>1.1404E-5</v>
      </c>
      <c r="K409">
        <v>29.345500000000001</v>
      </c>
      <c r="L409">
        <v>1.8143</v>
      </c>
      <c r="M409">
        <v>0</v>
      </c>
      <c r="N409">
        <v>31.381900000000002</v>
      </c>
      <c r="O409">
        <v>0</v>
      </c>
    </row>
    <row r="410" spans="1:15" x14ac:dyDescent="0.25">
      <c r="A410" t="s">
        <v>20</v>
      </c>
      <c r="B410" t="s">
        <v>17</v>
      </c>
      <c r="C410">
        <v>7</v>
      </c>
      <c r="D410">
        <v>100</v>
      </c>
      <c r="E410">
        <v>1600</v>
      </c>
      <c r="F410" t="str">
        <f t="shared" si="6"/>
        <v>text256_line_7_100_1600</v>
      </c>
      <c r="G410">
        <v>15.498517</v>
      </c>
      <c r="H410">
        <v>13.533534</v>
      </c>
      <c r="I410">
        <v>1.4575699999999999E-4</v>
      </c>
      <c r="J410">
        <v>1.1404E-5</v>
      </c>
      <c r="K410">
        <v>26.218699999999998</v>
      </c>
      <c r="L410">
        <v>1.8143</v>
      </c>
      <c r="M410">
        <v>0</v>
      </c>
      <c r="N410">
        <v>29.121700000000001</v>
      </c>
      <c r="O410">
        <v>0</v>
      </c>
    </row>
    <row r="411" spans="1:15" x14ac:dyDescent="0.25">
      <c r="A411" t="s">
        <v>20</v>
      </c>
      <c r="B411" t="s">
        <v>17</v>
      </c>
      <c r="C411">
        <v>7</v>
      </c>
      <c r="D411">
        <v>100</v>
      </c>
      <c r="E411">
        <v>3200</v>
      </c>
      <c r="F411" t="str">
        <f t="shared" si="6"/>
        <v>text256_line_7_100_3200</v>
      </c>
      <c r="G411">
        <v>13.953996</v>
      </c>
      <c r="H411">
        <v>13.316482000000001</v>
      </c>
      <c r="I411">
        <v>2.8805699999999998E-4</v>
      </c>
      <c r="J411">
        <v>1.1404E-5</v>
      </c>
      <c r="K411">
        <v>23.24</v>
      </c>
      <c r="L411">
        <v>1.8143</v>
      </c>
      <c r="M411">
        <v>0</v>
      </c>
      <c r="N411">
        <v>27.1328</v>
      </c>
      <c r="O411">
        <v>0</v>
      </c>
    </row>
    <row r="412" spans="1:15" x14ac:dyDescent="0.25">
      <c r="A412" t="s">
        <v>20</v>
      </c>
      <c r="B412" t="s">
        <v>17</v>
      </c>
      <c r="C412">
        <v>7</v>
      </c>
      <c r="D412">
        <v>100</v>
      </c>
      <c r="E412">
        <v>6400</v>
      </c>
      <c r="F412" t="str">
        <f t="shared" si="6"/>
        <v>text256_line_7_100_6400</v>
      </c>
      <c r="G412">
        <v>12.904453</v>
      </c>
      <c r="H412">
        <v>13.247246000000001</v>
      </c>
      <c r="I412">
        <v>5.9592800000000002E-4</v>
      </c>
      <c r="J412">
        <v>1.1404E-5</v>
      </c>
      <c r="K412">
        <v>20.0549</v>
      </c>
      <c r="L412">
        <v>1.8143</v>
      </c>
      <c r="M412">
        <v>0</v>
      </c>
      <c r="N412">
        <v>24.356400000000001</v>
      </c>
      <c r="O412">
        <v>0</v>
      </c>
    </row>
    <row r="413" spans="1:15" x14ac:dyDescent="0.25">
      <c r="A413" t="s">
        <v>20</v>
      </c>
      <c r="B413" t="s">
        <v>17</v>
      </c>
      <c r="C413">
        <v>7</v>
      </c>
      <c r="D413">
        <v>100</v>
      </c>
      <c r="E413">
        <v>12800</v>
      </c>
      <c r="F413" t="str">
        <f t="shared" si="6"/>
        <v>text256_line_7_100_12800</v>
      </c>
      <c r="G413">
        <v>12.084921</v>
      </c>
      <c r="H413">
        <v>13.294535</v>
      </c>
      <c r="I413">
        <v>1.207648E-3</v>
      </c>
      <c r="J413">
        <v>1.1404E-5</v>
      </c>
      <c r="K413">
        <v>16.952300000000001</v>
      </c>
      <c r="L413">
        <v>1.8143</v>
      </c>
      <c r="M413">
        <v>0</v>
      </c>
      <c r="N413">
        <v>22.691600000000001</v>
      </c>
      <c r="O413">
        <v>0</v>
      </c>
    </row>
    <row r="414" spans="1:15" x14ac:dyDescent="0.25">
      <c r="A414" t="s">
        <v>20</v>
      </c>
      <c r="B414" t="s">
        <v>17</v>
      </c>
      <c r="C414">
        <v>7</v>
      </c>
      <c r="D414">
        <v>100</v>
      </c>
      <c r="E414">
        <v>25600</v>
      </c>
      <c r="F414" t="str">
        <f t="shared" si="6"/>
        <v>text256_line_7_100_25600</v>
      </c>
      <c r="G414">
        <v>11.095713</v>
      </c>
      <c r="H414">
        <v>13.459903000000001</v>
      </c>
      <c r="I414">
        <v>2.5444669999999999E-3</v>
      </c>
      <c r="J414">
        <v>1.1404E-5</v>
      </c>
      <c r="K414">
        <v>13.695399999999999</v>
      </c>
      <c r="L414">
        <v>1.8143</v>
      </c>
      <c r="M414">
        <v>0</v>
      </c>
      <c r="N414">
        <v>20.023800000000001</v>
      </c>
      <c r="O414">
        <v>0</v>
      </c>
    </row>
    <row r="415" spans="1:15" x14ac:dyDescent="0.25">
      <c r="A415" t="s">
        <v>20</v>
      </c>
      <c r="B415" t="s">
        <v>17</v>
      </c>
      <c r="C415">
        <v>7</v>
      </c>
      <c r="D415">
        <v>100</v>
      </c>
      <c r="E415">
        <v>102400</v>
      </c>
      <c r="F415" t="str">
        <f t="shared" si="6"/>
        <v>text256_line_7_100_102400</v>
      </c>
      <c r="G415">
        <v>9.0899020000000004</v>
      </c>
      <c r="H415">
        <v>13.827712</v>
      </c>
      <c r="I415">
        <v>1.3466185E-2</v>
      </c>
      <c r="J415">
        <v>1.147E-5</v>
      </c>
      <c r="K415">
        <v>6.6984000000000004</v>
      </c>
      <c r="L415">
        <v>1.8165</v>
      </c>
      <c r="M415">
        <v>0</v>
      </c>
      <c r="N415">
        <v>16.0456</v>
      </c>
      <c r="O415">
        <v>0</v>
      </c>
    </row>
    <row r="416" spans="1:15" x14ac:dyDescent="0.25">
      <c r="A416" t="s">
        <v>20</v>
      </c>
      <c r="B416" t="s">
        <v>17</v>
      </c>
      <c r="C416">
        <v>15</v>
      </c>
      <c r="D416">
        <v>100</v>
      </c>
      <c r="E416">
        <v>200</v>
      </c>
      <c r="F416" t="str">
        <f t="shared" si="6"/>
        <v>text256_line_15_100_200</v>
      </c>
      <c r="G416">
        <v>28.351984000000002</v>
      </c>
      <c r="H416">
        <v>36.408529000000001</v>
      </c>
      <c r="I416">
        <v>1.6838999999999999E-5</v>
      </c>
      <c r="J416">
        <v>1.4394E-5</v>
      </c>
      <c r="K416">
        <v>35.6355</v>
      </c>
      <c r="L416">
        <v>1.3428</v>
      </c>
      <c r="M416">
        <v>0</v>
      </c>
      <c r="N416">
        <v>36.110599999999998</v>
      </c>
      <c r="O416">
        <v>0</v>
      </c>
    </row>
    <row r="417" spans="1:15" x14ac:dyDescent="0.25">
      <c r="A417" t="s">
        <v>20</v>
      </c>
      <c r="B417" t="s">
        <v>17</v>
      </c>
      <c r="C417">
        <v>15</v>
      </c>
      <c r="D417">
        <v>100</v>
      </c>
      <c r="E417">
        <v>400</v>
      </c>
      <c r="F417" t="str">
        <f t="shared" si="6"/>
        <v>text256_line_15_100_400</v>
      </c>
      <c r="G417">
        <v>20.436439</v>
      </c>
      <c r="H417">
        <v>31.709990999999999</v>
      </c>
      <c r="I417">
        <v>3.4983E-5</v>
      </c>
      <c r="J417">
        <v>1.4270999999999999E-5</v>
      </c>
      <c r="K417">
        <v>32.450400000000002</v>
      </c>
      <c r="L417">
        <v>1.3432999999999999</v>
      </c>
      <c r="M417">
        <v>0</v>
      </c>
      <c r="N417">
        <v>33.244199999999999</v>
      </c>
      <c r="O417">
        <v>0</v>
      </c>
    </row>
    <row r="418" spans="1:15" x14ac:dyDescent="0.25">
      <c r="A418" t="s">
        <v>20</v>
      </c>
      <c r="B418" t="s">
        <v>17</v>
      </c>
      <c r="C418">
        <v>15</v>
      </c>
      <c r="D418">
        <v>100</v>
      </c>
      <c r="E418">
        <v>800</v>
      </c>
      <c r="F418" t="str">
        <f t="shared" si="6"/>
        <v>text256_line_15_100_800</v>
      </c>
      <c r="G418">
        <v>15.384122</v>
      </c>
      <c r="H418">
        <v>29.107409000000001</v>
      </c>
      <c r="I418">
        <v>7.0377999999999996E-5</v>
      </c>
      <c r="J418">
        <v>1.4394E-5</v>
      </c>
      <c r="K418">
        <v>29.406700000000001</v>
      </c>
      <c r="L418">
        <v>1.3428</v>
      </c>
      <c r="M418">
        <v>0</v>
      </c>
      <c r="N418">
        <v>30.6144</v>
      </c>
      <c r="O418">
        <v>0</v>
      </c>
    </row>
    <row r="419" spans="1:15" x14ac:dyDescent="0.25">
      <c r="A419" t="s">
        <v>20</v>
      </c>
      <c r="B419" t="s">
        <v>17</v>
      </c>
      <c r="C419">
        <v>15</v>
      </c>
      <c r="D419">
        <v>100</v>
      </c>
      <c r="E419">
        <v>1600</v>
      </c>
      <c r="F419" t="str">
        <f t="shared" si="6"/>
        <v>text256_line_15_100_1600</v>
      </c>
      <c r="G419">
        <v>12.131633000000001</v>
      </c>
      <c r="H419">
        <v>27.900877000000001</v>
      </c>
      <c r="I419">
        <v>1.41395E-4</v>
      </c>
      <c r="J419">
        <v>1.4270999999999999E-5</v>
      </c>
      <c r="K419">
        <v>26.353200000000001</v>
      </c>
      <c r="L419">
        <v>1.3432999999999999</v>
      </c>
      <c r="M419">
        <v>0</v>
      </c>
      <c r="N419">
        <v>28.114599999999999</v>
      </c>
      <c r="O419">
        <v>0</v>
      </c>
    </row>
    <row r="420" spans="1:15" x14ac:dyDescent="0.25">
      <c r="A420" t="s">
        <v>20</v>
      </c>
      <c r="B420" t="s">
        <v>17</v>
      </c>
      <c r="C420">
        <v>15</v>
      </c>
      <c r="D420">
        <v>100</v>
      </c>
      <c r="E420">
        <v>3200</v>
      </c>
      <c r="F420" t="str">
        <f t="shared" si="6"/>
        <v>text256_line_15_100_3200</v>
      </c>
      <c r="G420">
        <v>10.013864</v>
      </c>
      <c r="H420">
        <v>27.136590999999999</v>
      </c>
      <c r="I420">
        <v>2.87955E-4</v>
      </c>
      <c r="J420">
        <v>1.4394E-5</v>
      </c>
      <c r="K420">
        <v>23.2394</v>
      </c>
      <c r="L420">
        <v>1.3428</v>
      </c>
      <c r="M420">
        <v>0</v>
      </c>
      <c r="N420">
        <v>25.6328</v>
      </c>
      <c r="O420">
        <v>0</v>
      </c>
    </row>
    <row r="421" spans="1:15" x14ac:dyDescent="0.25">
      <c r="A421" t="s">
        <v>20</v>
      </c>
      <c r="B421" t="s">
        <v>17</v>
      </c>
      <c r="C421">
        <v>15</v>
      </c>
      <c r="D421">
        <v>100</v>
      </c>
      <c r="E421">
        <v>6400</v>
      </c>
      <c r="F421" t="str">
        <f t="shared" si="6"/>
        <v>text256_line_15_100_6400</v>
      </c>
      <c r="G421">
        <v>8.7465899999999994</v>
      </c>
      <c r="H421">
        <v>26.963753000000001</v>
      </c>
      <c r="I421">
        <v>5.8847900000000004E-4</v>
      </c>
      <c r="J421">
        <v>1.4270999999999999E-5</v>
      </c>
      <c r="K421">
        <v>20.1114</v>
      </c>
      <c r="L421">
        <v>1.3432999999999999</v>
      </c>
      <c r="M421">
        <v>0</v>
      </c>
      <c r="N421">
        <v>23.2624</v>
      </c>
      <c r="O421">
        <v>0</v>
      </c>
    </row>
    <row r="422" spans="1:15" x14ac:dyDescent="0.25">
      <c r="A422" t="s">
        <v>20</v>
      </c>
      <c r="B422" t="s">
        <v>17</v>
      </c>
      <c r="C422">
        <v>15</v>
      </c>
      <c r="D422">
        <v>100</v>
      </c>
      <c r="E422">
        <v>12800</v>
      </c>
      <c r="F422" t="str">
        <f t="shared" si="6"/>
        <v>text256_line_15_100_12800</v>
      </c>
      <c r="G422">
        <v>7.8435810000000004</v>
      </c>
      <c r="H422">
        <v>26.789960000000001</v>
      </c>
      <c r="I422">
        <v>1.2019540000000001E-3</v>
      </c>
      <c r="J422">
        <v>1.4394E-5</v>
      </c>
      <c r="K422">
        <v>16.976500000000001</v>
      </c>
      <c r="L422">
        <v>1.3428</v>
      </c>
      <c r="M422">
        <v>0</v>
      </c>
      <c r="N422">
        <v>20.770800000000001</v>
      </c>
      <c r="O422">
        <v>0</v>
      </c>
    </row>
    <row r="423" spans="1:15" x14ac:dyDescent="0.25">
      <c r="A423" t="s">
        <v>20</v>
      </c>
      <c r="B423" t="s">
        <v>17</v>
      </c>
      <c r="C423">
        <v>15</v>
      </c>
      <c r="D423">
        <v>100</v>
      </c>
      <c r="E423">
        <v>25600</v>
      </c>
      <c r="F423" t="str">
        <f t="shared" si="6"/>
        <v>text256_line_15_100_25600</v>
      </c>
      <c r="G423">
        <v>7.061121</v>
      </c>
      <c r="H423">
        <v>27.013368</v>
      </c>
      <c r="I423">
        <v>2.5709460000000002E-3</v>
      </c>
      <c r="J423">
        <v>1.4270999999999999E-5</v>
      </c>
      <c r="K423">
        <v>13.650499999999999</v>
      </c>
      <c r="L423">
        <v>1.3432999999999999</v>
      </c>
      <c r="M423">
        <v>0</v>
      </c>
      <c r="N423">
        <v>17.736699999999999</v>
      </c>
      <c r="O423">
        <v>0</v>
      </c>
    </row>
    <row r="424" spans="1:15" x14ac:dyDescent="0.25">
      <c r="A424" t="s">
        <v>20</v>
      </c>
      <c r="B424" t="s">
        <v>17</v>
      </c>
      <c r="C424">
        <v>15</v>
      </c>
      <c r="D424">
        <v>100</v>
      </c>
      <c r="E424">
        <v>102400</v>
      </c>
      <c r="F424" t="str">
        <f t="shared" si="6"/>
        <v>text256_line_15_100_102400</v>
      </c>
      <c r="G424">
        <v>5.5659020000000003</v>
      </c>
      <c r="H424">
        <v>27.420199</v>
      </c>
      <c r="I424">
        <v>1.3462975E-2</v>
      </c>
      <c r="J424">
        <v>1.4260999999999999E-5</v>
      </c>
      <c r="K424">
        <v>6.7084999999999999</v>
      </c>
      <c r="L424">
        <v>1.3416999999999999</v>
      </c>
      <c r="M424">
        <v>0</v>
      </c>
      <c r="N424">
        <v>8.3591999999999995</v>
      </c>
      <c r="O424">
        <v>0</v>
      </c>
    </row>
    <row r="425" spans="1:15" x14ac:dyDescent="0.25">
      <c r="A425" t="s">
        <v>20</v>
      </c>
      <c r="B425" t="s">
        <v>17</v>
      </c>
      <c r="C425">
        <v>31</v>
      </c>
      <c r="D425">
        <v>100</v>
      </c>
      <c r="E425">
        <v>200</v>
      </c>
      <c r="F425" t="str">
        <f t="shared" si="6"/>
        <v>text256_line_31_100_200</v>
      </c>
      <c r="G425">
        <v>27.960144</v>
      </c>
      <c r="H425">
        <v>75.688856999999999</v>
      </c>
      <c r="I425">
        <v>1.6626E-5</v>
      </c>
      <c r="J425">
        <v>1.6138999999999999E-5</v>
      </c>
      <c r="K425">
        <v>35.690600000000003</v>
      </c>
      <c r="L425">
        <v>0.1767</v>
      </c>
      <c r="M425">
        <v>0</v>
      </c>
      <c r="N425">
        <v>35.991100000000003</v>
      </c>
      <c r="O425">
        <v>0</v>
      </c>
    </row>
    <row r="426" spans="1:15" x14ac:dyDescent="0.25">
      <c r="A426" t="s">
        <v>20</v>
      </c>
      <c r="B426" t="s">
        <v>17</v>
      </c>
      <c r="C426">
        <v>31</v>
      </c>
      <c r="D426">
        <v>100</v>
      </c>
      <c r="E426">
        <v>400</v>
      </c>
      <c r="F426" t="str">
        <f t="shared" si="6"/>
        <v>text256_line_31_100_400</v>
      </c>
      <c r="G426">
        <v>19.628799999999998</v>
      </c>
      <c r="H426">
        <v>64.685449000000006</v>
      </c>
      <c r="I426">
        <v>3.4938000000000003E-5</v>
      </c>
      <c r="J426">
        <v>1.6249999999999999E-5</v>
      </c>
      <c r="K426">
        <v>32.461199999999998</v>
      </c>
      <c r="L426">
        <v>0.17660000000000001</v>
      </c>
      <c r="M426">
        <v>0</v>
      </c>
      <c r="N426">
        <v>32.947000000000003</v>
      </c>
      <c r="O426">
        <v>0</v>
      </c>
    </row>
    <row r="427" spans="1:15" x14ac:dyDescent="0.25">
      <c r="A427" t="s">
        <v>20</v>
      </c>
      <c r="B427" t="s">
        <v>17</v>
      </c>
      <c r="C427">
        <v>31</v>
      </c>
      <c r="D427">
        <v>100</v>
      </c>
      <c r="E427">
        <v>800</v>
      </c>
      <c r="F427" t="str">
        <f t="shared" si="6"/>
        <v>text256_line_31_100_800</v>
      </c>
      <c r="G427">
        <v>14.279185</v>
      </c>
      <c r="H427">
        <v>59.197958</v>
      </c>
      <c r="I427">
        <v>7.0524000000000004E-5</v>
      </c>
      <c r="J427">
        <v>1.6138999999999999E-5</v>
      </c>
      <c r="K427">
        <v>29.391100000000002</v>
      </c>
      <c r="L427">
        <v>0.1767</v>
      </c>
      <c r="M427">
        <v>0</v>
      </c>
      <c r="N427">
        <v>30.153400000000001</v>
      </c>
      <c r="O427">
        <v>0</v>
      </c>
    </row>
    <row r="428" spans="1:15" x14ac:dyDescent="0.25">
      <c r="A428" t="s">
        <v>20</v>
      </c>
      <c r="B428" t="s">
        <v>17</v>
      </c>
      <c r="C428">
        <v>31</v>
      </c>
      <c r="D428">
        <v>100</v>
      </c>
      <c r="E428">
        <v>1600</v>
      </c>
      <c r="F428" t="str">
        <f t="shared" si="6"/>
        <v>text256_line_31_100_1600</v>
      </c>
      <c r="G428">
        <v>10.618029</v>
      </c>
      <c r="H428">
        <v>56.030002000000003</v>
      </c>
      <c r="I428">
        <v>1.4346899999999999E-4</v>
      </c>
      <c r="J428">
        <v>1.6249999999999999E-5</v>
      </c>
      <c r="K428">
        <v>26.294799999999999</v>
      </c>
      <c r="L428">
        <v>0.17660000000000001</v>
      </c>
      <c r="M428">
        <v>0</v>
      </c>
      <c r="N428">
        <v>27.55</v>
      </c>
      <c r="O428">
        <v>0</v>
      </c>
    </row>
    <row r="429" spans="1:15" x14ac:dyDescent="0.25">
      <c r="A429" t="s">
        <v>20</v>
      </c>
      <c r="B429" t="s">
        <v>17</v>
      </c>
      <c r="C429">
        <v>31</v>
      </c>
      <c r="D429">
        <v>100</v>
      </c>
      <c r="E429">
        <v>3200</v>
      </c>
      <c r="F429" t="str">
        <f t="shared" si="6"/>
        <v>text256_line_31_100_3200</v>
      </c>
      <c r="G429">
        <v>8.2477</v>
      </c>
      <c r="H429">
        <v>54.701647000000001</v>
      </c>
      <c r="I429">
        <v>2.9050000000000001E-4</v>
      </c>
      <c r="J429">
        <v>1.6138999999999999E-5</v>
      </c>
      <c r="K429">
        <v>23.200500000000002</v>
      </c>
      <c r="L429">
        <v>0.1767</v>
      </c>
      <c r="M429">
        <v>0</v>
      </c>
      <c r="N429">
        <v>24.921199999999999</v>
      </c>
      <c r="O429">
        <v>0</v>
      </c>
    </row>
    <row r="430" spans="1:15" x14ac:dyDescent="0.25">
      <c r="A430" t="s">
        <v>20</v>
      </c>
      <c r="B430" t="s">
        <v>17</v>
      </c>
      <c r="C430">
        <v>31</v>
      </c>
      <c r="D430">
        <v>100</v>
      </c>
      <c r="E430">
        <v>6400</v>
      </c>
      <c r="F430" t="str">
        <f t="shared" si="6"/>
        <v>text256_line_31_100_6400</v>
      </c>
      <c r="G430">
        <v>6.7293760000000002</v>
      </c>
      <c r="H430">
        <v>53.808256999999998</v>
      </c>
      <c r="I430">
        <v>5.8516899999999997E-4</v>
      </c>
      <c r="J430">
        <v>1.6249999999999999E-5</v>
      </c>
      <c r="K430">
        <v>20.135999999999999</v>
      </c>
      <c r="L430">
        <v>0.17660000000000001</v>
      </c>
      <c r="M430">
        <v>0</v>
      </c>
      <c r="N430">
        <v>22.4709</v>
      </c>
      <c r="O430">
        <v>0</v>
      </c>
    </row>
    <row r="431" spans="1:15" x14ac:dyDescent="0.25">
      <c r="A431" t="s">
        <v>20</v>
      </c>
      <c r="B431" t="s">
        <v>17</v>
      </c>
      <c r="C431">
        <v>31</v>
      </c>
      <c r="D431">
        <v>100</v>
      </c>
      <c r="E431">
        <v>12800</v>
      </c>
      <c r="F431" t="str">
        <f t="shared" si="6"/>
        <v>text256_line_31_100_12800</v>
      </c>
      <c r="G431">
        <v>5.6959689999999998</v>
      </c>
      <c r="H431">
        <v>53.722534000000003</v>
      </c>
      <c r="I431">
        <v>1.2121479999999999E-3</v>
      </c>
      <c r="J431">
        <v>1.6138999999999999E-5</v>
      </c>
      <c r="K431">
        <v>16.939900000000002</v>
      </c>
      <c r="L431">
        <v>0.1767</v>
      </c>
      <c r="M431">
        <v>0</v>
      </c>
      <c r="N431">
        <v>19.487100000000002</v>
      </c>
      <c r="O431">
        <v>0</v>
      </c>
    </row>
    <row r="432" spans="1:15" x14ac:dyDescent="0.25">
      <c r="A432" t="s">
        <v>20</v>
      </c>
      <c r="B432" t="s">
        <v>17</v>
      </c>
      <c r="C432">
        <v>31</v>
      </c>
      <c r="D432">
        <v>100</v>
      </c>
      <c r="E432">
        <v>25600</v>
      </c>
      <c r="F432" t="str">
        <f t="shared" si="6"/>
        <v>text256_line_31_100_25600</v>
      </c>
      <c r="G432">
        <v>4.8780380000000001</v>
      </c>
      <c r="H432">
        <v>53.551473000000001</v>
      </c>
      <c r="I432">
        <v>2.5806800000000001E-3</v>
      </c>
      <c r="J432">
        <v>1.6249999999999999E-5</v>
      </c>
      <c r="K432">
        <v>13.633699999999999</v>
      </c>
      <c r="L432">
        <v>0.17660000000000001</v>
      </c>
      <c r="M432">
        <v>0</v>
      </c>
      <c r="N432">
        <v>16.199100000000001</v>
      </c>
      <c r="O432">
        <v>0</v>
      </c>
    </row>
    <row r="433" spans="1:15" x14ac:dyDescent="0.25">
      <c r="A433" t="s">
        <v>20</v>
      </c>
      <c r="B433" t="s">
        <v>17</v>
      </c>
      <c r="C433">
        <v>31</v>
      </c>
      <c r="D433">
        <v>100</v>
      </c>
      <c r="E433">
        <v>102400</v>
      </c>
      <c r="F433" t="str">
        <f t="shared" si="6"/>
        <v>text256_line_31_100_102400</v>
      </c>
      <c r="G433">
        <v>3.7322199999999999</v>
      </c>
      <c r="H433">
        <v>53.872374999999998</v>
      </c>
      <c r="I433">
        <v>1.3345915999999999E-2</v>
      </c>
      <c r="J433">
        <v>1.6223999999999999E-5</v>
      </c>
      <c r="K433">
        <v>6.7293000000000003</v>
      </c>
      <c r="L433">
        <v>0.17680000000000001</v>
      </c>
      <c r="M433">
        <v>0</v>
      </c>
      <c r="N433">
        <v>7.9946000000000002</v>
      </c>
      <c r="O433">
        <v>0</v>
      </c>
    </row>
    <row r="434" spans="1:15" x14ac:dyDescent="0.25">
      <c r="A434" t="s">
        <v>19</v>
      </c>
      <c r="B434" t="s">
        <v>18</v>
      </c>
      <c r="C434">
        <v>3</v>
      </c>
      <c r="D434">
        <v>100</v>
      </c>
      <c r="E434">
        <v>200</v>
      </c>
      <c r="F434" t="str">
        <f t="shared" si="6"/>
        <v>tree256_blurkernel10_3_100_200</v>
      </c>
      <c r="G434">
        <v>55.132289999999998</v>
      </c>
      <c r="H434">
        <v>3.9507850000000002</v>
      </c>
      <c r="I434">
        <v>1.9845999999999999E-5</v>
      </c>
      <c r="J434">
        <v>9.0750000000000004E-6</v>
      </c>
      <c r="K434">
        <v>32.606400000000001</v>
      </c>
      <c r="L434">
        <v>10.5619</v>
      </c>
      <c r="M434">
        <v>0</v>
      </c>
      <c r="N434">
        <v>32.2331</v>
      </c>
      <c r="O434">
        <v>0</v>
      </c>
    </row>
    <row r="435" spans="1:15" x14ac:dyDescent="0.25">
      <c r="A435" t="s">
        <v>19</v>
      </c>
      <c r="B435" t="s">
        <v>18</v>
      </c>
      <c r="C435">
        <v>3</v>
      </c>
      <c r="D435">
        <v>100</v>
      </c>
      <c r="E435">
        <v>400</v>
      </c>
      <c r="F435" t="str">
        <f t="shared" si="6"/>
        <v>tree256_blurkernel10_3_100_400</v>
      </c>
      <c r="G435">
        <v>43.673405000000002</v>
      </c>
      <c r="H435">
        <v>3.609302</v>
      </c>
      <c r="I435">
        <v>4.1322999999999997E-5</v>
      </c>
      <c r="J435">
        <v>9.0750000000000004E-6</v>
      </c>
      <c r="K435">
        <v>29.423200000000001</v>
      </c>
      <c r="L435">
        <v>10.5619</v>
      </c>
      <c r="M435">
        <v>0</v>
      </c>
      <c r="N435">
        <v>29.469200000000001</v>
      </c>
      <c r="O435">
        <v>0</v>
      </c>
    </row>
    <row r="436" spans="1:15" x14ac:dyDescent="0.25">
      <c r="A436" t="s">
        <v>19</v>
      </c>
      <c r="B436" t="s">
        <v>18</v>
      </c>
      <c r="C436">
        <v>3</v>
      </c>
      <c r="D436">
        <v>100</v>
      </c>
      <c r="E436">
        <v>800</v>
      </c>
      <c r="F436" t="str">
        <f t="shared" si="6"/>
        <v>tree256_blurkernel10_3_100_800</v>
      </c>
      <c r="G436">
        <v>37.039439000000002</v>
      </c>
      <c r="H436">
        <v>3.4402080000000002</v>
      </c>
      <c r="I436">
        <v>8.3868000000000004E-5</v>
      </c>
      <c r="J436">
        <v>9.0750000000000004E-6</v>
      </c>
      <c r="K436">
        <v>26.351700000000001</v>
      </c>
      <c r="L436">
        <v>10.5619</v>
      </c>
      <c r="M436">
        <v>0</v>
      </c>
      <c r="N436">
        <v>26.819199999999999</v>
      </c>
      <c r="O436">
        <v>0</v>
      </c>
    </row>
    <row r="437" spans="1:15" x14ac:dyDescent="0.25">
      <c r="A437" t="s">
        <v>19</v>
      </c>
      <c r="B437" t="s">
        <v>18</v>
      </c>
      <c r="C437">
        <v>3</v>
      </c>
      <c r="D437">
        <v>100</v>
      </c>
      <c r="E437">
        <v>1600</v>
      </c>
      <c r="F437" t="str">
        <f t="shared" si="6"/>
        <v>tree256_blurkernel10_3_100_1600</v>
      </c>
      <c r="G437">
        <v>33.173313</v>
      </c>
      <c r="H437">
        <v>3.3578000000000001</v>
      </c>
      <c r="I437">
        <v>1.7030600000000001E-4</v>
      </c>
      <c r="J437">
        <v>9.0750000000000004E-6</v>
      </c>
      <c r="K437">
        <v>23.282299999999999</v>
      </c>
      <c r="L437">
        <v>10.5619</v>
      </c>
      <c r="M437">
        <v>0</v>
      </c>
      <c r="N437">
        <v>24.134899999999998</v>
      </c>
      <c r="O437">
        <v>0</v>
      </c>
    </row>
    <row r="438" spans="1:15" x14ac:dyDescent="0.25">
      <c r="A438" t="s">
        <v>19</v>
      </c>
      <c r="B438" t="s">
        <v>18</v>
      </c>
      <c r="C438">
        <v>3</v>
      </c>
      <c r="D438">
        <v>100</v>
      </c>
      <c r="E438">
        <v>3200</v>
      </c>
      <c r="F438" t="str">
        <f t="shared" si="6"/>
        <v>tree256_blurkernel10_3_100_3200</v>
      </c>
      <c r="G438">
        <v>30.844832</v>
      </c>
      <c r="H438">
        <v>3.3240690000000002</v>
      </c>
      <c r="I438">
        <v>3.4979199999999997E-4</v>
      </c>
      <c r="J438">
        <v>9.0750000000000004E-6</v>
      </c>
      <c r="K438">
        <v>20.1738</v>
      </c>
      <c r="L438">
        <v>10.5619</v>
      </c>
      <c r="M438">
        <v>0</v>
      </c>
      <c r="N438">
        <v>21.5395</v>
      </c>
      <c r="O438">
        <v>0</v>
      </c>
    </row>
    <row r="439" spans="1:15" x14ac:dyDescent="0.25">
      <c r="A439" t="s">
        <v>19</v>
      </c>
      <c r="B439" t="s">
        <v>18</v>
      </c>
      <c r="C439">
        <v>3</v>
      </c>
      <c r="D439">
        <v>100</v>
      </c>
      <c r="E439">
        <v>6400</v>
      </c>
      <c r="F439" t="str">
        <f t="shared" si="6"/>
        <v>tree256_blurkernel10_3_100_6400</v>
      </c>
      <c r="G439">
        <v>29.223562999999999</v>
      </c>
      <c r="H439">
        <v>3.3216950000000001</v>
      </c>
      <c r="I439">
        <v>7.2090000000000001E-4</v>
      </c>
      <c r="J439">
        <v>9.0750000000000004E-6</v>
      </c>
      <c r="K439">
        <v>17.0731</v>
      </c>
      <c r="L439">
        <v>10.5619</v>
      </c>
      <c r="M439">
        <v>0</v>
      </c>
      <c r="N439">
        <v>19.537199999999999</v>
      </c>
      <c r="O439">
        <v>0</v>
      </c>
    </row>
    <row r="440" spans="1:15" x14ac:dyDescent="0.25">
      <c r="A440" t="s">
        <v>19</v>
      </c>
      <c r="B440" t="s">
        <v>18</v>
      </c>
      <c r="C440">
        <v>3</v>
      </c>
      <c r="D440">
        <v>100</v>
      </c>
      <c r="E440">
        <v>12800</v>
      </c>
      <c r="F440" t="str">
        <f t="shared" si="6"/>
        <v>tree256_blurkernel10_3_100_12800</v>
      </c>
      <c r="G440">
        <v>27.789169999999999</v>
      </c>
      <c r="H440">
        <v>3.3401079999999999</v>
      </c>
      <c r="I440">
        <v>1.5316030000000001E-3</v>
      </c>
      <c r="J440">
        <v>9.0750000000000004E-6</v>
      </c>
      <c r="K440">
        <v>13.880100000000001</v>
      </c>
      <c r="L440">
        <v>10.5619</v>
      </c>
      <c r="M440">
        <v>0</v>
      </c>
      <c r="N440">
        <v>18.081099999999999</v>
      </c>
      <c r="O440">
        <v>0</v>
      </c>
    </row>
    <row r="441" spans="1:15" x14ac:dyDescent="0.25">
      <c r="A441" t="s">
        <v>19</v>
      </c>
      <c r="B441" t="s">
        <v>18</v>
      </c>
      <c r="C441">
        <v>3</v>
      </c>
      <c r="D441">
        <v>100</v>
      </c>
      <c r="E441">
        <v>25600</v>
      </c>
      <c r="F441" t="str">
        <f t="shared" si="6"/>
        <v>tree256_blurkernel10_3_100_25600</v>
      </c>
      <c r="G441">
        <v>26.342051000000001</v>
      </c>
      <c r="H441">
        <v>3.3720729999999999</v>
      </c>
      <c r="I441">
        <v>3.3995150000000001E-3</v>
      </c>
      <c r="J441">
        <v>9.0750000000000004E-6</v>
      </c>
      <c r="K441">
        <v>10.6092</v>
      </c>
      <c r="L441">
        <v>10.5619</v>
      </c>
      <c r="M441">
        <v>0</v>
      </c>
      <c r="N441">
        <v>17.390699999999999</v>
      </c>
      <c r="O441">
        <v>0</v>
      </c>
    </row>
    <row r="442" spans="1:15" x14ac:dyDescent="0.25">
      <c r="A442" t="s">
        <v>19</v>
      </c>
      <c r="B442" t="s">
        <v>18</v>
      </c>
      <c r="C442">
        <v>3</v>
      </c>
      <c r="D442">
        <v>100</v>
      </c>
      <c r="E442">
        <v>102400</v>
      </c>
      <c r="F442" t="str">
        <f t="shared" si="6"/>
        <v>tree256_blurkernel10_3_100_102400</v>
      </c>
      <c r="G442">
        <v>23.246286999999999</v>
      </c>
      <c r="H442">
        <v>3.446958</v>
      </c>
      <c r="I442">
        <v>2.0388871999999999E-2</v>
      </c>
      <c r="J442">
        <v>9.0869999999999996E-6</v>
      </c>
      <c r="K442">
        <v>4.2466999999999997</v>
      </c>
      <c r="L442">
        <v>10.5624</v>
      </c>
      <c r="M442">
        <v>0</v>
      </c>
      <c r="N442">
        <v>16.476099999999999</v>
      </c>
      <c r="O442">
        <v>0</v>
      </c>
    </row>
    <row r="443" spans="1:15" x14ac:dyDescent="0.25">
      <c r="A443" t="s">
        <v>19</v>
      </c>
      <c r="B443" t="s">
        <v>18</v>
      </c>
      <c r="C443">
        <v>7</v>
      </c>
      <c r="D443">
        <v>100</v>
      </c>
      <c r="E443">
        <v>200</v>
      </c>
      <c r="F443" t="str">
        <f t="shared" si="6"/>
        <v>tree256_blurkernel10_7_100_200</v>
      </c>
      <c r="G443">
        <v>49.657682999999999</v>
      </c>
      <c r="H443">
        <v>10.302275</v>
      </c>
      <c r="I443">
        <v>1.9689000000000001E-5</v>
      </c>
      <c r="J443">
        <v>9.0420000000000008E-6</v>
      </c>
      <c r="K443">
        <v>32.64</v>
      </c>
      <c r="L443">
        <v>5.9931000000000001</v>
      </c>
      <c r="M443">
        <v>0</v>
      </c>
      <c r="N443">
        <v>31.633199999999999</v>
      </c>
      <c r="O443">
        <v>0</v>
      </c>
    </row>
    <row r="444" spans="1:15" x14ac:dyDescent="0.25">
      <c r="A444" t="s">
        <v>19</v>
      </c>
      <c r="B444" t="s">
        <v>18</v>
      </c>
      <c r="C444">
        <v>7</v>
      </c>
      <c r="D444">
        <v>100</v>
      </c>
      <c r="E444">
        <v>400</v>
      </c>
      <c r="F444" t="str">
        <f t="shared" si="6"/>
        <v>tree256_blurkernel10_7_100_400</v>
      </c>
      <c r="G444">
        <v>36.371836999999999</v>
      </c>
      <c r="H444">
        <v>9.3978929999999998</v>
      </c>
      <c r="I444">
        <v>4.0558E-5</v>
      </c>
      <c r="J444">
        <v>9.0420000000000008E-6</v>
      </c>
      <c r="K444">
        <v>29.5031</v>
      </c>
      <c r="L444">
        <v>5.9931000000000001</v>
      </c>
      <c r="M444">
        <v>0</v>
      </c>
      <c r="N444">
        <v>28.709099999999999</v>
      </c>
      <c r="O444">
        <v>0</v>
      </c>
    </row>
    <row r="445" spans="1:15" x14ac:dyDescent="0.25">
      <c r="A445" t="s">
        <v>19</v>
      </c>
      <c r="B445" t="s">
        <v>18</v>
      </c>
      <c r="C445">
        <v>7</v>
      </c>
      <c r="D445">
        <v>100</v>
      </c>
      <c r="E445">
        <v>800</v>
      </c>
      <c r="F445" t="str">
        <f t="shared" si="6"/>
        <v>tree256_blurkernel10_7_100_800</v>
      </c>
      <c r="G445">
        <v>27.588056000000002</v>
      </c>
      <c r="H445">
        <v>8.9219980000000003</v>
      </c>
      <c r="I445">
        <v>8.4524000000000006E-5</v>
      </c>
      <c r="J445">
        <v>9.0420000000000008E-6</v>
      </c>
      <c r="K445">
        <v>26.317399999999999</v>
      </c>
      <c r="L445">
        <v>5.9931000000000001</v>
      </c>
      <c r="M445">
        <v>0</v>
      </c>
      <c r="N445">
        <v>25.756399999999999</v>
      </c>
      <c r="O445">
        <v>0</v>
      </c>
    </row>
    <row r="446" spans="1:15" x14ac:dyDescent="0.25">
      <c r="A446" t="s">
        <v>19</v>
      </c>
      <c r="B446" t="s">
        <v>18</v>
      </c>
      <c r="C446">
        <v>7</v>
      </c>
      <c r="D446">
        <v>100</v>
      </c>
      <c r="E446">
        <v>1600</v>
      </c>
      <c r="F446" t="str">
        <f t="shared" si="6"/>
        <v>tree256_blurkernel10_7_100_1600</v>
      </c>
      <c r="G446">
        <v>22.283957999999998</v>
      </c>
      <c r="H446">
        <v>8.6937320000000007</v>
      </c>
      <c r="I446">
        <v>1.71337E-4</v>
      </c>
      <c r="J446">
        <v>9.0420000000000008E-6</v>
      </c>
      <c r="K446">
        <v>23.257300000000001</v>
      </c>
      <c r="L446">
        <v>5.9931000000000001</v>
      </c>
      <c r="M446">
        <v>0</v>
      </c>
      <c r="N446">
        <v>23.061800000000002</v>
      </c>
      <c r="O446">
        <v>0</v>
      </c>
    </row>
    <row r="447" spans="1:15" x14ac:dyDescent="0.25">
      <c r="A447" t="s">
        <v>19</v>
      </c>
      <c r="B447" t="s">
        <v>18</v>
      </c>
      <c r="C447">
        <v>7</v>
      </c>
      <c r="D447">
        <v>100</v>
      </c>
      <c r="E447">
        <v>3200</v>
      </c>
      <c r="F447" t="str">
        <f t="shared" si="6"/>
        <v>tree256_blurkernel10_7_100_3200</v>
      </c>
      <c r="G447">
        <v>19.047267000000002</v>
      </c>
      <c r="H447">
        <v>8.5828030000000002</v>
      </c>
      <c r="I447">
        <v>3.4886500000000001E-4</v>
      </c>
      <c r="J447">
        <v>9.0420000000000008E-6</v>
      </c>
      <c r="K447">
        <v>20.179600000000001</v>
      </c>
      <c r="L447">
        <v>5.9931000000000001</v>
      </c>
      <c r="M447">
        <v>0</v>
      </c>
      <c r="N447">
        <v>20.389399999999998</v>
      </c>
      <c r="O447">
        <v>0</v>
      </c>
    </row>
    <row r="448" spans="1:15" x14ac:dyDescent="0.25">
      <c r="A448" t="s">
        <v>19</v>
      </c>
      <c r="B448" t="s">
        <v>18</v>
      </c>
      <c r="C448">
        <v>7</v>
      </c>
      <c r="D448">
        <v>100</v>
      </c>
      <c r="E448">
        <v>6400</v>
      </c>
      <c r="F448" t="str">
        <f t="shared" si="6"/>
        <v>tree256_blurkernel10_7_100_6400</v>
      </c>
      <c r="G448">
        <v>17.062894</v>
      </c>
      <c r="H448">
        <v>8.5359850000000002</v>
      </c>
      <c r="I448">
        <v>7.1706199999999997E-4</v>
      </c>
      <c r="J448">
        <v>9.0420000000000008E-6</v>
      </c>
      <c r="K448">
        <v>17.089200000000002</v>
      </c>
      <c r="L448">
        <v>5.9931000000000001</v>
      </c>
      <c r="M448">
        <v>0</v>
      </c>
      <c r="N448">
        <v>17.901700000000002</v>
      </c>
      <c r="O448">
        <v>0</v>
      </c>
    </row>
    <row r="449" spans="1:15" x14ac:dyDescent="0.25">
      <c r="A449" t="s">
        <v>19</v>
      </c>
      <c r="B449" t="s">
        <v>18</v>
      </c>
      <c r="C449">
        <v>7</v>
      </c>
      <c r="D449">
        <v>100</v>
      </c>
      <c r="E449">
        <v>12800</v>
      </c>
      <c r="F449" t="str">
        <f t="shared" si="6"/>
        <v>tree256_blurkernel10_7_100_12800</v>
      </c>
      <c r="G449">
        <v>15.752579000000001</v>
      </c>
      <c r="H449">
        <v>8.5242070000000005</v>
      </c>
      <c r="I449">
        <v>1.5165910000000001E-3</v>
      </c>
      <c r="J449">
        <v>9.0420000000000008E-6</v>
      </c>
      <c r="K449">
        <v>13.916</v>
      </c>
      <c r="L449">
        <v>5.9931000000000001</v>
      </c>
      <c r="M449">
        <v>0</v>
      </c>
      <c r="N449">
        <v>15.8308</v>
      </c>
      <c r="O449">
        <v>0</v>
      </c>
    </row>
    <row r="450" spans="1:15" x14ac:dyDescent="0.25">
      <c r="A450" t="s">
        <v>19</v>
      </c>
      <c r="B450" t="s">
        <v>18</v>
      </c>
      <c r="C450">
        <v>7</v>
      </c>
      <c r="D450">
        <v>100</v>
      </c>
      <c r="E450">
        <v>25600</v>
      </c>
      <c r="F450" t="str">
        <f t="shared" ref="F450:F513" si="7">A450&amp;"_"&amp;B450&amp;"_"&amp;C450&amp;"_"&amp;D450&amp;"_"&amp;E450</f>
        <v>tree256_blurkernel10_7_100_25600</v>
      </c>
      <c r="G450">
        <v>14.729353</v>
      </c>
      <c r="H450">
        <v>8.5349760000000003</v>
      </c>
      <c r="I450">
        <v>3.31569E-3</v>
      </c>
      <c r="J450">
        <v>9.0420000000000008E-6</v>
      </c>
      <c r="K450">
        <v>10.7157</v>
      </c>
      <c r="L450">
        <v>5.9931000000000001</v>
      </c>
      <c r="M450">
        <v>0</v>
      </c>
      <c r="N450">
        <v>14.646599999999999</v>
      </c>
      <c r="O450">
        <v>0</v>
      </c>
    </row>
    <row r="451" spans="1:15" x14ac:dyDescent="0.25">
      <c r="A451" t="s">
        <v>19</v>
      </c>
      <c r="B451" t="s">
        <v>18</v>
      </c>
      <c r="C451">
        <v>7</v>
      </c>
      <c r="D451">
        <v>100</v>
      </c>
      <c r="E451">
        <v>102400</v>
      </c>
      <c r="F451" t="str">
        <f t="shared" si="7"/>
        <v>tree256_blurkernel10_7_100_102400</v>
      </c>
      <c r="G451">
        <v>12.397634999999999</v>
      </c>
      <c r="H451">
        <v>8.5977899999999998</v>
      </c>
      <c r="I451">
        <v>2.0486471999999999E-2</v>
      </c>
      <c r="J451">
        <v>9.0589999999999992E-6</v>
      </c>
      <c r="K451">
        <v>4.2420999999999998</v>
      </c>
      <c r="L451">
        <v>5.9946999999999999</v>
      </c>
      <c r="M451">
        <v>0</v>
      </c>
      <c r="N451">
        <v>12.7293</v>
      </c>
      <c r="O451">
        <v>0</v>
      </c>
    </row>
    <row r="452" spans="1:15" x14ac:dyDescent="0.25">
      <c r="A452" t="s">
        <v>19</v>
      </c>
      <c r="B452" t="s">
        <v>18</v>
      </c>
      <c r="C452">
        <v>15</v>
      </c>
      <c r="D452">
        <v>100</v>
      </c>
      <c r="E452">
        <v>200</v>
      </c>
      <c r="F452" t="str">
        <f t="shared" si="7"/>
        <v>tree256_blurkernel10_15_100_200</v>
      </c>
      <c r="G452">
        <v>48.393241000000003</v>
      </c>
      <c r="H452">
        <v>22.532212000000001</v>
      </c>
      <c r="I452">
        <v>1.9715999999999999E-5</v>
      </c>
      <c r="J452">
        <v>9.0629999999999995E-6</v>
      </c>
      <c r="K452">
        <v>32.633899999999997</v>
      </c>
      <c r="L452">
        <v>3.7443</v>
      </c>
      <c r="M452">
        <v>0</v>
      </c>
      <c r="N452">
        <v>31.131599999999999</v>
      </c>
      <c r="O452">
        <v>0</v>
      </c>
    </row>
    <row r="453" spans="1:15" x14ac:dyDescent="0.25">
      <c r="A453" t="s">
        <v>19</v>
      </c>
      <c r="B453" t="s">
        <v>18</v>
      </c>
      <c r="C453">
        <v>15</v>
      </c>
      <c r="D453">
        <v>100</v>
      </c>
      <c r="E453">
        <v>400</v>
      </c>
      <c r="F453" t="str">
        <f t="shared" si="7"/>
        <v>tree256_blurkernel10_15_100_400</v>
      </c>
      <c r="G453">
        <v>34.387858999999999</v>
      </c>
      <c r="H453">
        <v>20.566632999999999</v>
      </c>
      <c r="I453">
        <v>4.0825999999999998E-5</v>
      </c>
      <c r="J453">
        <v>8.9989999999999997E-6</v>
      </c>
      <c r="K453">
        <v>29.4755</v>
      </c>
      <c r="L453">
        <v>3.7450000000000001</v>
      </c>
      <c r="M453">
        <v>0</v>
      </c>
      <c r="N453">
        <v>28.0777</v>
      </c>
      <c r="O453">
        <v>0</v>
      </c>
    </row>
    <row r="454" spans="1:15" x14ac:dyDescent="0.25">
      <c r="A454" t="s">
        <v>19</v>
      </c>
      <c r="B454" t="s">
        <v>18</v>
      </c>
      <c r="C454">
        <v>15</v>
      </c>
      <c r="D454">
        <v>100</v>
      </c>
      <c r="E454">
        <v>800</v>
      </c>
      <c r="F454" t="str">
        <f t="shared" si="7"/>
        <v>tree256_blurkernel10_15_100_800</v>
      </c>
      <c r="G454">
        <v>24.83089</v>
      </c>
      <c r="H454">
        <v>19.447535999999999</v>
      </c>
      <c r="I454">
        <v>8.5314000000000003E-5</v>
      </c>
      <c r="J454">
        <v>9.0629999999999995E-6</v>
      </c>
      <c r="K454">
        <v>26.278400000000001</v>
      </c>
      <c r="L454">
        <v>3.7443</v>
      </c>
      <c r="M454">
        <v>0</v>
      </c>
      <c r="N454">
        <v>25.031300000000002</v>
      </c>
      <c r="O454">
        <v>0</v>
      </c>
    </row>
    <row r="455" spans="1:15" x14ac:dyDescent="0.25">
      <c r="A455" t="s">
        <v>19</v>
      </c>
      <c r="B455" t="s">
        <v>18</v>
      </c>
      <c r="C455">
        <v>15</v>
      </c>
      <c r="D455">
        <v>100</v>
      </c>
      <c r="E455">
        <v>1600</v>
      </c>
      <c r="F455" t="str">
        <f t="shared" si="7"/>
        <v>tree256_blurkernel10_15_100_1600</v>
      </c>
      <c r="G455">
        <v>18.926691999999999</v>
      </c>
      <c r="H455">
        <v>19.010985000000002</v>
      </c>
      <c r="I455">
        <v>1.6961100000000001E-4</v>
      </c>
      <c r="J455">
        <v>8.9989999999999997E-6</v>
      </c>
      <c r="K455">
        <v>23.301300000000001</v>
      </c>
      <c r="L455">
        <v>3.7450000000000001</v>
      </c>
      <c r="M455">
        <v>0</v>
      </c>
      <c r="N455">
        <v>22.454999999999998</v>
      </c>
      <c r="O455">
        <v>0</v>
      </c>
    </row>
    <row r="456" spans="1:15" x14ac:dyDescent="0.25">
      <c r="A456" t="s">
        <v>19</v>
      </c>
      <c r="B456" t="s">
        <v>18</v>
      </c>
      <c r="C456">
        <v>15</v>
      </c>
      <c r="D456">
        <v>100</v>
      </c>
      <c r="E456">
        <v>3200</v>
      </c>
      <c r="F456" t="str">
        <f t="shared" si="7"/>
        <v>tree256_blurkernel10_15_100_3200</v>
      </c>
      <c r="G456">
        <v>14.894515</v>
      </c>
      <c r="H456">
        <v>18.688313999999998</v>
      </c>
      <c r="I456">
        <v>3.4820899999999999E-4</v>
      </c>
      <c r="J456">
        <v>9.0629999999999995E-6</v>
      </c>
      <c r="K456">
        <v>20.193200000000001</v>
      </c>
      <c r="L456">
        <v>3.7443</v>
      </c>
      <c r="M456">
        <v>0</v>
      </c>
      <c r="N456">
        <v>20.046900000000001</v>
      </c>
      <c r="O456">
        <v>0</v>
      </c>
    </row>
    <row r="457" spans="1:15" x14ac:dyDescent="0.25">
      <c r="A457" t="s">
        <v>19</v>
      </c>
      <c r="B457" t="s">
        <v>18</v>
      </c>
      <c r="C457">
        <v>15</v>
      </c>
      <c r="D457">
        <v>100</v>
      </c>
      <c r="E457">
        <v>6400</v>
      </c>
      <c r="F457" t="str">
        <f t="shared" si="7"/>
        <v>tree256_blurkernel10_15_100_6400</v>
      </c>
      <c r="G457">
        <v>12.334929000000001</v>
      </c>
      <c r="H457">
        <v>18.636172999999999</v>
      </c>
      <c r="I457">
        <v>7.2224599999999996E-4</v>
      </c>
      <c r="J457">
        <v>8.9989999999999997E-6</v>
      </c>
      <c r="K457">
        <v>17.067599999999999</v>
      </c>
      <c r="L457">
        <v>3.7450000000000001</v>
      </c>
      <c r="M457">
        <v>0</v>
      </c>
      <c r="N457">
        <v>17.463000000000001</v>
      </c>
      <c r="O457">
        <v>0</v>
      </c>
    </row>
    <row r="458" spans="1:15" x14ac:dyDescent="0.25">
      <c r="A458" t="s">
        <v>19</v>
      </c>
      <c r="B458" t="s">
        <v>18</v>
      </c>
      <c r="C458">
        <v>15</v>
      </c>
      <c r="D458">
        <v>100</v>
      </c>
      <c r="E458">
        <v>12800</v>
      </c>
      <c r="F458" t="str">
        <f t="shared" si="7"/>
        <v>tree256_blurkernel10_15_100_12800</v>
      </c>
      <c r="G458">
        <v>10.672554</v>
      </c>
      <c r="H458">
        <v>18.527370999999999</v>
      </c>
      <c r="I458">
        <v>1.5148519999999999E-3</v>
      </c>
      <c r="J458">
        <v>9.0629999999999995E-6</v>
      </c>
      <c r="K458">
        <v>13.934900000000001</v>
      </c>
      <c r="L458">
        <v>3.7443</v>
      </c>
      <c r="M458">
        <v>0</v>
      </c>
      <c r="N458">
        <v>15.3948</v>
      </c>
      <c r="O458">
        <v>0</v>
      </c>
    </row>
    <row r="459" spans="1:15" x14ac:dyDescent="0.25">
      <c r="A459" t="s">
        <v>19</v>
      </c>
      <c r="B459" t="s">
        <v>18</v>
      </c>
      <c r="C459">
        <v>15</v>
      </c>
      <c r="D459">
        <v>100</v>
      </c>
      <c r="E459">
        <v>25600</v>
      </c>
      <c r="F459" t="str">
        <f t="shared" si="7"/>
        <v>tree256_blurkernel10_15_100_25600</v>
      </c>
      <c r="G459">
        <v>9.5530600000000003</v>
      </c>
      <c r="H459">
        <v>18.585435</v>
      </c>
      <c r="I459">
        <v>3.3497790000000002E-3</v>
      </c>
      <c r="J459">
        <v>8.9989999999999997E-6</v>
      </c>
      <c r="K459">
        <v>10.6517</v>
      </c>
      <c r="L459">
        <v>3.7450000000000001</v>
      </c>
      <c r="M459">
        <v>0</v>
      </c>
      <c r="N459">
        <v>13.7378</v>
      </c>
      <c r="O459">
        <v>0</v>
      </c>
    </row>
    <row r="460" spans="1:15" x14ac:dyDescent="0.25">
      <c r="A460" t="s">
        <v>19</v>
      </c>
      <c r="B460" t="s">
        <v>18</v>
      </c>
      <c r="C460">
        <v>15</v>
      </c>
      <c r="D460">
        <v>100</v>
      </c>
      <c r="E460">
        <v>102400</v>
      </c>
      <c r="F460" t="str">
        <f t="shared" si="7"/>
        <v>tree256_blurkernel10_15_100_102400</v>
      </c>
      <c r="G460">
        <v>7.6968230000000002</v>
      </c>
      <c r="H460">
        <v>18.606083000000002</v>
      </c>
      <c r="I460">
        <v>2.0401859000000001E-2</v>
      </c>
      <c r="J460">
        <v>9.0280000000000006E-6</v>
      </c>
      <c r="K460">
        <v>4.2438000000000002</v>
      </c>
      <c r="L460">
        <v>3.7439</v>
      </c>
      <c r="M460">
        <v>0</v>
      </c>
      <c r="N460">
        <v>11.422499999999999</v>
      </c>
      <c r="O460">
        <v>0</v>
      </c>
    </row>
    <row r="461" spans="1:15" x14ac:dyDescent="0.25">
      <c r="A461" t="s">
        <v>19</v>
      </c>
      <c r="B461" t="s">
        <v>18</v>
      </c>
      <c r="C461">
        <v>31</v>
      </c>
      <c r="D461">
        <v>100</v>
      </c>
      <c r="E461">
        <v>200</v>
      </c>
      <c r="F461" t="str">
        <f t="shared" si="7"/>
        <v>tree256_blurkernel10_31_100_200</v>
      </c>
      <c r="G461">
        <v>47.482199999999999</v>
      </c>
      <c r="H461">
        <v>46.987302999999997</v>
      </c>
      <c r="I461">
        <v>1.9916999999999999E-5</v>
      </c>
      <c r="J461">
        <v>9.0650000000000005E-6</v>
      </c>
      <c r="K461">
        <v>32.589700000000001</v>
      </c>
      <c r="L461">
        <v>2.5834999999999999</v>
      </c>
      <c r="M461">
        <v>0</v>
      </c>
      <c r="N461">
        <v>28.9361</v>
      </c>
      <c r="O461">
        <v>0</v>
      </c>
    </row>
    <row r="462" spans="1:15" x14ac:dyDescent="0.25">
      <c r="A462" t="s">
        <v>19</v>
      </c>
      <c r="B462" t="s">
        <v>18</v>
      </c>
      <c r="C462">
        <v>31</v>
      </c>
      <c r="D462">
        <v>100</v>
      </c>
      <c r="E462">
        <v>400</v>
      </c>
      <c r="F462" t="str">
        <f t="shared" si="7"/>
        <v>tree256_blurkernel10_31_100_400</v>
      </c>
      <c r="G462">
        <v>33.468058999999997</v>
      </c>
      <c r="H462">
        <v>42.471096000000003</v>
      </c>
      <c r="I462">
        <v>4.1572000000000001E-5</v>
      </c>
      <c r="J462">
        <v>9.0350000000000007E-6</v>
      </c>
      <c r="K462">
        <v>29.3949</v>
      </c>
      <c r="L462">
        <v>2.5829</v>
      </c>
      <c r="M462">
        <v>0</v>
      </c>
      <c r="N462">
        <v>27.5307</v>
      </c>
      <c r="O462">
        <v>0</v>
      </c>
    </row>
    <row r="463" spans="1:15" x14ac:dyDescent="0.25">
      <c r="A463" t="s">
        <v>19</v>
      </c>
      <c r="B463" t="s">
        <v>18</v>
      </c>
      <c r="C463">
        <v>31</v>
      </c>
      <c r="D463">
        <v>100</v>
      </c>
      <c r="E463">
        <v>800</v>
      </c>
      <c r="F463" t="str">
        <f t="shared" si="7"/>
        <v>tree256_blurkernel10_31_100_800</v>
      </c>
      <c r="G463">
        <v>23.952555</v>
      </c>
      <c r="H463">
        <v>40.269686</v>
      </c>
      <c r="I463">
        <v>8.4560000000000004E-5</v>
      </c>
      <c r="J463">
        <v>9.0650000000000005E-6</v>
      </c>
      <c r="K463">
        <v>26.315300000000001</v>
      </c>
      <c r="L463">
        <v>2.5834999999999999</v>
      </c>
      <c r="M463">
        <v>0</v>
      </c>
      <c r="N463">
        <v>24.561499999999999</v>
      </c>
      <c r="O463">
        <v>0</v>
      </c>
    </row>
    <row r="464" spans="1:15" x14ac:dyDescent="0.25">
      <c r="A464" t="s">
        <v>19</v>
      </c>
      <c r="B464" t="s">
        <v>18</v>
      </c>
      <c r="C464">
        <v>31</v>
      </c>
      <c r="D464">
        <v>100</v>
      </c>
      <c r="E464">
        <v>1600</v>
      </c>
      <c r="F464" t="str">
        <f t="shared" si="7"/>
        <v>tree256_blurkernel10_31_100_1600</v>
      </c>
      <c r="G464">
        <v>17.512598000000001</v>
      </c>
      <c r="H464">
        <v>39.245224</v>
      </c>
      <c r="I464">
        <v>1.70817E-4</v>
      </c>
      <c r="J464">
        <v>9.0350000000000007E-6</v>
      </c>
      <c r="K464">
        <v>23.269600000000001</v>
      </c>
      <c r="L464">
        <v>2.5829</v>
      </c>
      <c r="M464">
        <v>0</v>
      </c>
      <c r="N464">
        <v>21.713000000000001</v>
      </c>
      <c r="O464">
        <v>0</v>
      </c>
    </row>
    <row r="465" spans="1:15" x14ac:dyDescent="0.25">
      <c r="A465" t="s">
        <v>19</v>
      </c>
      <c r="B465" t="s">
        <v>18</v>
      </c>
      <c r="C465">
        <v>31</v>
      </c>
      <c r="D465">
        <v>100</v>
      </c>
      <c r="E465">
        <v>3200</v>
      </c>
      <c r="F465" t="str">
        <f t="shared" si="7"/>
        <v>tree256_blurkernel10_31_100_3200</v>
      </c>
      <c r="G465">
        <v>13.117274999999999</v>
      </c>
      <c r="H465">
        <v>38.627555999999998</v>
      </c>
      <c r="I465">
        <v>3.5029700000000001E-4</v>
      </c>
      <c r="J465">
        <v>9.0650000000000005E-6</v>
      </c>
      <c r="K465">
        <v>20.179200000000002</v>
      </c>
      <c r="L465">
        <v>2.5834999999999999</v>
      </c>
      <c r="M465">
        <v>0</v>
      </c>
      <c r="N465">
        <v>19.051200000000001</v>
      </c>
      <c r="O465">
        <v>0</v>
      </c>
    </row>
    <row r="466" spans="1:15" x14ac:dyDescent="0.25">
      <c r="A466" t="s">
        <v>19</v>
      </c>
      <c r="B466" t="s">
        <v>18</v>
      </c>
      <c r="C466">
        <v>31</v>
      </c>
      <c r="D466">
        <v>100</v>
      </c>
      <c r="E466">
        <v>6400</v>
      </c>
      <c r="F466" t="str">
        <f t="shared" si="7"/>
        <v>tree256_blurkernel10_31_100_6400</v>
      </c>
      <c r="G466">
        <v>10.250254</v>
      </c>
      <c r="H466">
        <v>38.423437999999997</v>
      </c>
      <c r="I466">
        <v>7.2405400000000002E-4</v>
      </c>
      <c r="J466">
        <v>9.0350000000000007E-6</v>
      </c>
      <c r="K466">
        <v>17.0578</v>
      </c>
      <c r="L466">
        <v>2.5829</v>
      </c>
      <c r="M466">
        <v>0</v>
      </c>
      <c r="N466">
        <v>16.570499999999999</v>
      </c>
      <c r="O466">
        <v>0</v>
      </c>
    </row>
    <row r="467" spans="1:15" x14ac:dyDescent="0.25">
      <c r="A467" t="s">
        <v>19</v>
      </c>
      <c r="B467" t="s">
        <v>18</v>
      </c>
      <c r="C467">
        <v>31</v>
      </c>
      <c r="D467">
        <v>100</v>
      </c>
      <c r="E467">
        <v>12800</v>
      </c>
      <c r="F467" t="str">
        <f t="shared" si="7"/>
        <v>tree256_blurkernel10_31_100_12800</v>
      </c>
      <c r="G467">
        <v>8.3539469999999998</v>
      </c>
      <c r="H467">
        <v>38.241383999999996</v>
      </c>
      <c r="I467">
        <v>1.5325919999999999E-3</v>
      </c>
      <c r="J467">
        <v>9.0650000000000005E-6</v>
      </c>
      <c r="K467">
        <v>13.881600000000001</v>
      </c>
      <c r="L467">
        <v>2.5834999999999999</v>
      </c>
      <c r="M467">
        <v>0</v>
      </c>
      <c r="N467">
        <v>14.502800000000001</v>
      </c>
      <c r="O467">
        <v>0</v>
      </c>
    </row>
    <row r="468" spans="1:15" x14ac:dyDescent="0.25">
      <c r="A468" t="s">
        <v>19</v>
      </c>
      <c r="B468" t="s">
        <v>18</v>
      </c>
      <c r="C468">
        <v>31</v>
      </c>
      <c r="D468">
        <v>100</v>
      </c>
      <c r="E468">
        <v>25600</v>
      </c>
      <c r="F468" t="str">
        <f t="shared" si="7"/>
        <v>tree256_blurkernel10_31_100_25600</v>
      </c>
      <c r="G468">
        <v>7.1056439999999998</v>
      </c>
      <c r="H468">
        <v>38.265574000000001</v>
      </c>
      <c r="I468">
        <v>3.3413430000000001E-3</v>
      </c>
      <c r="J468">
        <v>9.0350000000000007E-6</v>
      </c>
      <c r="K468">
        <v>10.678000000000001</v>
      </c>
      <c r="L468">
        <v>2.5829</v>
      </c>
      <c r="M468">
        <v>0</v>
      </c>
      <c r="N468">
        <v>13.0349</v>
      </c>
      <c r="O468">
        <v>0</v>
      </c>
    </row>
    <row r="469" spans="1:15" x14ac:dyDescent="0.25">
      <c r="A469" t="s">
        <v>19</v>
      </c>
      <c r="B469" t="s">
        <v>18</v>
      </c>
      <c r="C469">
        <v>31</v>
      </c>
      <c r="D469">
        <v>100</v>
      </c>
      <c r="E469">
        <v>102400</v>
      </c>
      <c r="F469" t="str">
        <f t="shared" si="7"/>
        <v>tree256_blurkernel10_31_100_102400</v>
      </c>
      <c r="G469">
        <v>5.2471819999999996</v>
      </c>
      <c r="H469">
        <v>38.041680999999997</v>
      </c>
      <c r="I469">
        <v>2.0232468E-2</v>
      </c>
      <c r="J469">
        <v>9.1589999999999999E-6</v>
      </c>
      <c r="K469">
        <v>4.2729999999999997</v>
      </c>
      <c r="L469">
        <v>2.5836000000000001</v>
      </c>
      <c r="M469">
        <v>0</v>
      </c>
      <c r="N469">
        <v>9.8414999999999999</v>
      </c>
      <c r="O469">
        <v>0</v>
      </c>
    </row>
    <row r="470" spans="1:15" x14ac:dyDescent="0.25">
      <c r="A470" t="s">
        <v>19</v>
      </c>
      <c r="B470" t="s">
        <v>15</v>
      </c>
      <c r="C470">
        <v>3</v>
      </c>
      <c r="D470">
        <v>100</v>
      </c>
      <c r="E470">
        <v>200</v>
      </c>
      <c r="F470" t="str">
        <f t="shared" si="7"/>
        <v>tree256_blurkernel7_3_100_200</v>
      </c>
      <c r="G470">
        <v>54.790940999999997</v>
      </c>
      <c r="H470">
        <v>3.9670730000000001</v>
      </c>
      <c r="I470">
        <v>1.9989000000000001E-5</v>
      </c>
      <c r="J470">
        <v>9.0529999999999996E-6</v>
      </c>
      <c r="K470">
        <v>32.5749</v>
      </c>
      <c r="L470">
        <v>12.2668</v>
      </c>
      <c r="M470">
        <v>0</v>
      </c>
      <c r="N470">
        <v>32.156999999999996</v>
      </c>
      <c r="O470">
        <v>0</v>
      </c>
    </row>
    <row r="471" spans="1:15" x14ac:dyDescent="0.25">
      <c r="A471" t="s">
        <v>19</v>
      </c>
      <c r="B471" t="s">
        <v>15</v>
      </c>
      <c r="C471">
        <v>3</v>
      </c>
      <c r="D471">
        <v>100</v>
      </c>
      <c r="E471">
        <v>400</v>
      </c>
      <c r="F471" t="str">
        <f t="shared" si="7"/>
        <v>tree256_blurkernel7_3_100_400</v>
      </c>
      <c r="G471">
        <v>43.490560000000002</v>
      </c>
      <c r="H471">
        <v>3.6311969999999998</v>
      </c>
      <c r="I471">
        <v>4.1112000000000002E-5</v>
      </c>
      <c r="J471">
        <v>9.0529999999999996E-6</v>
      </c>
      <c r="K471">
        <v>29.443899999999999</v>
      </c>
      <c r="L471">
        <v>12.2668</v>
      </c>
      <c r="M471">
        <v>0</v>
      </c>
      <c r="N471">
        <v>29.343800000000002</v>
      </c>
      <c r="O471">
        <v>0</v>
      </c>
    </row>
    <row r="472" spans="1:15" x14ac:dyDescent="0.25">
      <c r="A472" t="s">
        <v>19</v>
      </c>
      <c r="B472" t="s">
        <v>15</v>
      </c>
      <c r="C472">
        <v>3</v>
      </c>
      <c r="D472">
        <v>100</v>
      </c>
      <c r="E472">
        <v>800</v>
      </c>
      <c r="F472" t="str">
        <f t="shared" si="7"/>
        <v>tree256_blurkernel7_3_100_800</v>
      </c>
      <c r="G472">
        <v>36.739921000000002</v>
      </c>
      <c r="H472">
        <v>3.4585650000000001</v>
      </c>
      <c r="I472">
        <v>8.4253999999999997E-5</v>
      </c>
      <c r="J472">
        <v>9.0529999999999996E-6</v>
      </c>
      <c r="K472">
        <v>26.331800000000001</v>
      </c>
      <c r="L472">
        <v>12.2668</v>
      </c>
      <c r="M472">
        <v>0</v>
      </c>
      <c r="N472">
        <v>26.505400000000002</v>
      </c>
      <c r="O472">
        <v>0</v>
      </c>
    </row>
    <row r="473" spans="1:15" x14ac:dyDescent="0.25">
      <c r="A473" t="s">
        <v>19</v>
      </c>
      <c r="B473" t="s">
        <v>15</v>
      </c>
      <c r="C473">
        <v>3</v>
      </c>
      <c r="D473">
        <v>100</v>
      </c>
      <c r="E473">
        <v>1600</v>
      </c>
      <c r="F473" t="str">
        <f t="shared" si="7"/>
        <v>tree256_blurkernel7_3_100_1600</v>
      </c>
      <c r="G473">
        <v>32.901822000000003</v>
      </c>
      <c r="H473">
        <v>3.3755440000000001</v>
      </c>
      <c r="I473">
        <v>1.7058899999999999E-4</v>
      </c>
      <c r="J473">
        <v>9.0529999999999996E-6</v>
      </c>
      <c r="K473">
        <v>23.273199999999999</v>
      </c>
      <c r="L473">
        <v>12.2668</v>
      </c>
      <c r="M473">
        <v>0</v>
      </c>
      <c r="N473">
        <v>23.489799999999999</v>
      </c>
      <c r="O473">
        <v>0</v>
      </c>
    </row>
    <row r="474" spans="1:15" x14ac:dyDescent="0.25">
      <c r="A474" t="s">
        <v>19</v>
      </c>
      <c r="B474" t="s">
        <v>15</v>
      </c>
      <c r="C474">
        <v>3</v>
      </c>
      <c r="D474">
        <v>100</v>
      </c>
      <c r="E474">
        <v>3200</v>
      </c>
      <c r="F474" t="str">
        <f t="shared" si="7"/>
        <v>tree256_blurkernel7_3_100_3200</v>
      </c>
      <c r="G474">
        <v>30.611785999999999</v>
      </c>
      <c r="H474">
        <v>3.3406940000000001</v>
      </c>
      <c r="I474">
        <v>3.4796700000000002E-4</v>
      </c>
      <c r="J474">
        <v>9.0529999999999996E-6</v>
      </c>
      <c r="K474">
        <v>20.192399999999999</v>
      </c>
      <c r="L474">
        <v>12.2668</v>
      </c>
      <c r="M474">
        <v>0</v>
      </c>
      <c r="N474">
        <v>20.493300000000001</v>
      </c>
      <c r="O474">
        <v>0</v>
      </c>
    </row>
    <row r="475" spans="1:15" x14ac:dyDescent="0.25">
      <c r="A475" t="s">
        <v>19</v>
      </c>
      <c r="B475" t="s">
        <v>15</v>
      </c>
      <c r="C475">
        <v>3</v>
      </c>
      <c r="D475">
        <v>100</v>
      </c>
      <c r="E475">
        <v>6400</v>
      </c>
      <c r="F475" t="str">
        <f t="shared" si="7"/>
        <v>tree256_blurkernel7_3_100_6400</v>
      </c>
      <c r="G475">
        <v>29.028027000000002</v>
      </c>
      <c r="H475">
        <v>3.3369879999999998</v>
      </c>
      <c r="I475">
        <v>7.0985899999999997E-4</v>
      </c>
      <c r="J475">
        <v>9.0529999999999996E-6</v>
      </c>
      <c r="K475">
        <v>17.134</v>
      </c>
      <c r="L475">
        <v>12.2668</v>
      </c>
      <c r="M475">
        <v>0</v>
      </c>
      <c r="N475">
        <v>18.318300000000001</v>
      </c>
      <c r="O475">
        <v>0</v>
      </c>
    </row>
    <row r="476" spans="1:15" x14ac:dyDescent="0.25">
      <c r="A476" t="s">
        <v>19</v>
      </c>
      <c r="B476" t="s">
        <v>15</v>
      </c>
      <c r="C476">
        <v>3</v>
      </c>
      <c r="D476">
        <v>100</v>
      </c>
      <c r="E476">
        <v>12800</v>
      </c>
      <c r="F476" t="str">
        <f t="shared" si="7"/>
        <v>tree256_blurkernel7_3_100_12800</v>
      </c>
      <c r="G476">
        <v>27.491786000000001</v>
      </c>
      <c r="H476">
        <v>3.3577729999999999</v>
      </c>
      <c r="I476">
        <v>1.523749E-3</v>
      </c>
      <c r="J476">
        <v>9.0529999999999996E-6</v>
      </c>
      <c r="K476">
        <v>13.899100000000001</v>
      </c>
      <c r="L476">
        <v>12.2668</v>
      </c>
      <c r="M476">
        <v>0</v>
      </c>
      <c r="N476">
        <v>18.230699999999999</v>
      </c>
      <c r="O476">
        <v>0</v>
      </c>
    </row>
    <row r="477" spans="1:15" x14ac:dyDescent="0.25">
      <c r="A477" t="s">
        <v>19</v>
      </c>
      <c r="B477" t="s">
        <v>15</v>
      </c>
      <c r="C477">
        <v>3</v>
      </c>
      <c r="D477">
        <v>100</v>
      </c>
      <c r="E477">
        <v>25600</v>
      </c>
      <c r="F477" t="str">
        <f t="shared" si="7"/>
        <v>tree256_blurkernel7_3_100_25600</v>
      </c>
      <c r="G477">
        <v>25.908075</v>
      </c>
      <c r="H477">
        <v>3.3938790000000001</v>
      </c>
      <c r="I477">
        <v>3.3627069999999999E-3</v>
      </c>
      <c r="J477">
        <v>9.0529999999999996E-6</v>
      </c>
      <c r="K477">
        <v>10.6454</v>
      </c>
      <c r="L477">
        <v>12.2668</v>
      </c>
      <c r="M477">
        <v>0</v>
      </c>
      <c r="N477">
        <v>17.1555</v>
      </c>
      <c r="O477">
        <v>0</v>
      </c>
    </row>
    <row r="478" spans="1:15" x14ac:dyDescent="0.25">
      <c r="A478" t="s">
        <v>19</v>
      </c>
      <c r="B478" t="s">
        <v>15</v>
      </c>
      <c r="C478">
        <v>3</v>
      </c>
      <c r="D478">
        <v>100</v>
      </c>
      <c r="E478">
        <v>102400</v>
      </c>
      <c r="F478" t="str">
        <f t="shared" si="7"/>
        <v>tree256_blurkernel7_3_100_102400</v>
      </c>
      <c r="G478">
        <v>22.976671</v>
      </c>
      <c r="H478">
        <v>3.4484499999999998</v>
      </c>
      <c r="I478">
        <v>2.0291667999999999E-2</v>
      </c>
      <c r="J478">
        <v>9.1309999999999995E-6</v>
      </c>
      <c r="K478">
        <v>4.2618</v>
      </c>
      <c r="L478">
        <v>12.2697</v>
      </c>
      <c r="M478">
        <v>0</v>
      </c>
      <c r="N478">
        <v>16.894100000000002</v>
      </c>
      <c r="O478">
        <v>0</v>
      </c>
    </row>
    <row r="479" spans="1:15" x14ac:dyDescent="0.25">
      <c r="A479" t="s">
        <v>19</v>
      </c>
      <c r="B479" t="s">
        <v>15</v>
      </c>
      <c r="C479">
        <v>7</v>
      </c>
      <c r="D479">
        <v>100</v>
      </c>
      <c r="E479">
        <v>200</v>
      </c>
      <c r="F479" t="str">
        <f t="shared" si="7"/>
        <v>tree256_blurkernel7_7_100_200</v>
      </c>
      <c r="G479">
        <v>49.406202999999998</v>
      </c>
      <c r="H479">
        <v>10.327904999999999</v>
      </c>
      <c r="I479">
        <v>1.9680000000000001E-5</v>
      </c>
      <c r="J479">
        <v>9.115E-6</v>
      </c>
      <c r="K479">
        <v>32.642699999999998</v>
      </c>
      <c r="L479">
        <v>6.8844000000000003</v>
      </c>
      <c r="M479">
        <v>0</v>
      </c>
      <c r="N479">
        <v>31.498699999999999</v>
      </c>
      <c r="O479">
        <v>0</v>
      </c>
    </row>
    <row r="480" spans="1:15" x14ac:dyDescent="0.25">
      <c r="A480" t="s">
        <v>19</v>
      </c>
      <c r="B480" t="s">
        <v>15</v>
      </c>
      <c r="C480">
        <v>7</v>
      </c>
      <c r="D480">
        <v>100</v>
      </c>
      <c r="E480">
        <v>400</v>
      </c>
      <c r="F480" t="str">
        <f t="shared" si="7"/>
        <v>tree256_blurkernel7_7_100_400</v>
      </c>
      <c r="G480">
        <v>35.862299999999998</v>
      </c>
      <c r="H480">
        <v>9.4055619999999998</v>
      </c>
      <c r="I480">
        <v>4.1083E-5</v>
      </c>
      <c r="J480">
        <v>9.115E-6</v>
      </c>
      <c r="K480">
        <v>29.447099999999999</v>
      </c>
      <c r="L480">
        <v>6.8844000000000003</v>
      </c>
      <c r="M480">
        <v>0</v>
      </c>
      <c r="N480">
        <v>28.481400000000001</v>
      </c>
      <c r="O480">
        <v>0</v>
      </c>
    </row>
    <row r="481" spans="1:15" x14ac:dyDescent="0.25">
      <c r="A481" t="s">
        <v>19</v>
      </c>
      <c r="B481" t="s">
        <v>15</v>
      </c>
      <c r="C481">
        <v>7</v>
      </c>
      <c r="D481">
        <v>100</v>
      </c>
      <c r="E481">
        <v>800</v>
      </c>
      <c r="F481" t="str">
        <f t="shared" si="7"/>
        <v>tree256_blurkernel7_7_100_800</v>
      </c>
      <c r="G481">
        <v>27.342047999999998</v>
      </c>
      <c r="H481">
        <v>8.9453029999999991</v>
      </c>
      <c r="I481">
        <v>8.3205E-5</v>
      </c>
      <c r="J481">
        <v>9.115E-6</v>
      </c>
      <c r="K481">
        <v>26.386099999999999</v>
      </c>
      <c r="L481">
        <v>6.8844000000000003</v>
      </c>
      <c r="M481">
        <v>0</v>
      </c>
      <c r="N481">
        <v>25.628399999999999</v>
      </c>
      <c r="O481">
        <v>0</v>
      </c>
    </row>
    <row r="482" spans="1:15" x14ac:dyDescent="0.25">
      <c r="A482" t="s">
        <v>19</v>
      </c>
      <c r="B482" t="s">
        <v>15</v>
      </c>
      <c r="C482">
        <v>7</v>
      </c>
      <c r="D482">
        <v>100</v>
      </c>
      <c r="E482">
        <v>1600</v>
      </c>
      <c r="F482" t="str">
        <f t="shared" si="7"/>
        <v>tree256_blurkernel7_7_100_1600</v>
      </c>
      <c r="G482">
        <v>21.849395000000001</v>
      </c>
      <c r="H482">
        <v>8.7077360000000006</v>
      </c>
      <c r="I482">
        <v>1.70693E-4</v>
      </c>
      <c r="J482">
        <v>9.115E-6</v>
      </c>
      <c r="K482">
        <v>23.2714</v>
      </c>
      <c r="L482">
        <v>6.8844000000000003</v>
      </c>
      <c r="M482">
        <v>0</v>
      </c>
      <c r="N482">
        <v>22.652899999999999</v>
      </c>
      <c r="O482">
        <v>0</v>
      </c>
    </row>
    <row r="483" spans="1:15" x14ac:dyDescent="0.25">
      <c r="A483" t="s">
        <v>19</v>
      </c>
      <c r="B483" t="s">
        <v>15</v>
      </c>
      <c r="C483">
        <v>7</v>
      </c>
      <c r="D483">
        <v>100</v>
      </c>
      <c r="E483">
        <v>3200</v>
      </c>
      <c r="F483" t="str">
        <f t="shared" si="7"/>
        <v>tree256_blurkernel7_7_100_3200</v>
      </c>
      <c r="G483">
        <v>18.509038</v>
      </c>
      <c r="H483">
        <v>8.5949989999999996</v>
      </c>
      <c r="I483">
        <v>3.49797E-4</v>
      </c>
      <c r="J483">
        <v>9.115E-6</v>
      </c>
      <c r="K483">
        <v>20.1709</v>
      </c>
      <c r="L483">
        <v>6.8844000000000003</v>
      </c>
      <c r="M483">
        <v>0</v>
      </c>
      <c r="N483">
        <v>19.8779</v>
      </c>
      <c r="O483">
        <v>0</v>
      </c>
    </row>
    <row r="484" spans="1:15" x14ac:dyDescent="0.25">
      <c r="A484" t="s">
        <v>19</v>
      </c>
      <c r="B484" t="s">
        <v>15</v>
      </c>
      <c r="C484">
        <v>7</v>
      </c>
      <c r="D484">
        <v>100</v>
      </c>
      <c r="E484">
        <v>6400</v>
      </c>
      <c r="F484" t="str">
        <f t="shared" si="7"/>
        <v>tree256_blurkernel7_7_100_6400</v>
      </c>
      <c r="G484">
        <v>16.532527000000002</v>
      </c>
      <c r="H484">
        <v>8.5453849999999996</v>
      </c>
      <c r="I484">
        <v>7.1558199999999998E-4</v>
      </c>
      <c r="J484">
        <v>9.115E-6</v>
      </c>
      <c r="K484">
        <v>17.099299999999999</v>
      </c>
      <c r="L484">
        <v>6.8844000000000003</v>
      </c>
      <c r="M484">
        <v>0</v>
      </c>
      <c r="N484">
        <v>17.152000000000001</v>
      </c>
      <c r="O484">
        <v>0</v>
      </c>
    </row>
    <row r="485" spans="1:15" x14ac:dyDescent="0.25">
      <c r="A485" t="s">
        <v>19</v>
      </c>
      <c r="B485" t="s">
        <v>15</v>
      </c>
      <c r="C485">
        <v>7</v>
      </c>
      <c r="D485">
        <v>100</v>
      </c>
      <c r="E485">
        <v>12800</v>
      </c>
      <c r="F485" t="str">
        <f t="shared" si="7"/>
        <v>tree256_blurkernel7_7_100_12800</v>
      </c>
      <c r="G485">
        <v>15.246983</v>
      </c>
      <c r="H485">
        <v>8.5299990000000001</v>
      </c>
      <c r="I485">
        <v>1.5156169999999999E-3</v>
      </c>
      <c r="J485">
        <v>9.115E-6</v>
      </c>
      <c r="K485">
        <v>13.9251</v>
      </c>
      <c r="L485">
        <v>6.8844000000000003</v>
      </c>
      <c r="M485">
        <v>0</v>
      </c>
      <c r="N485">
        <v>14.625</v>
      </c>
      <c r="O485">
        <v>0</v>
      </c>
    </row>
    <row r="486" spans="1:15" x14ac:dyDescent="0.25">
      <c r="A486" t="s">
        <v>19</v>
      </c>
      <c r="B486" t="s">
        <v>15</v>
      </c>
      <c r="C486">
        <v>7</v>
      </c>
      <c r="D486">
        <v>100</v>
      </c>
      <c r="E486">
        <v>25600</v>
      </c>
      <c r="F486" t="str">
        <f t="shared" si="7"/>
        <v>tree256_blurkernel7_7_100_25600</v>
      </c>
      <c r="G486">
        <v>14.319034</v>
      </c>
      <c r="H486">
        <v>8.5343140000000002</v>
      </c>
      <c r="I486">
        <v>3.349309E-3</v>
      </c>
      <c r="J486">
        <v>9.115E-6</v>
      </c>
      <c r="K486">
        <v>10.6509</v>
      </c>
      <c r="L486">
        <v>6.8844000000000003</v>
      </c>
      <c r="M486">
        <v>0</v>
      </c>
      <c r="N486">
        <v>12.8811</v>
      </c>
      <c r="O486">
        <v>0</v>
      </c>
    </row>
    <row r="487" spans="1:15" x14ac:dyDescent="0.25">
      <c r="A487" t="s">
        <v>19</v>
      </c>
      <c r="B487" t="s">
        <v>15</v>
      </c>
      <c r="C487">
        <v>7</v>
      </c>
      <c r="D487">
        <v>100</v>
      </c>
      <c r="E487">
        <v>102400</v>
      </c>
      <c r="F487" t="str">
        <f t="shared" si="7"/>
        <v>tree256_blurkernel7_7_100_102400</v>
      </c>
      <c r="G487">
        <v>12.324299</v>
      </c>
      <c r="H487">
        <v>8.567952</v>
      </c>
      <c r="I487">
        <v>2.0362646000000002E-2</v>
      </c>
      <c r="J487">
        <v>9.1579999999999994E-6</v>
      </c>
      <c r="K487">
        <v>4.2450000000000001</v>
      </c>
      <c r="L487">
        <v>6.8861999999999997</v>
      </c>
      <c r="M487">
        <v>0</v>
      </c>
      <c r="N487">
        <v>10.8192</v>
      </c>
      <c r="O487">
        <v>0</v>
      </c>
    </row>
    <row r="488" spans="1:15" x14ac:dyDescent="0.25">
      <c r="A488" t="s">
        <v>19</v>
      </c>
      <c r="B488" t="s">
        <v>15</v>
      </c>
      <c r="C488">
        <v>15</v>
      </c>
      <c r="D488">
        <v>100</v>
      </c>
      <c r="E488">
        <v>200</v>
      </c>
      <c r="F488" t="str">
        <f t="shared" si="7"/>
        <v>tree256_blurkernel7_15_100_200</v>
      </c>
      <c r="G488">
        <v>48.107805999999997</v>
      </c>
      <c r="H488">
        <v>22.660655999999999</v>
      </c>
      <c r="I488">
        <v>1.9701E-5</v>
      </c>
      <c r="J488">
        <v>9.0769999999999997E-6</v>
      </c>
      <c r="K488">
        <v>32.637099999999997</v>
      </c>
      <c r="L488">
        <v>3.9241999999999999</v>
      </c>
      <c r="M488">
        <v>0</v>
      </c>
      <c r="N488">
        <v>31.291699999999999</v>
      </c>
      <c r="O488">
        <v>0</v>
      </c>
    </row>
    <row r="489" spans="1:15" x14ac:dyDescent="0.25">
      <c r="A489" t="s">
        <v>19</v>
      </c>
      <c r="B489" t="s">
        <v>15</v>
      </c>
      <c r="C489">
        <v>15</v>
      </c>
      <c r="D489">
        <v>100</v>
      </c>
      <c r="E489">
        <v>400</v>
      </c>
      <c r="F489" t="str">
        <f t="shared" si="7"/>
        <v>tree256_blurkernel7_15_100_400</v>
      </c>
      <c r="G489">
        <v>34.001404999999998</v>
      </c>
      <c r="H489">
        <v>20.682673999999999</v>
      </c>
      <c r="I489">
        <v>4.0729000000000003E-5</v>
      </c>
      <c r="J489">
        <v>9.0189999999999995E-6</v>
      </c>
      <c r="K489">
        <v>29.485199999999999</v>
      </c>
      <c r="L489">
        <v>3.9249000000000001</v>
      </c>
      <c r="M489">
        <v>0</v>
      </c>
      <c r="N489">
        <v>28.314800000000002</v>
      </c>
      <c r="O489">
        <v>0</v>
      </c>
    </row>
    <row r="490" spans="1:15" x14ac:dyDescent="0.25">
      <c r="A490" t="s">
        <v>19</v>
      </c>
      <c r="B490" t="s">
        <v>15</v>
      </c>
      <c r="C490">
        <v>15</v>
      </c>
      <c r="D490">
        <v>100</v>
      </c>
      <c r="E490">
        <v>800</v>
      </c>
      <c r="F490" t="str">
        <f t="shared" si="7"/>
        <v>tree256_blurkernel7_15_100_800</v>
      </c>
      <c r="G490">
        <v>24.277318999999999</v>
      </c>
      <c r="H490">
        <v>19.553874</v>
      </c>
      <c r="I490">
        <v>8.5269E-5</v>
      </c>
      <c r="J490">
        <v>9.0769999999999997E-6</v>
      </c>
      <c r="K490">
        <v>26.2807</v>
      </c>
      <c r="L490">
        <v>3.9241999999999999</v>
      </c>
      <c r="M490">
        <v>0</v>
      </c>
      <c r="N490">
        <v>25.3369</v>
      </c>
      <c r="O490">
        <v>0</v>
      </c>
    </row>
    <row r="491" spans="1:15" x14ac:dyDescent="0.25">
      <c r="A491" t="s">
        <v>19</v>
      </c>
      <c r="B491" t="s">
        <v>15</v>
      </c>
      <c r="C491">
        <v>15</v>
      </c>
      <c r="D491">
        <v>100</v>
      </c>
      <c r="E491">
        <v>1600</v>
      </c>
      <c r="F491" t="str">
        <f t="shared" si="7"/>
        <v>tree256_blurkernel7_15_100_1600</v>
      </c>
      <c r="G491">
        <v>18.061159</v>
      </c>
      <c r="H491">
        <v>19.096533000000001</v>
      </c>
      <c r="I491">
        <v>1.7312999999999999E-4</v>
      </c>
      <c r="J491">
        <v>9.0189999999999995E-6</v>
      </c>
      <c r="K491">
        <v>23.211600000000001</v>
      </c>
      <c r="L491">
        <v>3.9249000000000001</v>
      </c>
      <c r="M491">
        <v>0</v>
      </c>
      <c r="N491">
        <v>22.5745</v>
      </c>
      <c r="O491">
        <v>0</v>
      </c>
    </row>
    <row r="492" spans="1:15" x14ac:dyDescent="0.25">
      <c r="A492" t="s">
        <v>19</v>
      </c>
      <c r="B492" t="s">
        <v>15</v>
      </c>
      <c r="C492">
        <v>15</v>
      </c>
      <c r="D492">
        <v>100</v>
      </c>
      <c r="E492">
        <v>3200</v>
      </c>
      <c r="F492" t="str">
        <f t="shared" si="7"/>
        <v>tree256_blurkernel7_15_100_3200</v>
      </c>
      <c r="G492">
        <v>13.969728</v>
      </c>
      <c r="H492">
        <v>18.786611000000001</v>
      </c>
      <c r="I492">
        <v>3.4898900000000002E-4</v>
      </c>
      <c r="J492">
        <v>9.0769999999999997E-6</v>
      </c>
      <c r="K492">
        <v>20.188500000000001</v>
      </c>
      <c r="L492">
        <v>3.9241999999999999</v>
      </c>
      <c r="M492">
        <v>0</v>
      </c>
      <c r="N492">
        <v>19.9712</v>
      </c>
      <c r="O492">
        <v>0</v>
      </c>
    </row>
    <row r="493" spans="1:15" x14ac:dyDescent="0.25">
      <c r="A493" t="s">
        <v>19</v>
      </c>
      <c r="B493" t="s">
        <v>15</v>
      </c>
      <c r="C493">
        <v>15</v>
      </c>
      <c r="D493">
        <v>100</v>
      </c>
      <c r="E493">
        <v>6400</v>
      </c>
      <c r="F493" t="str">
        <f t="shared" si="7"/>
        <v>tree256_blurkernel7_15_100_6400</v>
      </c>
      <c r="G493">
        <v>11.280551000000001</v>
      </c>
      <c r="H493">
        <v>18.723314999999999</v>
      </c>
      <c r="I493">
        <v>7.2409799999999995E-4</v>
      </c>
      <c r="J493">
        <v>9.0189999999999995E-6</v>
      </c>
      <c r="K493">
        <v>17.057099999999998</v>
      </c>
      <c r="L493">
        <v>3.9249000000000001</v>
      </c>
      <c r="M493">
        <v>0</v>
      </c>
      <c r="N493">
        <v>17.328299999999999</v>
      </c>
      <c r="O493">
        <v>0</v>
      </c>
    </row>
    <row r="494" spans="1:15" x14ac:dyDescent="0.25">
      <c r="A494" t="s">
        <v>19</v>
      </c>
      <c r="B494" t="s">
        <v>15</v>
      </c>
      <c r="C494">
        <v>15</v>
      </c>
      <c r="D494">
        <v>100</v>
      </c>
      <c r="E494">
        <v>12800</v>
      </c>
      <c r="F494" t="str">
        <f t="shared" si="7"/>
        <v>tree256_blurkernel7_15_100_12800</v>
      </c>
      <c r="G494">
        <v>9.5204579999999996</v>
      </c>
      <c r="H494">
        <v>18.613385999999998</v>
      </c>
      <c r="I494">
        <v>1.521456E-3</v>
      </c>
      <c r="J494">
        <v>9.0769999999999997E-6</v>
      </c>
      <c r="K494">
        <v>13.9137</v>
      </c>
      <c r="L494">
        <v>3.9241999999999999</v>
      </c>
      <c r="M494">
        <v>0</v>
      </c>
      <c r="N494">
        <v>14.965</v>
      </c>
      <c r="O494">
        <v>0</v>
      </c>
    </row>
    <row r="495" spans="1:15" x14ac:dyDescent="0.25">
      <c r="A495" t="s">
        <v>19</v>
      </c>
      <c r="B495" t="s">
        <v>15</v>
      </c>
      <c r="C495">
        <v>15</v>
      </c>
      <c r="D495">
        <v>100</v>
      </c>
      <c r="E495">
        <v>25600</v>
      </c>
      <c r="F495" t="str">
        <f t="shared" si="7"/>
        <v>tree256_blurkernel7_15_100_25600</v>
      </c>
      <c r="G495">
        <v>8.3662840000000003</v>
      </c>
      <c r="H495">
        <v>18.660152</v>
      </c>
      <c r="I495">
        <v>3.3507189999999998E-3</v>
      </c>
      <c r="J495">
        <v>9.0189999999999995E-6</v>
      </c>
      <c r="K495">
        <v>10.6739</v>
      </c>
      <c r="L495">
        <v>3.9249000000000001</v>
      </c>
      <c r="M495">
        <v>0</v>
      </c>
      <c r="N495">
        <v>12.907500000000001</v>
      </c>
      <c r="O495">
        <v>0</v>
      </c>
    </row>
    <row r="496" spans="1:15" x14ac:dyDescent="0.25">
      <c r="A496" t="s">
        <v>19</v>
      </c>
      <c r="B496" t="s">
        <v>15</v>
      </c>
      <c r="C496">
        <v>15</v>
      </c>
      <c r="D496">
        <v>100</v>
      </c>
      <c r="E496">
        <v>102400</v>
      </c>
      <c r="F496" t="str">
        <f t="shared" si="7"/>
        <v>tree256_blurkernel7_15_100_102400</v>
      </c>
      <c r="G496">
        <v>6.8496040000000002</v>
      </c>
      <c r="H496">
        <v>18.692193</v>
      </c>
      <c r="I496">
        <v>2.0364924E-2</v>
      </c>
      <c r="J496">
        <v>9.0040000000000005E-6</v>
      </c>
      <c r="K496">
        <v>4.2492000000000001</v>
      </c>
      <c r="L496">
        <v>3.923</v>
      </c>
      <c r="M496">
        <v>0</v>
      </c>
      <c r="N496">
        <v>10.187099999999999</v>
      </c>
      <c r="O496">
        <v>0</v>
      </c>
    </row>
    <row r="497" spans="1:15" x14ac:dyDescent="0.25">
      <c r="A497" t="s">
        <v>19</v>
      </c>
      <c r="B497" t="s">
        <v>15</v>
      </c>
      <c r="C497">
        <v>31</v>
      </c>
      <c r="D497">
        <v>100</v>
      </c>
      <c r="E497">
        <v>200</v>
      </c>
      <c r="F497" t="str">
        <f t="shared" si="7"/>
        <v>tree256_blurkernel7_31_100_200</v>
      </c>
      <c r="G497">
        <v>47.848211999999997</v>
      </c>
      <c r="H497">
        <v>46.925899000000001</v>
      </c>
      <c r="I497">
        <v>1.9695E-5</v>
      </c>
      <c r="J497">
        <v>9.1079999999999999E-6</v>
      </c>
      <c r="K497">
        <v>32.639400000000002</v>
      </c>
      <c r="L497">
        <v>2.4207999999999998</v>
      </c>
      <c r="M497">
        <v>0</v>
      </c>
      <c r="N497">
        <v>31.204499999999999</v>
      </c>
      <c r="O497">
        <v>0</v>
      </c>
    </row>
    <row r="498" spans="1:15" x14ac:dyDescent="0.25">
      <c r="A498" t="s">
        <v>19</v>
      </c>
      <c r="B498" t="s">
        <v>15</v>
      </c>
      <c r="C498">
        <v>31</v>
      </c>
      <c r="D498">
        <v>100</v>
      </c>
      <c r="E498">
        <v>400</v>
      </c>
      <c r="F498" t="str">
        <f t="shared" si="7"/>
        <v>tree256_blurkernel7_31_100_400</v>
      </c>
      <c r="G498">
        <v>33.283107999999999</v>
      </c>
      <c r="H498">
        <v>42.835003999999998</v>
      </c>
      <c r="I498">
        <v>4.1223000000000002E-5</v>
      </c>
      <c r="J498">
        <v>8.9800000000000004E-6</v>
      </c>
      <c r="K498">
        <v>29.433599999999998</v>
      </c>
      <c r="L498">
        <v>2.42</v>
      </c>
      <c r="M498">
        <v>0</v>
      </c>
      <c r="N498">
        <v>28.108699999999999</v>
      </c>
      <c r="O498">
        <v>0</v>
      </c>
    </row>
    <row r="499" spans="1:15" x14ac:dyDescent="0.25">
      <c r="A499" t="s">
        <v>19</v>
      </c>
      <c r="B499" t="s">
        <v>15</v>
      </c>
      <c r="C499">
        <v>31</v>
      </c>
      <c r="D499">
        <v>100</v>
      </c>
      <c r="E499">
        <v>800</v>
      </c>
      <c r="F499" t="str">
        <f t="shared" si="7"/>
        <v>tree256_blurkernel7_31_100_800</v>
      </c>
      <c r="G499">
        <v>23.657579999999999</v>
      </c>
      <c r="H499">
        <v>40.429636000000002</v>
      </c>
      <c r="I499">
        <v>8.3503000000000003E-5</v>
      </c>
      <c r="J499">
        <v>9.1079999999999999E-6</v>
      </c>
      <c r="K499">
        <v>26.369199999999999</v>
      </c>
      <c r="L499">
        <v>2.4207999999999998</v>
      </c>
      <c r="M499">
        <v>0</v>
      </c>
      <c r="N499">
        <v>25.235099999999999</v>
      </c>
      <c r="O499">
        <v>0</v>
      </c>
    </row>
    <row r="500" spans="1:15" x14ac:dyDescent="0.25">
      <c r="A500" t="s">
        <v>19</v>
      </c>
      <c r="B500" t="s">
        <v>15</v>
      </c>
      <c r="C500">
        <v>31</v>
      </c>
      <c r="D500">
        <v>100</v>
      </c>
      <c r="E500">
        <v>1600</v>
      </c>
      <c r="F500" t="str">
        <f t="shared" si="7"/>
        <v>tree256_blurkernel7_31_100_1600</v>
      </c>
      <c r="G500">
        <v>16.939806999999998</v>
      </c>
      <c r="H500">
        <v>39.566312000000003</v>
      </c>
      <c r="I500">
        <v>1.7102999999999999E-4</v>
      </c>
      <c r="J500">
        <v>8.9800000000000004E-6</v>
      </c>
      <c r="K500">
        <v>23.258400000000002</v>
      </c>
      <c r="L500">
        <v>2.42</v>
      </c>
      <c r="M500">
        <v>0</v>
      </c>
      <c r="N500">
        <v>22.3002</v>
      </c>
      <c r="O500">
        <v>0</v>
      </c>
    </row>
    <row r="501" spans="1:15" x14ac:dyDescent="0.25">
      <c r="A501" t="s">
        <v>19</v>
      </c>
      <c r="B501" t="s">
        <v>15</v>
      </c>
      <c r="C501">
        <v>31</v>
      </c>
      <c r="D501">
        <v>100</v>
      </c>
      <c r="E501">
        <v>3200</v>
      </c>
      <c r="F501" t="str">
        <f t="shared" si="7"/>
        <v>tree256_blurkernel7_31_100_3200</v>
      </c>
      <c r="G501">
        <v>12.403219</v>
      </c>
      <c r="H501">
        <v>38.749129000000003</v>
      </c>
      <c r="I501">
        <v>3.4778700000000001E-4</v>
      </c>
      <c r="J501">
        <v>9.1079999999999999E-6</v>
      </c>
      <c r="K501">
        <v>20.199200000000001</v>
      </c>
      <c r="L501">
        <v>2.4207999999999998</v>
      </c>
      <c r="M501">
        <v>0</v>
      </c>
      <c r="N501">
        <v>19.5883</v>
      </c>
      <c r="O501">
        <v>0</v>
      </c>
    </row>
    <row r="502" spans="1:15" x14ac:dyDescent="0.25">
      <c r="A502" t="s">
        <v>19</v>
      </c>
      <c r="B502" t="s">
        <v>15</v>
      </c>
      <c r="C502">
        <v>31</v>
      </c>
      <c r="D502">
        <v>100</v>
      </c>
      <c r="E502">
        <v>6400</v>
      </c>
      <c r="F502" t="str">
        <f t="shared" si="7"/>
        <v>tree256_blurkernel7_31_100_6400</v>
      </c>
      <c r="G502">
        <v>9.3260199999999998</v>
      </c>
      <c r="H502">
        <v>38.738720000000001</v>
      </c>
      <c r="I502">
        <v>7.2388699999999999E-4</v>
      </c>
      <c r="J502">
        <v>8.9800000000000004E-6</v>
      </c>
      <c r="K502">
        <v>17.054400000000001</v>
      </c>
      <c r="L502">
        <v>2.42</v>
      </c>
      <c r="M502">
        <v>0</v>
      </c>
      <c r="N502">
        <v>16.9923</v>
      </c>
      <c r="O502">
        <v>0</v>
      </c>
    </row>
    <row r="503" spans="1:15" x14ac:dyDescent="0.25">
      <c r="A503" t="s">
        <v>19</v>
      </c>
      <c r="B503" t="s">
        <v>15</v>
      </c>
      <c r="C503">
        <v>31</v>
      </c>
      <c r="D503">
        <v>100</v>
      </c>
      <c r="E503">
        <v>12800</v>
      </c>
      <c r="F503" t="str">
        <f t="shared" si="7"/>
        <v>tree256_blurkernel7_31_100_12800</v>
      </c>
      <c r="G503">
        <v>7.3145829999999998</v>
      </c>
      <c r="H503">
        <v>38.338782000000002</v>
      </c>
      <c r="I503">
        <v>1.522771E-3</v>
      </c>
      <c r="J503">
        <v>9.1079999999999999E-6</v>
      </c>
      <c r="K503">
        <v>13.915100000000001</v>
      </c>
      <c r="L503">
        <v>2.4207999999999998</v>
      </c>
      <c r="M503">
        <v>0</v>
      </c>
      <c r="N503">
        <v>14.7507</v>
      </c>
      <c r="O503">
        <v>0</v>
      </c>
    </row>
    <row r="504" spans="1:15" x14ac:dyDescent="0.25">
      <c r="A504" t="s">
        <v>19</v>
      </c>
      <c r="B504" t="s">
        <v>15</v>
      </c>
      <c r="C504">
        <v>31</v>
      </c>
      <c r="D504">
        <v>100</v>
      </c>
      <c r="E504">
        <v>25600</v>
      </c>
      <c r="F504" t="str">
        <f t="shared" si="7"/>
        <v>tree256_blurkernel7_31_100_25600</v>
      </c>
      <c r="G504">
        <v>5.986275</v>
      </c>
      <c r="H504">
        <v>38.555943999999997</v>
      </c>
      <c r="I504">
        <v>3.329046E-3</v>
      </c>
      <c r="J504">
        <v>8.9800000000000004E-6</v>
      </c>
      <c r="K504">
        <v>10.701000000000001</v>
      </c>
      <c r="L504">
        <v>2.42</v>
      </c>
      <c r="M504">
        <v>0</v>
      </c>
      <c r="N504">
        <v>12.511200000000001</v>
      </c>
      <c r="O504">
        <v>0</v>
      </c>
    </row>
    <row r="505" spans="1:15" x14ac:dyDescent="0.25">
      <c r="A505" t="s">
        <v>19</v>
      </c>
      <c r="B505" t="s">
        <v>15</v>
      </c>
      <c r="C505">
        <v>31</v>
      </c>
      <c r="D505">
        <v>100</v>
      </c>
      <c r="E505">
        <v>102400</v>
      </c>
      <c r="F505" t="str">
        <f t="shared" si="7"/>
        <v>tree256_blurkernel7_31_100_102400</v>
      </c>
      <c r="G505">
        <v>4.3788450000000001</v>
      </c>
      <c r="H505">
        <v>38.453963000000002</v>
      </c>
      <c r="I505">
        <v>2.0222782000000002E-2</v>
      </c>
      <c r="J505">
        <v>9.0229999999999998E-6</v>
      </c>
      <c r="K505">
        <v>4.2816000000000001</v>
      </c>
      <c r="L505">
        <v>2.4207999999999998</v>
      </c>
      <c r="M505">
        <v>0</v>
      </c>
      <c r="N505">
        <v>9.4572000000000003</v>
      </c>
      <c r="O505">
        <v>0</v>
      </c>
    </row>
    <row r="506" spans="1:15" x14ac:dyDescent="0.25">
      <c r="A506" t="s">
        <v>19</v>
      </c>
      <c r="B506" t="s">
        <v>16</v>
      </c>
      <c r="C506">
        <v>3</v>
      </c>
      <c r="D506">
        <v>100</v>
      </c>
      <c r="E506">
        <v>200</v>
      </c>
      <c r="F506" t="str">
        <f t="shared" si="7"/>
        <v>tree256_blurkernel8_3_100_200</v>
      </c>
      <c r="G506">
        <v>56.480395000000001</v>
      </c>
      <c r="H506">
        <v>3.8805209999999999</v>
      </c>
      <c r="I506">
        <v>1.9551E-5</v>
      </c>
      <c r="J506">
        <v>9.0720000000000006E-6</v>
      </c>
      <c r="K506">
        <v>32.6708</v>
      </c>
      <c r="L506">
        <v>12.2743</v>
      </c>
      <c r="M506">
        <v>0</v>
      </c>
      <c r="N506">
        <v>32.424300000000002</v>
      </c>
      <c r="O506">
        <v>0</v>
      </c>
    </row>
    <row r="507" spans="1:15" x14ac:dyDescent="0.25">
      <c r="A507" t="s">
        <v>19</v>
      </c>
      <c r="B507" t="s">
        <v>16</v>
      </c>
      <c r="C507">
        <v>3</v>
      </c>
      <c r="D507">
        <v>100</v>
      </c>
      <c r="E507">
        <v>400</v>
      </c>
      <c r="F507" t="str">
        <f t="shared" si="7"/>
        <v>tree256_blurkernel8_3_100_400</v>
      </c>
      <c r="G507">
        <v>45.059863999999997</v>
      </c>
      <c r="H507">
        <v>3.5392890000000001</v>
      </c>
      <c r="I507">
        <v>4.1162000000000003E-5</v>
      </c>
      <c r="J507">
        <v>9.0720000000000006E-6</v>
      </c>
      <c r="K507">
        <v>29.439</v>
      </c>
      <c r="L507">
        <v>12.2743</v>
      </c>
      <c r="M507">
        <v>0</v>
      </c>
      <c r="N507">
        <v>29.708500000000001</v>
      </c>
      <c r="O507">
        <v>0</v>
      </c>
    </row>
    <row r="508" spans="1:15" x14ac:dyDescent="0.25">
      <c r="A508" t="s">
        <v>19</v>
      </c>
      <c r="B508" t="s">
        <v>16</v>
      </c>
      <c r="C508">
        <v>3</v>
      </c>
      <c r="D508">
        <v>100</v>
      </c>
      <c r="E508">
        <v>800</v>
      </c>
      <c r="F508" t="str">
        <f t="shared" si="7"/>
        <v>tree256_blurkernel8_3_100_800</v>
      </c>
      <c r="G508">
        <v>38.532857</v>
      </c>
      <c r="H508">
        <v>3.3720560000000002</v>
      </c>
      <c r="I508">
        <v>8.4727000000000004E-5</v>
      </c>
      <c r="J508">
        <v>9.0720000000000006E-6</v>
      </c>
      <c r="K508">
        <v>26.307700000000001</v>
      </c>
      <c r="L508">
        <v>12.2743</v>
      </c>
      <c r="M508">
        <v>0</v>
      </c>
      <c r="N508">
        <v>27.041799999999999</v>
      </c>
      <c r="O508">
        <v>0</v>
      </c>
    </row>
    <row r="509" spans="1:15" x14ac:dyDescent="0.25">
      <c r="A509" t="s">
        <v>19</v>
      </c>
      <c r="B509" t="s">
        <v>16</v>
      </c>
      <c r="C509">
        <v>3</v>
      </c>
      <c r="D509">
        <v>100</v>
      </c>
      <c r="E509">
        <v>1600</v>
      </c>
      <c r="F509" t="str">
        <f t="shared" si="7"/>
        <v>tree256_blurkernel8_3_100_1600</v>
      </c>
      <c r="G509">
        <v>34.842478999999997</v>
      </c>
      <c r="H509">
        <v>3.295652</v>
      </c>
      <c r="I509">
        <v>1.7065299999999999E-4</v>
      </c>
      <c r="J509">
        <v>9.0720000000000006E-6</v>
      </c>
      <c r="K509">
        <v>23.278099999999998</v>
      </c>
      <c r="L509">
        <v>12.2743</v>
      </c>
      <c r="M509">
        <v>0</v>
      </c>
      <c r="N509">
        <v>24.4297</v>
      </c>
      <c r="O509">
        <v>0</v>
      </c>
    </row>
    <row r="510" spans="1:15" x14ac:dyDescent="0.25">
      <c r="A510" t="s">
        <v>19</v>
      </c>
      <c r="B510" t="s">
        <v>16</v>
      </c>
      <c r="C510">
        <v>3</v>
      </c>
      <c r="D510">
        <v>100</v>
      </c>
      <c r="E510">
        <v>3200</v>
      </c>
      <c r="F510" t="str">
        <f t="shared" si="7"/>
        <v>tree256_blurkernel8_3_100_3200</v>
      </c>
      <c r="G510">
        <v>32.522495999999997</v>
      </c>
      <c r="H510">
        <v>3.267665</v>
      </c>
      <c r="I510">
        <v>3.48141E-4</v>
      </c>
      <c r="J510">
        <v>9.0720000000000006E-6</v>
      </c>
      <c r="K510">
        <v>20.197600000000001</v>
      </c>
      <c r="L510">
        <v>12.2743</v>
      </c>
      <c r="M510">
        <v>0</v>
      </c>
      <c r="N510">
        <v>21.578700000000001</v>
      </c>
      <c r="O510">
        <v>0</v>
      </c>
    </row>
    <row r="511" spans="1:15" x14ac:dyDescent="0.25">
      <c r="A511" t="s">
        <v>19</v>
      </c>
      <c r="B511" t="s">
        <v>16</v>
      </c>
      <c r="C511">
        <v>3</v>
      </c>
      <c r="D511">
        <v>100</v>
      </c>
      <c r="E511">
        <v>6400</v>
      </c>
      <c r="F511" t="str">
        <f t="shared" si="7"/>
        <v>tree256_blurkernel8_3_100_6400</v>
      </c>
      <c r="G511">
        <v>30.79006</v>
      </c>
      <c r="H511">
        <v>3.2716289999999999</v>
      </c>
      <c r="I511">
        <v>7.2083399999999995E-4</v>
      </c>
      <c r="J511">
        <v>9.0720000000000006E-6</v>
      </c>
      <c r="K511">
        <v>17.075399999999998</v>
      </c>
      <c r="L511">
        <v>12.2743</v>
      </c>
      <c r="M511">
        <v>0</v>
      </c>
      <c r="N511">
        <v>19.619599999999998</v>
      </c>
      <c r="O511">
        <v>0</v>
      </c>
    </row>
    <row r="512" spans="1:15" x14ac:dyDescent="0.25">
      <c r="A512" t="s">
        <v>19</v>
      </c>
      <c r="B512" t="s">
        <v>16</v>
      </c>
      <c r="C512">
        <v>3</v>
      </c>
      <c r="D512">
        <v>100</v>
      </c>
      <c r="E512">
        <v>12800</v>
      </c>
      <c r="F512" t="str">
        <f t="shared" si="7"/>
        <v>tree256_blurkernel8_3_100_12800</v>
      </c>
      <c r="G512">
        <v>29.010919000000001</v>
      </c>
      <c r="H512">
        <v>3.3043640000000001</v>
      </c>
      <c r="I512">
        <v>1.5190550000000001E-3</v>
      </c>
      <c r="J512">
        <v>9.0720000000000006E-6</v>
      </c>
      <c r="K512">
        <v>13.9184</v>
      </c>
      <c r="L512">
        <v>12.2743</v>
      </c>
      <c r="M512">
        <v>0</v>
      </c>
      <c r="N512">
        <v>18.572099999999999</v>
      </c>
      <c r="O512">
        <v>0</v>
      </c>
    </row>
    <row r="513" spans="1:15" x14ac:dyDescent="0.25">
      <c r="A513" t="s">
        <v>19</v>
      </c>
      <c r="B513" t="s">
        <v>16</v>
      </c>
      <c r="C513">
        <v>3</v>
      </c>
      <c r="D513">
        <v>100</v>
      </c>
      <c r="E513">
        <v>25600</v>
      </c>
      <c r="F513" t="str">
        <f t="shared" si="7"/>
        <v>tree256_blurkernel8_3_100_25600</v>
      </c>
      <c r="G513">
        <v>26.977546</v>
      </c>
      <c r="H513">
        <v>3.3570419999999999</v>
      </c>
      <c r="I513">
        <v>3.342069E-3</v>
      </c>
      <c r="J513">
        <v>9.0720000000000006E-6</v>
      </c>
      <c r="K513">
        <v>10.676299999999999</v>
      </c>
      <c r="L513">
        <v>12.2743</v>
      </c>
      <c r="M513">
        <v>0</v>
      </c>
      <c r="N513">
        <v>19.619900000000001</v>
      </c>
      <c r="O513">
        <v>0</v>
      </c>
    </row>
    <row r="514" spans="1:15" x14ac:dyDescent="0.25">
      <c r="A514" t="s">
        <v>19</v>
      </c>
      <c r="B514" t="s">
        <v>16</v>
      </c>
      <c r="C514">
        <v>3</v>
      </c>
      <c r="D514">
        <v>100</v>
      </c>
      <c r="E514">
        <v>102400</v>
      </c>
      <c r="F514" t="str">
        <f t="shared" ref="F514:F577" si="8">A514&amp;"_"&amp;B514&amp;"_"&amp;C514&amp;"_"&amp;D514&amp;"_"&amp;E514</f>
        <v>tree256_blurkernel8_3_100_102400</v>
      </c>
      <c r="G514">
        <v>23.356788000000002</v>
      </c>
      <c r="H514">
        <v>3.4504760000000001</v>
      </c>
      <c r="I514">
        <v>2.0414005999999998E-2</v>
      </c>
      <c r="J514">
        <v>9.0820000000000005E-6</v>
      </c>
      <c r="K514">
        <v>4.2248999999999999</v>
      </c>
      <c r="L514">
        <v>12.273199999999999</v>
      </c>
      <c r="M514">
        <v>0</v>
      </c>
      <c r="N514">
        <v>19.115600000000001</v>
      </c>
      <c r="O514">
        <v>0</v>
      </c>
    </row>
    <row r="515" spans="1:15" x14ac:dyDescent="0.25">
      <c r="A515" t="s">
        <v>19</v>
      </c>
      <c r="B515" t="s">
        <v>16</v>
      </c>
      <c r="C515">
        <v>7</v>
      </c>
      <c r="D515">
        <v>100</v>
      </c>
      <c r="E515">
        <v>200</v>
      </c>
      <c r="F515" t="str">
        <f t="shared" si="8"/>
        <v>tree256_blurkernel8_7_100_200</v>
      </c>
      <c r="G515">
        <v>49.925440000000002</v>
      </c>
      <c r="H515">
        <v>10.175469</v>
      </c>
      <c r="I515">
        <v>1.9856000000000001E-5</v>
      </c>
      <c r="J515">
        <v>9.1009999999999998E-6</v>
      </c>
      <c r="K515">
        <v>32.6036</v>
      </c>
      <c r="L515">
        <v>6.9641999999999999</v>
      </c>
      <c r="M515">
        <v>0</v>
      </c>
      <c r="N515">
        <v>31.6066</v>
      </c>
      <c r="O515">
        <v>0</v>
      </c>
    </row>
    <row r="516" spans="1:15" x14ac:dyDescent="0.25">
      <c r="A516" t="s">
        <v>19</v>
      </c>
      <c r="B516" t="s">
        <v>16</v>
      </c>
      <c r="C516">
        <v>7</v>
      </c>
      <c r="D516">
        <v>100</v>
      </c>
      <c r="E516">
        <v>400</v>
      </c>
      <c r="F516" t="str">
        <f t="shared" si="8"/>
        <v>tree256_blurkernel8_7_100_400</v>
      </c>
      <c r="G516">
        <v>36.783814999999997</v>
      </c>
      <c r="H516">
        <v>9.2807259999999996</v>
      </c>
      <c r="I516">
        <v>4.1220000000000002E-5</v>
      </c>
      <c r="J516">
        <v>9.1009999999999998E-6</v>
      </c>
      <c r="K516">
        <v>29.4328</v>
      </c>
      <c r="L516">
        <v>6.9641999999999999</v>
      </c>
      <c r="M516">
        <v>0</v>
      </c>
      <c r="N516">
        <v>28.6981</v>
      </c>
      <c r="O516">
        <v>0</v>
      </c>
    </row>
    <row r="517" spans="1:15" x14ac:dyDescent="0.25">
      <c r="A517" t="s">
        <v>19</v>
      </c>
      <c r="B517" t="s">
        <v>16</v>
      </c>
      <c r="C517">
        <v>7</v>
      </c>
      <c r="D517">
        <v>100</v>
      </c>
      <c r="E517">
        <v>800</v>
      </c>
      <c r="F517" t="str">
        <f t="shared" si="8"/>
        <v>tree256_blurkernel8_7_100_800</v>
      </c>
      <c r="G517">
        <v>28.461554</v>
      </c>
      <c r="H517">
        <v>8.8269300000000008</v>
      </c>
      <c r="I517">
        <v>8.4289999999999994E-5</v>
      </c>
      <c r="J517">
        <v>9.1009999999999998E-6</v>
      </c>
      <c r="K517">
        <v>26.331399999999999</v>
      </c>
      <c r="L517">
        <v>6.9641999999999999</v>
      </c>
      <c r="M517">
        <v>0</v>
      </c>
      <c r="N517">
        <v>25.9011</v>
      </c>
      <c r="O517">
        <v>0</v>
      </c>
    </row>
    <row r="518" spans="1:15" x14ac:dyDescent="0.25">
      <c r="A518" t="s">
        <v>19</v>
      </c>
      <c r="B518" t="s">
        <v>16</v>
      </c>
      <c r="C518">
        <v>7</v>
      </c>
      <c r="D518">
        <v>100</v>
      </c>
      <c r="E518">
        <v>1600</v>
      </c>
      <c r="F518" t="str">
        <f t="shared" si="8"/>
        <v>tree256_blurkernel8_7_100_1600</v>
      </c>
      <c r="G518">
        <v>23.262619000000001</v>
      </c>
      <c r="H518">
        <v>8.6012529999999998</v>
      </c>
      <c r="I518">
        <v>1.7246000000000001E-4</v>
      </c>
      <c r="J518">
        <v>9.1009999999999998E-6</v>
      </c>
      <c r="K518">
        <v>23.2288</v>
      </c>
      <c r="L518">
        <v>6.9641999999999999</v>
      </c>
      <c r="M518">
        <v>0</v>
      </c>
      <c r="N518">
        <v>23.1113</v>
      </c>
      <c r="O518">
        <v>0</v>
      </c>
    </row>
    <row r="519" spans="1:15" x14ac:dyDescent="0.25">
      <c r="A519" t="s">
        <v>19</v>
      </c>
      <c r="B519" t="s">
        <v>16</v>
      </c>
      <c r="C519">
        <v>7</v>
      </c>
      <c r="D519">
        <v>100</v>
      </c>
      <c r="E519">
        <v>3200</v>
      </c>
      <c r="F519" t="str">
        <f t="shared" si="8"/>
        <v>tree256_blurkernel8_7_100_3200</v>
      </c>
      <c r="G519">
        <v>20.137791</v>
      </c>
      <c r="H519">
        <v>8.5004760000000008</v>
      </c>
      <c r="I519">
        <v>3.4731699999999998E-4</v>
      </c>
      <c r="J519">
        <v>9.1009999999999998E-6</v>
      </c>
      <c r="K519">
        <v>20.2057</v>
      </c>
      <c r="L519">
        <v>6.9641999999999999</v>
      </c>
      <c r="M519">
        <v>0</v>
      </c>
      <c r="N519">
        <v>19.6387</v>
      </c>
      <c r="O519">
        <v>0</v>
      </c>
    </row>
    <row r="520" spans="1:15" x14ac:dyDescent="0.25">
      <c r="A520" t="s">
        <v>19</v>
      </c>
      <c r="B520" t="s">
        <v>16</v>
      </c>
      <c r="C520">
        <v>7</v>
      </c>
      <c r="D520">
        <v>100</v>
      </c>
      <c r="E520">
        <v>6400</v>
      </c>
      <c r="F520" t="str">
        <f t="shared" si="8"/>
        <v>tree256_blurkernel8_7_100_6400</v>
      </c>
      <c r="G520">
        <v>18.140689999999999</v>
      </c>
      <c r="H520">
        <v>8.4614519999999995</v>
      </c>
      <c r="I520">
        <v>7.1417599999999996E-4</v>
      </c>
      <c r="J520">
        <v>9.1009999999999998E-6</v>
      </c>
      <c r="K520">
        <v>17.103000000000002</v>
      </c>
      <c r="L520">
        <v>6.9641999999999999</v>
      </c>
      <c r="M520">
        <v>0</v>
      </c>
      <c r="N520">
        <v>17.5962</v>
      </c>
      <c r="O520">
        <v>0</v>
      </c>
    </row>
    <row r="521" spans="1:15" x14ac:dyDescent="0.25">
      <c r="A521" t="s">
        <v>19</v>
      </c>
      <c r="B521" t="s">
        <v>16</v>
      </c>
      <c r="C521">
        <v>7</v>
      </c>
      <c r="D521">
        <v>100</v>
      </c>
      <c r="E521">
        <v>12800</v>
      </c>
      <c r="F521" t="str">
        <f t="shared" si="8"/>
        <v>tree256_blurkernel8_7_100_12800</v>
      </c>
      <c r="G521">
        <v>16.636040999999999</v>
      </c>
      <c r="H521">
        <v>8.4649389999999993</v>
      </c>
      <c r="I521">
        <v>1.515712E-3</v>
      </c>
      <c r="J521">
        <v>9.1009999999999998E-6</v>
      </c>
      <c r="K521">
        <v>13.922599999999999</v>
      </c>
      <c r="L521">
        <v>6.9641999999999999</v>
      </c>
      <c r="M521">
        <v>0</v>
      </c>
      <c r="N521">
        <v>15.84</v>
      </c>
      <c r="O521">
        <v>0</v>
      </c>
    </row>
    <row r="522" spans="1:15" x14ac:dyDescent="0.25">
      <c r="A522" t="s">
        <v>19</v>
      </c>
      <c r="B522" t="s">
        <v>16</v>
      </c>
      <c r="C522">
        <v>7</v>
      </c>
      <c r="D522">
        <v>100</v>
      </c>
      <c r="E522">
        <v>25600</v>
      </c>
      <c r="F522" t="str">
        <f t="shared" si="8"/>
        <v>tree256_blurkernel8_7_100_25600</v>
      </c>
      <c r="G522">
        <v>15.330696</v>
      </c>
      <c r="H522">
        <v>8.4933560000000003</v>
      </c>
      <c r="I522">
        <v>3.3272290000000001E-3</v>
      </c>
      <c r="J522">
        <v>9.1009999999999998E-6</v>
      </c>
      <c r="K522">
        <v>10.693899999999999</v>
      </c>
      <c r="L522">
        <v>6.9641999999999999</v>
      </c>
      <c r="M522">
        <v>0</v>
      </c>
      <c r="N522">
        <v>15.0214</v>
      </c>
      <c r="O522">
        <v>0</v>
      </c>
    </row>
    <row r="523" spans="1:15" x14ac:dyDescent="0.25">
      <c r="A523" t="s">
        <v>19</v>
      </c>
      <c r="B523" t="s">
        <v>16</v>
      </c>
      <c r="C523">
        <v>7</v>
      </c>
      <c r="D523">
        <v>100</v>
      </c>
      <c r="E523">
        <v>102400</v>
      </c>
      <c r="F523" t="str">
        <f t="shared" si="8"/>
        <v>tree256_blurkernel8_7_100_102400</v>
      </c>
      <c r="G523">
        <v>12.512211000000001</v>
      </c>
      <c r="H523">
        <v>8.5622740000000004</v>
      </c>
      <c r="I523">
        <v>2.0425480999999999E-2</v>
      </c>
      <c r="J523">
        <v>9.1609999999999992E-6</v>
      </c>
      <c r="K523">
        <v>4.2667999999999999</v>
      </c>
      <c r="L523">
        <v>6.9611000000000001</v>
      </c>
      <c r="M523">
        <v>0</v>
      </c>
      <c r="N523">
        <v>13.9693</v>
      </c>
      <c r="O523">
        <v>0</v>
      </c>
    </row>
    <row r="524" spans="1:15" x14ac:dyDescent="0.25">
      <c r="A524" t="s">
        <v>19</v>
      </c>
      <c r="B524" t="s">
        <v>16</v>
      </c>
      <c r="C524">
        <v>15</v>
      </c>
      <c r="D524">
        <v>100</v>
      </c>
      <c r="E524">
        <v>200</v>
      </c>
      <c r="F524" t="str">
        <f t="shared" si="8"/>
        <v>tree256_blurkernel8_15_100_200</v>
      </c>
      <c r="G524">
        <v>48.376975000000002</v>
      </c>
      <c r="H524">
        <v>22.507258</v>
      </c>
      <c r="I524">
        <v>1.9791000000000001E-5</v>
      </c>
      <c r="J524">
        <v>9.0499999999999997E-6</v>
      </c>
      <c r="K524">
        <v>32.617800000000003</v>
      </c>
      <c r="L524">
        <v>4.1368</v>
      </c>
      <c r="M524">
        <v>0</v>
      </c>
      <c r="N524">
        <v>31.203399999999998</v>
      </c>
      <c r="O524">
        <v>0</v>
      </c>
    </row>
    <row r="525" spans="1:15" x14ac:dyDescent="0.25">
      <c r="A525" t="s">
        <v>19</v>
      </c>
      <c r="B525" t="s">
        <v>16</v>
      </c>
      <c r="C525">
        <v>15</v>
      </c>
      <c r="D525">
        <v>100</v>
      </c>
      <c r="E525">
        <v>400</v>
      </c>
      <c r="F525" t="str">
        <f t="shared" si="8"/>
        <v>tree256_blurkernel8_15_100_400</v>
      </c>
      <c r="G525">
        <v>34.309148</v>
      </c>
      <c r="H525">
        <v>20.465446</v>
      </c>
      <c r="I525">
        <v>4.1359000000000002E-5</v>
      </c>
      <c r="J525">
        <v>9.0659999999999993E-6</v>
      </c>
      <c r="K525">
        <v>29.418099999999999</v>
      </c>
      <c r="L525">
        <v>4.1387</v>
      </c>
      <c r="M525">
        <v>0</v>
      </c>
      <c r="N525">
        <v>28.2029</v>
      </c>
      <c r="O525">
        <v>0</v>
      </c>
    </row>
    <row r="526" spans="1:15" x14ac:dyDescent="0.25">
      <c r="A526" t="s">
        <v>19</v>
      </c>
      <c r="B526" t="s">
        <v>16</v>
      </c>
      <c r="C526">
        <v>15</v>
      </c>
      <c r="D526">
        <v>100</v>
      </c>
      <c r="E526">
        <v>800</v>
      </c>
      <c r="F526" t="str">
        <f t="shared" si="8"/>
        <v>tree256_blurkernel8_15_100_800</v>
      </c>
      <c r="G526">
        <v>25.093617999999999</v>
      </c>
      <c r="H526">
        <v>19.454169</v>
      </c>
      <c r="I526">
        <v>8.4870999999999994E-5</v>
      </c>
      <c r="J526">
        <v>9.0499999999999997E-6</v>
      </c>
      <c r="K526">
        <v>26.298300000000001</v>
      </c>
      <c r="L526">
        <v>4.1368</v>
      </c>
      <c r="M526">
        <v>0</v>
      </c>
      <c r="N526">
        <v>25.337599999999998</v>
      </c>
      <c r="O526">
        <v>0</v>
      </c>
    </row>
    <row r="527" spans="1:15" x14ac:dyDescent="0.25">
      <c r="A527" t="s">
        <v>19</v>
      </c>
      <c r="B527" t="s">
        <v>16</v>
      </c>
      <c r="C527">
        <v>15</v>
      </c>
      <c r="D527">
        <v>100</v>
      </c>
      <c r="E527">
        <v>1600</v>
      </c>
      <c r="F527" t="str">
        <f t="shared" si="8"/>
        <v>tree256_blurkernel8_15_100_1600</v>
      </c>
      <c r="G527">
        <v>19.113391</v>
      </c>
      <c r="H527">
        <v>18.930990999999999</v>
      </c>
      <c r="I527">
        <v>1.71535E-4</v>
      </c>
      <c r="J527">
        <v>9.0659999999999993E-6</v>
      </c>
      <c r="K527">
        <v>23.252600000000001</v>
      </c>
      <c r="L527">
        <v>4.1387</v>
      </c>
      <c r="M527">
        <v>0</v>
      </c>
      <c r="N527">
        <v>22.777000000000001</v>
      </c>
      <c r="O527">
        <v>0</v>
      </c>
    </row>
    <row r="528" spans="1:15" x14ac:dyDescent="0.25">
      <c r="A528" t="s">
        <v>19</v>
      </c>
      <c r="B528" t="s">
        <v>16</v>
      </c>
      <c r="C528">
        <v>15</v>
      </c>
      <c r="D528">
        <v>100</v>
      </c>
      <c r="E528">
        <v>3200</v>
      </c>
      <c r="F528" t="str">
        <f t="shared" si="8"/>
        <v>tree256_blurkernel8_15_100_3200</v>
      </c>
      <c r="G528">
        <v>15.241861999999999</v>
      </c>
      <c r="H528">
        <v>18.691649999999999</v>
      </c>
      <c r="I528">
        <v>3.5020500000000003E-4</v>
      </c>
      <c r="J528">
        <v>9.0499999999999997E-6</v>
      </c>
      <c r="K528">
        <v>20.168700000000001</v>
      </c>
      <c r="L528">
        <v>4.1368</v>
      </c>
      <c r="M528">
        <v>0</v>
      </c>
      <c r="N528">
        <v>20.0946</v>
      </c>
      <c r="O528">
        <v>0</v>
      </c>
    </row>
    <row r="529" spans="1:15" x14ac:dyDescent="0.25">
      <c r="A529" t="s">
        <v>19</v>
      </c>
      <c r="B529" t="s">
        <v>16</v>
      </c>
      <c r="C529">
        <v>15</v>
      </c>
      <c r="D529">
        <v>100</v>
      </c>
      <c r="E529">
        <v>6400</v>
      </c>
      <c r="F529" t="str">
        <f t="shared" si="8"/>
        <v>tree256_blurkernel8_15_100_6400</v>
      </c>
      <c r="G529">
        <v>12.786773</v>
      </c>
      <c r="H529">
        <v>18.562154</v>
      </c>
      <c r="I529">
        <v>7.1561499999999996E-4</v>
      </c>
      <c r="J529">
        <v>9.0659999999999993E-6</v>
      </c>
      <c r="K529">
        <v>17.097799999999999</v>
      </c>
      <c r="L529">
        <v>4.1387</v>
      </c>
      <c r="M529">
        <v>0</v>
      </c>
      <c r="N529">
        <v>17.598099999999999</v>
      </c>
      <c r="O529">
        <v>0</v>
      </c>
    </row>
    <row r="530" spans="1:15" x14ac:dyDescent="0.25">
      <c r="A530" t="s">
        <v>19</v>
      </c>
      <c r="B530" t="s">
        <v>16</v>
      </c>
      <c r="C530">
        <v>15</v>
      </c>
      <c r="D530">
        <v>100</v>
      </c>
      <c r="E530">
        <v>12800</v>
      </c>
      <c r="F530" t="str">
        <f t="shared" si="8"/>
        <v>tree256_blurkernel8_15_100_12800</v>
      </c>
      <c r="G530">
        <v>11.147334000000001</v>
      </c>
      <c r="H530">
        <v>18.535007</v>
      </c>
      <c r="I530">
        <v>1.5320990000000001E-3</v>
      </c>
      <c r="J530">
        <v>9.0499999999999997E-6</v>
      </c>
      <c r="K530">
        <v>13.8781</v>
      </c>
      <c r="L530">
        <v>4.1368</v>
      </c>
      <c r="M530">
        <v>0</v>
      </c>
      <c r="N530">
        <v>15.5031</v>
      </c>
      <c r="O530">
        <v>0</v>
      </c>
    </row>
    <row r="531" spans="1:15" x14ac:dyDescent="0.25">
      <c r="A531" t="s">
        <v>19</v>
      </c>
      <c r="B531" t="s">
        <v>16</v>
      </c>
      <c r="C531">
        <v>15</v>
      </c>
      <c r="D531">
        <v>100</v>
      </c>
      <c r="E531">
        <v>25600</v>
      </c>
      <c r="F531" t="str">
        <f t="shared" si="8"/>
        <v>tree256_blurkernel8_15_100_25600</v>
      </c>
      <c r="G531">
        <v>9.9642149999999994</v>
      </c>
      <c r="H531">
        <v>18.520492999999998</v>
      </c>
      <c r="I531">
        <v>3.3659520000000002E-3</v>
      </c>
      <c r="J531">
        <v>9.0659999999999993E-6</v>
      </c>
      <c r="K531">
        <v>10.637700000000001</v>
      </c>
      <c r="L531">
        <v>4.1387</v>
      </c>
      <c r="M531">
        <v>0</v>
      </c>
      <c r="N531">
        <v>13.873100000000001</v>
      </c>
      <c r="O531">
        <v>0</v>
      </c>
    </row>
    <row r="532" spans="1:15" x14ac:dyDescent="0.25">
      <c r="A532" t="s">
        <v>19</v>
      </c>
      <c r="B532" t="s">
        <v>16</v>
      </c>
      <c r="C532">
        <v>15</v>
      </c>
      <c r="D532">
        <v>100</v>
      </c>
      <c r="E532">
        <v>102400</v>
      </c>
      <c r="F532" t="str">
        <f t="shared" si="8"/>
        <v>tree256_blurkernel8_15_100_102400</v>
      </c>
      <c r="G532">
        <v>7.9319620000000004</v>
      </c>
      <c r="H532">
        <v>18.582943</v>
      </c>
      <c r="I532">
        <v>2.0315567999999999E-2</v>
      </c>
      <c r="J532">
        <v>9.0710000000000001E-6</v>
      </c>
      <c r="K532">
        <v>4.2344999999999997</v>
      </c>
      <c r="L532">
        <v>4.1382000000000003</v>
      </c>
      <c r="M532">
        <v>0</v>
      </c>
      <c r="N532">
        <v>11.612</v>
      </c>
      <c r="O532">
        <v>0</v>
      </c>
    </row>
    <row r="533" spans="1:15" x14ac:dyDescent="0.25">
      <c r="A533" t="s">
        <v>19</v>
      </c>
      <c r="B533" t="s">
        <v>16</v>
      </c>
      <c r="C533">
        <v>31</v>
      </c>
      <c r="D533">
        <v>100</v>
      </c>
      <c r="E533">
        <v>200</v>
      </c>
      <c r="F533" t="str">
        <f t="shared" si="8"/>
        <v>tree256_blurkernel8_31_100_200</v>
      </c>
      <c r="G533">
        <v>48.021782000000002</v>
      </c>
      <c r="H533">
        <v>47.091099</v>
      </c>
      <c r="I533">
        <v>1.9663000000000001E-5</v>
      </c>
      <c r="J533">
        <v>8.9560000000000003E-6</v>
      </c>
      <c r="K533">
        <v>32.645200000000003</v>
      </c>
      <c r="L533">
        <v>2.5011000000000001</v>
      </c>
      <c r="M533">
        <v>0</v>
      </c>
      <c r="N533">
        <v>31.052600000000002</v>
      </c>
      <c r="O533">
        <v>0</v>
      </c>
    </row>
    <row r="534" spans="1:15" x14ac:dyDescent="0.25">
      <c r="A534" t="s">
        <v>19</v>
      </c>
      <c r="B534" t="s">
        <v>16</v>
      </c>
      <c r="C534">
        <v>31</v>
      </c>
      <c r="D534">
        <v>100</v>
      </c>
      <c r="E534">
        <v>400</v>
      </c>
      <c r="F534" t="str">
        <f t="shared" si="8"/>
        <v>tree256_blurkernel8_31_100_400</v>
      </c>
      <c r="G534">
        <v>33.578736999999997</v>
      </c>
      <c r="H534">
        <v>42.725113</v>
      </c>
      <c r="I534">
        <v>4.0970999999999998E-5</v>
      </c>
      <c r="J534">
        <v>9.0019999999999995E-6</v>
      </c>
      <c r="K534">
        <v>29.459399999999999</v>
      </c>
      <c r="L534">
        <v>2.5015000000000001</v>
      </c>
      <c r="M534">
        <v>0</v>
      </c>
      <c r="N534">
        <v>27.860499999999998</v>
      </c>
      <c r="O534">
        <v>0</v>
      </c>
    </row>
    <row r="535" spans="1:15" x14ac:dyDescent="0.25">
      <c r="A535" t="s">
        <v>19</v>
      </c>
      <c r="B535" t="s">
        <v>16</v>
      </c>
      <c r="C535">
        <v>31</v>
      </c>
      <c r="D535">
        <v>100</v>
      </c>
      <c r="E535">
        <v>800</v>
      </c>
      <c r="F535" t="str">
        <f t="shared" si="8"/>
        <v>tree256_blurkernel8_31_100_800</v>
      </c>
      <c r="G535">
        <v>23.847829000000001</v>
      </c>
      <c r="H535">
        <v>40.624969</v>
      </c>
      <c r="I535">
        <v>8.4299E-5</v>
      </c>
      <c r="J535">
        <v>8.9560000000000003E-6</v>
      </c>
      <c r="K535">
        <v>26.329799999999999</v>
      </c>
      <c r="L535">
        <v>2.5011000000000001</v>
      </c>
      <c r="M535">
        <v>0</v>
      </c>
      <c r="N535">
        <v>24.807500000000001</v>
      </c>
      <c r="O535">
        <v>0</v>
      </c>
    </row>
    <row r="536" spans="1:15" x14ac:dyDescent="0.25">
      <c r="A536" t="s">
        <v>19</v>
      </c>
      <c r="B536" t="s">
        <v>16</v>
      </c>
      <c r="C536">
        <v>31</v>
      </c>
      <c r="D536">
        <v>100</v>
      </c>
      <c r="E536">
        <v>1600</v>
      </c>
      <c r="F536" t="str">
        <f t="shared" si="8"/>
        <v>tree256_blurkernel8_31_100_1600</v>
      </c>
      <c r="G536">
        <v>17.297678999999999</v>
      </c>
      <c r="H536">
        <v>39.434364000000002</v>
      </c>
      <c r="I536">
        <v>1.7191400000000001E-4</v>
      </c>
      <c r="J536">
        <v>9.0019999999999995E-6</v>
      </c>
      <c r="K536">
        <v>23.240300000000001</v>
      </c>
      <c r="L536">
        <v>2.5015000000000001</v>
      </c>
      <c r="M536">
        <v>0</v>
      </c>
      <c r="N536">
        <v>21.889600000000002</v>
      </c>
      <c r="O536">
        <v>0</v>
      </c>
    </row>
    <row r="537" spans="1:15" x14ac:dyDescent="0.25">
      <c r="A537" t="s">
        <v>19</v>
      </c>
      <c r="B537" t="s">
        <v>16</v>
      </c>
      <c r="C537">
        <v>31</v>
      </c>
      <c r="D537">
        <v>100</v>
      </c>
      <c r="E537">
        <v>3200</v>
      </c>
      <c r="F537" t="str">
        <f t="shared" si="8"/>
        <v>tree256_blurkernel8_31_100_3200</v>
      </c>
      <c r="G537">
        <v>12.935357</v>
      </c>
      <c r="H537">
        <v>38.987005000000003</v>
      </c>
      <c r="I537">
        <v>3.4854800000000001E-4</v>
      </c>
      <c r="J537">
        <v>8.9560000000000003E-6</v>
      </c>
      <c r="K537">
        <v>20.189900000000002</v>
      </c>
      <c r="L537">
        <v>2.5011000000000001</v>
      </c>
      <c r="M537">
        <v>0</v>
      </c>
      <c r="N537">
        <v>19.244299999999999</v>
      </c>
      <c r="O537">
        <v>0</v>
      </c>
    </row>
    <row r="538" spans="1:15" x14ac:dyDescent="0.25">
      <c r="A538" t="s">
        <v>19</v>
      </c>
      <c r="B538" t="s">
        <v>16</v>
      </c>
      <c r="C538">
        <v>31</v>
      </c>
      <c r="D538">
        <v>100</v>
      </c>
      <c r="E538">
        <v>6400</v>
      </c>
      <c r="F538" t="str">
        <f t="shared" si="8"/>
        <v>tree256_blurkernel8_31_100_6400</v>
      </c>
      <c r="G538">
        <v>10.035169</v>
      </c>
      <c r="H538">
        <v>38.620865999999999</v>
      </c>
      <c r="I538">
        <v>7.1746799999999997E-4</v>
      </c>
      <c r="J538">
        <v>9.0019999999999995E-6</v>
      </c>
      <c r="K538">
        <v>17.093900000000001</v>
      </c>
      <c r="L538">
        <v>2.5015000000000001</v>
      </c>
      <c r="M538">
        <v>0</v>
      </c>
      <c r="N538">
        <v>16.732500000000002</v>
      </c>
      <c r="O538">
        <v>0</v>
      </c>
    </row>
    <row r="539" spans="1:15" x14ac:dyDescent="0.25">
      <c r="A539" t="s">
        <v>19</v>
      </c>
      <c r="B539" t="s">
        <v>16</v>
      </c>
      <c r="C539">
        <v>31</v>
      </c>
      <c r="D539">
        <v>100</v>
      </c>
      <c r="E539">
        <v>12800</v>
      </c>
      <c r="F539" t="str">
        <f t="shared" si="8"/>
        <v>tree256_blurkernel8_31_100_12800</v>
      </c>
      <c r="G539">
        <v>8.1439749999999993</v>
      </c>
      <c r="H539">
        <v>38.590045000000003</v>
      </c>
      <c r="I539">
        <v>1.5231450000000001E-3</v>
      </c>
      <c r="J539">
        <v>8.9560000000000003E-6</v>
      </c>
      <c r="K539">
        <v>13.9057</v>
      </c>
      <c r="L539">
        <v>2.5011000000000001</v>
      </c>
      <c r="M539">
        <v>0</v>
      </c>
      <c r="N539">
        <v>14.665800000000001</v>
      </c>
      <c r="O539">
        <v>0</v>
      </c>
    </row>
    <row r="540" spans="1:15" x14ac:dyDescent="0.25">
      <c r="A540" t="s">
        <v>19</v>
      </c>
      <c r="B540" t="s">
        <v>16</v>
      </c>
      <c r="C540">
        <v>31</v>
      </c>
      <c r="D540">
        <v>100</v>
      </c>
      <c r="E540">
        <v>25600</v>
      </c>
      <c r="F540" t="str">
        <f t="shared" si="8"/>
        <v>tree256_blurkernel8_31_100_25600</v>
      </c>
      <c r="G540">
        <v>6.928026</v>
      </c>
      <c r="H540">
        <v>38.442326000000001</v>
      </c>
      <c r="I540">
        <v>3.3686670000000001E-3</v>
      </c>
      <c r="J540">
        <v>9.0019999999999995E-6</v>
      </c>
      <c r="K540">
        <v>10.638199999999999</v>
      </c>
      <c r="L540">
        <v>2.5015000000000001</v>
      </c>
      <c r="M540">
        <v>0</v>
      </c>
      <c r="N540">
        <v>12.5778</v>
      </c>
      <c r="O540">
        <v>0</v>
      </c>
    </row>
    <row r="541" spans="1:15" x14ac:dyDescent="0.25">
      <c r="A541" t="s">
        <v>19</v>
      </c>
      <c r="B541" t="s">
        <v>16</v>
      </c>
      <c r="C541">
        <v>31</v>
      </c>
      <c r="D541">
        <v>100</v>
      </c>
      <c r="E541">
        <v>102400</v>
      </c>
      <c r="F541" t="str">
        <f t="shared" si="8"/>
        <v>tree256_blurkernel8_31_100_102400</v>
      </c>
      <c r="G541">
        <v>5.2617320000000003</v>
      </c>
      <c r="H541">
        <v>38.486086999999998</v>
      </c>
      <c r="I541">
        <v>2.033536E-2</v>
      </c>
      <c r="J541">
        <v>8.9889999999999998E-6</v>
      </c>
      <c r="K541">
        <v>4.2712000000000003</v>
      </c>
      <c r="L541">
        <v>2.5013999999999998</v>
      </c>
      <c r="M541">
        <v>0</v>
      </c>
      <c r="N541">
        <v>10.0046</v>
      </c>
      <c r="O541">
        <v>0</v>
      </c>
    </row>
    <row r="542" spans="1:15" x14ac:dyDescent="0.25">
      <c r="A542" t="s">
        <v>19</v>
      </c>
      <c r="B542" t="s">
        <v>17</v>
      </c>
      <c r="C542">
        <v>3</v>
      </c>
      <c r="D542">
        <v>100</v>
      </c>
      <c r="E542">
        <v>200</v>
      </c>
      <c r="F542" t="str">
        <f t="shared" si="8"/>
        <v>tree256_line_3_100_200</v>
      </c>
      <c r="G542">
        <v>61.376314999999998</v>
      </c>
      <c r="H542">
        <v>3.5238320000000001</v>
      </c>
      <c r="I542">
        <v>1.9726999999999999E-5</v>
      </c>
      <c r="J542">
        <v>9.0070000000000003E-6</v>
      </c>
      <c r="K542">
        <v>32.631799999999998</v>
      </c>
      <c r="L542">
        <v>9.3512000000000004</v>
      </c>
      <c r="M542">
        <v>0</v>
      </c>
      <c r="N542">
        <v>32.575699999999998</v>
      </c>
      <c r="O542">
        <v>0</v>
      </c>
    </row>
    <row r="543" spans="1:15" x14ac:dyDescent="0.25">
      <c r="A543" t="s">
        <v>19</v>
      </c>
      <c r="B543" t="s">
        <v>17</v>
      </c>
      <c r="C543">
        <v>3</v>
      </c>
      <c r="D543">
        <v>100</v>
      </c>
      <c r="E543">
        <v>400</v>
      </c>
      <c r="F543" t="str">
        <f t="shared" si="8"/>
        <v>tree256_line_3_100_400</v>
      </c>
      <c r="G543">
        <v>51.175232000000001</v>
      </c>
      <c r="H543">
        <v>3.2251340000000002</v>
      </c>
      <c r="I543">
        <v>4.0992999999999999E-5</v>
      </c>
      <c r="J543">
        <v>9.0070000000000003E-6</v>
      </c>
      <c r="K543">
        <v>29.455100000000002</v>
      </c>
      <c r="L543">
        <v>9.3512000000000004</v>
      </c>
      <c r="M543">
        <v>0</v>
      </c>
      <c r="N543">
        <v>29.715</v>
      </c>
      <c r="O543">
        <v>0</v>
      </c>
    </row>
    <row r="544" spans="1:15" x14ac:dyDescent="0.25">
      <c r="A544" t="s">
        <v>19</v>
      </c>
      <c r="B544" t="s">
        <v>17</v>
      </c>
      <c r="C544">
        <v>3</v>
      </c>
      <c r="D544">
        <v>100</v>
      </c>
      <c r="E544">
        <v>800</v>
      </c>
      <c r="F544" t="str">
        <f t="shared" si="8"/>
        <v>tree256_line_3_100_800</v>
      </c>
      <c r="G544">
        <v>45.210160999999999</v>
      </c>
      <c r="H544">
        <v>3.0838610000000002</v>
      </c>
      <c r="I544">
        <v>8.4524999999999995E-5</v>
      </c>
      <c r="J544">
        <v>9.0070000000000003E-6</v>
      </c>
      <c r="K544">
        <v>26.319800000000001</v>
      </c>
      <c r="L544">
        <v>9.3512000000000004</v>
      </c>
      <c r="M544">
        <v>0</v>
      </c>
      <c r="N544">
        <v>27.0106</v>
      </c>
      <c r="O544">
        <v>0</v>
      </c>
    </row>
    <row r="545" spans="1:15" x14ac:dyDescent="0.25">
      <c r="A545" t="s">
        <v>19</v>
      </c>
      <c r="B545" t="s">
        <v>17</v>
      </c>
      <c r="C545">
        <v>3</v>
      </c>
      <c r="D545">
        <v>100</v>
      </c>
      <c r="E545">
        <v>1600</v>
      </c>
      <c r="F545" t="str">
        <f t="shared" si="8"/>
        <v>tree256_line_3_100_1600</v>
      </c>
      <c r="G545">
        <v>41.533050000000003</v>
      </c>
      <c r="H545">
        <v>3.033566</v>
      </c>
      <c r="I545">
        <v>1.7202799999999999E-4</v>
      </c>
      <c r="J545">
        <v>9.0070000000000003E-6</v>
      </c>
      <c r="K545">
        <v>23.241499999999998</v>
      </c>
      <c r="L545">
        <v>9.3512000000000004</v>
      </c>
      <c r="M545">
        <v>0</v>
      </c>
      <c r="N545">
        <v>24.4023</v>
      </c>
      <c r="O545">
        <v>0</v>
      </c>
    </row>
    <row r="546" spans="1:15" x14ac:dyDescent="0.25">
      <c r="A546" t="s">
        <v>19</v>
      </c>
      <c r="B546" t="s">
        <v>17</v>
      </c>
      <c r="C546">
        <v>3</v>
      </c>
      <c r="D546">
        <v>100</v>
      </c>
      <c r="E546">
        <v>3200</v>
      </c>
      <c r="F546" t="str">
        <f t="shared" si="8"/>
        <v>tree256_line_3_100_3200</v>
      </c>
      <c r="G546">
        <v>38.853783</v>
      </c>
      <c r="H546">
        <v>3.0363220000000002</v>
      </c>
      <c r="I546">
        <v>3.5018700000000001E-4</v>
      </c>
      <c r="J546">
        <v>9.0070000000000003E-6</v>
      </c>
      <c r="K546">
        <v>20.1694</v>
      </c>
      <c r="L546">
        <v>9.3512000000000004</v>
      </c>
      <c r="M546">
        <v>0</v>
      </c>
      <c r="N546">
        <v>22.102900000000002</v>
      </c>
      <c r="O546">
        <v>0</v>
      </c>
    </row>
    <row r="547" spans="1:15" x14ac:dyDescent="0.25">
      <c r="A547" t="s">
        <v>19</v>
      </c>
      <c r="B547" t="s">
        <v>17</v>
      </c>
      <c r="C547">
        <v>3</v>
      </c>
      <c r="D547">
        <v>100</v>
      </c>
      <c r="E547">
        <v>6400</v>
      </c>
      <c r="F547" t="str">
        <f t="shared" si="8"/>
        <v>tree256_line_3_100_6400</v>
      </c>
      <c r="G547">
        <v>35.975779000000003</v>
      </c>
      <c r="H547">
        <v>3.092085</v>
      </c>
      <c r="I547">
        <v>7.2255900000000001E-4</v>
      </c>
      <c r="J547">
        <v>9.0070000000000003E-6</v>
      </c>
      <c r="K547">
        <v>17.0503</v>
      </c>
      <c r="L547">
        <v>9.3512000000000004</v>
      </c>
      <c r="M547">
        <v>0</v>
      </c>
      <c r="N547">
        <v>20.381699999999999</v>
      </c>
      <c r="O547">
        <v>0</v>
      </c>
    </row>
    <row r="548" spans="1:15" x14ac:dyDescent="0.25">
      <c r="A548" t="s">
        <v>19</v>
      </c>
      <c r="B548" t="s">
        <v>17</v>
      </c>
      <c r="C548">
        <v>3</v>
      </c>
      <c r="D548">
        <v>100</v>
      </c>
      <c r="E548">
        <v>12800</v>
      </c>
      <c r="F548" t="str">
        <f t="shared" si="8"/>
        <v>tree256_line_3_100_12800</v>
      </c>
      <c r="G548">
        <v>32.666049000000001</v>
      </c>
      <c r="H548">
        <v>3.1845530000000002</v>
      </c>
      <c r="I548">
        <v>1.5238109999999999E-3</v>
      </c>
      <c r="J548">
        <v>9.0070000000000003E-6</v>
      </c>
      <c r="K548">
        <v>13.895099999999999</v>
      </c>
      <c r="L548">
        <v>9.3512000000000004</v>
      </c>
      <c r="M548">
        <v>0</v>
      </c>
      <c r="N548">
        <v>19.117699999999999</v>
      </c>
      <c r="O548">
        <v>0</v>
      </c>
    </row>
    <row r="549" spans="1:15" x14ac:dyDescent="0.25">
      <c r="A549" t="s">
        <v>19</v>
      </c>
      <c r="B549" t="s">
        <v>17</v>
      </c>
      <c r="C549">
        <v>3</v>
      </c>
      <c r="D549">
        <v>100</v>
      </c>
      <c r="E549">
        <v>25600</v>
      </c>
      <c r="F549" t="str">
        <f t="shared" si="8"/>
        <v>tree256_line_3_100_25600</v>
      </c>
      <c r="G549">
        <v>29.415396999999999</v>
      </c>
      <c r="H549">
        <v>3.282616</v>
      </c>
      <c r="I549">
        <v>3.3612059999999998E-3</v>
      </c>
      <c r="J549">
        <v>9.0070000000000003E-6</v>
      </c>
      <c r="K549">
        <v>10.6587</v>
      </c>
      <c r="L549">
        <v>9.3512000000000004</v>
      </c>
      <c r="M549">
        <v>0</v>
      </c>
      <c r="N549">
        <v>18.2163</v>
      </c>
      <c r="O549">
        <v>0</v>
      </c>
    </row>
    <row r="550" spans="1:15" x14ac:dyDescent="0.25">
      <c r="A550" t="s">
        <v>19</v>
      </c>
      <c r="B550" t="s">
        <v>17</v>
      </c>
      <c r="C550">
        <v>3</v>
      </c>
      <c r="D550">
        <v>100</v>
      </c>
      <c r="E550">
        <v>102400</v>
      </c>
      <c r="F550" t="str">
        <f t="shared" si="8"/>
        <v>tree256_line_3_100_102400</v>
      </c>
      <c r="G550">
        <v>23.447576000000002</v>
      </c>
      <c r="H550">
        <v>3.4291670000000001</v>
      </c>
      <c r="I550">
        <v>2.0437104000000001E-2</v>
      </c>
      <c r="J550">
        <v>9.1290000000000002E-6</v>
      </c>
      <c r="K550">
        <v>4.2348999999999997</v>
      </c>
      <c r="L550">
        <v>9.3461999999999996</v>
      </c>
      <c r="M550">
        <v>0</v>
      </c>
      <c r="N550">
        <v>15.9277</v>
      </c>
      <c r="O550">
        <v>0</v>
      </c>
    </row>
    <row r="551" spans="1:15" x14ac:dyDescent="0.25">
      <c r="A551" t="s">
        <v>19</v>
      </c>
      <c r="B551" t="s">
        <v>17</v>
      </c>
      <c r="C551">
        <v>7</v>
      </c>
      <c r="D551">
        <v>100</v>
      </c>
      <c r="E551">
        <v>200</v>
      </c>
      <c r="F551" t="str">
        <f t="shared" si="8"/>
        <v>tree256_line_7_100_200</v>
      </c>
      <c r="G551">
        <v>53.965390999999997</v>
      </c>
      <c r="H551">
        <v>9.5070429999999995</v>
      </c>
      <c r="I551">
        <v>1.9647999999999999E-5</v>
      </c>
      <c r="J551">
        <v>8.9870000000000005E-6</v>
      </c>
      <c r="K551">
        <v>32.650199999999998</v>
      </c>
      <c r="L551">
        <v>5.2516999999999996</v>
      </c>
      <c r="M551">
        <v>0</v>
      </c>
      <c r="N551">
        <v>31.773700000000002</v>
      </c>
      <c r="O551">
        <v>0</v>
      </c>
    </row>
    <row r="552" spans="1:15" x14ac:dyDescent="0.25">
      <c r="A552" t="s">
        <v>19</v>
      </c>
      <c r="B552" t="s">
        <v>17</v>
      </c>
      <c r="C552">
        <v>7</v>
      </c>
      <c r="D552">
        <v>100</v>
      </c>
      <c r="E552">
        <v>400</v>
      </c>
      <c r="F552" t="str">
        <f t="shared" si="8"/>
        <v>tree256_line_7_100_400</v>
      </c>
      <c r="G552">
        <v>41.789081000000003</v>
      </c>
      <c r="H552">
        <v>8.6741960000000002</v>
      </c>
      <c r="I552">
        <v>4.0992000000000003E-5</v>
      </c>
      <c r="J552">
        <v>8.9870000000000005E-6</v>
      </c>
      <c r="K552">
        <v>29.456600000000002</v>
      </c>
      <c r="L552">
        <v>5.2516999999999996</v>
      </c>
      <c r="M552">
        <v>0</v>
      </c>
      <c r="N552">
        <v>28.716799999999999</v>
      </c>
      <c r="O552">
        <v>0</v>
      </c>
    </row>
    <row r="553" spans="1:15" x14ac:dyDescent="0.25">
      <c r="A553" t="s">
        <v>19</v>
      </c>
      <c r="B553" t="s">
        <v>17</v>
      </c>
      <c r="C553">
        <v>7</v>
      </c>
      <c r="D553">
        <v>100</v>
      </c>
      <c r="E553">
        <v>800</v>
      </c>
      <c r="F553" t="str">
        <f t="shared" si="8"/>
        <v>tree256_line_7_100_800</v>
      </c>
      <c r="G553">
        <v>34.416595999999998</v>
      </c>
      <c r="H553">
        <v>8.2669390000000007</v>
      </c>
      <c r="I553">
        <v>8.4164000000000003E-5</v>
      </c>
      <c r="J553">
        <v>8.9870000000000005E-6</v>
      </c>
      <c r="K553">
        <v>26.3386</v>
      </c>
      <c r="L553">
        <v>5.2516999999999996</v>
      </c>
      <c r="M553">
        <v>0</v>
      </c>
      <c r="N553">
        <v>25.688700000000001</v>
      </c>
      <c r="O553">
        <v>0</v>
      </c>
    </row>
    <row r="554" spans="1:15" x14ac:dyDescent="0.25">
      <c r="A554" t="s">
        <v>19</v>
      </c>
      <c r="B554" t="s">
        <v>17</v>
      </c>
      <c r="C554">
        <v>7</v>
      </c>
      <c r="D554">
        <v>100</v>
      </c>
      <c r="E554">
        <v>1600</v>
      </c>
      <c r="F554" t="str">
        <f t="shared" si="8"/>
        <v>tree256_line_7_100_1600</v>
      </c>
      <c r="G554">
        <v>29.858792999999999</v>
      </c>
      <c r="H554">
        <v>8.0936140000000005</v>
      </c>
      <c r="I554">
        <v>1.71006E-4</v>
      </c>
      <c r="J554">
        <v>8.9870000000000005E-6</v>
      </c>
      <c r="K554">
        <v>23.269200000000001</v>
      </c>
      <c r="L554">
        <v>5.2516999999999996</v>
      </c>
      <c r="M554">
        <v>0</v>
      </c>
      <c r="N554">
        <v>22.731100000000001</v>
      </c>
      <c r="O554">
        <v>0</v>
      </c>
    </row>
    <row r="555" spans="1:15" x14ac:dyDescent="0.25">
      <c r="A555" t="s">
        <v>19</v>
      </c>
      <c r="B555" t="s">
        <v>17</v>
      </c>
      <c r="C555">
        <v>7</v>
      </c>
      <c r="D555">
        <v>100</v>
      </c>
      <c r="E555">
        <v>3200</v>
      </c>
      <c r="F555" t="str">
        <f t="shared" si="8"/>
        <v>tree256_line_7_100_3200</v>
      </c>
      <c r="G555">
        <v>26.735731999999999</v>
      </c>
      <c r="H555">
        <v>8.0536530000000006</v>
      </c>
      <c r="I555">
        <v>3.4714000000000001E-4</v>
      </c>
      <c r="J555">
        <v>8.9870000000000005E-6</v>
      </c>
      <c r="K555">
        <v>20.206499999999998</v>
      </c>
      <c r="L555">
        <v>5.2516999999999996</v>
      </c>
      <c r="M555">
        <v>0</v>
      </c>
      <c r="N555">
        <v>19.977</v>
      </c>
      <c r="O555">
        <v>0</v>
      </c>
    </row>
    <row r="556" spans="1:15" x14ac:dyDescent="0.25">
      <c r="A556" t="s">
        <v>19</v>
      </c>
      <c r="B556" t="s">
        <v>17</v>
      </c>
      <c r="C556">
        <v>7</v>
      </c>
      <c r="D556">
        <v>100</v>
      </c>
      <c r="E556">
        <v>6400</v>
      </c>
      <c r="F556" t="str">
        <f t="shared" si="8"/>
        <v>tree256_line_7_100_6400</v>
      </c>
      <c r="G556">
        <v>23.921101</v>
      </c>
      <c r="H556">
        <v>8.111103</v>
      </c>
      <c r="I556">
        <v>7.2771499999999998E-4</v>
      </c>
      <c r="J556">
        <v>8.9870000000000005E-6</v>
      </c>
      <c r="K556">
        <v>17.027799999999999</v>
      </c>
      <c r="L556">
        <v>5.2516999999999996</v>
      </c>
      <c r="M556">
        <v>0</v>
      </c>
      <c r="N556">
        <v>17.395800000000001</v>
      </c>
      <c r="O556">
        <v>0</v>
      </c>
    </row>
    <row r="557" spans="1:15" x14ac:dyDescent="0.25">
      <c r="A557" t="s">
        <v>19</v>
      </c>
      <c r="B557" t="s">
        <v>17</v>
      </c>
      <c r="C557">
        <v>7</v>
      </c>
      <c r="D557">
        <v>100</v>
      </c>
      <c r="E557">
        <v>12800</v>
      </c>
      <c r="F557" t="str">
        <f t="shared" si="8"/>
        <v>tree256_line_7_100_12800</v>
      </c>
      <c r="G557">
        <v>21.111332999999998</v>
      </c>
      <c r="H557">
        <v>8.2291109999999996</v>
      </c>
      <c r="I557">
        <v>1.5296940000000001E-3</v>
      </c>
      <c r="J557">
        <v>8.9870000000000005E-6</v>
      </c>
      <c r="K557">
        <v>13.8713</v>
      </c>
      <c r="L557">
        <v>5.2516999999999996</v>
      </c>
      <c r="M557">
        <v>0</v>
      </c>
      <c r="N557">
        <v>15.879799999999999</v>
      </c>
      <c r="O557">
        <v>0</v>
      </c>
    </row>
    <row r="558" spans="1:15" x14ac:dyDescent="0.25">
      <c r="A558" t="s">
        <v>19</v>
      </c>
      <c r="B558" t="s">
        <v>17</v>
      </c>
      <c r="C558">
        <v>7</v>
      </c>
      <c r="D558">
        <v>100</v>
      </c>
      <c r="E558">
        <v>25600</v>
      </c>
      <c r="F558" t="str">
        <f t="shared" si="8"/>
        <v>tree256_line_7_100_25600</v>
      </c>
      <c r="G558">
        <v>18.548117999999999</v>
      </c>
      <c r="H558">
        <v>8.349399</v>
      </c>
      <c r="I558">
        <v>3.372145E-3</v>
      </c>
      <c r="J558">
        <v>8.9870000000000005E-6</v>
      </c>
      <c r="K558">
        <v>10.6327</v>
      </c>
      <c r="L558">
        <v>5.2516999999999996</v>
      </c>
      <c r="M558">
        <v>0</v>
      </c>
      <c r="N558">
        <v>14.5021</v>
      </c>
      <c r="O558">
        <v>0</v>
      </c>
    </row>
    <row r="559" spans="1:15" x14ac:dyDescent="0.25">
      <c r="A559" t="s">
        <v>19</v>
      </c>
      <c r="B559" t="s">
        <v>17</v>
      </c>
      <c r="C559">
        <v>7</v>
      </c>
      <c r="D559">
        <v>100</v>
      </c>
      <c r="E559">
        <v>102400</v>
      </c>
      <c r="F559" t="str">
        <f t="shared" si="8"/>
        <v>tree256_line_7_100_102400</v>
      </c>
      <c r="G559">
        <v>13.506805</v>
      </c>
      <c r="H559">
        <v>8.5454080000000001</v>
      </c>
      <c r="I559">
        <v>2.0432513999999999E-2</v>
      </c>
      <c r="J559">
        <v>9.0569999999999999E-6</v>
      </c>
      <c r="K559">
        <v>4.2462</v>
      </c>
      <c r="L559">
        <v>5.2488000000000001</v>
      </c>
      <c r="M559">
        <v>0</v>
      </c>
      <c r="N559">
        <v>10.021599999999999</v>
      </c>
      <c r="O559">
        <v>0</v>
      </c>
    </row>
    <row r="560" spans="1:15" x14ac:dyDescent="0.25">
      <c r="A560" t="s">
        <v>19</v>
      </c>
      <c r="B560" t="s">
        <v>17</v>
      </c>
      <c r="C560">
        <v>15</v>
      </c>
      <c r="D560">
        <v>100</v>
      </c>
      <c r="E560">
        <v>200</v>
      </c>
      <c r="F560" t="str">
        <f t="shared" si="8"/>
        <v>tree256_line_15_100_200</v>
      </c>
      <c r="G560">
        <v>50.619388999999998</v>
      </c>
      <c r="H560">
        <v>21.558247999999999</v>
      </c>
      <c r="I560">
        <v>1.9683000000000001E-5</v>
      </c>
      <c r="J560">
        <v>9.1120000000000002E-6</v>
      </c>
      <c r="K560">
        <v>32.641199999999998</v>
      </c>
      <c r="L560">
        <v>3.286</v>
      </c>
      <c r="M560">
        <v>0</v>
      </c>
      <c r="N560">
        <v>31.477499999999999</v>
      </c>
      <c r="O560">
        <v>0</v>
      </c>
    </row>
    <row r="561" spans="1:15" x14ac:dyDescent="0.25">
      <c r="A561" t="s">
        <v>19</v>
      </c>
      <c r="B561" t="s">
        <v>17</v>
      </c>
      <c r="C561">
        <v>15</v>
      </c>
      <c r="D561">
        <v>100</v>
      </c>
      <c r="E561">
        <v>400</v>
      </c>
      <c r="F561" t="str">
        <f t="shared" si="8"/>
        <v>tree256_line_15_100_400</v>
      </c>
      <c r="G561">
        <v>37.193308999999999</v>
      </c>
      <c r="H561">
        <v>19.537693000000001</v>
      </c>
      <c r="I561">
        <v>4.1269000000000001E-5</v>
      </c>
      <c r="J561">
        <v>9.1859999999999998E-6</v>
      </c>
      <c r="K561">
        <v>29.426600000000001</v>
      </c>
      <c r="L561">
        <v>3.2858000000000001</v>
      </c>
      <c r="M561">
        <v>0</v>
      </c>
      <c r="N561">
        <v>28.410699999999999</v>
      </c>
      <c r="O561">
        <v>0</v>
      </c>
    </row>
    <row r="562" spans="1:15" x14ac:dyDescent="0.25">
      <c r="A562" t="s">
        <v>19</v>
      </c>
      <c r="B562" t="s">
        <v>17</v>
      </c>
      <c r="C562">
        <v>15</v>
      </c>
      <c r="D562">
        <v>100</v>
      </c>
      <c r="E562">
        <v>800</v>
      </c>
      <c r="F562" t="str">
        <f t="shared" si="8"/>
        <v>tree256_line_15_100_800</v>
      </c>
      <c r="G562">
        <v>28.767199000000002</v>
      </c>
      <c r="H562">
        <v>18.637498999999998</v>
      </c>
      <c r="I562">
        <v>8.4938000000000006E-5</v>
      </c>
      <c r="J562">
        <v>9.1120000000000002E-6</v>
      </c>
      <c r="K562">
        <v>26.297699999999999</v>
      </c>
      <c r="L562">
        <v>3.286</v>
      </c>
      <c r="M562">
        <v>0</v>
      </c>
      <c r="N562">
        <v>25.314699999999998</v>
      </c>
      <c r="O562">
        <v>0</v>
      </c>
    </row>
    <row r="563" spans="1:15" x14ac:dyDescent="0.25">
      <c r="A563" t="s">
        <v>19</v>
      </c>
      <c r="B563" t="s">
        <v>17</v>
      </c>
      <c r="C563">
        <v>15</v>
      </c>
      <c r="D563">
        <v>100</v>
      </c>
      <c r="E563">
        <v>1600</v>
      </c>
      <c r="F563" t="str">
        <f t="shared" si="8"/>
        <v>tree256_line_15_100_1600</v>
      </c>
      <c r="G563">
        <v>23.360852999999999</v>
      </c>
      <c r="H563">
        <v>18.127603000000001</v>
      </c>
      <c r="I563">
        <v>1.72125E-4</v>
      </c>
      <c r="J563">
        <v>9.1859999999999998E-6</v>
      </c>
      <c r="K563">
        <v>23.237300000000001</v>
      </c>
      <c r="L563">
        <v>3.2858000000000001</v>
      </c>
      <c r="M563">
        <v>0</v>
      </c>
      <c r="N563">
        <v>22.375699999999998</v>
      </c>
      <c r="O563">
        <v>0</v>
      </c>
    </row>
    <row r="564" spans="1:15" x14ac:dyDescent="0.25">
      <c r="A564" t="s">
        <v>19</v>
      </c>
      <c r="B564" t="s">
        <v>17</v>
      </c>
      <c r="C564">
        <v>15</v>
      </c>
      <c r="D564">
        <v>100</v>
      </c>
      <c r="E564">
        <v>3200</v>
      </c>
      <c r="F564" t="str">
        <f t="shared" si="8"/>
        <v>tree256_line_15_100_3200</v>
      </c>
      <c r="G564">
        <v>19.964022</v>
      </c>
      <c r="H564">
        <v>18.015598000000001</v>
      </c>
      <c r="I564">
        <v>3.4898299999999998E-4</v>
      </c>
      <c r="J564">
        <v>9.1120000000000002E-6</v>
      </c>
      <c r="K564">
        <v>20.188600000000001</v>
      </c>
      <c r="L564">
        <v>3.286</v>
      </c>
      <c r="M564">
        <v>0</v>
      </c>
      <c r="N564">
        <v>19.372499999999999</v>
      </c>
      <c r="O564">
        <v>0</v>
      </c>
    </row>
    <row r="565" spans="1:15" x14ac:dyDescent="0.25">
      <c r="A565" t="s">
        <v>19</v>
      </c>
      <c r="B565" t="s">
        <v>17</v>
      </c>
      <c r="C565">
        <v>15</v>
      </c>
      <c r="D565">
        <v>100</v>
      </c>
      <c r="E565">
        <v>6400</v>
      </c>
      <c r="F565" t="str">
        <f t="shared" si="8"/>
        <v>tree256_line_15_100_6400</v>
      </c>
      <c r="G565">
        <v>17.232676999999999</v>
      </c>
      <c r="H565">
        <v>17.934811</v>
      </c>
      <c r="I565">
        <v>7.2283299999999998E-4</v>
      </c>
      <c r="J565">
        <v>9.1859999999999998E-6</v>
      </c>
      <c r="K565">
        <v>17.055299999999999</v>
      </c>
      <c r="L565">
        <v>3.2858000000000001</v>
      </c>
      <c r="M565">
        <v>0</v>
      </c>
      <c r="N565">
        <v>16.563500000000001</v>
      </c>
      <c r="O565">
        <v>0</v>
      </c>
    </row>
    <row r="566" spans="1:15" x14ac:dyDescent="0.25">
      <c r="A566" t="s">
        <v>19</v>
      </c>
      <c r="B566" t="s">
        <v>17</v>
      </c>
      <c r="C566">
        <v>15</v>
      </c>
      <c r="D566">
        <v>100</v>
      </c>
      <c r="E566">
        <v>12800</v>
      </c>
      <c r="F566" t="str">
        <f t="shared" si="8"/>
        <v>tree256_line_15_100_12800</v>
      </c>
      <c r="G566">
        <v>14.696816</v>
      </c>
      <c r="H566">
        <v>18.123940999999999</v>
      </c>
      <c r="I566">
        <v>1.529131E-3</v>
      </c>
      <c r="J566">
        <v>9.1120000000000002E-6</v>
      </c>
      <c r="K566">
        <v>13.8927</v>
      </c>
      <c r="L566">
        <v>3.286</v>
      </c>
      <c r="M566">
        <v>0</v>
      </c>
      <c r="N566">
        <v>14.2349</v>
      </c>
      <c r="O566">
        <v>0</v>
      </c>
    </row>
    <row r="567" spans="1:15" x14ac:dyDescent="0.25">
      <c r="A567" t="s">
        <v>19</v>
      </c>
      <c r="B567" t="s">
        <v>17</v>
      </c>
      <c r="C567">
        <v>15</v>
      </c>
      <c r="D567">
        <v>100</v>
      </c>
      <c r="E567">
        <v>25600</v>
      </c>
      <c r="F567" t="str">
        <f t="shared" si="8"/>
        <v>tree256_line_15_100_25600</v>
      </c>
      <c r="G567">
        <v>12.632139</v>
      </c>
      <c r="H567">
        <v>18.159403000000001</v>
      </c>
      <c r="I567">
        <v>3.3653749999999999E-3</v>
      </c>
      <c r="J567">
        <v>9.1859999999999998E-6</v>
      </c>
      <c r="K567">
        <v>10.6447</v>
      </c>
      <c r="L567">
        <v>3.2858000000000001</v>
      </c>
      <c r="M567">
        <v>0</v>
      </c>
      <c r="N567">
        <v>11.3231</v>
      </c>
      <c r="O567">
        <v>0</v>
      </c>
    </row>
    <row r="568" spans="1:15" x14ac:dyDescent="0.25">
      <c r="A568" t="s">
        <v>19</v>
      </c>
      <c r="B568" t="s">
        <v>17</v>
      </c>
      <c r="C568">
        <v>15</v>
      </c>
      <c r="D568">
        <v>100</v>
      </c>
      <c r="E568">
        <v>102400</v>
      </c>
      <c r="F568" t="str">
        <f t="shared" si="8"/>
        <v>tree256_line_15_100_102400</v>
      </c>
      <c r="G568">
        <v>9.0981310000000004</v>
      </c>
      <c r="H568">
        <v>18.495647999999999</v>
      </c>
      <c r="I568">
        <v>2.0433455999999999E-2</v>
      </c>
      <c r="J568">
        <v>9.0690000000000008E-6</v>
      </c>
      <c r="K568">
        <v>4.2636000000000003</v>
      </c>
      <c r="L568">
        <v>3.2852999999999999</v>
      </c>
      <c r="M568">
        <v>0</v>
      </c>
      <c r="N568">
        <v>7.8962000000000003</v>
      </c>
      <c r="O568">
        <v>0</v>
      </c>
    </row>
    <row r="569" spans="1:15" x14ac:dyDescent="0.25">
      <c r="A569" t="s">
        <v>19</v>
      </c>
      <c r="B569" t="s">
        <v>17</v>
      </c>
      <c r="C569">
        <v>31</v>
      </c>
      <c r="D569">
        <v>100</v>
      </c>
      <c r="E569">
        <v>200</v>
      </c>
      <c r="F569" t="str">
        <f t="shared" si="8"/>
        <v>tree256_line_31_100_200</v>
      </c>
      <c r="G569">
        <v>48.997644999999999</v>
      </c>
      <c r="H569">
        <v>45.862985000000002</v>
      </c>
      <c r="I569">
        <v>1.9786999999999999E-5</v>
      </c>
      <c r="J569">
        <v>9.0680000000000003E-6</v>
      </c>
      <c r="K569">
        <v>32.6188</v>
      </c>
      <c r="L569">
        <v>2.3256999999999999</v>
      </c>
      <c r="M569">
        <v>0</v>
      </c>
      <c r="N569">
        <v>31.342300000000002</v>
      </c>
      <c r="O569">
        <v>0</v>
      </c>
    </row>
    <row r="570" spans="1:15" x14ac:dyDescent="0.25">
      <c r="A570" t="s">
        <v>19</v>
      </c>
      <c r="B570" t="s">
        <v>17</v>
      </c>
      <c r="C570">
        <v>31</v>
      </c>
      <c r="D570">
        <v>100</v>
      </c>
      <c r="E570">
        <v>400</v>
      </c>
      <c r="F570" t="str">
        <f t="shared" si="8"/>
        <v>tree256_line_31_100_400</v>
      </c>
      <c r="G570">
        <v>35.157271999999999</v>
      </c>
      <c r="H570">
        <v>41.826774999999998</v>
      </c>
      <c r="I570">
        <v>4.1109000000000002E-5</v>
      </c>
      <c r="J570">
        <v>9.0070000000000003E-6</v>
      </c>
      <c r="K570">
        <v>29.444299999999998</v>
      </c>
      <c r="L570">
        <v>2.3271999999999999</v>
      </c>
      <c r="M570">
        <v>0</v>
      </c>
      <c r="N570">
        <v>28.327500000000001</v>
      </c>
      <c r="O570">
        <v>0</v>
      </c>
    </row>
    <row r="571" spans="1:15" x14ac:dyDescent="0.25">
      <c r="A571" t="s">
        <v>19</v>
      </c>
      <c r="B571" t="s">
        <v>17</v>
      </c>
      <c r="C571">
        <v>31</v>
      </c>
      <c r="D571">
        <v>100</v>
      </c>
      <c r="E571">
        <v>800</v>
      </c>
      <c r="F571" t="str">
        <f t="shared" si="8"/>
        <v>tree256_line_31_100_800</v>
      </c>
      <c r="G571">
        <v>25.939229000000001</v>
      </c>
      <c r="H571">
        <v>39.702950000000001</v>
      </c>
      <c r="I571">
        <v>8.3577000000000003E-5</v>
      </c>
      <c r="J571">
        <v>9.0680000000000003E-6</v>
      </c>
      <c r="K571">
        <v>26.367699999999999</v>
      </c>
      <c r="L571">
        <v>2.3256999999999999</v>
      </c>
      <c r="M571">
        <v>0</v>
      </c>
      <c r="N571">
        <v>25.361699999999999</v>
      </c>
      <c r="O571">
        <v>0</v>
      </c>
    </row>
    <row r="572" spans="1:15" x14ac:dyDescent="0.25">
      <c r="A572" t="s">
        <v>19</v>
      </c>
      <c r="B572" t="s">
        <v>17</v>
      </c>
      <c r="C572">
        <v>31</v>
      </c>
      <c r="D572">
        <v>100</v>
      </c>
      <c r="E572">
        <v>1600</v>
      </c>
      <c r="F572" t="str">
        <f t="shared" si="8"/>
        <v>tree256_line_31_100_1600</v>
      </c>
      <c r="G572">
        <v>20.193995000000001</v>
      </c>
      <c r="H572">
        <v>38.695366</v>
      </c>
      <c r="I572">
        <v>1.7071100000000001E-4</v>
      </c>
      <c r="J572">
        <v>9.0070000000000003E-6</v>
      </c>
      <c r="K572">
        <v>23.2699</v>
      </c>
      <c r="L572">
        <v>2.3271999999999999</v>
      </c>
      <c r="M572">
        <v>0</v>
      </c>
      <c r="N572">
        <v>22.383700000000001</v>
      </c>
      <c r="O572">
        <v>0</v>
      </c>
    </row>
    <row r="573" spans="1:15" x14ac:dyDescent="0.25">
      <c r="A573" t="s">
        <v>19</v>
      </c>
      <c r="B573" t="s">
        <v>17</v>
      </c>
      <c r="C573">
        <v>31</v>
      </c>
      <c r="D573">
        <v>100</v>
      </c>
      <c r="E573">
        <v>3200</v>
      </c>
      <c r="F573" t="str">
        <f t="shared" si="8"/>
        <v>tree256_line_31_100_3200</v>
      </c>
      <c r="G573">
        <v>16.095464</v>
      </c>
      <c r="H573">
        <v>38.141427</v>
      </c>
      <c r="I573">
        <v>3.4857900000000001E-4</v>
      </c>
      <c r="J573">
        <v>9.0680000000000003E-6</v>
      </c>
      <c r="K573">
        <v>20.1877</v>
      </c>
      <c r="L573">
        <v>2.3256999999999999</v>
      </c>
      <c r="M573">
        <v>0</v>
      </c>
      <c r="N573">
        <v>19.4312</v>
      </c>
      <c r="O573">
        <v>0</v>
      </c>
    </row>
    <row r="574" spans="1:15" x14ac:dyDescent="0.25">
      <c r="A574" t="s">
        <v>19</v>
      </c>
      <c r="B574" t="s">
        <v>17</v>
      </c>
      <c r="C574">
        <v>31</v>
      </c>
      <c r="D574">
        <v>100</v>
      </c>
      <c r="E574">
        <v>6400</v>
      </c>
      <c r="F574" t="str">
        <f t="shared" si="8"/>
        <v>tree256_line_31_100_6400</v>
      </c>
      <c r="G574">
        <v>13.287788000000001</v>
      </c>
      <c r="H574">
        <v>38.130339999999997</v>
      </c>
      <c r="I574">
        <v>7.1569400000000001E-4</v>
      </c>
      <c r="J574">
        <v>9.0070000000000003E-6</v>
      </c>
      <c r="K574">
        <v>17.104800000000001</v>
      </c>
      <c r="L574">
        <v>2.3271999999999999</v>
      </c>
      <c r="M574">
        <v>0</v>
      </c>
      <c r="N574">
        <v>16.549099999999999</v>
      </c>
      <c r="O574">
        <v>0</v>
      </c>
    </row>
    <row r="575" spans="1:15" x14ac:dyDescent="0.25">
      <c r="A575" t="s">
        <v>19</v>
      </c>
      <c r="B575" t="s">
        <v>17</v>
      </c>
      <c r="C575">
        <v>31</v>
      </c>
      <c r="D575">
        <v>100</v>
      </c>
      <c r="E575">
        <v>12800</v>
      </c>
      <c r="F575" t="str">
        <f t="shared" si="8"/>
        <v>tree256_line_31_100_12800</v>
      </c>
      <c r="G575">
        <v>11.000361</v>
      </c>
      <c r="H575">
        <v>38.034711000000001</v>
      </c>
      <c r="I575">
        <v>1.511372E-3</v>
      </c>
      <c r="J575">
        <v>9.0680000000000003E-6</v>
      </c>
      <c r="K575">
        <v>13.932</v>
      </c>
      <c r="L575">
        <v>2.3256999999999999</v>
      </c>
      <c r="M575">
        <v>0</v>
      </c>
      <c r="N575">
        <v>13.698</v>
      </c>
      <c r="O575">
        <v>0</v>
      </c>
    </row>
    <row r="576" spans="1:15" x14ac:dyDescent="0.25">
      <c r="A576" t="s">
        <v>19</v>
      </c>
      <c r="B576" t="s">
        <v>17</v>
      </c>
      <c r="C576">
        <v>31</v>
      </c>
      <c r="D576">
        <v>100</v>
      </c>
      <c r="E576">
        <v>25600</v>
      </c>
      <c r="F576" t="str">
        <f t="shared" si="8"/>
        <v>tree256_line_31_100_25600</v>
      </c>
      <c r="G576">
        <v>9.2783800000000003</v>
      </c>
      <c r="H576">
        <v>38.241402000000001</v>
      </c>
      <c r="I576">
        <v>3.3264760000000001E-3</v>
      </c>
      <c r="J576">
        <v>9.0070000000000003E-6</v>
      </c>
      <c r="K576">
        <v>10.6899</v>
      </c>
      <c r="L576">
        <v>2.3271999999999999</v>
      </c>
      <c r="M576">
        <v>0</v>
      </c>
      <c r="N576">
        <v>10.8316</v>
      </c>
      <c r="O576">
        <v>0</v>
      </c>
    </row>
    <row r="577" spans="1:15" x14ac:dyDescent="0.25">
      <c r="A577" t="s">
        <v>19</v>
      </c>
      <c r="B577" t="s">
        <v>17</v>
      </c>
      <c r="C577">
        <v>31</v>
      </c>
      <c r="D577">
        <v>100</v>
      </c>
      <c r="E577">
        <v>102400</v>
      </c>
      <c r="F577" t="str">
        <f t="shared" si="8"/>
        <v>tree256_line_31_100_102400</v>
      </c>
      <c r="G577">
        <v>6.4537839999999997</v>
      </c>
      <c r="H577">
        <v>38.288899000000001</v>
      </c>
      <c r="I577">
        <v>2.0251214999999999E-2</v>
      </c>
      <c r="J577">
        <v>9.0790000000000007E-6</v>
      </c>
      <c r="K577">
        <v>4.2546999999999997</v>
      </c>
      <c r="L577">
        <v>2.3258999999999999</v>
      </c>
      <c r="M577">
        <v>0</v>
      </c>
      <c r="N577">
        <v>6.5934999999999997</v>
      </c>
      <c r="O577">
        <v>0</v>
      </c>
    </row>
  </sheetData>
  <autoFilter ref="A1:O577"/>
  <sortState ref="A2:O577">
    <sortCondition ref="A2:A577"/>
    <sortCondition ref="B2:B577"/>
    <sortCondition ref="C2:C577"/>
    <sortCondition ref="E2:E57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05"/>
  <sheetViews>
    <sheetView workbookViewId="0">
      <pane ySplit="1" topLeftCell="A677" activePane="bottomLeft" state="frozen"/>
      <selection pane="bottomLeft" activeCell="K27" sqref="K27"/>
    </sheetView>
  </sheetViews>
  <sheetFormatPr defaultRowHeight="15" x14ac:dyDescent="0.25"/>
  <cols>
    <col min="2" max="2" width="12.28515625" bestFit="1" customWidth="1"/>
    <col min="3" max="3" width="10.28515625" bestFit="1" customWidth="1"/>
    <col min="4" max="4" width="10.85546875" bestFit="1" customWidth="1"/>
    <col min="5" max="5" width="11.42578125" bestFit="1" customWidth="1"/>
    <col min="6" max="6" width="35.28515625" bestFit="1" customWidth="1"/>
    <col min="7" max="8" width="10.140625" bestFit="1" customWidth="1"/>
    <col min="9" max="9" width="15.85546875" bestFit="1" customWidth="1"/>
    <col min="10" max="10" width="14.140625" bestFit="1" customWidth="1"/>
    <col min="11" max="11" width="12.28515625" bestFit="1" customWidth="1"/>
    <col min="12" max="12" width="10.85546875" bestFit="1" customWidth="1"/>
    <col min="13" max="13" width="13.42578125" bestFit="1" customWidth="1"/>
    <col min="14" max="14" width="14.28515625" bestFit="1" customWidth="1"/>
    <col min="15" max="15" width="12.57031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22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</row>
    <row r="2" spans="1:15" x14ac:dyDescent="0.25">
      <c r="A2" t="s">
        <v>21</v>
      </c>
      <c r="B2" t="s">
        <v>18</v>
      </c>
      <c r="C2">
        <v>3</v>
      </c>
      <c r="D2">
        <v>100</v>
      </c>
      <c r="E2">
        <v>200</v>
      </c>
      <c r="F2" t="str">
        <f t="shared" ref="F2:F65" si="0">A2&amp;"_"&amp;B2&amp;"_"&amp;C2&amp;"_"&amp;D2&amp;"_"&amp;E2</f>
        <v>castle256_blurkernel10_3_100_200</v>
      </c>
      <c r="G2">
        <v>0</v>
      </c>
      <c r="H2">
        <v>0</v>
      </c>
      <c r="I2">
        <v>1.9040000000000001E-5</v>
      </c>
      <c r="J2">
        <v>8.755E-6</v>
      </c>
      <c r="K2">
        <v>32.5762</v>
      </c>
      <c r="L2">
        <v>14.4754</v>
      </c>
      <c r="M2">
        <v>18.865200000000002</v>
      </c>
      <c r="N2">
        <v>0</v>
      </c>
      <c r="O2">
        <v>0</v>
      </c>
    </row>
    <row r="3" spans="1:15" x14ac:dyDescent="0.25">
      <c r="A3" t="s">
        <v>21</v>
      </c>
      <c r="B3" t="s">
        <v>18</v>
      </c>
      <c r="C3">
        <v>3</v>
      </c>
      <c r="D3">
        <v>100</v>
      </c>
      <c r="E3">
        <v>400</v>
      </c>
      <c r="F3" t="str">
        <f t="shared" si="0"/>
        <v>castle256_blurkernel10_3_100_400</v>
      </c>
      <c r="G3">
        <v>0</v>
      </c>
      <c r="H3">
        <v>0</v>
      </c>
      <c r="I3">
        <v>4.0064000000000001E-5</v>
      </c>
      <c r="J3">
        <v>8.755E-6</v>
      </c>
      <c r="K3">
        <v>29.350100000000001</v>
      </c>
      <c r="L3">
        <v>14.4754</v>
      </c>
      <c r="M3">
        <v>18.8094</v>
      </c>
      <c r="N3">
        <v>0</v>
      </c>
      <c r="O3">
        <v>0</v>
      </c>
    </row>
    <row r="4" spans="1:15" x14ac:dyDescent="0.25">
      <c r="A4" t="s">
        <v>21</v>
      </c>
      <c r="B4" t="s">
        <v>18</v>
      </c>
      <c r="C4">
        <v>3</v>
      </c>
      <c r="D4">
        <v>100</v>
      </c>
      <c r="E4">
        <v>800</v>
      </c>
      <c r="F4" t="str">
        <f t="shared" si="0"/>
        <v>castle256_blurkernel10_3_100_800</v>
      </c>
      <c r="G4">
        <v>0</v>
      </c>
      <c r="H4">
        <v>0</v>
      </c>
      <c r="I4">
        <v>8.1223999999999993E-5</v>
      </c>
      <c r="J4">
        <v>8.755E-6</v>
      </c>
      <c r="K4">
        <v>26.285499999999999</v>
      </c>
      <c r="L4">
        <v>14.4754</v>
      </c>
      <c r="M4">
        <v>18.7027</v>
      </c>
      <c r="N4">
        <v>0</v>
      </c>
      <c r="O4">
        <v>0</v>
      </c>
    </row>
    <row r="5" spans="1:15" x14ac:dyDescent="0.25">
      <c r="A5" t="s">
        <v>21</v>
      </c>
      <c r="B5" t="s">
        <v>18</v>
      </c>
      <c r="C5">
        <v>3</v>
      </c>
      <c r="D5">
        <v>100</v>
      </c>
      <c r="E5">
        <v>1600</v>
      </c>
      <c r="F5" t="str">
        <f t="shared" si="0"/>
        <v>castle256_blurkernel10_3_100_1600</v>
      </c>
      <c r="G5">
        <v>0</v>
      </c>
      <c r="H5">
        <v>0</v>
      </c>
      <c r="I5">
        <v>1.6639500000000001E-4</v>
      </c>
      <c r="J5">
        <v>8.755E-6</v>
      </c>
      <c r="K5">
        <v>23.185700000000001</v>
      </c>
      <c r="L5">
        <v>14.4754</v>
      </c>
      <c r="M5">
        <v>18.4695</v>
      </c>
      <c r="N5">
        <v>0</v>
      </c>
      <c r="O5">
        <v>0</v>
      </c>
    </row>
    <row r="6" spans="1:15" x14ac:dyDescent="0.25">
      <c r="A6" t="s">
        <v>21</v>
      </c>
      <c r="B6" t="s">
        <v>18</v>
      </c>
      <c r="C6">
        <v>3</v>
      </c>
      <c r="D6">
        <v>100</v>
      </c>
      <c r="E6">
        <v>3200</v>
      </c>
      <c r="F6" t="str">
        <f t="shared" si="0"/>
        <v>castle256_blurkernel10_3_100_3200</v>
      </c>
      <c r="G6">
        <v>0</v>
      </c>
      <c r="H6">
        <v>0</v>
      </c>
      <c r="I6">
        <v>3.4108499999999998E-4</v>
      </c>
      <c r="J6">
        <v>8.755E-6</v>
      </c>
      <c r="K6">
        <v>20.0837</v>
      </c>
      <c r="L6">
        <v>14.4754</v>
      </c>
      <c r="M6">
        <v>18.143899999999999</v>
      </c>
      <c r="N6">
        <v>0</v>
      </c>
      <c r="O6">
        <v>0</v>
      </c>
    </row>
    <row r="7" spans="1:15" x14ac:dyDescent="0.25">
      <c r="A7" t="s">
        <v>21</v>
      </c>
      <c r="B7" t="s">
        <v>18</v>
      </c>
      <c r="C7">
        <v>3</v>
      </c>
      <c r="D7">
        <v>100</v>
      </c>
      <c r="E7">
        <v>6400</v>
      </c>
      <c r="F7" t="str">
        <f t="shared" si="0"/>
        <v>castle256_blurkernel10_3_100_6400</v>
      </c>
      <c r="G7">
        <v>0</v>
      </c>
      <c r="H7">
        <v>0</v>
      </c>
      <c r="I7">
        <v>7.01185E-4</v>
      </c>
      <c r="J7">
        <v>8.755E-6</v>
      </c>
      <c r="K7">
        <v>16.992799999999999</v>
      </c>
      <c r="L7">
        <v>14.4754</v>
      </c>
      <c r="M7">
        <v>17.605</v>
      </c>
      <c r="N7">
        <v>0</v>
      </c>
      <c r="O7">
        <v>0</v>
      </c>
    </row>
    <row r="8" spans="1:15" x14ac:dyDescent="0.25">
      <c r="A8" t="s">
        <v>21</v>
      </c>
      <c r="B8" t="s">
        <v>18</v>
      </c>
      <c r="C8">
        <v>3</v>
      </c>
      <c r="D8">
        <v>100</v>
      </c>
      <c r="E8">
        <v>12800</v>
      </c>
      <c r="F8" t="str">
        <f t="shared" si="0"/>
        <v>castle256_blurkernel10_3_100_12800</v>
      </c>
      <c r="G8">
        <v>0</v>
      </c>
      <c r="H8">
        <v>0</v>
      </c>
      <c r="I8">
        <v>1.4668109999999999E-3</v>
      </c>
      <c r="J8">
        <v>8.755E-6</v>
      </c>
      <c r="K8">
        <v>13.8689</v>
      </c>
      <c r="L8">
        <v>14.4754</v>
      </c>
      <c r="M8">
        <v>17.0608</v>
      </c>
      <c r="N8">
        <v>0</v>
      </c>
      <c r="O8">
        <v>0</v>
      </c>
    </row>
    <row r="9" spans="1:15" x14ac:dyDescent="0.25">
      <c r="A9" t="s">
        <v>21</v>
      </c>
      <c r="B9" t="s">
        <v>18</v>
      </c>
      <c r="C9">
        <v>3</v>
      </c>
      <c r="D9">
        <v>100</v>
      </c>
      <c r="E9">
        <v>25600</v>
      </c>
      <c r="F9" t="str">
        <f t="shared" si="0"/>
        <v>castle256_blurkernel10_3_100_25600</v>
      </c>
      <c r="G9">
        <v>0</v>
      </c>
      <c r="H9">
        <v>0</v>
      </c>
      <c r="I9">
        <v>3.2875529999999999E-3</v>
      </c>
      <c r="J9">
        <v>8.755E-6</v>
      </c>
      <c r="K9">
        <v>10.5345</v>
      </c>
      <c r="L9">
        <v>14.4754</v>
      </c>
      <c r="M9">
        <v>16.083200000000001</v>
      </c>
      <c r="N9">
        <v>0</v>
      </c>
      <c r="O9">
        <v>0</v>
      </c>
    </row>
    <row r="10" spans="1:15" x14ac:dyDescent="0.25">
      <c r="A10" t="s">
        <v>21</v>
      </c>
      <c r="B10" t="s">
        <v>18</v>
      </c>
      <c r="C10">
        <v>3</v>
      </c>
      <c r="D10">
        <v>100</v>
      </c>
      <c r="E10">
        <v>102400</v>
      </c>
      <c r="F10" t="str">
        <f t="shared" si="0"/>
        <v>castle256_blurkernel10_3_100_102400</v>
      </c>
      <c r="G10">
        <v>0</v>
      </c>
      <c r="H10">
        <v>0</v>
      </c>
      <c r="I10">
        <v>1.9887810999999998E-2</v>
      </c>
      <c r="J10">
        <v>8.6780000000000006E-6</v>
      </c>
      <c r="K10">
        <v>4.1216999999999997</v>
      </c>
      <c r="L10">
        <v>14.4749</v>
      </c>
      <c r="M10">
        <v>13.7018</v>
      </c>
      <c r="N10">
        <v>0</v>
      </c>
      <c r="O10">
        <v>0</v>
      </c>
    </row>
    <row r="11" spans="1:15" x14ac:dyDescent="0.25">
      <c r="A11" t="s">
        <v>21</v>
      </c>
      <c r="B11" t="s">
        <v>18</v>
      </c>
      <c r="C11">
        <v>7</v>
      </c>
      <c r="D11">
        <v>100</v>
      </c>
      <c r="E11">
        <v>200</v>
      </c>
      <c r="F11" t="str">
        <f t="shared" si="0"/>
        <v>castle256_blurkernel10_7_100_200</v>
      </c>
      <c r="G11">
        <v>0</v>
      </c>
      <c r="H11">
        <v>0</v>
      </c>
      <c r="I11">
        <v>1.9062000000000001E-5</v>
      </c>
      <c r="J11">
        <v>8.7860000000000002E-6</v>
      </c>
      <c r="K11">
        <v>32.5745</v>
      </c>
      <c r="L11">
        <v>10.2866</v>
      </c>
      <c r="M11">
        <v>19.775500000000001</v>
      </c>
      <c r="N11">
        <v>0</v>
      </c>
      <c r="O11">
        <v>0</v>
      </c>
    </row>
    <row r="12" spans="1:15" x14ac:dyDescent="0.25">
      <c r="A12" t="s">
        <v>21</v>
      </c>
      <c r="B12" t="s">
        <v>18</v>
      </c>
      <c r="C12">
        <v>7</v>
      </c>
      <c r="D12">
        <v>100</v>
      </c>
      <c r="E12">
        <v>400</v>
      </c>
      <c r="F12" t="str">
        <f t="shared" si="0"/>
        <v>castle256_blurkernel10_7_100_400</v>
      </c>
      <c r="G12">
        <v>0</v>
      </c>
      <c r="H12">
        <v>0</v>
      </c>
      <c r="I12">
        <v>3.9753999999999999E-5</v>
      </c>
      <c r="J12">
        <v>8.7860000000000002E-6</v>
      </c>
      <c r="K12">
        <v>29.382200000000001</v>
      </c>
      <c r="L12">
        <v>10.2866</v>
      </c>
      <c r="M12">
        <v>19.687000000000001</v>
      </c>
      <c r="N12">
        <v>0</v>
      </c>
      <c r="O12">
        <v>0</v>
      </c>
    </row>
    <row r="13" spans="1:15" x14ac:dyDescent="0.25">
      <c r="A13" t="s">
        <v>21</v>
      </c>
      <c r="B13" t="s">
        <v>18</v>
      </c>
      <c r="C13">
        <v>7</v>
      </c>
      <c r="D13">
        <v>100</v>
      </c>
      <c r="E13">
        <v>800</v>
      </c>
      <c r="F13" t="str">
        <f t="shared" si="0"/>
        <v>castle256_blurkernel10_7_100_800</v>
      </c>
      <c r="G13">
        <v>0</v>
      </c>
      <c r="H13">
        <v>0</v>
      </c>
      <c r="I13">
        <v>8.2268999999999994E-5</v>
      </c>
      <c r="J13">
        <v>8.7860000000000002E-6</v>
      </c>
      <c r="K13">
        <v>26.2334</v>
      </c>
      <c r="L13">
        <v>10.2866</v>
      </c>
      <c r="M13">
        <v>19.518899999999999</v>
      </c>
      <c r="N13">
        <v>0</v>
      </c>
      <c r="O13">
        <v>0</v>
      </c>
    </row>
    <row r="14" spans="1:15" x14ac:dyDescent="0.25">
      <c r="A14" t="s">
        <v>21</v>
      </c>
      <c r="B14" t="s">
        <v>18</v>
      </c>
      <c r="C14">
        <v>7</v>
      </c>
      <c r="D14">
        <v>100</v>
      </c>
      <c r="E14">
        <v>1600</v>
      </c>
      <c r="F14" t="str">
        <f t="shared" si="0"/>
        <v>castle256_blurkernel10_7_100_1600</v>
      </c>
      <c r="G14">
        <v>0</v>
      </c>
      <c r="H14">
        <v>0</v>
      </c>
      <c r="I14">
        <v>1.6712899999999999E-4</v>
      </c>
      <c r="J14">
        <v>8.7860000000000002E-6</v>
      </c>
      <c r="K14">
        <v>23.1646</v>
      </c>
      <c r="L14">
        <v>10.2866</v>
      </c>
      <c r="M14">
        <v>19.163599999999999</v>
      </c>
      <c r="N14">
        <v>0</v>
      </c>
      <c r="O14">
        <v>0</v>
      </c>
    </row>
    <row r="15" spans="1:15" x14ac:dyDescent="0.25">
      <c r="A15" t="s">
        <v>21</v>
      </c>
      <c r="B15" t="s">
        <v>18</v>
      </c>
      <c r="C15">
        <v>7</v>
      </c>
      <c r="D15">
        <v>100</v>
      </c>
      <c r="E15">
        <v>3200</v>
      </c>
      <c r="F15" t="str">
        <f t="shared" si="0"/>
        <v>castle256_blurkernel10_7_100_3200</v>
      </c>
      <c r="G15">
        <v>0</v>
      </c>
      <c r="H15">
        <v>0</v>
      </c>
      <c r="I15">
        <v>3.4027599999999998E-4</v>
      </c>
      <c r="J15">
        <v>8.7860000000000002E-6</v>
      </c>
      <c r="K15">
        <v>20.091799999999999</v>
      </c>
      <c r="L15">
        <v>10.2866</v>
      </c>
      <c r="M15">
        <v>18.713000000000001</v>
      </c>
      <c r="N15">
        <v>0</v>
      </c>
      <c r="O15">
        <v>0</v>
      </c>
    </row>
    <row r="16" spans="1:15" x14ac:dyDescent="0.25">
      <c r="A16" t="s">
        <v>21</v>
      </c>
      <c r="B16" t="s">
        <v>18</v>
      </c>
      <c r="C16">
        <v>7</v>
      </c>
      <c r="D16">
        <v>100</v>
      </c>
      <c r="E16">
        <v>6400</v>
      </c>
      <c r="F16" t="str">
        <f t="shared" si="0"/>
        <v>castle256_blurkernel10_7_100_6400</v>
      </c>
      <c r="G16">
        <v>0</v>
      </c>
      <c r="H16">
        <v>0</v>
      </c>
      <c r="I16">
        <v>6.9540699999999999E-4</v>
      </c>
      <c r="J16">
        <v>8.7860000000000002E-6</v>
      </c>
      <c r="K16">
        <v>17.0227</v>
      </c>
      <c r="L16">
        <v>10.2866</v>
      </c>
      <c r="M16">
        <v>17.976600000000001</v>
      </c>
      <c r="N16">
        <v>0</v>
      </c>
      <c r="O16">
        <v>0</v>
      </c>
    </row>
    <row r="17" spans="1:15" x14ac:dyDescent="0.25">
      <c r="A17" t="s">
        <v>21</v>
      </c>
      <c r="B17" t="s">
        <v>18</v>
      </c>
      <c r="C17">
        <v>7</v>
      </c>
      <c r="D17">
        <v>100</v>
      </c>
      <c r="E17">
        <v>12800</v>
      </c>
      <c r="F17" t="str">
        <f t="shared" si="0"/>
        <v>castle256_blurkernel10_7_100_12800</v>
      </c>
      <c r="G17">
        <v>0</v>
      </c>
      <c r="H17">
        <v>0</v>
      </c>
      <c r="I17">
        <v>1.4547309999999999E-3</v>
      </c>
      <c r="J17">
        <v>8.7860000000000002E-6</v>
      </c>
      <c r="K17">
        <v>13.9091</v>
      </c>
      <c r="L17">
        <v>10.2866</v>
      </c>
      <c r="M17">
        <v>17.015499999999999</v>
      </c>
      <c r="N17">
        <v>0</v>
      </c>
      <c r="O17">
        <v>0</v>
      </c>
    </row>
    <row r="18" spans="1:15" x14ac:dyDescent="0.25">
      <c r="A18" t="s">
        <v>21</v>
      </c>
      <c r="B18" t="s">
        <v>18</v>
      </c>
      <c r="C18">
        <v>7</v>
      </c>
      <c r="D18">
        <v>100</v>
      </c>
      <c r="E18">
        <v>25600</v>
      </c>
      <c r="F18" t="str">
        <f t="shared" si="0"/>
        <v>castle256_blurkernel10_7_100_25600</v>
      </c>
      <c r="G18">
        <v>0</v>
      </c>
      <c r="H18">
        <v>0</v>
      </c>
      <c r="I18">
        <v>3.2344370000000002E-3</v>
      </c>
      <c r="J18">
        <v>8.7860000000000002E-6</v>
      </c>
      <c r="K18">
        <v>10.618399999999999</v>
      </c>
      <c r="L18">
        <v>10.2866</v>
      </c>
      <c r="M18">
        <v>15.6007</v>
      </c>
      <c r="N18">
        <v>0</v>
      </c>
      <c r="O18">
        <v>0</v>
      </c>
    </row>
    <row r="19" spans="1:15" x14ac:dyDescent="0.25">
      <c r="A19" t="s">
        <v>21</v>
      </c>
      <c r="B19" t="s">
        <v>18</v>
      </c>
      <c r="C19">
        <v>7</v>
      </c>
      <c r="D19">
        <v>100</v>
      </c>
      <c r="E19">
        <v>102400</v>
      </c>
      <c r="F19" t="str">
        <f t="shared" si="0"/>
        <v>castle256_blurkernel10_7_100_102400</v>
      </c>
      <c r="G19">
        <v>0</v>
      </c>
      <c r="H19">
        <v>0</v>
      </c>
      <c r="I19">
        <v>1.9774203000000001E-2</v>
      </c>
      <c r="J19">
        <v>8.7329999999999992E-6</v>
      </c>
      <c r="K19">
        <v>4.1573000000000002</v>
      </c>
      <c r="L19">
        <v>10.2888</v>
      </c>
      <c r="M19">
        <v>12.0359</v>
      </c>
      <c r="N19">
        <v>0</v>
      </c>
      <c r="O19">
        <v>0</v>
      </c>
    </row>
    <row r="20" spans="1:15" x14ac:dyDescent="0.25">
      <c r="A20" t="s">
        <v>21</v>
      </c>
      <c r="B20" t="s">
        <v>18</v>
      </c>
      <c r="C20">
        <v>15</v>
      </c>
      <c r="D20">
        <v>100</v>
      </c>
      <c r="E20">
        <v>200</v>
      </c>
      <c r="F20" t="str">
        <f t="shared" si="0"/>
        <v>castle256_blurkernel10_15_100_200</v>
      </c>
      <c r="G20">
        <v>0</v>
      </c>
      <c r="H20">
        <v>0</v>
      </c>
      <c r="I20">
        <v>1.9034000000000001E-5</v>
      </c>
      <c r="J20">
        <v>8.7120000000000006E-6</v>
      </c>
      <c r="K20">
        <v>32.578200000000002</v>
      </c>
      <c r="L20">
        <v>8.1921999999999997</v>
      </c>
      <c r="M20">
        <v>20.025400000000001</v>
      </c>
      <c r="N20">
        <v>0</v>
      </c>
      <c r="O20">
        <v>0</v>
      </c>
    </row>
    <row r="21" spans="1:15" x14ac:dyDescent="0.25">
      <c r="A21" t="s">
        <v>21</v>
      </c>
      <c r="B21" t="s">
        <v>18</v>
      </c>
      <c r="C21">
        <v>15</v>
      </c>
      <c r="D21">
        <v>100</v>
      </c>
      <c r="E21">
        <v>400</v>
      </c>
      <c r="F21" t="str">
        <f t="shared" si="0"/>
        <v>castle256_blurkernel10_15_100_400</v>
      </c>
      <c r="G21">
        <v>0</v>
      </c>
      <c r="H21">
        <v>0</v>
      </c>
      <c r="I21">
        <v>3.9462000000000003E-5</v>
      </c>
      <c r="J21">
        <v>8.7120000000000006E-6</v>
      </c>
      <c r="K21">
        <v>29.416</v>
      </c>
      <c r="L21">
        <v>8.1921999999999997</v>
      </c>
      <c r="M21">
        <v>19.9223</v>
      </c>
      <c r="N21">
        <v>0</v>
      </c>
      <c r="O21">
        <v>0</v>
      </c>
    </row>
    <row r="22" spans="1:15" x14ac:dyDescent="0.25">
      <c r="A22" t="s">
        <v>21</v>
      </c>
      <c r="B22" t="s">
        <v>18</v>
      </c>
      <c r="C22">
        <v>15</v>
      </c>
      <c r="D22">
        <v>100</v>
      </c>
      <c r="E22">
        <v>800</v>
      </c>
      <c r="F22" t="str">
        <f t="shared" si="0"/>
        <v>castle256_blurkernel10_15_100_800</v>
      </c>
      <c r="G22">
        <v>0</v>
      </c>
      <c r="H22">
        <v>0</v>
      </c>
      <c r="I22">
        <v>8.0839000000000003E-5</v>
      </c>
      <c r="J22">
        <v>8.7120000000000006E-6</v>
      </c>
      <c r="K22">
        <v>26.309200000000001</v>
      </c>
      <c r="L22">
        <v>8.1921999999999997</v>
      </c>
      <c r="M22">
        <v>19.744299999999999</v>
      </c>
      <c r="N22">
        <v>0</v>
      </c>
      <c r="O22">
        <v>0</v>
      </c>
    </row>
    <row r="23" spans="1:15" x14ac:dyDescent="0.25">
      <c r="A23" t="s">
        <v>21</v>
      </c>
      <c r="B23" t="s">
        <v>18</v>
      </c>
      <c r="C23">
        <v>15</v>
      </c>
      <c r="D23">
        <v>100</v>
      </c>
      <c r="E23">
        <v>1600</v>
      </c>
      <c r="F23" t="str">
        <f t="shared" si="0"/>
        <v>castle256_blurkernel10_15_100_1600</v>
      </c>
      <c r="G23">
        <v>0</v>
      </c>
      <c r="H23">
        <v>0</v>
      </c>
      <c r="I23">
        <v>1.6588099999999999E-4</v>
      </c>
      <c r="J23">
        <v>8.7120000000000006E-6</v>
      </c>
      <c r="K23">
        <v>23.1937</v>
      </c>
      <c r="L23">
        <v>8.1921999999999997</v>
      </c>
      <c r="M23">
        <v>19.369499999999999</v>
      </c>
      <c r="N23">
        <v>0</v>
      </c>
      <c r="O23">
        <v>0</v>
      </c>
    </row>
    <row r="24" spans="1:15" x14ac:dyDescent="0.25">
      <c r="A24" t="s">
        <v>21</v>
      </c>
      <c r="B24" t="s">
        <v>18</v>
      </c>
      <c r="C24">
        <v>15</v>
      </c>
      <c r="D24">
        <v>100</v>
      </c>
      <c r="E24">
        <v>3200</v>
      </c>
      <c r="F24" t="str">
        <f t="shared" si="0"/>
        <v>castle256_blurkernel10_15_100_3200</v>
      </c>
      <c r="G24">
        <v>0</v>
      </c>
      <c r="H24">
        <v>0</v>
      </c>
      <c r="I24">
        <v>3.3953599999999998E-4</v>
      </c>
      <c r="J24">
        <v>8.7120000000000006E-6</v>
      </c>
      <c r="K24">
        <v>20.109100000000002</v>
      </c>
      <c r="L24">
        <v>8.1921999999999997</v>
      </c>
      <c r="M24">
        <v>18.841000000000001</v>
      </c>
      <c r="N24">
        <v>0</v>
      </c>
      <c r="O24">
        <v>0</v>
      </c>
    </row>
    <row r="25" spans="1:15" x14ac:dyDescent="0.25">
      <c r="A25" t="s">
        <v>21</v>
      </c>
      <c r="B25" t="s">
        <v>18</v>
      </c>
      <c r="C25">
        <v>15</v>
      </c>
      <c r="D25">
        <v>100</v>
      </c>
      <c r="E25">
        <v>6400</v>
      </c>
      <c r="F25" t="str">
        <f t="shared" si="0"/>
        <v>castle256_blurkernel10_15_100_6400</v>
      </c>
      <c r="G25">
        <v>0</v>
      </c>
      <c r="H25">
        <v>0</v>
      </c>
      <c r="I25">
        <v>6.8990700000000002E-4</v>
      </c>
      <c r="J25">
        <v>8.7120000000000006E-6</v>
      </c>
      <c r="K25">
        <v>17.0657</v>
      </c>
      <c r="L25">
        <v>8.1921999999999997</v>
      </c>
      <c r="M25">
        <v>18.0151</v>
      </c>
      <c r="N25">
        <v>0</v>
      </c>
      <c r="O25">
        <v>0</v>
      </c>
    </row>
    <row r="26" spans="1:15" x14ac:dyDescent="0.25">
      <c r="A26" t="s">
        <v>21</v>
      </c>
      <c r="B26" t="s">
        <v>18</v>
      </c>
      <c r="C26">
        <v>15</v>
      </c>
      <c r="D26">
        <v>100</v>
      </c>
      <c r="E26">
        <v>12800</v>
      </c>
      <c r="F26" t="str">
        <f t="shared" si="0"/>
        <v>castle256_blurkernel10_15_100_12800</v>
      </c>
      <c r="G26">
        <v>0</v>
      </c>
      <c r="H26">
        <v>0</v>
      </c>
      <c r="I26">
        <v>1.4607089999999999E-3</v>
      </c>
      <c r="J26">
        <v>8.7120000000000006E-6</v>
      </c>
      <c r="K26">
        <v>13.890599999999999</v>
      </c>
      <c r="L26">
        <v>8.1921999999999997</v>
      </c>
      <c r="M26">
        <v>16.833500000000001</v>
      </c>
      <c r="N26">
        <v>0</v>
      </c>
      <c r="O26">
        <v>0</v>
      </c>
    </row>
    <row r="27" spans="1:15" x14ac:dyDescent="0.25">
      <c r="A27" t="s">
        <v>21</v>
      </c>
      <c r="B27" t="s">
        <v>18</v>
      </c>
      <c r="C27">
        <v>15</v>
      </c>
      <c r="D27">
        <v>100</v>
      </c>
      <c r="E27">
        <v>25600</v>
      </c>
      <c r="F27" t="str">
        <f t="shared" si="0"/>
        <v>castle256_blurkernel10_15_100_25600</v>
      </c>
      <c r="G27">
        <v>0</v>
      </c>
      <c r="H27">
        <v>0</v>
      </c>
      <c r="I27">
        <v>3.1958529999999998E-3</v>
      </c>
      <c r="J27">
        <v>8.7120000000000006E-6</v>
      </c>
      <c r="K27">
        <v>10.668799999999999</v>
      </c>
      <c r="L27">
        <v>8.1921999999999997</v>
      </c>
      <c r="M27">
        <v>15.5869</v>
      </c>
      <c r="N27">
        <v>0</v>
      </c>
      <c r="O27">
        <v>0</v>
      </c>
    </row>
    <row r="28" spans="1:15" x14ac:dyDescent="0.25">
      <c r="A28" t="s">
        <v>21</v>
      </c>
      <c r="B28" t="s">
        <v>18</v>
      </c>
      <c r="C28">
        <v>15</v>
      </c>
      <c r="D28">
        <v>100</v>
      </c>
      <c r="E28">
        <v>102400</v>
      </c>
      <c r="F28" t="str">
        <f t="shared" si="0"/>
        <v>castle256_blurkernel10_15_100_102400</v>
      </c>
      <c r="G28">
        <v>0</v>
      </c>
      <c r="H28">
        <v>0</v>
      </c>
      <c r="I28">
        <v>1.9892134999999998E-2</v>
      </c>
      <c r="J28">
        <v>8.7649999999999999E-6</v>
      </c>
      <c r="K28">
        <v>4.1444000000000001</v>
      </c>
      <c r="L28">
        <v>8.1903000000000006</v>
      </c>
      <c r="M28">
        <v>11.553800000000001</v>
      </c>
      <c r="N28">
        <v>0</v>
      </c>
      <c r="O28">
        <v>0</v>
      </c>
    </row>
    <row r="29" spans="1:15" x14ac:dyDescent="0.25">
      <c r="A29" t="s">
        <v>21</v>
      </c>
      <c r="B29" t="s">
        <v>18</v>
      </c>
      <c r="C29">
        <v>31</v>
      </c>
      <c r="D29">
        <v>100</v>
      </c>
      <c r="E29">
        <v>200</v>
      </c>
      <c r="F29" t="str">
        <f t="shared" si="0"/>
        <v>castle256_blurkernel10_31_100_200</v>
      </c>
      <c r="G29">
        <v>0</v>
      </c>
      <c r="H29">
        <v>0</v>
      </c>
      <c r="I29">
        <v>1.9143E-5</v>
      </c>
      <c r="J29">
        <v>8.6510000000000007E-6</v>
      </c>
      <c r="K29">
        <v>32.554200000000002</v>
      </c>
      <c r="L29">
        <v>6.2140000000000004</v>
      </c>
      <c r="M29">
        <v>20.2972</v>
      </c>
      <c r="N29">
        <v>0</v>
      </c>
      <c r="O29">
        <v>0</v>
      </c>
    </row>
    <row r="30" spans="1:15" x14ac:dyDescent="0.25">
      <c r="A30" t="s">
        <v>21</v>
      </c>
      <c r="B30" t="s">
        <v>18</v>
      </c>
      <c r="C30">
        <v>31</v>
      </c>
      <c r="D30">
        <v>100</v>
      </c>
      <c r="E30">
        <v>400</v>
      </c>
      <c r="F30" t="str">
        <f t="shared" si="0"/>
        <v>castle256_blurkernel10_31_100_400</v>
      </c>
      <c r="G30">
        <v>0</v>
      </c>
      <c r="H30">
        <v>0</v>
      </c>
      <c r="I30">
        <v>3.9907000000000003E-5</v>
      </c>
      <c r="J30">
        <v>8.6510000000000007E-6</v>
      </c>
      <c r="K30">
        <v>29.366199999999999</v>
      </c>
      <c r="L30">
        <v>6.2140000000000004</v>
      </c>
      <c r="M30">
        <v>20.211200000000002</v>
      </c>
      <c r="N30">
        <v>0</v>
      </c>
      <c r="O30">
        <v>0</v>
      </c>
    </row>
    <row r="31" spans="1:15" x14ac:dyDescent="0.25">
      <c r="A31" t="s">
        <v>21</v>
      </c>
      <c r="B31" t="s">
        <v>18</v>
      </c>
      <c r="C31">
        <v>31</v>
      </c>
      <c r="D31">
        <v>100</v>
      </c>
      <c r="E31">
        <v>800</v>
      </c>
      <c r="F31" t="str">
        <f t="shared" si="0"/>
        <v>castle256_blurkernel10_31_100_800</v>
      </c>
      <c r="G31">
        <v>0</v>
      </c>
      <c r="H31">
        <v>0</v>
      </c>
      <c r="I31">
        <v>8.1428999999999996E-5</v>
      </c>
      <c r="J31">
        <v>8.6510000000000007E-6</v>
      </c>
      <c r="K31">
        <v>26.2744</v>
      </c>
      <c r="L31">
        <v>6.2140000000000004</v>
      </c>
      <c r="M31">
        <v>19.911200000000001</v>
      </c>
      <c r="N31">
        <v>0</v>
      </c>
      <c r="O31">
        <v>0</v>
      </c>
    </row>
    <row r="32" spans="1:15" x14ac:dyDescent="0.25">
      <c r="A32" t="s">
        <v>21</v>
      </c>
      <c r="B32" t="s">
        <v>18</v>
      </c>
      <c r="C32">
        <v>31</v>
      </c>
      <c r="D32">
        <v>100</v>
      </c>
      <c r="E32">
        <v>1600</v>
      </c>
      <c r="F32" t="str">
        <f t="shared" si="0"/>
        <v>castle256_blurkernel10_31_100_1600</v>
      </c>
      <c r="G32">
        <v>0</v>
      </c>
      <c r="H32">
        <v>0</v>
      </c>
      <c r="I32">
        <v>1.6661200000000001E-4</v>
      </c>
      <c r="J32">
        <v>8.6510000000000007E-6</v>
      </c>
      <c r="K32">
        <v>23.172999999999998</v>
      </c>
      <c r="L32">
        <v>6.2140000000000004</v>
      </c>
      <c r="M32">
        <v>19.515599999999999</v>
      </c>
      <c r="N32">
        <v>0</v>
      </c>
      <c r="O32">
        <v>0</v>
      </c>
    </row>
    <row r="33" spans="1:15" x14ac:dyDescent="0.25">
      <c r="A33" t="s">
        <v>21</v>
      </c>
      <c r="B33" t="s">
        <v>18</v>
      </c>
      <c r="C33">
        <v>31</v>
      </c>
      <c r="D33">
        <v>100</v>
      </c>
      <c r="E33">
        <v>3200</v>
      </c>
      <c r="F33" t="str">
        <f t="shared" si="0"/>
        <v>castle256_blurkernel10_31_100_3200</v>
      </c>
      <c r="G33">
        <v>0</v>
      </c>
      <c r="H33">
        <v>0</v>
      </c>
      <c r="I33">
        <v>3.3776999999999999E-4</v>
      </c>
      <c r="J33">
        <v>8.6510000000000007E-6</v>
      </c>
      <c r="K33">
        <v>20.124300000000002</v>
      </c>
      <c r="L33">
        <v>6.2140000000000004</v>
      </c>
      <c r="M33">
        <v>18.916899999999998</v>
      </c>
      <c r="N33">
        <v>0</v>
      </c>
      <c r="O33">
        <v>0</v>
      </c>
    </row>
    <row r="34" spans="1:15" x14ac:dyDescent="0.25">
      <c r="A34" t="s">
        <v>21</v>
      </c>
      <c r="B34" t="s">
        <v>18</v>
      </c>
      <c r="C34">
        <v>31</v>
      </c>
      <c r="D34">
        <v>100</v>
      </c>
      <c r="E34">
        <v>6400</v>
      </c>
      <c r="F34" t="str">
        <f t="shared" si="0"/>
        <v>castle256_blurkernel10_31_100_6400</v>
      </c>
      <c r="G34">
        <v>0</v>
      </c>
      <c r="H34">
        <v>0</v>
      </c>
      <c r="I34">
        <v>6.8937499999999999E-4</v>
      </c>
      <c r="J34">
        <v>8.6510000000000007E-6</v>
      </c>
      <c r="K34">
        <v>17.070799999999998</v>
      </c>
      <c r="L34">
        <v>6.2140000000000004</v>
      </c>
      <c r="M34">
        <v>18.0685</v>
      </c>
      <c r="N34">
        <v>0</v>
      </c>
      <c r="O34">
        <v>0</v>
      </c>
    </row>
    <row r="35" spans="1:15" x14ac:dyDescent="0.25">
      <c r="A35" t="s">
        <v>21</v>
      </c>
      <c r="B35" t="s">
        <v>18</v>
      </c>
      <c r="C35">
        <v>31</v>
      </c>
      <c r="D35">
        <v>100</v>
      </c>
      <c r="E35">
        <v>12800</v>
      </c>
      <c r="F35" t="str">
        <f t="shared" si="0"/>
        <v>castle256_blurkernel10_31_100_12800</v>
      </c>
      <c r="G35">
        <v>0</v>
      </c>
      <c r="H35">
        <v>0</v>
      </c>
      <c r="I35">
        <v>1.4522230000000001E-3</v>
      </c>
      <c r="J35">
        <v>8.6510000000000007E-6</v>
      </c>
      <c r="K35">
        <v>13.922499999999999</v>
      </c>
      <c r="L35">
        <v>6.2140000000000004</v>
      </c>
      <c r="M35">
        <v>16.828099999999999</v>
      </c>
      <c r="N35">
        <v>0</v>
      </c>
      <c r="O35">
        <v>0</v>
      </c>
    </row>
    <row r="36" spans="1:15" x14ac:dyDescent="0.25">
      <c r="A36" t="s">
        <v>21</v>
      </c>
      <c r="B36" t="s">
        <v>18</v>
      </c>
      <c r="C36">
        <v>31</v>
      </c>
      <c r="D36">
        <v>100</v>
      </c>
      <c r="E36">
        <v>25600</v>
      </c>
      <c r="F36" t="str">
        <f t="shared" si="0"/>
        <v>castle256_blurkernel10_31_100_25600</v>
      </c>
      <c r="G36">
        <v>0</v>
      </c>
      <c r="H36">
        <v>0</v>
      </c>
      <c r="I36">
        <v>3.1806830000000001E-3</v>
      </c>
      <c r="J36">
        <v>8.6510000000000007E-6</v>
      </c>
      <c r="K36">
        <v>10.6814</v>
      </c>
      <c r="L36">
        <v>6.2140000000000004</v>
      </c>
      <c r="M36">
        <v>15.3987</v>
      </c>
      <c r="N36">
        <v>0</v>
      </c>
      <c r="O36">
        <v>0</v>
      </c>
    </row>
    <row r="37" spans="1:15" x14ac:dyDescent="0.25">
      <c r="A37" t="s">
        <v>21</v>
      </c>
      <c r="B37" t="s">
        <v>18</v>
      </c>
      <c r="C37">
        <v>31</v>
      </c>
      <c r="D37">
        <v>100</v>
      </c>
      <c r="E37">
        <v>102400</v>
      </c>
      <c r="F37" t="str">
        <f t="shared" si="0"/>
        <v>castle256_blurkernel10_31_100_102400</v>
      </c>
      <c r="G37">
        <v>0</v>
      </c>
      <c r="H37">
        <v>0</v>
      </c>
      <c r="I37">
        <v>1.9849384000000001E-2</v>
      </c>
      <c r="J37">
        <v>8.6880000000000005E-6</v>
      </c>
      <c r="K37">
        <v>4.1224999999999996</v>
      </c>
      <c r="L37">
        <v>6.2135999999999996</v>
      </c>
      <c r="M37">
        <v>11.266299999999999</v>
      </c>
      <c r="N37">
        <v>0</v>
      </c>
      <c r="O37">
        <v>0</v>
      </c>
    </row>
    <row r="38" spans="1:15" x14ac:dyDescent="0.25">
      <c r="A38" t="s">
        <v>21</v>
      </c>
      <c r="B38" t="s">
        <v>18</v>
      </c>
      <c r="C38">
        <v>63</v>
      </c>
      <c r="D38">
        <v>100</v>
      </c>
      <c r="E38">
        <v>200</v>
      </c>
      <c r="F38" t="str">
        <f t="shared" si="0"/>
        <v>castle256_blurkernel10_63_100_200</v>
      </c>
      <c r="G38">
        <v>0</v>
      </c>
      <c r="H38">
        <v>0</v>
      </c>
      <c r="I38">
        <v>1.9173000000000001E-5</v>
      </c>
      <c r="J38">
        <v>8.6610000000000006E-6</v>
      </c>
      <c r="K38">
        <v>32.547800000000002</v>
      </c>
      <c r="L38">
        <v>4.8681000000000001</v>
      </c>
      <c r="M38">
        <v>20.331</v>
      </c>
      <c r="N38">
        <v>0</v>
      </c>
      <c r="O38">
        <v>0</v>
      </c>
    </row>
    <row r="39" spans="1:15" x14ac:dyDescent="0.25">
      <c r="A39" t="s">
        <v>21</v>
      </c>
      <c r="B39" t="s">
        <v>18</v>
      </c>
      <c r="C39">
        <v>63</v>
      </c>
      <c r="D39">
        <v>100</v>
      </c>
      <c r="E39">
        <v>400</v>
      </c>
      <c r="F39" t="str">
        <f t="shared" si="0"/>
        <v>castle256_blurkernel10_63_100_400</v>
      </c>
      <c r="G39">
        <v>0</v>
      </c>
      <c r="H39">
        <v>0</v>
      </c>
      <c r="I39">
        <v>3.9910999999999998E-5</v>
      </c>
      <c r="J39">
        <v>8.6610000000000006E-6</v>
      </c>
      <c r="K39">
        <v>29.364799999999999</v>
      </c>
      <c r="L39">
        <v>4.8681000000000001</v>
      </c>
      <c r="M39">
        <v>20.217400000000001</v>
      </c>
      <c r="N39">
        <v>0</v>
      </c>
      <c r="O39">
        <v>0</v>
      </c>
    </row>
    <row r="40" spans="1:15" x14ac:dyDescent="0.25">
      <c r="A40" t="s">
        <v>21</v>
      </c>
      <c r="B40" t="s">
        <v>18</v>
      </c>
      <c r="C40">
        <v>63</v>
      </c>
      <c r="D40">
        <v>100</v>
      </c>
      <c r="E40">
        <v>800</v>
      </c>
      <c r="F40" t="str">
        <f t="shared" si="0"/>
        <v>castle256_blurkernel10_63_100_800</v>
      </c>
      <c r="G40">
        <v>0</v>
      </c>
      <c r="H40">
        <v>0</v>
      </c>
      <c r="I40">
        <v>8.1620999999999997E-5</v>
      </c>
      <c r="J40">
        <v>8.6610000000000006E-6</v>
      </c>
      <c r="K40">
        <v>26.2638</v>
      </c>
      <c r="L40">
        <v>4.8681000000000001</v>
      </c>
      <c r="M40">
        <v>19.899799999999999</v>
      </c>
      <c r="N40">
        <v>0</v>
      </c>
      <c r="O40">
        <v>0</v>
      </c>
    </row>
    <row r="41" spans="1:15" x14ac:dyDescent="0.25">
      <c r="A41" t="s">
        <v>21</v>
      </c>
      <c r="B41" t="s">
        <v>18</v>
      </c>
      <c r="C41">
        <v>63</v>
      </c>
      <c r="D41">
        <v>100</v>
      </c>
      <c r="E41">
        <v>1600</v>
      </c>
      <c r="F41" t="str">
        <f t="shared" si="0"/>
        <v>castle256_blurkernel10_63_100_1600</v>
      </c>
      <c r="G41">
        <v>0</v>
      </c>
      <c r="H41">
        <v>0</v>
      </c>
      <c r="I41">
        <v>1.6723199999999999E-4</v>
      </c>
      <c r="J41">
        <v>8.6610000000000006E-6</v>
      </c>
      <c r="K41">
        <v>23.1568</v>
      </c>
      <c r="L41">
        <v>4.8681000000000001</v>
      </c>
      <c r="M41">
        <v>19.462800000000001</v>
      </c>
      <c r="N41">
        <v>0</v>
      </c>
      <c r="O41">
        <v>0</v>
      </c>
    </row>
    <row r="42" spans="1:15" x14ac:dyDescent="0.25">
      <c r="A42" t="s">
        <v>21</v>
      </c>
      <c r="B42" t="s">
        <v>18</v>
      </c>
      <c r="C42">
        <v>63</v>
      </c>
      <c r="D42">
        <v>100</v>
      </c>
      <c r="E42">
        <v>3200</v>
      </c>
      <c r="F42" t="str">
        <f t="shared" si="0"/>
        <v>castle256_blurkernel10_63_100_3200</v>
      </c>
      <c r="G42">
        <v>0</v>
      </c>
      <c r="H42">
        <v>0</v>
      </c>
      <c r="I42">
        <v>3.3792099999999998E-4</v>
      </c>
      <c r="J42">
        <v>8.6610000000000006E-6</v>
      </c>
      <c r="K42">
        <v>20.130299999999998</v>
      </c>
      <c r="L42">
        <v>4.8681000000000001</v>
      </c>
      <c r="M42">
        <v>18.797599999999999</v>
      </c>
      <c r="N42">
        <v>0</v>
      </c>
      <c r="O42">
        <v>0</v>
      </c>
    </row>
    <row r="43" spans="1:15" x14ac:dyDescent="0.25">
      <c r="A43" t="s">
        <v>21</v>
      </c>
      <c r="B43" t="s">
        <v>18</v>
      </c>
      <c r="C43">
        <v>63</v>
      </c>
      <c r="D43">
        <v>100</v>
      </c>
      <c r="E43">
        <v>6400</v>
      </c>
      <c r="F43" t="str">
        <f t="shared" si="0"/>
        <v>castle256_blurkernel10_63_100_6400</v>
      </c>
      <c r="G43">
        <v>0</v>
      </c>
      <c r="H43">
        <v>0</v>
      </c>
      <c r="I43">
        <v>6.8938799999999998E-4</v>
      </c>
      <c r="J43">
        <v>8.6610000000000006E-6</v>
      </c>
      <c r="K43">
        <v>17.061699999999998</v>
      </c>
      <c r="L43">
        <v>4.8681000000000001</v>
      </c>
      <c r="M43">
        <v>17.862300000000001</v>
      </c>
      <c r="N43">
        <v>0</v>
      </c>
      <c r="O43">
        <v>0</v>
      </c>
    </row>
    <row r="44" spans="1:15" x14ac:dyDescent="0.25">
      <c r="A44" t="s">
        <v>21</v>
      </c>
      <c r="B44" t="s">
        <v>18</v>
      </c>
      <c r="C44">
        <v>63</v>
      </c>
      <c r="D44">
        <v>100</v>
      </c>
      <c r="E44">
        <v>12800</v>
      </c>
      <c r="F44" t="str">
        <f t="shared" si="0"/>
        <v>castle256_blurkernel10_63_100_12800</v>
      </c>
      <c r="G44">
        <v>0</v>
      </c>
      <c r="H44">
        <v>0</v>
      </c>
      <c r="I44">
        <v>1.4811620000000001E-3</v>
      </c>
      <c r="J44">
        <v>8.6610000000000006E-6</v>
      </c>
      <c r="K44">
        <v>13.8256</v>
      </c>
      <c r="L44">
        <v>4.8681000000000001</v>
      </c>
      <c r="M44">
        <v>16.614599999999999</v>
      </c>
      <c r="N44">
        <v>0</v>
      </c>
      <c r="O44">
        <v>0</v>
      </c>
    </row>
    <row r="45" spans="1:15" x14ac:dyDescent="0.25">
      <c r="A45" t="s">
        <v>21</v>
      </c>
      <c r="B45" t="s">
        <v>18</v>
      </c>
      <c r="C45">
        <v>63</v>
      </c>
      <c r="D45">
        <v>100</v>
      </c>
      <c r="E45">
        <v>25600</v>
      </c>
      <c r="F45" t="str">
        <f t="shared" si="0"/>
        <v>castle256_blurkernel10_63_100_25600</v>
      </c>
      <c r="G45">
        <v>0</v>
      </c>
      <c r="H45">
        <v>0</v>
      </c>
      <c r="I45">
        <v>3.2326690000000001E-3</v>
      </c>
      <c r="J45">
        <v>8.6610000000000006E-6</v>
      </c>
      <c r="K45">
        <v>10.622400000000001</v>
      </c>
      <c r="L45">
        <v>4.8681000000000001</v>
      </c>
      <c r="M45">
        <v>15.1183</v>
      </c>
      <c r="N45">
        <v>0</v>
      </c>
      <c r="O45">
        <v>0</v>
      </c>
    </row>
    <row r="46" spans="1:15" x14ac:dyDescent="0.25">
      <c r="A46" t="s">
        <v>21</v>
      </c>
      <c r="B46" t="s">
        <v>15</v>
      </c>
      <c r="C46">
        <v>3</v>
      </c>
      <c r="D46">
        <v>100</v>
      </c>
      <c r="E46">
        <v>200</v>
      </c>
      <c r="F46" t="str">
        <f t="shared" si="0"/>
        <v>castle256_blurkernel7_3_100_200</v>
      </c>
      <c r="G46">
        <v>0</v>
      </c>
      <c r="H46">
        <v>0</v>
      </c>
      <c r="I46">
        <v>1.9239999999999999E-5</v>
      </c>
      <c r="J46">
        <v>8.6240000000000008E-6</v>
      </c>
      <c r="K46">
        <v>32.532299999999999</v>
      </c>
      <c r="L46">
        <v>15.658200000000001</v>
      </c>
      <c r="M46">
        <v>19.2105</v>
      </c>
      <c r="N46">
        <v>0</v>
      </c>
      <c r="O46">
        <v>0</v>
      </c>
    </row>
    <row r="47" spans="1:15" x14ac:dyDescent="0.25">
      <c r="A47" t="s">
        <v>21</v>
      </c>
      <c r="B47" t="s">
        <v>15</v>
      </c>
      <c r="C47">
        <v>3</v>
      </c>
      <c r="D47">
        <v>100</v>
      </c>
      <c r="E47">
        <v>400</v>
      </c>
      <c r="F47" t="str">
        <f t="shared" si="0"/>
        <v>castle256_blurkernel7_3_100_400</v>
      </c>
      <c r="G47">
        <v>0</v>
      </c>
      <c r="H47">
        <v>0</v>
      </c>
      <c r="I47">
        <v>3.9881E-5</v>
      </c>
      <c r="J47">
        <v>8.6240000000000008E-6</v>
      </c>
      <c r="K47">
        <v>29.3706</v>
      </c>
      <c r="L47">
        <v>15.658200000000001</v>
      </c>
      <c r="M47">
        <v>19.149899999999999</v>
      </c>
      <c r="N47">
        <v>0</v>
      </c>
      <c r="O47">
        <v>0</v>
      </c>
    </row>
    <row r="48" spans="1:15" x14ac:dyDescent="0.25">
      <c r="A48" t="s">
        <v>21</v>
      </c>
      <c r="B48" t="s">
        <v>15</v>
      </c>
      <c r="C48">
        <v>3</v>
      </c>
      <c r="D48">
        <v>100</v>
      </c>
      <c r="E48">
        <v>800</v>
      </c>
      <c r="F48" t="str">
        <f t="shared" si="0"/>
        <v>castle256_blurkernel7_3_100_800</v>
      </c>
      <c r="G48">
        <v>0</v>
      </c>
      <c r="H48">
        <v>0</v>
      </c>
      <c r="I48">
        <v>8.1479999999999999E-5</v>
      </c>
      <c r="J48">
        <v>8.6240000000000008E-6</v>
      </c>
      <c r="K48">
        <v>26.270199999999999</v>
      </c>
      <c r="L48">
        <v>15.658200000000001</v>
      </c>
      <c r="M48">
        <v>19.049099999999999</v>
      </c>
      <c r="N48">
        <v>0</v>
      </c>
      <c r="O48">
        <v>0</v>
      </c>
    </row>
    <row r="49" spans="1:15" x14ac:dyDescent="0.25">
      <c r="A49" t="s">
        <v>21</v>
      </c>
      <c r="B49" t="s">
        <v>15</v>
      </c>
      <c r="C49">
        <v>3</v>
      </c>
      <c r="D49">
        <v>100</v>
      </c>
      <c r="E49">
        <v>1600</v>
      </c>
      <c r="F49" t="str">
        <f t="shared" si="0"/>
        <v>castle256_blurkernel7_3_100_1600</v>
      </c>
      <c r="G49">
        <v>0</v>
      </c>
      <c r="H49">
        <v>0</v>
      </c>
      <c r="I49">
        <v>1.6688099999999999E-4</v>
      </c>
      <c r="J49">
        <v>8.6240000000000008E-6</v>
      </c>
      <c r="K49">
        <v>23.1662</v>
      </c>
      <c r="L49">
        <v>15.658200000000001</v>
      </c>
      <c r="M49">
        <v>18.861699999999999</v>
      </c>
      <c r="N49">
        <v>0</v>
      </c>
      <c r="O49">
        <v>0</v>
      </c>
    </row>
    <row r="50" spans="1:15" x14ac:dyDescent="0.25">
      <c r="A50" t="s">
        <v>21</v>
      </c>
      <c r="B50" t="s">
        <v>15</v>
      </c>
      <c r="C50">
        <v>3</v>
      </c>
      <c r="D50">
        <v>100</v>
      </c>
      <c r="E50">
        <v>3200</v>
      </c>
      <c r="F50" t="str">
        <f t="shared" si="0"/>
        <v>castle256_blurkernel7_3_100_3200</v>
      </c>
      <c r="G50">
        <v>0</v>
      </c>
      <c r="H50">
        <v>0</v>
      </c>
      <c r="I50">
        <v>3.36156E-4</v>
      </c>
      <c r="J50">
        <v>8.6240000000000008E-6</v>
      </c>
      <c r="K50">
        <v>20.146999999999998</v>
      </c>
      <c r="L50">
        <v>15.658200000000001</v>
      </c>
      <c r="M50">
        <v>18.626100000000001</v>
      </c>
      <c r="N50">
        <v>0</v>
      </c>
      <c r="O50">
        <v>0</v>
      </c>
    </row>
    <row r="51" spans="1:15" x14ac:dyDescent="0.25">
      <c r="A51" t="s">
        <v>21</v>
      </c>
      <c r="B51" t="s">
        <v>15</v>
      </c>
      <c r="C51">
        <v>3</v>
      </c>
      <c r="D51">
        <v>100</v>
      </c>
      <c r="E51">
        <v>6400</v>
      </c>
      <c r="F51" t="str">
        <f t="shared" si="0"/>
        <v>castle256_blurkernel7_3_100_6400</v>
      </c>
      <c r="G51">
        <v>0</v>
      </c>
      <c r="H51">
        <v>0</v>
      </c>
      <c r="I51">
        <v>7.0627400000000001E-4</v>
      </c>
      <c r="J51">
        <v>8.6240000000000008E-6</v>
      </c>
      <c r="K51">
        <v>16.968399999999999</v>
      </c>
      <c r="L51">
        <v>15.658200000000001</v>
      </c>
      <c r="M51">
        <v>18.255600000000001</v>
      </c>
      <c r="N51">
        <v>0</v>
      </c>
      <c r="O51">
        <v>0</v>
      </c>
    </row>
    <row r="52" spans="1:15" x14ac:dyDescent="0.25">
      <c r="A52" t="s">
        <v>21</v>
      </c>
      <c r="B52" t="s">
        <v>15</v>
      </c>
      <c r="C52">
        <v>3</v>
      </c>
      <c r="D52">
        <v>100</v>
      </c>
      <c r="E52">
        <v>12800</v>
      </c>
      <c r="F52" t="str">
        <f t="shared" si="0"/>
        <v>castle256_blurkernel7_3_100_12800</v>
      </c>
      <c r="G52">
        <v>0</v>
      </c>
      <c r="H52">
        <v>0</v>
      </c>
      <c r="I52">
        <v>1.474845E-3</v>
      </c>
      <c r="J52">
        <v>8.6240000000000008E-6</v>
      </c>
      <c r="K52">
        <v>13.860900000000001</v>
      </c>
      <c r="L52">
        <v>15.658200000000001</v>
      </c>
      <c r="M52">
        <v>17.7758</v>
      </c>
      <c r="N52">
        <v>0</v>
      </c>
      <c r="O52">
        <v>0</v>
      </c>
    </row>
    <row r="53" spans="1:15" x14ac:dyDescent="0.25">
      <c r="A53" t="s">
        <v>21</v>
      </c>
      <c r="B53" t="s">
        <v>15</v>
      </c>
      <c r="C53">
        <v>3</v>
      </c>
      <c r="D53">
        <v>100</v>
      </c>
      <c r="E53">
        <v>25600</v>
      </c>
      <c r="F53" t="str">
        <f t="shared" si="0"/>
        <v>castle256_blurkernel7_3_100_25600</v>
      </c>
      <c r="G53">
        <v>0</v>
      </c>
      <c r="H53">
        <v>0</v>
      </c>
      <c r="I53">
        <v>3.1890579999999998E-3</v>
      </c>
      <c r="J53">
        <v>8.6240000000000008E-6</v>
      </c>
      <c r="K53">
        <v>10.6698</v>
      </c>
      <c r="L53">
        <v>15.658200000000001</v>
      </c>
      <c r="M53">
        <v>16.953099999999999</v>
      </c>
      <c r="N53">
        <v>0</v>
      </c>
      <c r="O53">
        <v>0</v>
      </c>
    </row>
    <row r="54" spans="1:15" x14ac:dyDescent="0.25">
      <c r="A54" t="s">
        <v>21</v>
      </c>
      <c r="B54" t="s">
        <v>15</v>
      </c>
      <c r="C54">
        <v>3</v>
      </c>
      <c r="D54">
        <v>100</v>
      </c>
      <c r="E54">
        <v>102400</v>
      </c>
      <c r="F54" t="str">
        <f t="shared" si="0"/>
        <v>castle256_blurkernel7_3_100_102400</v>
      </c>
      <c r="G54">
        <v>0</v>
      </c>
      <c r="H54">
        <v>0</v>
      </c>
      <c r="I54">
        <v>1.9824426999999999E-2</v>
      </c>
      <c r="J54">
        <v>8.6659999999999997E-6</v>
      </c>
      <c r="K54">
        <v>4.1452</v>
      </c>
      <c r="L54">
        <v>15.6564</v>
      </c>
      <c r="M54">
        <v>14.4504</v>
      </c>
      <c r="N54">
        <v>0</v>
      </c>
      <c r="O54">
        <v>0</v>
      </c>
    </row>
    <row r="55" spans="1:15" x14ac:dyDescent="0.25">
      <c r="A55" t="s">
        <v>21</v>
      </c>
      <c r="B55" t="s">
        <v>15</v>
      </c>
      <c r="C55">
        <v>7</v>
      </c>
      <c r="D55">
        <v>100</v>
      </c>
      <c r="E55">
        <v>200</v>
      </c>
      <c r="F55" t="str">
        <f t="shared" si="0"/>
        <v>castle256_blurkernel7_7_100_200</v>
      </c>
      <c r="G55">
        <v>0</v>
      </c>
      <c r="H55">
        <v>0</v>
      </c>
      <c r="I55">
        <v>1.9157E-5</v>
      </c>
      <c r="J55">
        <v>8.7350000000000002E-6</v>
      </c>
      <c r="K55">
        <v>32.550600000000003</v>
      </c>
      <c r="L55">
        <v>10.928699999999999</v>
      </c>
      <c r="M55">
        <v>19.2255</v>
      </c>
      <c r="N55">
        <v>0</v>
      </c>
      <c r="O55">
        <v>0</v>
      </c>
    </row>
    <row r="56" spans="1:15" x14ac:dyDescent="0.25">
      <c r="A56" t="s">
        <v>21</v>
      </c>
      <c r="B56" t="s">
        <v>15</v>
      </c>
      <c r="C56">
        <v>7</v>
      </c>
      <c r="D56">
        <v>100</v>
      </c>
      <c r="E56">
        <v>400</v>
      </c>
      <c r="F56" t="str">
        <f t="shared" si="0"/>
        <v>castle256_blurkernel7_7_100_400</v>
      </c>
      <c r="G56">
        <v>0</v>
      </c>
      <c r="H56">
        <v>0</v>
      </c>
      <c r="I56">
        <v>4.0222000000000002E-5</v>
      </c>
      <c r="J56">
        <v>8.7350000000000002E-6</v>
      </c>
      <c r="K56">
        <v>29.334</v>
      </c>
      <c r="L56">
        <v>10.928699999999999</v>
      </c>
      <c r="M56">
        <v>19.128499999999999</v>
      </c>
      <c r="N56">
        <v>0</v>
      </c>
      <c r="O56">
        <v>0</v>
      </c>
    </row>
    <row r="57" spans="1:15" x14ac:dyDescent="0.25">
      <c r="A57" t="s">
        <v>21</v>
      </c>
      <c r="B57" t="s">
        <v>15</v>
      </c>
      <c r="C57">
        <v>7</v>
      </c>
      <c r="D57">
        <v>100</v>
      </c>
      <c r="E57">
        <v>800</v>
      </c>
      <c r="F57" t="str">
        <f t="shared" si="0"/>
        <v>castle256_blurkernel7_7_100_800</v>
      </c>
      <c r="G57">
        <v>0</v>
      </c>
      <c r="H57">
        <v>0</v>
      </c>
      <c r="I57">
        <v>8.1971000000000005E-5</v>
      </c>
      <c r="J57">
        <v>8.7350000000000002E-6</v>
      </c>
      <c r="K57">
        <v>26.242699999999999</v>
      </c>
      <c r="L57">
        <v>10.928699999999999</v>
      </c>
      <c r="M57">
        <v>18.978400000000001</v>
      </c>
      <c r="N57">
        <v>0</v>
      </c>
      <c r="O57">
        <v>0</v>
      </c>
    </row>
    <row r="58" spans="1:15" x14ac:dyDescent="0.25">
      <c r="A58" t="s">
        <v>21</v>
      </c>
      <c r="B58" t="s">
        <v>15</v>
      </c>
      <c r="C58">
        <v>7</v>
      </c>
      <c r="D58">
        <v>100</v>
      </c>
      <c r="E58">
        <v>1600</v>
      </c>
      <c r="F58" t="str">
        <f t="shared" si="0"/>
        <v>castle256_blurkernel7_7_100_1600</v>
      </c>
      <c r="G58">
        <v>0</v>
      </c>
      <c r="H58">
        <v>0</v>
      </c>
      <c r="I58">
        <v>1.6568799999999999E-4</v>
      </c>
      <c r="J58">
        <v>8.7350000000000002E-6</v>
      </c>
      <c r="K58">
        <v>23.194800000000001</v>
      </c>
      <c r="L58">
        <v>10.928699999999999</v>
      </c>
      <c r="M58">
        <v>18.704599999999999</v>
      </c>
      <c r="N58">
        <v>0</v>
      </c>
      <c r="O58">
        <v>0</v>
      </c>
    </row>
    <row r="59" spans="1:15" x14ac:dyDescent="0.25">
      <c r="A59" t="s">
        <v>21</v>
      </c>
      <c r="B59" t="s">
        <v>15</v>
      </c>
      <c r="C59">
        <v>7</v>
      </c>
      <c r="D59">
        <v>100</v>
      </c>
      <c r="E59">
        <v>3200</v>
      </c>
      <c r="F59" t="str">
        <f t="shared" si="0"/>
        <v>castle256_blurkernel7_7_100_3200</v>
      </c>
      <c r="G59">
        <v>0</v>
      </c>
      <c r="H59">
        <v>0</v>
      </c>
      <c r="I59">
        <v>3.3797699999999999E-4</v>
      </c>
      <c r="J59">
        <v>8.7350000000000002E-6</v>
      </c>
      <c r="K59">
        <v>20.126999999999999</v>
      </c>
      <c r="L59">
        <v>10.928699999999999</v>
      </c>
      <c r="M59">
        <v>18.251200000000001</v>
      </c>
      <c r="N59">
        <v>0</v>
      </c>
      <c r="O59">
        <v>0</v>
      </c>
    </row>
    <row r="60" spans="1:15" x14ac:dyDescent="0.25">
      <c r="A60" t="s">
        <v>21</v>
      </c>
      <c r="B60" t="s">
        <v>15</v>
      </c>
      <c r="C60">
        <v>7</v>
      </c>
      <c r="D60">
        <v>100</v>
      </c>
      <c r="E60">
        <v>6400</v>
      </c>
      <c r="F60" t="str">
        <f t="shared" si="0"/>
        <v>castle256_blurkernel7_7_100_6400</v>
      </c>
      <c r="G60">
        <v>0</v>
      </c>
      <c r="H60">
        <v>0</v>
      </c>
      <c r="I60">
        <v>6.9610400000000002E-4</v>
      </c>
      <c r="J60">
        <v>8.7350000000000002E-6</v>
      </c>
      <c r="K60">
        <v>17.0274</v>
      </c>
      <c r="L60">
        <v>10.928699999999999</v>
      </c>
      <c r="M60">
        <v>17.590699999999998</v>
      </c>
      <c r="N60">
        <v>0</v>
      </c>
      <c r="O60">
        <v>0</v>
      </c>
    </row>
    <row r="61" spans="1:15" x14ac:dyDescent="0.25">
      <c r="A61" t="s">
        <v>21</v>
      </c>
      <c r="B61" t="s">
        <v>15</v>
      </c>
      <c r="C61">
        <v>7</v>
      </c>
      <c r="D61">
        <v>100</v>
      </c>
      <c r="E61">
        <v>12800</v>
      </c>
      <c r="F61" t="str">
        <f t="shared" si="0"/>
        <v>castle256_blurkernel7_7_100_12800</v>
      </c>
      <c r="G61">
        <v>0</v>
      </c>
      <c r="H61">
        <v>0</v>
      </c>
      <c r="I61">
        <v>1.460502E-3</v>
      </c>
      <c r="J61">
        <v>8.7350000000000002E-6</v>
      </c>
      <c r="K61">
        <v>13.8942</v>
      </c>
      <c r="L61">
        <v>10.928699999999999</v>
      </c>
      <c r="M61">
        <v>16.657699999999998</v>
      </c>
      <c r="N61">
        <v>0</v>
      </c>
      <c r="O61">
        <v>0</v>
      </c>
    </row>
    <row r="62" spans="1:15" x14ac:dyDescent="0.25">
      <c r="A62" t="s">
        <v>21</v>
      </c>
      <c r="B62" t="s">
        <v>15</v>
      </c>
      <c r="C62">
        <v>7</v>
      </c>
      <c r="D62">
        <v>100</v>
      </c>
      <c r="E62">
        <v>25600</v>
      </c>
      <c r="F62" t="str">
        <f t="shared" si="0"/>
        <v>castle256_blurkernel7_7_100_25600</v>
      </c>
      <c r="G62">
        <v>0</v>
      </c>
      <c r="H62">
        <v>0</v>
      </c>
      <c r="I62">
        <v>3.2056179999999999E-3</v>
      </c>
      <c r="J62">
        <v>8.7350000000000002E-6</v>
      </c>
      <c r="K62">
        <v>10.651199999999999</v>
      </c>
      <c r="L62">
        <v>10.928699999999999</v>
      </c>
      <c r="M62">
        <v>15.415100000000001</v>
      </c>
      <c r="N62">
        <v>0</v>
      </c>
      <c r="O62">
        <v>0</v>
      </c>
    </row>
    <row r="63" spans="1:15" x14ac:dyDescent="0.25">
      <c r="A63" t="s">
        <v>21</v>
      </c>
      <c r="B63" t="s">
        <v>15</v>
      </c>
      <c r="C63">
        <v>7</v>
      </c>
      <c r="D63">
        <v>100</v>
      </c>
      <c r="E63">
        <v>102400</v>
      </c>
      <c r="F63" t="str">
        <f t="shared" si="0"/>
        <v>castle256_blurkernel7_7_100_102400</v>
      </c>
      <c r="G63">
        <v>0</v>
      </c>
      <c r="H63">
        <v>0</v>
      </c>
      <c r="I63">
        <v>1.9646242000000001E-2</v>
      </c>
      <c r="J63">
        <v>8.6959999999999994E-6</v>
      </c>
      <c r="K63">
        <v>4.1917999999999997</v>
      </c>
      <c r="L63">
        <v>10.927300000000001</v>
      </c>
      <c r="M63">
        <v>12.069900000000001</v>
      </c>
      <c r="N63">
        <v>0</v>
      </c>
      <c r="O63">
        <v>0</v>
      </c>
    </row>
    <row r="64" spans="1:15" x14ac:dyDescent="0.25">
      <c r="A64" t="s">
        <v>21</v>
      </c>
      <c r="B64" t="s">
        <v>15</v>
      </c>
      <c r="C64">
        <v>15</v>
      </c>
      <c r="D64">
        <v>100</v>
      </c>
      <c r="E64">
        <v>200</v>
      </c>
      <c r="F64" t="str">
        <f t="shared" si="0"/>
        <v>castle256_blurkernel7_15_100_200</v>
      </c>
      <c r="G64">
        <v>0</v>
      </c>
      <c r="H64">
        <v>0</v>
      </c>
      <c r="I64">
        <v>1.9182E-5</v>
      </c>
      <c r="J64">
        <v>8.6340000000000007E-6</v>
      </c>
      <c r="K64">
        <v>32.546900000000001</v>
      </c>
      <c r="L64">
        <v>8.5852000000000004</v>
      </c>
      <c r="M64">
        <v>20.034500000000001</v>
      </c>
      <c r="N64">
        <v>0</v>
      </c>
      <c r="O64">
        <v>0</v>
      </c>
    </row>
    <row r="65" spans="1:15" x14ac:dyDescent="0.25">
      <c r="A65" t="s">
        <v>21</v>
      </c>
      <c r="B65" t="s">
        <v>15</v>
      </c>
      <c r="C65">
        <v>15</v>
      </c>
      <c r="D65">
        <v>100</v>
      </c>
      <c r="E65">
        <v>400</v>
      </c>
      <c r="F65" t="str">
        <f t="shared" si="0"/>
        <v>castle256_blurkernel7_15_100_400</v>
      </c>
      <c r="G65">
        <v>0</v>
      </c>
      <c r="H65">
        <v>0</v>
      </c>
      <c r="I65">
        <v>3.9316000000000001E-5</v>
      </c>
      <c r="J65">
        <v>8.6340000000000007E-6</v>
      </c>
      <c r="K65">
        <v>29.431799999999999</v>
      </c>
      <c r="L65">
        <v>8.5852000000000004</v>
      </c>
      <c r="M65">
        <v>19.887699999999999</v>
      </c>
      <c r="N65">
        <v>0</v>
      </c>
      <c r="O65">
        <v>0</v>
      </c>
    </row>
    <row r="66" spans="1:15" x14ac:dyDescent="0.25">
      <c r="A66" t="s">
        <v>21</v>
      </c>
      <c r="B66" t="s">
        <v>15</v>
      </c>
      <c r="C66">
        <v>15</v>
      </c>
      <c r="D66">
        <v>100</v>
      </c>
      <c r="E66">
        <v>800</v>
      </c>
      <c r="F66" t="str">
        <f t="shared" ref="F66:F129" si="1">A66&amp;"_"&amp;B66&amp;"_"&amp;C66&amp;"_"&amp;D66&amp;"_"&amp;E66</f>
        <v>castle256_blurkernel7_15_100_800</v>
      </c>
      <c r="G66">
        <v>0</v>
      </c>
      <c r="H66">
        <v>0</v>
      </c>
      <c r="I66">
        <v>8.1592000000000001E-5</v>
      </c>
      <c r="J66">
        <v>8.6340000000000007E-6</v>
      </c>
      <c r="K66">
        <v>26.2666</v>
      </c>
      <c r="L66">
        <v>8.5852000000000004</v>
      </c>
      <c r="M66">
        <v>19.663599999999999</v>
      </c>
      <c r="N66">
        <v>0</v>
      </c>
      <c r="O66">
        <v>0</v>
      </c>
    </row>
    <row r="67" spans="1:15" x14ac:dyDescent="0.25">
      <c r="A67" t="s">
        <v>21</v>
      </c>
      <c r="B67" t="s">
        <v>15</v>
      </c>
      <c r="C67">
        <v>15</v>
      </c>
      <c r="D67">
        <v>100</v>
      </c>
      <c r="E67">
        <v>1600</v>
      </c>
      <c r="F67" t="str">
        <f t="shared" si="1"/>
        <v>castle256_blurkernel7_15_100_1600</v>
      </c>
      <c r="G67">
        <v>0</v>
      </c>
      <c r="H67">
        <v>0</v>
      </c>
      <c r="I67">
        <v>1.6571700000000001E-4</v>
      </c>
      <c r="J67">
        <v>8.6340000000000007E-6</v>
      </c>
      <c r="K67">
        <v>23.195499999999999</v>
      </c>
      <c r="L67">
        <v>8.5852000000000004</v>
      </c>
      <c r="M67">
        <v>19.353000000000002</v>
      </c>
      <c r="N67">
        <v>0</v>
      </c>
      <c r="O67">
        <v>0</v>
      </c>
    </row>
    <row r="68" spans="1:15" x14ac:dyDescent="0.25">
      <c r="A68" t="s">
        <v>21</v>
      </c>
      <c r="B68" t="s">
        <v>15</v>
      </c>
      <c r="C68">
        <v>15</v>
      </c>
      <c r="D68">
        <v>100</v>
      </c>
      <c r="E68">
        <v>3200</v>
      </c>
      <c r="F68" t="str">
        <f t="shared" si="1"/>
        <v>castle256_blurkernel7_15_100_3200</v>
      </c>
      <c r="G68">
        <v>0</v>
      </c>
      <c r="H68">
        <v>0</v>
      </c>
      <c r="I68">
        <v>3.38074E-4</v>
      </c>
      <c r="J68">
        <v>8.6340000000000007E-6</v>
      </c>
      <c r="K68">
        <v>20.126100000000001</v>
      </c>
      <c r="L68">
        <v>8.5852000000000004</v>
      </c>
      <c r="M68">
        <v>18.780999999999999</v>
      </c>
      <c r="N68">
        <v>0</v>
      </c>
      <c r="O68">
        <v>0</v>
      </c>
    </row>
    <row r="69" spans="1:15" x14ac:dyDescent="0.25">
      <c r="A69" t="s">
        <v>21</v>
      </c>
      <c r="B69" t="s">
        <v>15</v>
      </c>
      <c r="C69">
        <v>15</v>
      </c>
      <c r="D69">
        <v>100</v>
      </c>
      <c r="E69">
        <v>6400</v>
      </c>
      <c r="F69" t="str">
        <f t="shared" si="1"/>
        <v>castle256_blurkernel7_15_100_6400</v>
      </c>
      <c r="G69">
        <v>0</v>
      </c>
      <c r="H69">
        <v>0</v>
      </c>
      <c r="I69">
        <v>6.9656899999999996E-4</v>
      </c>
      <c r="J69">
        <v>8.6340000000000007E-6</v>
      </c>
      <c r="K69">
        <v>17.022200000000002</v>
      </c>
      <c r="L69">
        <v>8.5852000000000004</v>
      </c>
      <c r="M69">
        <v>17.889700000000001</v>
      </c>
      <c r="N69">
        <v>0</v>
      </c>
      <c r="O69">
        <v>0</v>
      </c>
    </row>
    <row r="70" spans="1:15" x14ac:dyDescent="0.25">
      <c r="A70" t="s">
        <v>21</v>
      </c>
      <c r="B70" t="s">
        <v>15</v>
      </c>
      <c r="C70">
        <v>15</v>
      </c>
      <c r="D70">
        <v>100</v>
      </c>
      <c r="E70">
        <v>12800</v>
      </c>
      <c r="F70" t="str">
        <f t="shared" si="1"/>
        <v>castle256_blurkernel7_15_100_12800</v>
      </c>
      <c r="G70">
        <v>0</v>
      </c>
      <c r="H70">
        <v>0</v>
      </c>
      <c r="I70">
        <v>1.45229E-3</v>
      </c>
      <c r="J70">
        <v>8.6340000000000007E-6</v>
      </c>
      <c r="K70">
        <v>13.903</v>
      </c>
      <c r="L70">
        <v>8.5852000000000004</v>
      </c>
      <c r="M70">
        <v>16.8081</v>
      </c>
      <c r="N70">
        <v>0</v>
      </c>
      <c r="O70">
        <v>0</v>
      </c>
    </row>
    <row r="71" spans="1:15" x14ac:dyDescent="0.25">
      <c r="A71" t="s">
        <v>21</v>
      </c>
      <c r="B71" t="s">
        <v>15</v>
      </c>
      <c r="C71">
        <v>15</v>
      </c>
      <c r="D71">
        <v>100</v>
      </c>
      <c r="E71">
        <v>25600</v>
      </c>
      <c r="F71" t="str">
        <f t="shared" si="1"/>
        <v>castle256_blurkernel7_15_100_25600</v>
      </c>
      <c r="G71">
        <v>0</v>
      </c>
      <c r="H71">
        <v>0</v>
      </c>
      <c r="I71">
        <v>3.2164139999999999E-3</v>
      </c>
      <c r="J71">
        <v>8.6340000000000007E-6</v>
      </c>
      <c r="K71">
        <v>10.635400000000001</v>
      </c>
      <c r="L71">
        <v>8.5852000000000004</v>
      </c>
      <c r="M71">
        <v>15.384600000000001</v>
      </c>
      <c r="N71">
        <v>0</v>
      </c>
      <c r="O71">
        <v>0</v>
      </c>
    </row>
    <row r="72" spans="1:15" x14ac:dyDescent="0.25">
      <c r="A72" t="s">
        <v>21</v>
      </c>
      <c r="B72" t="s">
        <v>15</v>
      </c>
      <c r="C72">
        <v>15</v>
      </c>
      <c r="D72">
        <v>100</v>
      </c>
      <c r="E72">
        <v>102400</v>
      </c>
      <c r="F72" t="str">
        <f t="shared" si="1"/>
        <v>castle256_blurkernel7_15_100_102400</v>
      </c>
      <c r="G72">
        <v>0</v>
      </c>
      <c r="H72">
        <v>0</v>
      </c>
      <c r="I72">
        <v>1.9781367000000001E-2</v>
      </c>
      <c r="J72">
        <v>8.7530000000000007E-6</v>
      </c>
      <c r="K72">
        <v>4.1573000000000002</v>
      </c>
      <c r="L72">
        <v>8.5862999999999996</v>
      </c>
      <c r="M72">
        <v>11.4756</v>
      </c>
      <c r="N72">
        <v>0</v>
      </c>
      <c r="O72">
        <v>0</v>
      </c>
    </row>
    <row r="73" spans="1:15" x14ac:dyDescent="0.25">
      <c r="A73" t="s">
        <v>21</v>
      </c>
      <c r="B73" t="s">
        <v>15</v>
      </c>
      <c r="C73">
        <v>31</v>
      </c>
      <c r="D73">
        <v>100</v>
      </c>
      <c r="E73">
        <v>200</v>
      </c>
      <c r="F73" t="str">
        <f t="shared" si="1"/>
        <v>castle256_blurkernel7_31_100_200</v>
      </c>
      <c r="G73">
        <v>0</v>
      </c>
      <c r="H73">
        <v>0</v>
      </c>
      <c r="I73">
        <v>1.8949000000000001E-5</v>
      </c>
      <c r="J73">
        <v>8.6370000000000005E-6</v>
      </c>
      <c r="K73">
        <v>32.599600000000002</v>
      </c>
      <c r="L73">
        <v>6.6765999999999996</v>
      </c>
      <c r="M73">
        <v>20.332000000000001</v>
      </c>
      <c r="N73">
        <v>0</v>
      </c>
      <c r="O73">
        <v>0</v>
      </c>
    </row>
    <row r="74" spans="1:15" x14ac:dyDescent="0.25">
      <c r="A74" t="s">
        <v>21</v>
      </c>
      <c r="B74" t="s">
        <v>15</v>
      </c>
      <c r="C74">
        <v>31</v>
      </c>
      <c r="D74">
        <v>100</v>
      </c>
      <c r="E74">
        <v>400</v>
      </c>
      <c r="F74" t="str">
        <f t="shared" si="1"/>
        <v>castle256_blurkernel7_31_100_400</v>
      </c>
      <c r="G74">
        <v>0</v>
      </c>
      <c r="H74">
        <v>0</v>
      </c>
      <c r="I74">
        <v>4.0142999999999998E-5</v>
      </c>
      <c r="J74">
        <v>8.6370000000000005E-6</v>
      </c>
      <c r="K74">
        <v>29.342700000000001</v>
      </c>
      <c r="L74">
        <v>6.6765999999999996</v>
      </c>
      <c r="M74">
        <v>20.215199999999999</v>
      </c>
      <c r="N74">
        <v>0</v>
      </c>
      <c r="O74">
        <v>0</v>
      </c>
    </row>
    <row r="75" spans="1:15" x14ac:dyDescent="0.25">
      <c r="A75" t="s">
        <v>21</v>
      </c>
      <c r="B75" t="s">
        <v>15</v>
      </c>
      <c r="C75">
        <v>31</v>
      </c>
      <c r="D75">
        <v>100</v>
      </c>
      <c r="E75">
        <v>800</v>
      </c>
      <c r="F75" t="str">
        <f t="shared" si="1"/>
        <v>castle256_blurkernel7_31_100_800</v>
      </c>
      <c r="G75">
        <v>0</v>
      </c>
      <c r="H75">
        <v>0</v>
      </c>
      <c r="I75">
        <v>8.1341999999999995E-5</v>
      </c>
      <c r="J75">
        <v>8.6370000000000005E-6</v>
      </c>
      <c r="K75">
        <v>26.2789</v>
      </c>
      <c r="L75">
        <v>6.6765999999999996</v>
      </c>
      <c r="M75">
        <v>19.925000000000001</v>
      </c>
      <c r="N75">
        <v>0</v>
      </c>
      <c r="O75">
        <v>0</v>
      </c>
    </row>
    <row r="76" spans="1:15" x14ac:dyDescent="0.25">
      <c r="A76" t="s">
        <v>21</v>
      </c>
      <c r="B76" t="s">
        <v>15</v>
      </c>
      <c r="C76">
        <v>31</v>
      </c>
      <c r="D76">
        <v>100</v>
      </c>
      <c r="E76">
        <v>1600</v>
      </c>
      <c r="F76" t="str">
        <f t="shared" si="1"/>
        <v>castle256_blurkernel7_31_100_1600</v>
      </c>
      <c r="G76">
        <v>0</v>
      </c>
      <c r="H76">
        <v>0</v>
      </c>
      <c r="I76">
        <v>1.6648499999999999E-4</v>
      </c>
      <c r="J76">
        <v>8.6370000000000005E-6</v>
      </c>
      <c r="K76">
        <v>23.181899999999999</v>
      </c>
      <c r="L76">
        <v>6.6765999999999996</v>
      </c>
      <c r="M76">
        <v>19.6127</v>
      </c>
      <c r="N76">
        <v>0</v>
      </c>
      <c r="O76">
        <v>0</v>
      </c>
    </row>
    <row r="77" spans="1:15" x14ac:dyDescent="0.25">
      <c r="A77" t="s">
        <v>21</v>
      </c>
      <c r="B77" t="s">
        <v>15</v>
      </c>
      <c r="C77">
        <v>31</v>
      </c>
      <c r="D77">
        <v>100</v>
      </c>
      <c r="E77">
        <v>3200</v>
      </c>
      <c r="F77" t="str">
        <f t="shared" si="1"/>
        <v>castle256_blurkernel7_31_100_3200</v>
      </c>
      <c r="G77">
        <v>0</v>
      </c>
      <c r="H77">
        <v>0</v>
      </c>
      <c r="I77">
        <v>3.3545800000000001E-4</v>
      </c>
      <c r="J77">
        <v>8.6370000000000005E-6</v>
      </c>
      <c r="K77">
        <v>20.156300000000002</v>
      </c>
      <c r="L77">
        <v>6.6765999999999996</v>
      </c>
      <c r="M77">
        <v>18.9543</v>
      </c>
      <c r="N77">
        <v>0</v>
      </c>
      <c r="O77">
        <v>0</v>
      </c>
    </row>
    <row r="78" spans="1:15" x14ac:dyDescent="0.25">
      <c r="A78" t="s">
        <v>21</v>
      </c>
      <c r="B78" t="s">
        <v>15</v>
      </c>
      <c r="C78">
        <v>31</v>
      </c>
      <c r="D78">
        <v>100</v>
      </c>
      <c r="E78">
        <v>6400</v>
      </c>
      <c r="F78" t="str">
        <f t="shared" si="1"/>
        <v>castle256_blurkernel7_31_100_6400</v>
      </c>
      <c r="G78">
        <v>0</v>
      </c>
      <c r="H78">
        <v>0</v>
      </c>
      <c r="I78">
        <v>6.9802299999999998E-4</v>
      </c>
      <c r="J78">
        <v>8.6370000000000005E-6</v>
      </c>
      <c r="K78">
        <v>17.0169</v>
      </c>
      <c r="L78">
        <v>6.6765999999999996</v>
      </c>
      <c r="M78">
        <v>18.085000000000001</v>
      </c>
      <c r="N78">
        <v>0</v>
      </c>
      <c r="O78">
        <v>0</v>
      </c>
    </row>
    <row r="79" spans="1:15" x14ac:dyDescent="0.25">
      <c r="A79" t="s">
        <v>21</v>
      </c>
      <c r="B79" t="s">
        <v>15</v>
      </c>
      <c r="C79">
        <v>31</v>
      </c>
      <c r="D79">
        <v>100</v>
      </c>
      <c r="E79">
        <v>12800</v>
      </c>
      <c r="F79" t="str">
        <f t="shared" si="1"/>
        <v>castle256_blurkernel7_31_100_12800</v>
      </c>
      <c r="G79">
        <v>0</v>
      </c>
      <c r="H79">
        <v>0</v>
      </c>
      <c r="I79">
        <v>1.454969E-3</v>
      </c>
      <c r="J79">
        <v>8.6370000000000005E-6</v>
      </c>
      <c r="K79">
        <v>13.919700000000001</v>
      </c>
      <c r="L79">
        <v>6.6765999999999996</v>
      </c>
      <c r="M79">
        <v>16.8689</v>
      </c>
      <c r="N79">
        <v>0</v>
      </c>
      <c r="O79">
        <v>0</v>
      </c>
    </row>
    <row r="80" spans="1:15" x14ac:dyDescent="0.25">
      <c r="A80" t="s">
        <v>21</v>
      </c>
      <c r="B80" t="s">
        <v>15</v>
      </c>
      <c r="C80">
        <v>31</v>
      </c>
      <c r="D80">
        <v>100</v>
      </c>
      <c r="E80">
        <v>25600</v>
      </c>
      <c r="F80" t="str">
        <f t="shared" si="1"/>
        <v>castle256_blurkernel7_31_100_25600</v>
      </c>
      <c r="G80">
        <v>0</v>
      </c>
      <c r="H80">
        <v>0</v>
      </c>
      <c r="I80">
        <v>3.2411530000000001E-3</v>
      </c>
      <c r="J80">
        <v>8.6370000000000005E-6</v>
      </c>
      <c r="K80">
        <v>10.620200000000001</v>
      </c>
      <c r="L80">
        <v>6.6765999999999996</v>
      </c>
      <c r="M80">
        <v>15.3893</v>
      </c>
      <c r="N80">
        <v>0</v>
      </c>
      <c r="O80">
        <v>0</v>
      </c>
    </row>
    <row r="81" spans="1:15" x14ac:dyDescent="0.25">
      <c r="A81" t="s">
        <v>21</v>
      </c>
      <c r="B81" t="s">
        <v>15</v>
      </c>
      <c r="C81">
        <v>31</v>
      </c>
      <c r="D81">
        <v>100</v>
      </c>
      <c r="E81">
        <v>102400</v>
      </c>
      <c r="F81" t="str">
        <f t="shared" si="1"/>
        <v>castle256_blurkernel7_31_100_102400</v>
      </c>
      <c r="G81">
        <v>0</v>
      </c>
      <c r="H81">
        <v>0</v>
      </c>
      <c r="I81">
        <v>1.9863352000000001E-2</v>
      </c>
      <c r="J81">
        <v>8.8319999999999995E-6</v>
      </c>
      <c r="K81">
        <v>4.1417000000000002</v>
      </c>
      <c r="L81">
        <v>6.6740000000000004</v>
      </c>
      <c r="M81">
        <v>11.2112</v>
      </c>
      <c r="N81">
        <v>0</v>
      </c>
      <c r="O81">
        <v>0</v>
      </c>
    </row>
    <row r="82" spans="1:15" x14ac:dyDescent="0.25">
      <c r="A82" t="s">
        <v>21</v>
      </c>
      <c r="B82" t="s">
        <v>15</v>
      </c>
      <c r="C82">
        <v>63</v>
      </c>
      <c r="D82">
        <v>100</v>
      </c>
      <c r="E82">
        <v>200</v>
      </c>
      <c r="F82" t="str">
        <f t="shared" si="1"/>
        <v>castle256_blurkernel7_63_100_200</v>
      </c>
      <c r="G82">
        <v>0</v>
      </c>
      <c r="H82">
        <v>0</v>
      </c>
      <c r="I82">
        <v>1.9021E-5</v>
      </c>
      <c r="J82">
        <v>8.6810000000000004E-6</v>
      </c>
      <c r="K82">
        <v>32.582299999999996</v>
      </c>
      <c r="L82">
        <v>4.9897999999999998</v>
      </c>
      <c r="M82">
        <v>20.357399999999998</v>
      </c>
      <c r="N82">
        <v>0</v>
      </c>
      <c r="O82">
        <v>0</v>
      </c>
    </row>
    <row r="83" spans="1:15" x14ac:dyDescent="0.25">
      <c r="A83" t="s">
        <v>21</v>
      </c>
      <c r="B83" t="s">
        <v>15</v>
      </c>
      <c r="C83">
        <v>63</v>
      </c>
      <c r="D83">
        <v>100</v>
      </c>
      <c r="E83">
        <v>400</v>
      </c>
      <c r="F83" t="str">
        <f t="shared" si="1"/>
        <v>castle256_blurkernel7_63_100_400</v>
      </c>
      <c r="G83">
        <v>0</v>
      </c>
      <c r="H83">
        <v>0</v>
      </c>
      <c r="I83">
        <v>3.9826000000000001E-5</v>
      </c>
      <c r="J83">
        <v>8.6810000000000004E-6</v>
      </c>
      <c r="K83">
        <v>29.377500000000001</v>
      </c>
      <c r="L83">
        <v>4.9897999999999998</v>
      </c>
      <c r="M83">
        <v>20.1646</v>
      </c>
      <c r="N83">
        <v>0</v>
      </c>
      <c r="O83">
        <v>0</v>
      </c>
    </row>
    <row r="84" spans="1:15" x14ac:dyDescent="0.25">
      <c r="A84" t="s">
        <v>21</v>
      </c>
      <c r="B84" t="s">
        <v>15</v>
      </c>
      <c r="C84">
        <v>63</v>
      </c>
      <c r="D84">
        <v>100</v>
      </c>
      <c r="E84">
        <v>800</v>
      </c>
      <c r="F84" t="str">
        <f t="shared" si="1"/>
        <v>castle256_blurkernel7_63_100_800</v>
      </c>
      <c r="G84">
        <v>0</v>
      </c>
      <c r="H84">
        <v>0</v>
      </c>
      <c r="I84">
        <v>8.2245999999999998E-5</v>
      </c>
      <c r="J84">
        <v>8.6810000000000004E-6</v>
      </c>
      <c r="K84">
        <v>26.2316</v>
      </c>
      <c r="L84">
        <v>4.9897999999999998</v>
      </c>
      <c r="M84">
        <v>19.8919</v>
      </c>
      <c r="N84">
        <v>0</v>
      </c>
      <c r="O84">
        <v>0</v>
      </c>
    </row>
    <row r="85" spans="1:15" x14ac:dyDescent="0.25">
      <c r="A85" t="s">
        <v>21</v>
      </c>
      <c r="B85" t="s">
        <v>15</v>
      </c>
      <c r="C85">
        <v>63</v>
      </c>
      <c r="D85">
        <v>100</v>
      </c>
      <c r="E85">
        <v>1600</v>
      </c>
      <c r="F85" t="str">
        <f t="shared" si="1"/>
        <v>castle256_blurkernel7_63_100_1600</v>
      </c>
      <c r="G85">
        <v>0</v>
      </c>
      <c r="H85">
        <v>0</v>
      </c>
      <c r="I85">
        <v>1.6514599999999999E-4</v>
      </c>
      <c r="J85">
        <v>8.6810000000000004E-6</v>
      </c>
      <c r="K85">
        <v>23.215399999999999</v>
      </c>
      <c r="L85">
        <v>4.9897999999999998</v>
      </c>
      <c r="M85">
        <v>19.560400000000001</v>
      </c>
      <c r="N85">
        <v>0</v>
      </c>
      <c r="O85">
        <v>0</v>
      </c>
    </row>
    <row r="86" spans="1:15" x14ac:dyDescent="0.25">
      <c r="A86" t="s">
        <v>21</v>
      </c>
      <c r="B86" t="s">
        <v>15</v>
      </c>
      <c r="C86">
        <v>63</v>
      </c>
      <c r="D86">
        <v>100</v>
      </c>
      <c r="E86">
        <v>3200</v>
      </c>
      <c r="F86" t="str">
        <f t="shared" si="1"/>
        <v>castle256_blurkernel7_63_100_3200</v>
      </c>
      <c r="G86">
        <v>0</v>
      </c>
      <c r="H86">
        <v>0</v>
      </c>
      <c r="I86">
        <v>3.3735299999999998E-4</v>
      </c>
      <c r="J86">
        <v>8.6810000000000004E-6</v>
      </c>
      <c r="K86">
        <v>20.126300000000001</v>
      </c>
      <c r="L86">
        <v>4.9897999999999998</v>
      </c>
      <c r="M86">
        <v>18.857399999999998</v>
      </c>
      <c r="N86">
        <v>0</v>
      </c>
      <c r="O86">
        <v>0</v>
      </c>
    </row>
    <row r="87" spans="1:15" x14ac:dyDescent="0.25">
      <c r="A87" t="s">
        <v>21</v>
      </c>
      <c r="B87" t="s">
        <v>15</v>
      </c>
      <c r="C87">
        <v>63</v>
      </c>
      <c r="D87">
        <v>100</v>
      </c>
      <c r="E87">
        <v>6400</v>
      </c>
      <c r="F87" t="str">
        <f t="shared" si="1"/>
        <v>castle256_blurkernel7_63_100_6400</v>
      </c>
      <c r="G87">
        <v>0</v>
      </c>
      <c r="H87">
        <v>0</v>
      </c>
      <c r="I87">
        <v>6.9308499999999997E-4</v>
      </c>
      <c r="J87">
        <v>8.6810000000000004E-6</v>
      </c>
      <c r="K87">
        <v>17.046500000000002</v>
      </c>
      <c r="L87">
        <v>4.9897999999999998</v>
      </c>
      <c r="M87">
        <v>18.0017</v>
      </c>
      <c r="N87">
        <v>0</v>
      </c>
      <c r="O87">
        <v>0</v>
      </c>
    </row>
    <row r="88" spans="1:15" x14ac:dyDescent="0.25">
      <c r="A88" t="s">
        <v>21</v>
      </c>
      <c r="B88" t="s">
        <v>15</v>
      </c>
      <c r="C88">
        <v>63</v>
      </c>
      <c r="D88">
        <v>100</v>
      </c>
      <c r="E88">
        <v>12800</v>
      </c>
      <c r="F88" t="str">
        <f t="shared" si="1"/>
        <v>castle256_blurkernel7_63_100_12800</v>
      </c>
      <c r="G88">
        <v>0</v>
      </c>
      <c r="H88">
        <v>0</v>
      </c>
      <c r="I88">
        <v>1.4503090000000001E-3</v>
      </c>
      <c r="J88">
        <v>8.6810000000000004E-6</v>
      </c>
      <c r="K88">
        <v>13.922000000000001</v>
      </c>
      <c r="L88">
        <v>4.9897999999999998</v>
      </c>
      <c r="M88">
        <v>16.566600000000001</v>
      </c>
      <c r="N88">
        <v>0</v>
      </c>
      <c r="O88">
        <v>0</v>
      </c>
    </row>
    <row r="89" spans="1:15" x14ac:dyDescent="0.25">
      <c r="A89" t="s">
        <v>21</v>
      </c>
      <c r="B89" t="s">
        <v>15</v>
      </c>
      <c r="C89">
        <v>63</v>
      </c>
      <c r="D89">
        <v>100</v>
      </c>
      <c r="E89">
        <v>25600</v>
      </c>
      <c r="F89" t="str">
        <f t="shared" si="1"/>
        <v>castle256_blurkernel7_63_100_25600</v>
      </c>
      <c r="G89">
        <v>0</v>
      </c>
      <c r="H89">
        <v>0</v>
      </c>
      <c r="I89">
        <v>3.2225489999999999E-3</v>
      </c>
      <c r="J89">
        <v>8.6810000000000004E-6</v>
      </c>
      <c r="K89">
        <v>10.6252</v>
      </c>
      <c r="L89">
        <v>4.9897999999999998</v>
      </c>
      <c r="M89">
        <v>15.0253</v>
      </c>
      <c r="N89">
        <v>0</v>
      </c>
      <c r="O89">
        <v>0</v>
      </c>
    </row>
    <row r="90" spans="1:15" x14ac:dyDescent="0.25">
      <c r="A90" t="s">
        <v>21</v>
      </c>
      <c r="B90" t="s">
        <v>16</v>
      </c>
      <c r="C90">
        <v>3</v>
      </c>
      <c r="D90">
        <v>100</v>
      </c>
      <c r="E90">
        <v>200</v>
      </c>
      <c r="F90" t="str">
        <f t="shared" si="1"/>
        <v>castle256_blurkernel8_3_100_200</v>
      </c>
      <c r="G90">
        <v>0</v>
      </c>
      <c r="H90">
        <v>0</v>
      </c>
      <c r="I90">
        <v>1.9154E-5</v>
      </c>
      <c r="J90">
        <v>8.7590000000000003E-6</v>
      </c>
      <c r="K90">
        <v>32.551699999999997</v>
      </c>
      <c r="L90">
        <v>15.3089</v>
      </c>
      <c r="M90">
        <v>19.354600000000001</v>
      </c>
      <c r="N90">
        <v>0</v>
      </c>
      <c r="O90">
        <v>0</v>
      </c>
    </row>
    <row r="91" spans="1:15" x14ac:dyDescent="0.25">
      <c r="A91" t="s">
        <v>21</v>
      </c>
      <c r="B91" t="s">
        <v>16</v>
      </c>
      <c r="C91">
        <v>3</v>
      </c>
      <c r="D91">
        <v>100</v>
      </c>
      <c r="E91">
        <v>400</v>
      </c>
      <c r="F91" t="str">
        <f t="shared" si="1"/>
        <v>castle256_blurkernel8_3_100_400</v>
      </c>
      <c r="G91">
        <v>0</v>
      </c>
      <c r="H91">
        <v>0</v>
      </c>
      <c r="I91">
        <v>3.9882000000000002E-5</v>
      </c>
      <c r="J91">
        <v>8.7590000000000003E-6</v>
      </c>
      <c r="K91">
        <v>29.369</v>
      </c>
      <c r="L91">
        <v>15.3089</v>
      </c>
      <c r="M91">
        <v>19.299399999999999</v>
      </c>
      <c r="N91">
        <v>0</v>
      </c>
      <c r="O91">
        <v>0</v>
      </c>
    </row>
    <row r="92" spans="1:15" x14ac:dyDescent="0.25">
      <c r="A92" t="s">
        <v>21</v>
      </c>
      <c r="B92" t="s">
        <v>16</v>
      </c>
      <c r="C92">
        <v>3</v>
      </c>
      <c r="D92">
        <v>100</v>
      </c>
      <c r="E92">
        <v>800</v>
      </c>
      <c r="F92" t="str">
        <f t="shared" si="1"/>
        <v>castle256_blurkernel8_3_100_800</v>
      </c>
      <c r="G92">
        <v>0</v>
      </c>
      <c r="H92">
        <v>0</v>
      </c>
      <c r="I92">
        <v>8.2157999999999995E-5</v>
      </c>
      <c r="J92">
        <v>8.7590000000000003E-6</v>
      </c>
      <c r="K92">
        <v>26.234400000000001</v>
      </c>
      <c r="L92">
        <v>15.3089</v>
      </c>
      <c r="M92">
        <v>19.1968</v>
      </c>
      <c r="N92">
        <v>0</v>
      </c>
      <c r="O92">
        <v>0</v>
      </c>
    </row>
    <row r="93" spans="1:15" x14ac:dyDescent="0.25">
      <c r="A93" t="s">
        <v>21</v>
      </c>
      <c r="B93" t="s">
        <v>16</v>
      </c>
      <c r="C93">
        <v>3</v>
      </c>
      <c r="D93">
        <v>100</v>
      </c>
      <c r="E93">
        <v>1600</v>
      </c>
      <c r="F93" t="str">
        <f t="shared" si="1"/>
        <v>castle256_blurkernel8_3_100_1600</v>
      </c>
      <c r="G93">
        <v>0</v>
      </c>
      <c r="H93">
        <v>0</v>
      </c>
      <c r="I93">
        <v>1.6436900000000001E-4</v>
      </c>
      <c r="J93">
        <v>8.7590000000000003E-6</v>
      </c>
      <c r="K93">
        <v>23.235199999999999</v>
      </c>
      <c r="L93">
        <v>15.3089</v>
      </c>
      <c r="M93">
        <v>19.042300000000001</v>
      </c>
      <c r="N93">
        <v>0</v>
      </c>
      <c r="O93">
        <v>0</v>
      </c>
    </row>
    <row r="94" spans="1:15" x14ac:dyDescent="0.25">
      <c r="A94" t="s">
        <v>21</v>
      </c>
      <c r="B94" t="s">
        <v>16</v>
      </c>
      <c r="C94">
        <v>3</v>
      </c>
      <c r="D94">
        <v>100</v>
      </c>
      <c r="E94">
        <v>3200</v>
      </c>
      <c r="F94" t="str">
        <f t="shared" si="1"/>
        <v>castle256_blurkernel8_3_100_3200</v>
      </c>
      <c r="G94">
        <v>0</v>
      </c>
      <c r="H94">
        <v>0</v>
      </c>
      <c r="I94">
        <v>3.3739700000000002E-4</v>
      </c>
      <c r="J94">
        <v>8.7590000000000003E-6</v>
      </c>
      <c r="K94">
        <v>20.131799999999998</v>
      </c>
      <c r="L94">
        <v>15.3089</v>
      </c>
      <c r="M94">
        <v>18.7409</v>
      </c>
      <c r="N94">
        <v>0</v>
      </c>
      <c r="O94">
        <v>0</v>
      </c>
    </row>
    <row r="95" spans="1:15" x14ac:dyDescent="0.25">
      <c r="A95" t="s">
        <v>21</v>
      </c>
      <c r="B95" t="s">
        <v>16</v>
      </c>
      <c r="C95">
        <v>3</v>
      </c>
      <c r="D95">
        <v>100</v>
      </c>
      <c r="E95">
        <v>6400</v>
      </c>
      <c r="F95" t="str">
        <f t="shared" si="1"/>
        <v>castle256_blurkernel8_3_100_6400</v>
      </c>
      <c r="G95">
        <v>0</v>
      </c>
      <c r="H95">
        <v>0</v>
      </c>
      <c r="I95">
        <v>6.9018699999999998E-4</v>
      </c>
      <c r="J95">
        <v>8.7590000000000003E-6</v>
      </c>
      <c r="K95">
        <v>17.0656</v>
      </c>
      <c r="L95">
        <v>15.3089</v>
      </c>
      <c r="M95">
        <v>18.331399999999999</v>
      </c>
      <c r="N95">
        <v>0</v>
      </c>
      <c r="O95">
        <v>0</v>
      </c>
    </row>
    <row r="96" spans="1:15" x14ac:dyDescent="0.25">
      <c r="A96" t="s">
        <v>21</v>
      </c>
      <c r="B96" t="s">
        <v>16</v>
      </c>
      <c r="C96">
        <v>3</v>
      </c>
      <c r="D96">
        <v>100</v>
      </c>
      <c r="E96">
        <v>12800</v>
      </c>
      <c r="F96" t="str">
        <f t="shared" si="1"/>
        <v>castle256_blurkernel8_3_100_12800</v>
      </c>
      <c r="G96">
        <v>0</v>
      </c>
      <c r="H96">
        <v>0</v>
      </c>
      <c r="I96">
        <v>1.4667479999999999E-3</v>
      </c>
      <c r="J96">
        <v>8.7590000000000003E-6</v>
      </c>
      <c r="K96">
        <v>13.872400000000001</v>
      </c>
      <c r="L96">
        <v>15.3089</v>
      </c>
      <c r="M96">
        <v>17.8751</v>
      </c>
      <c r="N96">
        <v>0</v>
      </c>
      <c r="O96">
        <v>0</v>
      </c>
    </row>
    <row r="97" spans="1:15" x14ac:dyDescent="0.25">
      <c r="A97" t="s">
        <v>21</v>
      </c>
      <c r="B97" t="s">
        <v>16</v>
      </c>
      <c r="C97">
        <v>3</v>
      </c>
      <c r="D97">
        <v>100</v>
      </c>
      <c r="E97">
        <v>25600</v>
      </c>
      <c r="F97" t="str">
        <f t="shared" si="1"/>
        <v>castle256_blurkernel8_3_100_25600</v>
      </c>
      <c r="G97">
        <v>0</v>
      </c>
      <c r="H97">
        <v>0</v>
      </c>
      <c r="I97">
        <v>3.1998600000000001E-3</v>
      </c>
      <c r="J97">
        <v>8.7590000000000003E-6</v>
      </c>
      <c r="K97">
        <v>10.666399999999999</v>
      </c>
      <c r="L97">
        <v>15.3089</v>
      </c>
      <c r="M97">
        <v>17.015999999999998</v>
      </c>
      <c r="N97">
        <v>0</v>
      </c>
      <c r="O97">
        <v>0</v>
      </c>
    </row>
    <row r="98" spans="1:15" x14ac:dyDescent="0.25">
      <c r="A98" t="s">
        <v>21</v>
      </c>
      <c r="B98" t="s">
        <v>16</v>
      </c>
      <c r="C98">
        <v>3</v>
      </c>
      <c r="D98">
        <v>100</v>
      </c>
      <c r="E98">
        <v>102400</v>
      </c>
      <c r="F98" t="str">
        <f t="shared" si="1"/>
        <v>castle256_blurkernel8_3_100_102400</v>
      </c>
      <c r="G98">
        <v>0</v>
      </c>
      <c r="H98">
        <v>0</v>
      </c>
      <c r="I98">
        <v>1.9908419E-2</v>
      </c>
      <c r="J98">
        <v>8.8340000000000005E-6</v>
      </c>
      <c r="K98">
        <v>4.1332000000000004</v>
      </c>
      <c r="L98">
        <v>15.309699999999999</v>
      </c>
      <c r="M98">
        <v>14.3218</v>
      </c>
      <c r="N98">
        <v>0</v>
      </c>
      <c r="O98">
        <v>0</v>
      </c>
    </row>
    <row r="99" spans="1:15" x14ac:dyDescent="0.25">
      <c r="A99" t="s">
        <v>21</v>
      </c>
      <c r="B99" t="s">
        <v>16</v>
      </c>
      <c r="C99">
        <v>7</v>
      </c>
      <c r="D99">
        <v>100</v>
      </c>
      <c r="E99">
        <v>200</v>
      </c>
      <c r="F99" t="str">
        <f t="shared" si="1"/>
        <v>castle256_blurkernel8_7_100_200</v>
      </c>
      <c r="G99">
        <v>0</v>
      </c>
      <c r="H99">
        <v>0</v>
      </c>
      <c r="I99">
        <v>1.9023000000000001E-5</v>
      </c>
      <c r="J99">
        <v>8.6780000000000006E-6</v>
      </c>
      <c r="K99">
        <v>32.582999999999998</v>
      </c>
      <c r="L99">
        <v>10.737399999999999</v>
      </c>
      <c r="M99">
        <v>19.2148</v>
      </c>
      <c r="N99">
        <v>0</v>
      </c>
      <c r="O99">
        <v>0</v>
      </c>
    </row>
    <row r="100" spans="1:15" x14ac:dyDescent="0.25">
      <c r="A100" t="s">
        <v>21</v>
      </c>
      <c r="B100" t="s">
        <v>16</v>
      </c>
      <c r="C100">
        <v>7</v>
      </c>
      <c r="D100">
        <v>100</v>
      </c>
      <c r="E100">
        <v>400</v>
      </c>
      <c r="F100" t="str">
        <f t="shared" si="1"/>
        <v>castle256_blurkernel8_7_100_400</v>
      </c>
      <c r="G100">
        <v>0</v>
      </c>
      <c r="H100">
        <v>0</v>
      </c>
      <c r="I100">
        <v>3.9545000000000002E-5</v>
      </c>
      <c r="J100">
        <v>8.6780000000000006E-6</v>
      </c>
      <c r="K100">
        <v>29.405999999999999</v>
      </c>
      <c r="L100">
        <v>10.737399999999999</v>
      </c>
      <c r="M100">
        <v>19.135300000000001</v>
      </c>
      <c r="N100">
        <v>0</v>
      </c>
      <c r="O100">
        <v>0</v>
      </c>
    </row>
    <row r="101" spans="1:15" x14ac:dyDescent="0.25">
      <c r="A101" t="s">
        <v>21</v>
      </c>
      <c r="B101" t="s">
        <v>16</v>
      </c>
      <c r="C101">
        <v>7</v>
      </c>
      <c r="D101">
        <v>100</v>
      </c>
      <c r="E101">
        <v>800</v>
      </c>
      <c r="F101" t="str">
        <f t="shared" si="1"/>
        <v>castle256_blurkernel8_7_100_800</v>
      </c>
      <c r="G101">
        <v>0</v>
      </c>
      <c r="H101">
        <v>0</v>
      </c>
      <c r="I101">
        <v>8.1884000000000004E-5</v>
      </c>
      <c r="J101">
        <v>8.6780000000000006E-6</v>
      </c>
      <c r="K101">
        <v>26.250399999999999</v>
      </c>
      <c r="L101">
        <v>10.737399999999999</v>
      </c>
      <c r="M101">
        <v>18.9742</v>
      </c>
      <c r="N101">
        <v>0</v>
      </c>
      <c r="O101">
        <v>0</v>
      </c>
    </row>
    <row r="102" spans="1:15" x14ac:dyDescent="0.25">
      <c r="A102" t="s">
        <v>21</v>
      </c>
      <c r="B102" t="s">
        <v>16</v>
      </c>
      <c r="C102">
        <v>7</v>
      </c>
      <c r="D102">
        <v>100</v>
      </c>
      <c r="E102">
        <v>1600</v>
      </c>
      <c r="F102" t="str">
        <f t="shared" si="1"/>
        <v>castle256_blurkernel8_7_100_1600</v>
      </c>
      <c r="G102">
        <v>0</v>
      </c>
      <c r="H102">
        <v>0</v>
      </c>
      <c r="I102">
        <v>1.6607300000000001E-4</v>
      </c>
      <c r="J102">
        <v>8.6780000000000006E-6</v>
      </c>
      <c r="K102">
        <v>23.196000000000002</v>
      </c>
      <c r="L102">
        <v>10.737399999999999</v>
      </c>
      <c r="M102">
        <v>18.723500000000001</v>
      </c>
      <c r="N102">
        <v>0</v>
      </c>
      <c r="O102">
        <v>0</v>
      </c>
    </row>
    <row r="103" spans="1:15" x14ac:dyDescent="0.25">
      <c r="A103" t="s">
        <v>21</v>
      </c>
      <c r="B103" t="s">
        <v>16</v>
      </c>
      <c r="C103">
        <v>7</v>
      </c>
      <c r="D103">
        <v>100</v>
      </c>
      <c r="E103">
        <v>3200</v>
      </c>
      <c r="F103" t="str">
        <f t="shared" si="1"/>
        <v>castle256_blurkernel8_7_100_3200</v>
      </c>
      <c r="G103">
        <v>0</v>
      </c>
      <c r="H103">
        <v>0</v>
      </c>
      <c r="I103">
        <v>3.4213000000000001E-4</v>
      </c>
      <c r="J103">
        <v>8.6780000000000006E-6</v>
      </c>
      <c r="K103">
        <v>20.0822</v>
      </c>
      <c r="L103">
        <v>10.737399999999999</v>
      </c>
      <c r="M103">
        <v>18.249300000000002</v>
      </c>
      <c r="N103">
        <v>0</v>
      </c>
      <c r="O103">
        <v>0</v>
      </c>
    </row>
    <row r="104" spans="1:15" x14ac:dyDescent="0.25">
      <c r="A104" t="s">
        <v>21</v>
      </c>
      <c r="B104" t="s">
        <v>16</v>
      </c>
      <c r="C104">
        <v>7</v>
      </c>
      <c r="D104">
        <v>100</v>
      </c>
      <c r="E104">
        <v>6400</v>
      </c>
      <c r="F104" t="str">
        <f t="shared" si="1"/>
        <v>castle256_blurkernel8_7_100_6400</v>
      </c>
      <c r="G104">
        <v>0</v>
      </c>
      <c r="H104">
        <v>0</v>
      </c>
      <c r="I104">
        <v>6.9537600000000005E-4</v>
      </c>
      <c r="J104">
        <v>8.6780000000000006E-6</v>
      </c>
      <c r="K104">
        <v>17.0304</v>
      </c>
      <c r="L104">
        <v>10.737399999999999</v>
      </c>
      <c r="M104">
        <v>17.5944</v>
      </c>
      <c r="N104">
        <v>0</v>
      </c>
      <c r="O104">
        <v>0</v>
      </c>
    </row>
    <row r="105" spans="1:15" x14ac:dyDescent="0.25">
      <c r="A105" t="s">
        <v>21</v>
      </c>
      <c r="B105" t="s">
        <v>16</v>
      </c>
      <c r="C105">
        <v>7</v>
      </c>
      <c r="D105">
        <v>100</v>
      </c>
      <c r="E105">
        <v>12800</v>
      </c>
      <c r="F105" t="str">
        <f t="shared" si="1"/>
        <v>castle256_blurkernel8_7_100_12800</v>
      </c>
      <c r="G105">
        <v>0</v>
      </c>
      <c r="H105">
        <v>0</v>
      </c>
      <c r="I105">
        <v>1.453094E-3</v>
      </c>
      <c r="J105">
        <v>8.6780000000000006E-6</v>
      </c>
      <c r="K105">
        <v>13.9095</v>
      </c>
      <c r="L105">
        <v>10.737399999999999</v>
      </c>
      <c r="M105">
        <v>16.715599999999998</v>
      </c>
      <c r="N105">
        <v>0</v>
      </c>
      <c r="O105">
        <v>0</v>
      </c>
    </row>
    <row r="106" spans="1:15" x14ac:dyDescent="0.25">
      <c r="A106" t="s">
        <v>21</v>
      </c>
      <c r="B106" t="s">
        <v>16</v>
      </c>
      <c r="C106">
        <v>7</v>
      </c>
      <c r="D106">
        <v>100</v>
      </c>
      <c r="E106">
        <v>25600</v>
      </c>
      <c r="F106" t="str">
        <f t="shared" si="1"/>
        <v>castle256_blurkernel8_7_100_25600</v>
      </c>
      <c r="G106">
        <v>0</v>
      </c>
      <c r="H106">
        <v>0</v>
      </c>
      <c r="I106">
        <v>3.223685E-3</v>
      </c>
      <c r="J106">
        <v>8.6780000000000006E-6</v>
      </c>
      <c r="K106">
        <v>10.640700000000001</v>
      </c>
      <c r="L106">
        <v>10.737399999999999</v>
      </c>
      <c r="M106">
        <v>15.4864</v>
      </c>
      <c r="N106">
        <v>0</v>
      </c>
      <c r="O106">
        <v>0</v>
      </c>
    </row>
    <row r="107" spans="1:15" x14ac:dyDescent="0.25">
      <c r="A107" t="s">
        <v>21</v>
      </c>
      <c r="B107" t="s">
        <v>16</v>
      </c>
      <c r="C107">
        <v>7</v>
      </c>
      <c r="D107">
        <v>100</v>
      </c>
      <c r="E107">
        <v>102400</v>
      </c>
      <c r="F107" t="str">
        <f t="shared" si="1"/>
        <v>castle256_blurkernel8_7_100_102400</v>
      </c>
      <c r="G107">
        <v>0</v>
      </c>
      <c r="H107">
        <v>0</v>
      </c>
      <c r="I107">
        <v>1.9911163999999999E-2</v>
      </c>
      <c r="J107">
        <v>8.7229999999999993E-6</v>
      </c>
      <c r="K107">
        <v>4.1449999999999996</v>
      </c>
      <c r="L107">
        <v>10.737299999999999</v>
      </c>
      <c r="M107">
        <v>12.123699999999999</v>
      </c>
      <c r="N107">
        <v>0</v>
      </c>
      <c r="O107">
        <v>0</v>
      </c>
    </row>
    <row r="108" spans="1:15" x14ac:dyDescent="0.25">
      <c r="A108" t="s">
        <v>21</v>
      </c>
      <c r="B108" t="s">
        <v>16</v>
      </c>
      <c r="C108">
        <v>15</v>
      </c>
      <c r="D108">
        <v>100</v>
      </c>
      <c r="E108">
        <v>200</v>
      </c>
      <c r="F108" t="str">
        <f t="shared" si="1"/>
        <v>castle256_blurkernel8_15_100_200</v>
      </c>
      <c r="G108">
        <v>0</v>
      </c>
      <c r="H108">
        <v>0</v>
      </c>
      <c r="I108">
        <v>1.9137E-5</v>
      </c>
      <c r="J108">
        <v>8.6519999999999995E-6</v>
      </c>
      <c r="K108">
        <v>32.555100000000003</v>
      </c>
      <c r="L108">
        <v>8.5733999999999995</v>
      </c>
      <c r="M108">
        <v>19.994</v>
      </c>
      <c r="N108">
        <v>0</v>
      </c>
      <c r="O108">
        <v>0</v>
      </c>
    </row>
    <row r="109" spans="1:15" x14ac:dyDescent="0.25">
      <c r="A109" t="s">
        <v>21</v>
      </c>
      <c r="B109" t="s">
        <v>16</v>
      </c>
      <c r="C109">
        <v>15</v>
      </c>
      <c r="D109">
        <v>100</v>
      </c>
      <c r="E109">
        <v>400</v>
      </c>
      <c r="F109" t="str">
        <f t="shared" si="1"/>
        <v>castle256_blurkernel8_15_100_400</v>
      </c>
      <c r="G109">
        <v>0</v>
      </c>
      <c r="H109">
        <v>0</v>
      </c>
      <c r="I109">
        <v>4.0028999999999999E-5</v>
      </c>
      <c r="J109">
        <v>8.6519999999999995E-6</v>
      </c>
      <c r="K109">
        <v>29.352599999999999</v>
      </c>
      <c r="L109">
        <v>8.5733999999999995</v>
      </c>
      <c r="M109">
        <v>19.846900000000002</v>
      </c>
      <c r="N109">
        <v>0</v>
      </c>
      <c r="O109">
        <v>0</v>
      </c>
    </row>
    <row r="110" spans="1:15" x14ac:dyDescent="0.25">
      <c r="A110" t="s">
        <v>21</v>
      </c>
      <c r="B110" t="s">
        <v>16</v>
      </c>
      <c r="C110">
        <v>15</v>
      </c>
      <c r="D110">
        <v>100</v>
      </c>
      <c r="E110">
        <v>800</v>
      </c>
      <c r="F110" t="str">
        <f t="shared" si="1"/>
        <v>castle256_blurkernel8_15_100_800</v>
      </c>
      <c r="G110">
        <v>0</v>
      </c>
      <c r="H110">
        <v>0</v>
      </c>
      <c r="I110">
        <v>8.1570000000000007E-5</v>
      </c>
      <c r="J110">
        <v>8.6519999999999995E-6</v>
      </c>
      <c r="K110">
        <v>26.263999999999999</v>
      </c>
      <c r="L110">
        <v>8.5733999999999995</v>
      </c>
      <c r="M110">
        <v>19.640999999999998</v>
      </c>
      <c r="N110">
        <v>0</v>
      </c>
      <c r="O110">
        <v>0</v>
      </c>
    </row>
    <row r="111" spans="1:15" x14ac:dyDescent="0.25">
      <c r="A111" t="s">
        <v>21</v>
      </c>
      <c r="B111" t="s">
        <v>16</v>
      </c>
      <c r="C111">
        <v>15</v>
      </c>
      <c r="D111">
        <v>100</v>
      </c>
      <c r="E111">
        <v>1600</v>
      </c>
      <c r="F111" t="str">
        <f t="shared" si="1"/>
        <v>castle256_blurkernel8_15_100_1600</v>
      </c>
      <c r="G111">
        <v>0</v>
      </c>
      <c r="H111">
        <v>0</v>
      </c>
      <c r="I111">
        <v>1.65957E-4</v>
      </c>
      <c r="J111">
        <v>8.6519999999999995E-6</v>
      </c>
      <c r="K111">
        <v>23.191299999999998</v>
      </c>
      <c r="L111">
        <v>8.5733999999999995</v>
      </c>
      <c r="M111">
        <v>19.2685</v>
      </c>
      <c r="N111">
        <v>0</v>
      </c>
      <c r="O111">
        <v>0</v>
      </c>
    </row>
    <row r="112" spans="1:15" x14ac:dyDescent="0.25">
      <c r="A112" t="s">
        <v>21</v>
      </c>
      <c r="B112" t="s">
        <v>16</v>
      </c>
      <c r="C112">
        <v>15</v>
      </c>
      <c r="D112">
        <v>100</v>
      </c>
      <c r="E112">
        <v>3200</v>
      </c>
      <c r="F112" t="str">
        <f t="shared" si="1"/>
        <v>castle256_blurkernel8_15_100_3200</v>
      </c>
      <c r="G112">
        <v>0</v>
      </c>
      <c r="H112">
        <v>0</v>
      </c>
      <c r="I112">
        <v>3.3643399999999998E-4</v>
      </c>
      <c r="J112">
        <v>8.6519999999999995E-6</v>
      </c>
      <c r="K112">
        <v>20.145099999999999</v>
      </c>
      <c r="L112">
        <v>8.5733999999999995</v>
      </c>
      <c r="M112">
        <v>18.7041</v>
      </c>
      <c r="N112">
        <v>0</v>
      </c>
      <c r="O112">
        <v>0</v>
      </c>
    </row>
    <row r="113" spans="1:15" x14ac:dyDescent="0.25">
      <c r="A113" t="s">
        <v>21</v>
      </c>
      <c r="B113" t="s">
        <v>16</v>
      </c>
      <c r="C113">
        <v>15</v>
      </c>
      <c r="D113">
        <v>100</v>
      </c>
      <c r="E113">
        <v>6400</v>
      </c>
      <c r="F113" t="str">
        <f t="shared" si="1"/>
        <v>castle256_blurkernel8_15_100_6400</v>
      </c>
      <c r="G113">
        <v>0</v>
      </c>
      <c r="H113">
        <v>0</v>
      </c>
      <c r="I113">
        <v>6.9634700000000005E-4</v>
      </c>
      <c r="J113">
        <v>8.6519999999999995E-6</v>
      </c>
      <c r="K113">
        <v>17.023700000000002</v>
      </c>
      <c r="L113">
        <v>8.5733999999999995</v>
      </c>
      <c r="M113">
        <v>17.894600000000001</v>
      </c>
      <c r="N113">
        <v>0</v>
      </c>
      <c r="O113">
        <v>0</v>
      </c>
    </row>
    <row r="114" spans="1:15" x14ac:dyDescent="0.25">
      <c r="A114" t="s">
        <v>21</v>
      </c>
      <c r="B114" t="s">
        <v>16</v>
      </c>
      <c r="C114">
        <v>15</v>
      </c>
      <c r="D114">
        <v>100</v>
      </c>
      <c r="E114">
        <v>12800</v>
      </c>
      <c r="F114" t="str">
        <f t="shared" si="1"/>
        <v>castle256_blurkernel8_15_100_12800</v>
      </c>
      <c r="G114">
        <v>0</v>
      </c>
      <c r="H114">
        <v>0</v>
      </c>
      <c r="I114">
        <v>1.4666460000000001E-3</v>
      </c>
      <c r="J114">
        <v>8.6519999999999995E-6</v>
      </c>
      <c r="K114">
        <v>13.8743</v>
      </c>
      <c r="L114">
        <v>8.5733999999999995</v>
      </c>
      <c r="M114">
        <v>16.7227</v>
      </c>
      <c r="N114">
        <v>0</v>
      </c>
      <c r="O114">
        <v>0</v>
      </c>
    </row>
    <row r="115" spans="1:15" x14ac:dyDescent="0.25">
      <c r="A115" t="s">
        <v>21</v>
      </c>
      <c r="B115" t="s">
        <v>16</v>
      </c>
      <c r="C115">
        <v>15</v>
      </c>
      <c r="D115">
        <v>100</v>
      </c>
      <c r="E115">
        <v>25600</v>
      </c>
      <c r="F115" t="str">
        <f t="shared" si="1"/>
        <v>castle256_blurkernel8_15_100_25600</v>
      </c>
      <c r="G115">
        <v>0</v>
      </c>
      <c r="H115">
        <v>0</v>
      </c>
      <c r="I115">
        <v>3.2121329999999998E-3</v>
      </c>
      <c r="J115">
        <v>8.6519999999999995E-6</v>
      </c>
      <c r="K115">
        <v>10.648199999999999</v>
      </c>
      <c r="L115">
        <v>8.5733999999999995</v>
      </c>
      <c r="M115">
        <v>15.3194</v>
      </c>
      <c r="N115">
        <v>0</v>
      </c>
      <c r="O115">
        <v>0</v>
      </c>
    </row>
    <row r="116" spans="1:15" x14ac:dyDescent="0.25">
      <c r="A116" t="s">
        <v>21</v>
      </c>
      <c r="B116" t="s">
        <v>16</v>
      </c>
      <c r="C116">
        <v>15</v>
      </c>
      <c r="D116">
        <v>100</v>
      </c>
      <c r="E116">
        <v>102400</v>
      </c>
      <c r="F116" t="str">
        <f t="shared" si="1"/>
        <v>castle256_blurkernel8_15_100_102400</v>
      </c>
      <c r="G116">
        <v>0</v>
      </c>
      <c r="H116">
        <v>0</v>
      </c>
      <c r="I116">
        <v>1.9857376999999999E-2</v>
      </c>
      <c r="J116">
        <v>8.8349999999999993E-6</v>
      </c>
      <c r="K116">
        <v>4.1384999999999996</v>
      </c>
      <c r="L116">
        <v>8.5768000000000004</v>
      </c>
      <c r="M116">
        <v>11.467700000000001</v>
      </c>
      <c r="N116">
        <v>0</v>
      </c>
      <c r="O116">
        <v>0</v>
      </c>
    </row>
    <row r="117" spans="1:15" x14ac:dyDescent="0.25">
      <c r="A117" t="s">
        <v>21</v>
      </c>
      <c r="B117" t="s">
        <v>16</v>
      </c>
      <c r="C117">
        <v>31</v>
      </c>
      <c r="D117">
        <v>100</v>
      </c>
      <c r="E117">
        <v>200</v>
      </c>
      <c r="F117" t="str">
        <f t="shared" si="1"/>
        <v>castle256_blurkernel8_31_100_200</v>
      </c>
      <c r="G117">
        <v>0</v>
      </c>
      <c r="H117">
        <v>0</v>
      </c>
      <c r="I117">
        <v>1.8972999999999999E-5</v>
      </c>
      <c r="J117">
        <v>8.6999999999999997E-6</v>
      </c>
      <c r="K117">
        <v>32.5929</v>
      </c>
      <c r="L117">
        <v>6.6216999999999997</v>
      </c>
      <c r="M117">
        <v>20.358899999999998</v>
      </c>
      <c r="N117">
        <v>0</v>
      </c>
      <c r="O117">
        <v>0</v>
      </c>
    </row>
    <row r="118" spans="1:15" x14ac:dyDescent="0.25">
      <c r="A118" t="s">
        <v>21</v>
      </c>
      <c r="B118" t="s">
        <v>16</v>
      </c>
      <c r="C118">
        <v>31</v>
      </c>
      <c r="D118">
        <v>100</v>
      </c>
      <c r="E118">
        <v>400</v>
      </c>
      <c r="F118" t="str">
        <f t="shared" si="1"/>
        <v>castle256_blurkernel8_31_100_400</v>
      </c>
      <c r="G118">
        <v>0</v>
      </c>
      <c r="H118">
        <v>0</v>
      </c>
      <c r="I118">
        <v>3.9811999999999998E-5</v>
      </c>
      <c r="J118">
        <v>8.6999999999999997E-6</v>
      </c>
      <c r="K118">
        <v>29.375599999999999</v>
      </c>
      <c r="L118">
        <v>6.6216999999999997</v>
      </c>
      <c r="M118">
        <v>20.245899999999999</v>
      </c>
      <c r="N118">
        <v>0</v>
      </c>
      <c r="O118">
        <v>0</v>
      </c>
    </row>
    <row r="119" spans="1:15" x14ac:dyDescent="0.25">
      <c r="A119" t="s">
        <v>21</v>
      </c>
      <c r="B119" t="s">
        <v>16</v>
      </c>
      <c r="C119">
        <v>31</v>
      </c>
      <c r="D119">
        <v>100</v>
      </c>
      <c r="E119">
        <v>800</v>
      </c>
      <c r="F119" t="str">
        <f t="shared" si="1"/>
        <v>castle256_blurkernel8_31_100_800</v>
      </c>
      <c r="G119">
        <v>0</v>
      </c>
      <c r="H119">
        <v>0</v>
      </c>
      <c r="I119">
        <v>8.1413000000000001E-5</v>
      </c>
      <c r="J119">
        <v>8.6999999999999997E-6</v>
      </c>
      <c r="K119">
        <v>26.273900000000001</v>
      </c>
      <c r="L119">
        <v>6.6216999999999997</v>
      </c>
      <c r="M119">
        <v>20.0199</v>
      </c>
      <c r="N119">
        <v>0</v>
      </c>
      <c r="O119">
        <v>0</v>
      </c>
    </row>
    <row r="120" spans="1:15" x14ac:dyDescent="0.25">
      <c r="A120" t="s">
        <v>21</v>
      </c>
      <c r="B120" t="s">
        <v>16</v>
      </c>
      <c r="C120">
        <v>31</v>
      </c>
      <c r="D120">
        <v>100</v>
      </c>
      <c r="E120">
        <v>1600</v>
      </c>
      <c r="F120" t="str">
        <f t="shared" si="1"/>
        <v>castle256_blurkernel8_31_100_1600</v>
      </c>
      <c r="G120">
        <v>0</v>
      </c>
      <c r="H120">
        <v>0</v>
      </c>
      <c r="I120">
        <v>1.6498500000000001E-4</v>
      </c>
      <c r="J120">
        <v>8.6999999999999997E-6</v>
      </c>
      <c r="K120">
        <v>23.219100000000001</v>
      </c>
      <c r="L120">
        <v>6.6216999999999997</v>
      </c>
      <c r="M120">
        <v>19.601299999999998</v>
      </c>
      <c r="N120">
        <v>0</v>
      </c>
      <c r="O120">
        <v>0</v>
      </c>
    </row>
    <row r="121" spans="1:15" x14ac:dyDescent="0.25">
      <c r="A121" t="s">
        <v>21</v>
      </c>
      <c r="B121" t="s">
        <v>16</v>
      </c>
      <c r="C121">
        <v>31</v>
      </c>
      <c r="D121">
        <v>100</v>
      </c>
      <c r="E121">
        <v>3200</v>
      </c>
      <c r="F121" t="str">
        <f t="shared" si="1"/>
        <v>castle256_blurkernel8_31_100_3200</v>
      </c>
      <c r="G121">
        <v>0</v>
      </c>
      <c r="H121">
        <v>0</v>
      </c>
      <c r="I121">
        <v>3.3468000000000001E-4</v>
      </c>
      <c r="J121">
        <v>8.6999999999999997E-6</v>
      </c>
      <c r="K121">
        <v>20.1708</v>
      </c>
      <c r="L121">
        <v>6.6216999999999997</v>
      </c>
      <c r="M121">
        <v>18.950099999999999</v>
      </c>
      <c r="N121">
        <v>0</v>
      </c>
      <c r="O121">
        <v>0</v>
      </c>
    </row>
    <row r="122" spans="1:15" x14ac:dyDescent="0.25">
      <c r="A122" t="s">
        <v>21</v>
      </c>
      <c r="B122" t="s">
        <v>16</v>
      </c>
      <c r="C122">
        <v>31</v>
      </c>
      <c r="D122">
        <v>100</v>
      </c>
      <c r="E122">
        <v>6400</v>
      </c>
      <c r="F122" t="str">
        <f t="shared" si="1"/>
        <v>castle256_blurkernel8_31_100_6400</v>
      </c>
      <c r="G122">
        <v>0</v>
      </c>
      <c r="H122">
        <v>0</v>
      </c>
      <c r="I122">
        <v>7.0033900000000002E-4</v>
      </c>
      <c r="J122">
        <v>8.6999999999999997E-6</v>
      </c>
      <c r="K122">
        <v>16.9983</v>
      </c>
      <c r="L122">
        <v>6.6216999999999997</v>
      </c>
      <c r="M122">
        <v>18.049499999999998</v>
      </c>
      <c r="N122">
        <v>0</v>
      </c>
      <c r="O122">
        <v>0</v>
      </c>
    </row>
    <row r="123" spans="1:15" x14ac:dyDescent="0.25">
      <c r="A123" t="s">
        <v>21</v>
      </c>
      <c r="B123" t="s">
        <v>16</v>
      </c>
      <c r="C123">
        <v>31</v>
      </c>
      <c r="D123">
        <v>100</v>
      </c>
      <c r="E123">
        <v>12800</v>
      </c>
      <c r="F123" t="str">
        <f t="shared" si="1"/>
        <v>castle256_blurkernel8_31_100_12800</v>
      </c>
      <c r="G123">
        <v>0</v>
      </c>
      <c r="H123">
        <v>0</v>
      </c>
      <c r="I123">
        <v>1.466202E-3</v>
      </c>
      <c r="J123">
        <v>8.6999999999999997E-6</v>
      </c>
      <c r="K123">
        <v>13.882999999999999</v>
      </c>
      <c r="L123">
        <v>6.6216999999999997</v>
      </c>
      <c r="M123">
        <v>16.894200000000001</v>
      </c>
      <c r="N123">
        <v>0</v>
      </c>
      <c r="O123">
        <v>0</v>
      </c>
    </row>
    <row r="124" spans="1:15" x14ac:dyDescent="0.25">
      <c r="A124" t="s">
        <v>21</v>
      </c>
      <c r="B124" t="s">
        <v>16</v>
      </c>
      <c r="C124">
        <v>31</v>
      </c>
      <c r="D124">
        <v>100</v>
      </c>
      <c r="E124">
        <v>25600</v>
      </c>
      <c r="F124" t="str">
        <f t="shared" si="1"/>
        <v>castle256_blurkernel8_31_100_25600</v>
      </c>
      <c r="G124">
        <v>0</v>
      </c>
      <c r="H124">
        <v>0</v>
      </c>
      <c r="I124">
        <v>3.2414280000000002E-3</v>
      </c>
      <c r="J124">
        <v>8.6999999999999997E-6</v>
      </c>
      <c r="K124">
        <v>10.6012</v>
      </c>
      <c r="L124">
        <v>6.6216999999999997</v>
      </c>
      <c r="M124">
        <v>15.334199999999999</v>
      </c>
      <c r="N124">
        <v>0</v>
      </c>
      <c r="O124">
        <v>0</v>
      </c>
    </row>
    <row r="125" spans="1:15" x14ac:dyDescent="0.25">
      <c r="A125" t="s">
        <v>21</v>
      </c>
      <c r="B125" t="s">
        <v>16</v>
      </c>
      <c r="C125">
        <v>31</v>
      </c>
      <c r="D125">
        <v>100</v>
      </c>
      <c r="E125">
        <v>102400</v>
      </c>
      <c r="F125" t="str">
        <f t="shared" si="1"/>
        <v>castle256_blurkernel8_31_100_102400</v>
      </c>
      <c r="G125">
        <v>0</v>
      </c>
      <c r="H125">
        <v>0</v>
      </c>
      <c r="I125">
        <v>1.986185E-2</v>
      </c>
      <c r="J125">
        <v>8.7469999999999994E-6</v>
      </c>
      <c r="K125">
        <v>4.1513999999999998</v>
      </c>
      <c r="L125">
        <v>6.6218000000000004</v>
      </c>
      <c r="M125">
        <v>11.2532</v>
      </c>
      <c r="N125">
        <v>0</v>
      </c>
      <c r="O125">
        <v>0</v>
      </c>
    </row>
    <row r="126" spans="1:15" x14ac:dyDescent="0.25">
      <c r="A126" t="s">
        <v>21</v>
      </c>
      <c r="B126" t="s">
        <v>16</v>
      </c>
      <c r="C126">
        <v>63</v>
      </c>
      <c r="D126">
        <v>100</v>
      </c>
      <c r="E126">
        <v>200</v>
      </c>
      <c r="F126" t="str">
        <f t="shared" si="1"/>
        <v>castle256_blurkernel8_63_100_200</v>
      </c>
      <c r="G126">
        <v>0</v>
      </c>
      <c r="H126">
        <v>0</v>
      </c>
      <c r="I126">
        <v>1.914E-5</v>
      </c>
      <c r="J126">
        <v>8.7020000000000007E-6</v>
      </c>
      <c r="K126">
        <v>32.554200000000002</v>
      </c>
      <c r="L126">
        <v>4.9104000000000001</v>
      </c>
      <c r="M126">
        <v>20.348400000000002</v>
      </c>
      <c r="N126">
        <v>0</v>
      </c>
      <c r="O126">
        <v>0</v>
      </c>
    </row>
    <row r="127" spans="1:15" x14ac:dyDescent="0.25">
      <c r="A127" t="s">
        <v>21</v>
      </c>
      <c r="B127" t="s">
        <v>16</v>
      </c>
      <c r="C127">
        <v>63</v>
      </c>
      <c r="D127">
        <v>100</v>
      </c>
      <c r="E127">
        <v>400</v>
      </c>
      <c r="F127" t="str">
        <f t="shared" si="1"/>
        <v>castle256_blurkernel8_63_100_400</v>
      </c>
      <c r="G127">
        <v>0</v>
      </c>
      <c r="H127">
        <v>0</v>
      </c>
      <c r="I127">
        <v>3.9767000000000001E-5</v>
      </c>
      <c r="J127">
        <v>8.7020000000000007E-6</v>
      </c>
      <c r="K127">
        <v>29.3826</v>
      </c>
      <c r="L127">
        <v>4.9104000000000001</v>
      </c>
      <c r="M127">
        <v>20.226099999999999</v>
      </c>
      <c r="N127">
        <v>0</v>
      </c>
      <c r="O127">
        <v>0</v>
      </c>
    </row>
    <row r="128" spans="1:15" x14ac:dyDescent="0.25">
      <c r="A128" t="s">
        <v>21</v>
      </c>
      <c r="B128" t="s">
        <v>16</v>
      </c>
      <c r="C128">
        <v>63</v>
      </c>
      <c r="D128">
        <v>100</v>
      </c>
      <c r="E128">
        <v>800</v>
      </c>
      <c r="F128" t="str">
        <f t="shared" si="1"/>
        <v>castle256_blurkernel8_63_100_800</v>
      </c>
      <c r="G128">
        <v>0</v>
      </c>
      <c r="H128">
        <v>0</v>
      </c>
      <c r="I128">
        <v>8.1595999999999996E-5</v>
      </c>
      <c r="J128">
        <v>8.7020000000000007E-6</v>
      </c>
      <c r="K128">
        <v>26.265999999999998</v>
      </c>
      <c r="L128">
        <v>4.9104000000000001</v>
      </c>
      <c r="M128">
        <v>19.944199999999999</v>
      </c>
      <c r="N128">
        <v>0</v>
      </c>
      <c r="O128">
        <v>0</v>
      </c>
    </row>
    <row r="129" spans="1:15" x14ac:dyDescent="0.25">
      <c r="A129" t="s">
        <v>21</v>
      </c>
      <c r="B129" t="s">
        <v>16</v>
      </c>
      <c r="C129">
        <v>63</v>
      </c>
      <c r="D129">
        <v>100</v>
      </c>
      <c r="E129">
        <v>1600</v>
      </c>
      <c r="F129" t="str">
        <f t="shared" si="1"/>
        <v>castle256_blurkernel8_63_100_1600</v>
      </c>
      <c r="G129">
        <v>0</v>
      </c>
      <c r="H129">
        <v>0</v>
      </c>
      <c r="I129">
        <v>1.66062E-4</v>
      </c>
      <c r="J129">
        <v>8.7020000000000007E-6</v>
      </c>
      <c r="K129">
        <v>23.197399999999998</v>
      </c>
      <c r="L129">
        <v>4.9104000000000001</v>
      </c>
      <c r="M129">
        <v>19.453399999999998</v>
      </c>
      <c r="N129">
        <v>0</v>
      </c>
      <c r="O129">
        <v>0</v>
      </c>
    </row>
    <row r="130" spans="1:15" x14ac:dyDescent="0.25">
      <c r="A130" t="s">
        <v>21</v>
      </c>
      <c r="B130" t="s">
        <v>16</v>
      </c>
      <c r="C130">
        <v>63</v>
      </c>
      <c r="D130">
        <v>100</v>
      </c>
      <c r="E130">
        <v>3200</v>
      </c>
      <c r="F130" t="str">
        <f t="shared" ref="F130:F193" si="2">A130&amp;"_"&amp;B130&amp;"_"&amp;C130&amp;"_"&amp;D130&amp;"_"&amp;E130</f>
        <v>castle256_blurkernel8_63_100_3200</v>
      </c>
      <c r="G130">
        <v>0</v>
      </c>
      <c r="H130">
        <v>0</v>
      </c>
      <c r="I130">
        <v>3.3936099999999999E-4</v>
      </c>
      <c r="J130">
        <v>8.7020000000000007E-6</v>
      </c>
      <c r="K130">
        <v>20.1096</v>
      </c>
      <c r="L130">
        <v>4.9104000000000001</v>
      </c>
      <c r="M130">
        <v>18.9589</v>
      </c>
      <c r="N130">
        <v>0</v>
      </c>
      <c r="O130">
        <v>0</v>
      </c>
    </row>
    <row r="131" spans="1:15" x14ac:dyDescent="0.25">
      <c r="A131" t="s">
        <v>21</v>
      </c>
      <c r="B131" t="s">
        <v>16</v>
      </c>
      <c r="C131">
        <v>63</v>
      </c>
      <c r="D131">
        <v>100</v>
      </c>
      <c r="E131">
        <v>6400</v>
      </c>
      <c r="F131" t="str">
        <f t="shared" si="2"/>
        <v>castle256_blurkernel8_63_100_6400</v>
      </c>
      <c r="G131">
        <v>0</v>
      </c>
      <c r="H131">
        <v>0</v>
      </c>
      <c r="I131">
        <v>6.9191200000000004E-4</v>
      </c>
      <c r="J131">
        <v>8.7020000000000007E-6</v>
      </c>
      <c r="K131">
        <v>17.049900000000001</v>
      </c>
      <c r="L131">
        <v>4.9104000000000001</v>
      </c>
      <c r="M131">
        <v>17.886399999999998</v>
      </c>
      <c r="N131">
        <v>0</v>
      </c>
      <c r="O131">
        <v>0</v>
      </c>
    </row>
    <row r="132" spans="1:15" x14ac:dyDescent="0.25">
      <c r="A132" t="s">
        <v>21</v>
      </c>
      <c r="B132" t="s">
        <v>16</v>
      </c>
      <c r="C132">
        <v>63</v>
      </c>
      <c r="D132">
        <v>100</v>
      </c>
      <c r="E132">
        <v>12800</v>
      </c>
      <c r="F132" t="str">
        <f t="shared" si="2"/>
        <v>castle256_blurkernel8_63_100_12800</v>
      </c>
      <c r="G132">
        <v>0</v>
      </c>
      <c r="H132">
        <v>0</v>
      </c>
      <c r="I132">
        <v>1.470931E-3</v>
      </c>
      <c r="J132">
        <v>8.7020000000000007E-6</v>
      </c>
      <c r="K132">
        <v>13.8645</v>
      </c>
      <c r="L132">
        <v>4.9104000000000001</v>
      </c>
      <c r="M132">
        <v>16.657800000000002</v>
      </c>
      <c r="N132">
        <v>0</v>
      </c>
      <c r="O132">
        <v>0</v>
      </c>
    </row>
    <row r="133" spans="1:15" x14ac:dyDescent="0.25">
      <c r="A133" t="s">
        <v>21</v>
      </c>
      <c r="B133" t="s">
        <v>16</v>
      </c>
      <c r="C133">
        <v>63</v>
      </c>
      <c r="D133">
        <v>100</v>
      </c>
      <c r="E133">
        <v>25600</v>
      </c>
      <c r="F133" t="str">
        <f t="shared" si="2"/>
        <v>castle256_blurkernel8_63_100_25600</v>
      </c>
      <c r="G133">
        <v>0</v>
      </c>
      <c r="H133">
        <v>0</v>
      </c>
      <c r="I133">
        <v>3.2329780000000001E-3</v>
      </c>
      <c r="J133">
        <v>8.7020000000000007E-6</v>
      </c>
      <c r="K133">
        <v>10.626200000000001</v>
      </c>
      <c r="L133">
        <v>4.9104000000000001</v>
      </c>
      <c r="M133">
        <v>15.0634</v>
      </c>
      <c r="N133">
        <v>0</v>
      </c>
      <c r="O133">
        <v>0</v>
      </c>
    </row>
    <row r="134" spans="1:15" x14ac:dyDescent="0.25">
      <c r="A134" t="s">
        <v>21</v>
      </c>
      <c r="B134" t="s">
        <v>17</v>
      </c>
      <c r="C134">
        <v>3</v>
      </c>
      <c r="D134">
        <v>100</v>
      </c>
      <c r="E134">
        <v>200</v>
      </c>
      <c r="F134" t="str">
        <f t="shared" si="2"/>
        <v>castle256_line_3_100_200</v>
      </c>
      <c r="G134">
        <v>0</v>
      </c>
      <c r="H134">
        <v>0</v>
      </c>
      <c r="I134">
        <v>1.9086E-5</v>
      </c>
      <c r="J134">
        <v>8.6139999999999992E-6</v>
      </c>
      <c r="K134">
        <v>32.568300000000001</v>
      </c>
      <c r="L134">
        <v>13.132099999999999</v>
      </c>
      <c r="M134">
        <v>19.353999999999999</v>
      </c>
      <c r="N134">
        <v>0</v>
      </c>
      <c r="O134">
        <v>0</v>
      </c>
    </row>
    <row r="135" spans="1:15" x14ac:dyDescent="0.25">
      <c r="A135" t="s">
        <v>21</v>
      </c>
      <c r="B135" t="s">
        <v>17</v>
      </c>
      <c r="C135">
        <v>3</v>
      </c>
      <c r="D135">
        <v>100</v>
      </c>
      <c r="E135">
        <v>400</v>
      </c>
      <c r="F135" t="str">
        <f t="shared" si="2"/>
        <v>castle256_line_3_100_400</v>
      </c>
      <c r="G135">
        <v>0</v>
      </c>
      <c r="H135">
        <v>0</v>
      </c>
      <c r="I135">
        <v>4.0303999999999999E-5</v>
      </c>
      <c r="J135">
        <v>8.6139999999999992E-6</v>
      </c>
      <c r="K135">
        <v>29.3231</v>
      </c>
      <c r="L135">
        <v>13.132099999999999</v>
      </c>
      <c r="M135">
        <v>19.2624</v>
      </c>
      <c r="N135">
        <v>0</v>
      </c>
      <c r="O135">
        <v>0</v>
      </c>
    </row>
    <row r="136" spans="1:15" x14ac:dyDescent="0.25">
      <c r="A136" t="s">
        <v>21</v>
      </c>
      <c r="B136" t="s">
        <v>17</v>
      </c>
      <c r="C136">
        <v>3</v>
      </c>
      <c r="D136">
        <v>100</v>
      </c>
      <c r="E136">
        <v>800</v>
      </c>
      <c r="F136" t="str">
        <f t="shared" si="2"/>
        <v>castle256_line_3_100_800</v>
      </c>
      <c r="G136">
        <v>0</v>
      </c>
      <c r="H136">
        <v>0</v>
      </c>
      <c r="I136">
        <v>8.1808E-5</v>
      </c>
      <c r="J136">
        <v>8.6139999999999992E-6</v>
      </c>
      <c r="K136">
        <v>26.254200000000001</v>
      </c>
      <c r="L136">
        <v>13.132099999999999</v>
      </c>
      <c r="M136">
        <v>19.1129</v>
      </c>
      <c r="N136">
        <v>0</v>
      </c>
      <c r="O136">
        <v>0</v>
      </c>
    </row>
    <row r="137" spans="1:15" x14ac:dyDescent="0.25">
      <c r="A137" t="s">
        <v>21</v>
      </c>
      <c r="B137" t="s">
        <v>17</v>
      </c>
      <c r="C137">
        <v>3</v>
      </c>
      <c r="D137">
        <v>100</v>
      </c>
      <c r="E137">
        <v>1600</v>
      </c>
      <c r="F137" t="str">
        <f t="shared" si="2"/>
        <v>castle256_line_3_100_1600</v>
      </c>
      <c r="G137">
        <v>0</v>
      </c>
      <c r="H137">
        <v>0</v>
      </c>
      <c r="I137">
        <v>1.65322E-4</v>
      </c>
      <c r="J137">
        <v>8.6139999999999992E-6</v>
      </c>
      <c r="K137">
        <v>23.2089</v>
      </c>
      <c r="L137">
        <v>13.132099999999999</v>
      </c>
      <c r="M137">
        <v>18.9129</v>
      </c>
      <c r="N137">
        <v>0</v>
      </c>
      <c r="O137">
        <v>0</v>
      </c>
    </row>
    <row r="138" spans="1:15" x14ac:dyDescent="0.25">
      <c r="A138" t="s">
        <v>21</v>
      </c>
      <c r="B138" t="s">
        <v>17</v>
      </c>
      <c r="C138">
        <v>3</v>
      </c>
      <c r="D138">
        <v>100</v>
      </c>
      <c r="E138">
        <v>3200</v>
      </c>
      <c r="F138" t="str">
        <f t="shared" si="2"/>
        <v>castle256_line_3_100_3200</v>
      </c>
      <c r="G138">
        <v>0</v>
      </c>
      <c r="H138">
        <v>0</v>
      </c>
      <c r="I138">
        <v>3.3294999999999999E-4</v>
      </c>
      <c r="J138">
        <v>8.6139999999999992E-6</v>
      </c>
      <c r="K138">
        <v>20.191500000000001</v>
      </c>
      <c r="L138">
        <v>13.132099999999999</v>
      </c>
      <c r="M138">
        <v>18.522600000000001</v>
      </c>
      <c r="N138">
        <v>0</v>
      </c>
      <c r="O138">
        <v>0</v>
      </c>
    </row>
    <row r="139" spans="1:15" x14ac:dyDescent="0.25">
      <c r="A139" t="s">
        <v>21</v>
      </c>
      <c r="B139" t="s">
        <v>17</v>
      </c>
      <c r="C139">
        <v>3</v>
      </c>
      <c r="D139">
        <v>100</v>
      </c>
      <c r="E139">
        <v>6400</v>
      </c>
      <c r="F139" t="str">
        <f t="shared" si="2"/>
        <v>castle256_line_3_100_6400</v>
      </c>
      <c r="G139">
        <v>0</v>
      </c>
      <c r="H139">
        <v>0</v>
      </c>
      <c r="I139">
        <v>7.0048899999999999E-4</v>
      </c>
      <c r="J139">
        <v>8.6139999999999992E-6</v>
      </c>
      <c r="K139">
        <v>16.996200000000002</v>
      </c>
      <c r="L139">
        <v>13.132099999999999</v>
      </c>
      <c r="M139">
        <v>17.968599999999999</v>
      </c>
      <c r="N139">
        <v>0</v>
      </c>
      <c r="O139">
        <v>0</v>
      </c>
    </row>
    <row r="140" spans="1:15" x14ac:dyDescent="0.25">
      <c r="A140" t="s">
        <v>21</v>
      </c>
      <c r="B140" t="s">
        <v>17</v>
      </c>
      <c r="C140">
        <v>3</v>
      </c>
      <c r="D140">
        <v>100</v>
      </c>
      <c r="E140">
        <v>12800</v>
      </c>
      <c r="F140" t="str">
        <f t="shared" si="2"/>
        <v>castle256_line_3_100_12800</v>
      </c>
      <c r="G140">
        <v>0</v>
      </c>
      <c r="H140">
        <v>0</v>
      </c>
      <c r="I140">
        <v>1.469319E-3</v>
      </c>
      <c r="J140">
        <v>8.6139999999999992E-6</v>
      </c>
      <c r="K140">
        <v>13.853400000000001</v>
      </c>
      <c r="L140">
        <v>13.132099999999999</v>
      </c>
      <c r="M140">
        <v>17.199300000000001</v>
      </c>
      <c r="N140">
        <v>0</v>
      </c>
      <c r="O140">
        <v>0</v>
      </c>
    </row>
    <row r="141" spans="1:15" x14ac:dyDescent="0.25">
      <c r="A141" t="s">
        <v>21</v>
      </c>
      <c r="B141" t="s">
        <v>17</v>
      </c>
      <c r="C141">
        <v>3</v>
      </c>
      <c r="D141">
        <v>100</v>
      </c>
      <c r="E141">
        <v>25600</v>
      </c>
      <c r="F141" t="str">
        <f t="shared" si="2"/>
        <v>castle256_line_3_100_25600</v>
      </c>
      <c r="G141">
        <v>0</v>
      </c>
      <c r="H141">
        <v>0</v>
      </c>
      <c r="I141">
        <v>3.2555069999999999E-3</v>
      </c>
      <c r="J141">
        <v>8.6139999999999992E-6</v>
      </c>
      <c r="K141">
        <v>10.5832</v>
      </c>
      <c r="L141">
        <v>13.132099999999999</v>
      </c>
      <c r="M141">
        <v>16.060300000000002</v>
      </c>
      <c r="N141">
        <v>0</v>
      </c>
      <c r="O141">
        <v>0</v>
      </c>
    </row>
    <row r="142" spans="1:15" x14ac:dyDescent="0.25">
      <c r="A142" t="s">
        <v>21</v>
      </c>
      <c r="B142" t="s">
        <v>17</v>
      </c>
      <c r="C142">
        <v>3</v>
      </c>
      <c r="D142">
        <v>100</v>
      </c>
      <c r="E142">
        <v>102400</v>
      </c>
      <c r="F142" t="str">
        <f t="shared" si="2"/>
        <v>castle256_line_3_100_102400</v>
      </c>
      <c r="G142">
        <v>0</v>
      </c>
      <c r="H142">
        <v>0</v>
      </c>
      <c r="I142">
        <v>2.0030379000000001E-2</v>
      </c>
      <c r="J142">
        <v>8.6610000000000006E-6</v>
      </c>
      <c r="K142">
        <v>4.1253000000000002</v>
      </c>
      <c r="L142">
        <v>13.1311</v>
      </c>
      <c r="M142">
        <v>13.1143</v>
      </c>
      <c r="N142">
        <v>0</v>
      </c>
      <c r="O142">
        <v>0</v>
      </c>
    </row>
    <row r="143" spans="1:15" x14ac:dyDescent="0.25">
      <c r="A143" t="s">
        <v>21</v>
      </c>
      <c r="B143" t="s">
        <v>17</v>
      </c>
      <c r="C143">
        <v>7</v>
      </c>
      <c r="D143">
        <v>100</v>
      </c>
      <c r="E143">
        <v>200</v>
      </c>
      <c r="F143" t="str">
        <f t="shared" si="2"/>
        <v>castle256_line_7_100_200</v>
      </c>
      <c r="G143">
        <v>0</v>
      </c>
      <c r="H143">
        <v>0</v>
      </c>
      <c r="I143">
        <v>1.9077999999999999E-5</v>
      </c>
      <c r="J143">
        <v>8.6920000000000008E-6</v>
      </c>
      <c r="K143">
        <v>32.567700000000002</v>
      </c>
      <c r="L143">
        <v>9.6593</v>
      </c>
      <c r="M143">
        <v>19.933199999999999</v>
      </c>
      <c r="N143">
        <v>0</v>
      </c>
      <c r="O143">
        <v>0</v>
      </c>
    </row>
    <row r="144" spans="1:15" x14ac:dyDescent="0.25">
      <c r="A144" t="s">
        <v>21</v>
      </c>
      <c r="B144" t="s">
        <v>17</v>
      </c>
      <c r="C144">
        <v>7</v>
      </c>
      <c r="D144">
        <v>100</v>
      </c>
      <c r="E144">
        <v>400</v>
      </c>
      <c r="F144" t="str">
        <f t="shared" si="2"/>
        <v>castle256_line_7_100_400</v>
      </c>
      <c r="G144">
        <v>0</v>
      </c>
      <c r="H144">
        <v>0</v>
      </c>
      <c r="I144">
        <v>3.9906E-5</v>
      </c>
      <c r="J144">
        <v>8.6920000000000008E-6</v>
      </c>
      <c r="K144">
        <v>29.364799999999999</v>
      </c>
      <c r="L144">
        <v>9.6593</v>
      </c>
      <c r="M144">
        <v>19.790099999999999</v>
      </c>
      <c r="N144">
        <v>0</v>
      </c>
      <c r="O144">
        <v>0</v>
      </c>
    </row>
    <row r="145" spans="1:15" x14ac:dyDescent="0.25">
      <c r="A145" t="s">
        <v>21</v>
      </c>
      <c r="B145" t="s">
        <v>17</v>
      </c>
      <c r="C145">
        <v>7</v>
      </c>
      <c r="D145">
        <v>100</v>
      </c>
      <c r="E145">
        <v>800</v>
      </c>
      <c r="F145" t="str">
        <f t="shared" si="2"/>
        <v>castle256_line_7_100_800</v>
      </c>
      <c r="G145">
        <v>0</v>
      </c>
      <c r="H145">
        <v>0</v>
      </c>
      <c r="I145">
        <v>8.1742000000000004E-5</v>
      </c>
      <c r="J145">
        <v>8.6920000000000008E-6</v>
      </c>
      <c r="K145">
        <v>26.2578</v>
      </c>
      <c r="L145">
        <v>9.6593</v>
      </c>
      <c r="M145">
        <v>19.694400000000002</v>
      </c>
      <c r="N145">
        <v>0</v>
      </c>
      <c r="O145">
        <v>0</v>
      </c>
    </row>
    <row r="146" spans="1:15" x14ac:dyDescent="0.25">
      <c r="A146" t="s">
        <v>21</v>
      </c>
      <c r="B146" t="s">
        <v>17</v>
      </c>
      <c r="C146">
        <v>7</v>
      </c>
      <c r="D146">
        <v>100</v>
      </c>
      <c r="E146">
        <v>1600</v>
      </c>
      <c r="F146" t="str">
        <f t="shared" si="2"/>
        <v>castle256_line_7_100_1600</v>
      </c>
      <c r="G146">
        <v>0</v>
      </c>
      <c r="H146">
        <v>0</v>
      </c>
      <c r="I146">
        <v>1.6553E-4</v>
      </c>
      <c r="J146">
        <v>8.6920000000000008E-6</v>
      </c>
      <c r="K146">
        <v>23.203499999999998</v>
      </c>
      <c r="L146">
        <v>9.6593</v>
      </c>
      <c r="M146">
        <v>19.276499999999999</v>
      </c>
      <c r="N146">
        <v>0</v>
      </c>
      <c r="O146">
        <v>0</v>
      </c>
    </row>
    <row r="147" spans="1:15" x14ac:dyDescent="0.25">
      <c r="A147" t="s">
        <v>21</v>
      </c>
      <c r="B147" t="s">
        <v>17</v>
      </c>
      <c r="C147">
        <v>7</v>
      </c>
      <c r="D147">
        <v>100</v>
      </c>
      <c r="E147">
        <v>3200</v>
      </c>
      <c r="F147" t="str">
        <f t="shared" si="2"/>
        <v>castle256_line_7_100_3200</v>
      </c>
      <c r="G147">
        <v>0</v>
      </c>
      <c r="H147">
        <v>0</v>
      </c>
      <c r="I147">
        <v>3.4078899999999998E-4</v>
      </c>
      <c r="J147">
        <v>8.6920000000000008E-6</v>
      </c>
      <c r="K147">
        <v>20.084800000000001</v>
      </c>
      <c r="L147">
        <v>9.6593</v>
      </c>
      <c r="M147">
        <v>18.7775</v>
      </c>
      <c r="N147">
        <v>0</v>
      </c>
      <c r="O147">
        <v>0</v>
      </c>
    </row>
    <row r="148" spans="1:15" x14ac:dyDescent="0.25">
      <c r="A148" t="s">
        <v>21</v>
      </c>
      <c r="B148" t="s">
        <v>17</v>
      </c>
      <c r="C148">
        <v>7</v>
      </c>
      <c r="D148">
        <v>100</v>
      </c>
      <c r="E148">
        <v>6400</v>
      </c>
      <c r="F148" t="str">
        <f t="shared" si="2"/>
        <v>castle256_line_7_100_6400</v>
      </c>
      <c r="G148">
        <v>0</v>
      </c>
      <c r="H148">
        <v>0</v>
      </c>
      <c r="I148">
        <v>6.9176600000000002E-4</v>
      </c>
      <c r="J148">
        <v>8.6920000000000008E-6</v>
      </c>
      <c r="K148">
        <v>17.054600000000001</v>
      </c>
      <c r="L148">
        <v>9.6593</v>
      </c>
      <c r="M148">
        <v>18.0639</v>
      </c>
      <c r="N148">
        <v>0</v>
      </c>
      <c r="O148">
        <v>0</v>
      </c>
    </row>
    <row r="149" spans="1:15" x14ac:dyDescent="0.25">
      <c r="A149" t="s">
        <v>21</v>
      </c>
      <c r="B149" t="s">
        <v>17</v>
      </c>
      <c r="C149">
        <v>7</v>
      </c>
      <c r="D149">
        <v>100</v>
      </c>
      <c r="E149">
        <v>12800</v>
      </c>
      <c r="F149" t="str">
        <f t="shared" si="2"/>
        <v>castle256_line_7_100_12800</v>
      </c>
      <c r="G149">
        <v>0</v>
      </c>
      <c r="H149">
        <v>0</v>
      </c>
      <c r="I149">
        <v>1.4671389999999999E-3</v>
      </c>
      <c r="J149">
        <v>8.6920000000000008E-6</v>
      </c>
      <c r="K149">
        <v>13.8759</v>
      </c>
      <c r="L149">
        <v>9.6593</v>
      </c>
      <c r="M149">
        <v>17.0044</v>
      </c>
      <c r="N149">
        <v>0</v>
      </c>
      <c r="O149">
        <v>0</v>
      </c>
    </row>
    <row r="150" spans="1:15" x14ac:dyDescent="0.25">
      <c r="A150" t="s">
        <v>21</v>
      </c>
      <c r="B150" t="s">
        <v>17</v>
      </c>
      <c r="C150">
        <v>7</v>
      </c>
      <c r="D150">
        <v>100</v>
      </c>
      <c r="E150">
        <v>25600</v>
      </c>
      <c r="F150" t="str">
        <f t="shared" si="2"/>
        <v>castle256_line_7_100_25600</v>
      </c>
      <c r="G150">
        <v>0</v>
      </c>
      <c r="H150">
        <v>0</v>
      </c>
      <c r="I150">
        <v>3.2151520000000002E-3</v>
      </c>
      <c r="J150">
        <v>8.6920000000000008E-6</v>
      </c>
      <c r="K150">
        <v>10.6549</v>
      </c>
      <c r="L150">
        <v>9.6593</v>
      </c>
      <c r="M150">
        <v>15.661</v>
      </c>
      <c r="N150">
        <v>0</v>
      </c>
      <c r="O150">
        <v>0</v>
      </c>
    </row>
    <row r="151" spans="1:15" x14ac:dyDescent="0.25">
      <c r="A151" t="s">
        <v>21</v>
      </c>
      <c r="B151" t="s">
        <v>17</v>
      </c>
      <c r="C151">
        <v>7</v>
      </c>
      <c r="D151">
        <v>100</v>
      </c>
      <c r="E151">
        <v>102400</v>
      </c>
      <c r="F151" t="str">
        <f t="shared" si="2"/>
        <v>castle256_line_7_100_102400</v>
      </c>
      <c r="G151">
        <v>0</v>
      </c>
      <c r="H151">
        <v>0</v>
      </c>
      <c r="I151">
        <v>2.0071226000000001E-2</v>
      </c>
      <c r="J151">
        <v>8.7420000000000003E-6</v>
      </c>
      <c r="K151">
        <v>4.1139000000000001</v>
      </c>
      <c r="L151">
        <v>9.6588999999999992</v>
      </c>
      <c r="M151">
        <v>11.9018</v>
      </c>
      <c r="N151">
        <v>0</v>
      </c>
      <c r="O151">
        <v>0</v>
      </c>
    </row>
    <row r="152" spans="1:15" x14ac:dyDescent="0.25">
      <c r="A152" t="s">
        <v>21</v>
      </c>
      <c r="B152" t="s">
        <v>17</v>
      </c>
      <c r="C152">
        <v>15</v>
      </c>
      <c r="D152">
        <v>100</v>
      </c>
      <c r="E152">
        <v>200</v>
      </c>
      <c r="F152" t="str">
        <f t="shared" si="2"/>
        <v>castle256_line_15_100_200</v>
      </c>
      <c r="G152">
        <v>0</v>
      </c>
      <c r="H152">
        <v>0</v>
      </c>
      <c r="I152">
        <v>1.9278000000000001E-5</v>
      </c>
      <c r="J152">
        <v>8.7120000000000006E-6</v>
      </c>
      <c r="K152">
        <v>32.523600000000002</v>
      </c>
      <c r="L152">
        <v>7.5213999999999999</v>
      </c>
      <c r="M152">
        <v>20.1402</v>
      </c>
      <c r="N152">
        <v>0</v>
      </c>
      <c r="O152">
        <v>0</v>
      </c>
    </row>
    <row r="153" spans="1:15" x14ac:dyDescent="0.25">
      <c r="A153" t="s">
        <v>21</v>
      </c>
      <c r="B153" t="s">
        <v>17</v>
      </c>
      <c r="C153">
        <v>15</v>
      </c>
      <c r="D153">
        <v>100</v>
      </c>
      <c r="E153">
        <v>400</v>
      </c>
      <c r="F153" t="str">
        <f t="shared" si="2"/>
        <v>castle256_line_15_100_400</v>
      </c>
      <c r="G153">
        <v>0</v>
      </c>
      <c r="H153">
        <v>0</v>
      </c>
      <c r="I153">
        <v>3.9904999999999998E-5</v>
      </c>
      <c r="J153">
        <v>8.7120000000000006E-6</v>
      </c>
      <c r="K153">
        <v>29.367000000000001</v>
      </c>
      <c r="L153">
        <v>7.5213999999999999</v>
      </c>
      <c r="M153">
        <v>20.021100000000001</v>
      </c>
      <c r="N153">
        <v>0</v>
      </c>
      <c r="O153">
        <v>0</v>
      </c>
    </row>
    <row r="154" spans="1:15" x14ac:dyDescent="0.25">
      <c r="A154" t="s">
        <v>21</v>
      </c>
      <c r="B154" t="s">
        <v>17</v>
      </c>
      <c r="C154">
        <v>15</v>
      </c>
      <c r="D154">
        <v>100</v>
      </c>
      <c r="E154">
        <v>800</v>
      </c>
      <c r="F154" t="str">
        <f t="shared" si="2"/>
        <v>castle256_line_15_100_800</v>
      </c>
      <c r="G154">
        <v>0</v>
      </c>
      <c r="H154">
        <v>0</v>
      </c>
      <c r="I154">
        <v>8.1332E-5</v>
      </c>
      <c r="J154">
        <v>8.7120000000000006E-6</v>
      </c>
      <c r="K154">
        <v>26.277799999999999</v>
      </c>
      <c r="L154">
        <v>7.5213999999999999</v>
      </c>
      <c r="M154">
        <v>19.838899999999999</v>
      </c>
      <c r="N154">
        <v>0</v>
      </c>
      <c r="O154">
        <v>0</v>
      </c>
    </row>
    <row r="155" spans="1:15" x14ac:dyDescent="0.25">
      <c r="A155" t="s">
        <v>21</v>
      </c>
      <c r="B155" t="s">
        <v>17</v>
      </c>
      <c r="C155">
        <v>15</v>
      </c>
      <c r="D155">
        <v>100</v>
      </c>
      <c r="E155">
        <v>1600</v>
      </c>
      <c r="F155" t="str">
        <f t="shared" si="2"/>
        <v>castle256_line_15_100_1600</v>
      </c>
      <c r="G155">
        <v>0</v>
      </c>
      <c r="H155">
        <v>0</v>
      </c>
      <c r="I155">
        <v>1.6812500000000001E-4</v>
      </c>
      <c r="J155">
        <v>8.7120000000000006E-6</v>
      </c>
      <c r="K155">
        <v>23.1356</v>
      </c>
      <c r="L155">
        <v>7.5213999999999999</v>
      </c>
      <c r="M155">
        <v>19.425699999999999</v>
      </c>
      <c r="N155">
        <v>0</v>
      </c>
      <c r="O155">
        <v>0</v>
      </c>
    </row>
    <row r="156" spans="1:15" x14ac:dyDescent="0.25">
      <c r="A156" t="s">
        <v>21</v>
      </c>
      <c r="B156" t="s">
        <v>17</v>
      </c>
      <c r="C156">
        <v>15</v>
      </c>
      <c r="D156">
        <v>100</v>
      </c>
      <c r="E156">
        <v>3200</v>
      </c>
      <c r="F156" t="str">
        <f t="shared" si="2"/>
        <v>castle256_line_15_100_3200</v>
      </c>
      <c r="G156">
        <v>0</v>
      </c>
      <c r="H156">
        <v>0</v>
      </c>
      <c r="I156">
        <v>3.4169400000000003E-4</v>
      </c>
      <c r="J156">
        <v>8.7120000000000006E-6</v>
      </c>
      <c r="K156">
        <v>20.0761</v>
      </c>
      <c r="L156">
        <v>7.5213999999999999</v>
      </c>
      <c r="M156">
        <v>18.859000000000002</v>
      </c>
      <c r="N156">
        <v>0</v>
      </c>
      <c r="O156">
        <v>0</v>
      </c>
    </row>
    <row r="157" spans="1:15" x14ac:dyDescent="0.25">
      <c r="A157" t="s">
        <v>21</v>
      </c>
      <c r="B157" t="s">
        <v>17</v>
      </c>
      <c r="C157">
        <v>15</v>
      </c>
      <c r="D157">
        <v>100</v>
      </c>
      <c r="E157">
        <v>6400</v>
      </c>
      <c r="F157" t="str">
        <f t="shared" si="2"/>
        <v>castle256_line_15_100_6400</v>
      </c>
      <c r="G157">
        <v>0</v>
      </c>
      <c r="H157">
        <v>0</v>
      </c>
      <c r="I157">
        <v>6.9499999999999998E-4</v>
      </c>
      <c r="J157">
        <v>8.7120000000000006E-6</v>
      </c>
      <c r="K157">
        <v>17.0364</v>
      </c>
      <c r="L157">
        <v>7.5213999999999999</v>
      </c>
      <c r="M157">
        <v>18.068000000000001</v>
      </c>
      <c r="N157">
        <v>0</v>
      </c>
      <c r="O157">
        <v>0</v>
      </c>
    </row>
    <row r="158" spans="1:15" x14ac:dyDescent="0.25">
      <c r="A158" t="s">
        <v>21</v>
      </c>
      <c r="B158" t="s">
        <v>17</v>
      </c>
      <c r="C158">
        <v>15</v>
      </c>
      <c r="D158">
        <v>100</v>
      </c>
      <c r="E158">
        <v>12800</v>
      </c>
      <c r="F158" t="str">
        <f t="shared" si="2"/>
        <v>castle256_line_15_100_12800</v>
      </c>
      <c r="G158">
        <v>0</v>
      </c>
      <c r="H158">
        <v>0</v>
      </c>
      <c r="I158">
        <v>1.4658920000000001E-3</v>
      </c>
      <c r="J158">
        <v>8.7120000000000006E-6</v>
      </c>
      <c r="K158">
        <v>13.863</v>
      </c>
      <c r="L158">
        <v>7.5213999999999999</v>
      </c>
      <c r="M158">
        <v>16.956900000000001</v>
      </c>
      <c r="N158">
        <v>0</v>
      </c>
      <c r="O158">
        <v>0</v>
      </c>
    </row>
    <row r="159" spans="1:15" x14ac:dyDescent="0.25">
      <c r="A159" t="s">
        <v>21</v>
      </c>
      <c r="B159" t="s">
        <v>17</v>
      </c>
      <c r="C159">
        <v>15</v>
      </c>
      <c r="D159">
        <v>100</v>
      </c>
      <c r="E159">
        <v>25600</v>
      </c>
      <c r="F159" t="str">
        <f t="shared" si="2"/>
        <v>castle256_line_15_100_25600</v>
      </c>
      <c r="G159">
        <v>0</v>
      </c>
      <c r="H159">
        <v>0</v>
      </c>
      <c r="I159">
        <v>3.2134939999999999E-3</v>
      </c>
      <c r="J159">
        <v>8.7120000000000006E-6</v>
      </c>
      <c r="K159">
        <v>10.643000000000001</v>
      </c>
      <c r="L159">
        <v>7.5213999999999999</v>
      </c>
      <c r="M159">
        <v>15.4053</v>
      </c>
      <c r="N159">
        <v>0</v>
      </c>
      <c r="O159">
        <v>0</v>
      </c>
    </row>
    <row r="160" spans="1:15" x14ac:dyDescent="0.25">
      <c r="A160" t="s">
        <v>21</v>
      </c>
      <c r="B160" t="s">
        <v>17</v>
      </c>
      <c r="C160">
        <v>15</v>
      </c>
      <c r="D160">
        <v>100</v>
      </c>
      <c r="E160">
        <v>102400</v>
      </c>
      <c r="F160" t="str">
        <f t="shared" si="2"/>
        <v>castle256_line_15_100_102400</v>
      </c>
      <c r="G160">
        <v>0</v>
      </c>
      <c r="H160">
        <v>0</v>
      </c>
      <c r="I160">
        <v>1.9941891E-2</v>
      </c>
      <c r="J160">
        <v>8.6610000000000006E-6</v>
      </c>
      <c r="K160">
        <v>4.1435000000000004</v>
      </c>
      <c r="L160">
        <v>7.5189000000000004</v>
      </c>
      <c r="M160">
        <v>11.3667</v>
      </c>
      <c r="N160">
        <v>0</v>
      </c>
      <c r="O160">
        <v>0</v>
      </c>
    </row>
    <row r="161" spans="1:15" x14ac:dyDescent="0.25">
      <c r="A161" t="s">
        <v>21</v>
      </c>
      <c r="B161" t="s">
        <v>17</v>
      </c>
      <c r="C161">
        <v>31</v>
      </c>
      <c r="D161">
        <v>100</v>
      </c>
      <c r="E161">
        <v>200</v>
      </c>
      <c r="F161" t="str">
        <f t="shared" si="2"/>
        <v>castle256_line_31_100_200</v>
      </c>
      <c r="G161">
        <v>0</v>
      </c>
      <c r="H161">
        <v>0</v>
      </c>
      <c r="I161">
        <v>1.8981E-5</v>
      </c>
      <c r="J161">
        <v>8.7790000000000001E-6</v>
      </c>
      <c r="K161">
        <v>32.591700000000003</v>
      </c>
      <c r="L161">
        <v>5.7614000000000001</v>
      </c>
      <c r="M161">
        <v>20.319199999999999</v>
      </c>
      <c r="N161">
        <v>0</v>
      </c>
      <c r="O161">
        <v>0</v>
      </c>
    </row>
    <row r="162" spans="1:15" x14ac:dyDescent="0.25">
      <c r="A162" t="s">
        <v>21</v>
      </c>
      <c r="B162" t="s">
        <v>17</v>
      </c>
      <c r="C162">
        <v>31</v>
      </c>
      <c r="D162">
        <v>100</v>
      </c>
      <c r="E162">
        <v>400</v>
      </c>
      <c r="F162" t="str">
        <f t="shared" si="2"/>
        <v>castle256_line_31_100_400</v>
      </c>
      <c r="G162">
        <v>0</v>
      </c>
      <c r="H162">
        <v>0</v>
      </c>
      <c r="I162">
        <v>3.9832000000000001E-5</v>
      </c>
      <c r="J162">
        <v>8.7790000000000001E-6</v>
      </c>
      <c r="K162">
        <v>29.376000000000001</v>
      </c>
      <c r="L162">
        <v>5.7614000000000001</v>
      </c>
      <c r="M162">
        <v>20.1753</v>
      </c>
      <c r="N162">
        <v>0</v>
      </c>
      <c r="O162">
        <v>0</v>
      </c>
    </row>
    <row r="163" spans="1:15" x14ac:dyDescent="0.25">
      <c r="A163" t="s">
        <v>21</v>
      </c>
      <c r="B163" t="s">
        <v>17</v>
      </c>
      <c r="C163">
        <v>31</v>
      </c>
      <c r="D163">
        <v>100</v>
      </c>
      <c r="E163">
        <v>800</v>
      </c>
      <c r="F163" t="str">
        <f t="shared" si="2"/>
        <v>castle256_line_31_100_800</v>
      </c>
      <c r="G163">
        <v>0</v>
      </c>
      <c r="H163">
        <v>0</v>
      </c>
      <c r="I163">
        <v>8.1132999999999997E-5</v>
      </c>
      <c r="J163">
        <v>8.7790000000000001E-6</v>
      </c>
      <c r="K163">
        <v>26.2896</v>
      </c>
      <c r="L163">
        <v>5.7614000000000001</v>
      </c>
      <c r="M163">
        <v>19.9742</v>
      </c>
      <c r="N163">
        <v>0</v>
      </c>
      <c r="O163">
        <v>0</v>
      </c>
    </row>
    <row r="164" spans="1:15" x14ac:dyDescent="0.25">
      <c r="A164" t="s">
        <v>21</v>
      </c>
      <c r="B164" t="s">
        <v>17</v>
      </c>
      <c r="C164">
        <v>31</v>
      </c>
      <c r="D164">
        <v>100</v>
      </c>
      <c r="E164">
        <v>1600</v>
      </c>
      <c r="F164" t="str">
        <f t="shared" si="2"/>
        <v>castle256_line_31_100_1600</v>
      </c>
      <c r="G164">
        <v>0</v>
      </c>
      <c r="H164">
        <v>0</v>
      </c>
      <c r="I164">
        <v>1.6679499999999999E-4</v>
      </c>
      <c r="J164">
        <v>8.7790000000000001E-6</v>
      </c>
      <c r="K164">
        <v>23.175899999999999</v>
      </c>
      <c r="L164">
        <v>5.7614000000000001</v>
      </c>
      <c r="M164">
        <v>19.587700000000002</v>
      </c>
      <c r="N164">
        <v>0</v>
      </c>
      <c r="O164">
        <v>0</v>
      </c>
    </row>
    <row r="165" spans="1:15" x14ac:dyDescent="0.25">
      <c r="A165" t="s">
        <v>21</v>
      </c>
      <c r="B165" t="s">
        <v>17</v>
      </c>
      <c r="C165">
        <v>31</v>
      </c>
      <c r="D165">
        <v>100</v>
      </c>
      <c r="E165">
        <v>3200</v>
      </c>
      <c r="F165" t="str">
        <f t="shared" si="2"/>
        <v>castle256_line_31_100_3200</v>
      </c>
      <c r="G165">
        <v>0</v>
      </c>
      <c r="H165">
        <v>0</v>
      </c>
      <c r="I165">
        <v>3.3688799999999998E-4</v>
      </c>
      <c r="J165">
        <v>8.7790000000000001E-6</v>
      </c>
      <c r="K165">
        <v>20.1373</v>
      </c>
      <c r="L165">
        <v>5.7614000000000001</v>
      </c>
      <c r="M165">
        <v>18.976099999999999</v>
      </c>
      <c r="N165">
        <v>0</v>
      </c>
      <c r="O165">
        <v>0</v>
      </c>
    </row>
    <row r="166" spans="1:15" x14ac:dyDescent="0.25">
      <c r="A166" t="s">
        <v>21</v>
      </c>
      <c r="B166" t="s">
        <v>17</v>
      </c>
      <c r="C166">
        <v>31</v>
      </c>
      <c r="D166">
        <v>100</v>
      </c>
      <c r="E166">
        <v>6400</v>
      </c>
      <c r="F166" t="str">
        <f t="shared" si="2"/>
        <v>castle256_line_31_100_6400</v>
      </c>
      <c r="G166">
        <v>0</v>
      </c>
      <c r="H166">
        <v>0</v>
      </c>
      <c r="I166">
        <v>6.9447699999999998E-4</v>
      </c>
      <c r="J166">
        <v>8.7790000000000001E-6</v>
      </c>
      <c r="K166">
        <v>17.035599999999999</v>
      </c>
      <c r="L166">
        <v>5.7614000000000001</v>
      </c>
      <c r="M166">
        <v>18.083400000000001</v>
      </c>
      <c r="N166">
        <v>0</v>
      </c>
      <c r="O166">
        <v>0</v>
      </c>
    </row>
    <row r="167" spans="1:15" x14ac:dyDescent="0.25">
      <c r="A167" t="s">
        <v>21</v>
      </c>
      <c r="B167" t="s">
        <v>17</v>
      </c>
      <c r="C167">
        <v>31</v>
      </c>
      <c r="D167">
        <v>100</v>
      </c>
      <c r="E167">
        <v>12800</v>
      </c>
      <c r="F167" t="str">
        <f t="shared" si="2"/>
        <v>castle256_line_31_100_12800</v>
      </c>
      <c r="G167">
        <v>0</v>
      </c>
      <c r="H167">
        <v>0</v>
      </c>
      <c r="I167">
        <v>1.44899E-3</v>
      </c>
      <c r="J167">
        <v>8.7790000000000001E-6</v>
      </c>
      <c r="K167">
        <v>13.923999999999999</v>
      </c>
      <c r="L167">
        <v>5.7614000000000001</v>
      </c>
      <c r="M167">
        <v>16.791399999999999</v>
      </c>
      <c r="N167">
        <v>0</v>
      </c>
      <c r="O167">
        <v>0</v>
      </c>
    </row>
    <row r="168" spans="1:15" x14ac:dyDescent="0.25">
      <c r="A168" t="s">
        <v>21</v>
      </c>
      <c r="B168" t="s">
        <v>17</v>
      </c>
      <c r="C168">
        <v>31</v>
      </c>
      <c r="D168">
        <v>100</v>
      </c>
      <c r="E168">
        <v>25600</v>
      </c>
      <c r="F168" t="str">
        <f t="shared" si="2"/>
        <v>castle256_line_31_100_25600</v>
      </c>
      <c r="G168">
        <v>0</v>
      </c>
      <c r="H168">
        <v>0</v>
      </c>
      <c r="I168">
        <v>3.2009730000000002E-3</v>
      </c>
      <c r="J168">
        <v>8.7790000000000001E-6</v>
      </c>
      <c r="K168">
        <v>10.6579</v>
      </c>
      <c r="L168">
        <v>5.7614000000000001</v>
      </c>
      <c r="M168">
        <v>15.4053</v>
      </c>
      <c r="N168">
        <v>0</v>
      </c>
      <c r="O168">
        <v>0</v>
      </c>
    </row>
    <row r="169" spans="1:15" x14ac:dyDescent="0.25">
      <c r="A169" t="s">
        <v>21</v>
      </c>
      <c r="B169" t="s">
        <v>17</v>
      </c>
      <c r="C169">
        <v>31</v>
      </c>
      <c r="D169">
        <v>100</v>
      </c>
      <c r="E169">
        <v>102400</v>
      </c>
      <c r="F169" t="str">
        <f t="shared" si="2"/>
        <v>castle256_line_31_100_102400</v>
      </c>
      <c r="G169">
        <v>0</v>
      </c>
      <c r="H169">
        <v>0</v>
      </c>
      <c r="I169">
        <v>2.0073068999999999E-2</v>
      </c>
      <c r="J169">
        <v>8.7490000000000004E-6</v>
      </c>
      <c r="K169">
        <v>4.1132</v>
      </c>
      <c r="L169">
        <v>5.7603999999999997</v>
      </c>
      <c r="M169">
        <v>11.1998</v>
      </c>
      <c r="N169">
        <v>0</v>
      </c>
      <c r="O169">
        <v>0</v>
      </c>
    </row>
    <row r="170" spans="1:15" x14ac:dyDescent="0.25">
      <c r="A170" t="s">
        <v>21</v>
      </c>
      <c r="B170" t="s">
        <v>17</v>
      </c>
      <c r="C170">
        <v>63</v>
      </c>
      <c r="D170">
        <v>100</v>
      </c>
      <c r="E170">
        <v>200</v>
      </c>
      <c r="F170" t="str">
        <f t="shared" si="2"/>
        <v>castle256_line_63_100_200</v>
      </c>
      <c r="G170">
        <v>0</v>
      </c>
      <c r="H170">
        <v>0</v>
      </c>
      <c r="I170">
        <v>1.9116000000000001E-5</v>
      </c>
      <c r="J170">
        <v>8.7900000000000005E-6</v>
      </c>
      <c r="K170">
        <v>32.560200000000002</v>
      </c>
      <c r="L170">
        <v>3.9639000000000002</v>
      </c>
      <c r="M170">
        <v>20.3233</v>
      </c>
      <c r="N170">
        <v>0</v>
      </c>
      <c r="O170">
        <v>0</v>
      </c>
    </row>
    <row r="171" spans="1:15" x14ac:dyDescent="0.25">
      <c r="A171" t="s">
        <v>21</v>
      </c>
      <c r="B171" t="s">
        <v>17</v>
      </c>
      <c r="C171">
        <v>63</v>
      </c>
      <c r="D171">
        <v>100</v>
      </c>
      <c r="E171">
        <v>400</v>
      </c>
      <c r="F171" t="str">
        <f t="shared" si="2"/>
        <v>castle256_line_63_100_400</v>
      </c>
      <c r="G171">
        <v>0</v>
      </c>
      <c r="H171">
        <v>0</v>
      </c>
      <c r="I171">
        <v>3.9882999999999997E-5</v>
      </c>
      <c r="J171">
        <v>8.7900000000000005E-6</v>
      </c>
      <c r="K171">
        <v>29.371300000000002</v>
      </c>
      <c r="L171">
        <v>3.9639000000000002</v>
      </c>
      <c r="M171">
        <v>20.1693</v>
      </c>
      <c r="N171">
        <v>0</v>
      </c>
      <c r="O171">
        <v>0</v>
      </c>
    </row>
    <row r="172" spans="1:15" x14ac:dyDescent="0.25">
      <c r="A172" t="s">
        <v>21</v>
      </c>
      <c r="B172" t="s">
        <v>17</v>
      </c>
      <c r="C172">
        <v>63</v>
      </c>
      <c r="D172">
        <v>100</v>
      </c>
      <c r="E172">
        <v>800</v>
      </c>
      <c r="F172" t="str">
        <f t="shared" si="2"/>
        <v>castle256_line_63_100_800</v>
      </c>
      <c r="G172">
        <v>0</v>
      </c>
      <c r="H172">
        <v>0</v>
      </c>
      <c r="I172">
        <v>8.0647000000000002E-5</v>
      </c>
      <c r="J172">
        <v>8.7900000000000005E-6</v>
      </c>
      <c r="K172">
        <v>26.3188</v>
      </c>
      <c r="L172">
        <v>3.9639000000000002</v>
      </c>
      <c r="M172">
        <v>19.862500000000001</v>
      </c>
      <c r="N172">
        <v>0</v>
      </c>
      <c r="O172">
        <v>0</v>
      </c>
    </row>
    <row r="173" spans="1:15" x14ac:dyDescent="0.25">
      <c r="A173" t="s">
        <v>21</v>
      </c>
      <c r="B173" t="s">
        <v>17</v>
      </c>
      <c r="C173">
        <v>63</v>
      </c>
      <c r="D173">
        <v>100</v>
      </c>
      <c r="E173">
        <v>1600</v>
      </c>
      <c r="F173" t="str">
        <f t="shared" si="2"/>
        <v>castle256_line_63_100_1600</v>
      </c>
      <c r="G173">
        <v>0</v>
      </c>
      <c r="H173">
        <v>0</v>
      </c>
      <c r="I173">
        <v>1.6547600000000001E-4</v>
      </c>
      <c r="J173">
        <v>8.7900000000000005E-6</v>
      </c>
      <c r="K173">
        <v>23.204499999999999</v>
      </c>
      <c r="L173">
        <v>3.9639000000000002</v>
      </c>
      <c r="M173">
        <v>19.357600000000001</v>
      </c>
      <c r="N173">
        <v>0</v>
      </c>
      <c r="O173">
        <v>0</v>
      </c>
    </row>
    <row r="174" spans="1:15" x14ac:dyDescent="0.25">
      <c r="A174" t="s">
        <v>21</v>
      </c>
      <c r="B174" t="s">
        <v>17</v>
      </c>
      <c r="C174">
        <v>63</v>
      </c>
      <c r="D174">
        <v>100</v>
      </c>
      <c r="E174">
        <v>3200</v>
      </c>
      <c r="F174" t="str">
        <f t="shared" si="2"/>
        <v>castle256_line_63_100_3200</v>
      </c>
      <c r="G174">
        <v>0</v>
      </c>
      <c r="H174">
        <v>0</v>
      </c>
      <c r="I174">
        <v>3.3502899999999998E-4</v>
      </c>
      <c r="J174">
        <v>8.7900000000000005E-6</v>
      </c>
      <c r="K174">
        <v>20.161200000000001</v>
      </c>
      <c r="L174">
        <v>3.9639000000000002</v>
      </c>
      <c r="M174">
        <v>18.873799999999999</v>
      </c>
      <c r="N174">
        <v>0</v>
      </c>
      <c r="O174">
        <v>0</v>
      </c>
    </row>
    <row r="175" spans="1:15" x14ac:dyDescent="0.25">
      <c r="A175" t="s">
        <v>21</v>
      </c>
      <c r="B175" t="s">
        <v>17</v>
      </c>
      <c r="C175">
        <v>63</v>
      </c>
      <c r="D175">
        <v>100</v>
      </c>
      <c r="E175">
        <v>6400</v>
      </c>
      <c r="F175" t="str">
        <f t="shared" si="2"/>
        <v>castle256_line_63_100_6400</v>
      </c>
      <c r="G175">
        <v>0</v>
      </c>
      <c r="H175">
        <v>0</v>
      </c>
      <c r="I175">
        <v>6.9915400000000001E-4</v>
      </c>
      <c r="J175">
        <v>8.7900000000000005E-6</v>
      </c>
      <c r="K175">
        <v>17.018999999999998</v>
      </c>
      <c r="L175">
        <v>3.9639000000000002</v>
      </c>
      <c r="M175">
        <v>17.823</v>
      </c>
      <c r="N175">
        <v>0</v>
      </c>
      <c r="O175">
        <v>0</v>
      </c>
    </row>
    <row r="176" spans="1:15" x14ac:dyDescent="0.25">
      <c r="A176" t="s">
        <v>21</v>
      </c>
      <c r="B176" t="s">
        <v>17</v>
      </c>
      <c r="C176">
        <v>63</v>
      </c>
      <c r="D176">
        <v>100</v>
      </c>
      <c r="E176">
        <v>12800</v>
      </c>
      <c r="F176" t="str">
        <f t="shared" si="2"/>
        <v>castle256_line_63_100_12800</v>
      </c>
      <c r="G176">
        <v>0</v>
      </c>
      <c r="H176">
        <v>0</v>
      </c>
      <c r="I176">
        <v>1.470093E-3</v>
      </c>
      <c r="J176">
        <v>8.7900000000000005E-6</v>
      </c>
      <c r="K176">
        <v>13.863099999999999</v>
      </c>
      <c r="L176">
        <v>3.9639000000000002</v>
      </c>
      <c r="M176">
        <v>16.569500000000001</v>
      </c>
      <c r="N176">
        <v>0</v>
      </c>
      <c r="O176">
        <v>0</v>
      </c>
    </row>
    <row r="177" spans="1:15" x14ac:dyDescent="0.25">
      <c r="A177" t="s">
        <v>21</v>
      </c>
      <c r="B177" t="s">
        <v>17</v>
      </c>
      <c r="C177">
        <v>63</v>
      </c>
      <c r="D177">
        <v>100</v>
      </c>
      <c r="E177">
        <v>25600</v>
      </c>
      <c r="F177" t="str">
        <f t="shared" si="2"/>
        <v>castle256_line_63_100_25600</v>
      </c>
      <c r="G177">
        <v>0</v>
      </c>
      <c r="H177">
        <v>0</v>
      </c>
      <c r="I177">
        <v>3.2293349999999998E-3</v>
      </c>
      <c r="J177">
        <v>8.7900000000000005E-6</v>
      </c>
      <c r="K177">
        <v>10.626200000000001</v>
      </c>
      <c r="L177">
        <v>3.9639000000000002</v>
      </c>
      <c r="M177">
        <v>15.1579</v>
      </c>
      <c r="N177">
        <v>0</v>
      </c>
      <c r="O177">
        <v>0</v>
      </c>
    </row>
    <row r="178" spans="1:15" x14ac:dyDescent="0.25">
      <c r="A178" t="s">
        <v>14</v>
      </c>
      <c r="B178" t="s">
        <v>18</v>
      </c>
      <c r="C178">
        <v>3</v>
      </c>
      <c r="D178">
        <v>100</v>
      </c>
      <c r="E178">
        <v>200</v>
      </c>
      <c r="F178" t="str">
        <f t="shared" si="2"/>
        <v>lena256_blurkernel10_3_100_200</v>
      </c>
      <c r="G178">
        <v>0</v>
      </c>
      <c r="H178">
        <v>0</v>
      </c>
      <c r="I178">
        <v>2.1126000000000001E-5</v>
      </c>
      <c r="J178">
        <v>9.4760000000000004E-6</v>
      </c>
      <c r="K178">
        <v>32.140500000000003</v>
      </c>
      <c r="L178">
        <v>17.636700000000001</v>
      </c>
      <c r="M178">
        <v>20.759799999999998</v>
      </c>
      <c r="N178">
        <v>0</v>
      </c>
      <c r="O178">
        <v>0</v>
      </c>
    </row>
    <row r="179" spans="1:15" x14ac:dyDescent="0.25">
      <c r="A179" t="s">
        <v>14</v>
      </c>
      <c r="B179" t="s">
        <v>18</v>
      </c>
      <c r="C179">
        <v>3</v>
      </c>
      <c r="D179">
        <v>100</v>
      </c>
      <c r="E179">
        <v>400</v>
      </c>
      <c r="F179" t="str">
        <f t="shared" si="2"/>
        <v>lena256_blurkernel10_3_100_400</v>
      </c>
      <c r="G179">
        <v>0</v>
      </c>
      <c r="H179">
        <v>0</v>
      </c>
      <c r="I179">
        <v>4.3658000000000001E-5</v>
      </c>
      <c r="J179">
        <v>9.4760000000000004E-6</v>
      </c>
      <c r="K179">
        <v>28.990200000000002</v>
      </c>
      <c r="L179">
        <v>17.636700000000001</v>
      </c>
      <c r="M179">
        <v>20.686</v>
      </c>
      <c r="N179">
        <v>0</v>
      </c>
      <c r="O179">
        <v>0</v>
      </c>
    </row>
    <row r="180" spans="1:15" x14ac:dyDescent="0.25">
      <c r="A180" t="s">
        <v>14</v>
      </c>
      <c r="B180" t="s">
        <v>18</v>
      </c>
      <c r="C180">
        <v>3</v>
      </c>
      <c r="D180">
        <v>100</v>
      </c>
      <c r="E180">
        <v>800</v>
      </c>
      <c r="F180" t="str">
        <f t="shared" si="2"/>
        <v>lena256_blurkernel10_3_100_800</v>
      </c>
      <c r="G180">
        <v>0</v>
      </c>
      <c r="H180">
        <v>0</v>
      </c>
      <c r="I180">
        <v>8.8908999999999999E-5</v>
      </c>
      <c r="J180">
        <v>9.4760000000000004E-6</v>
      </c>
      <c r="K180">
        <v>25.909700000000001</v>
      </c>
      <c r="L180">
        <v>17.636700000000001</v>
      </c>
      <c r="M180">
        <v>20.629000000000001</v>
      </c>
      <c r="N180">
        <v>0</v>
      </c>
      <c r="O180">
        <v>0</v>
      </c>
    </row>
    <row r="181" spans="1:15" x14ac:dyDescent="0.25">
      <c r="A181" t="s">
        <v>14</v>
      </c>
      <c r="B181" t="s">
        <v>18</v>
      </c>
      <c r="C181">
        <v>3</v>
      </c>
      <c r="D181">
        <v>100</v>
      </c>
      <c r="E181">
        <v>1600</v>
      </c>
      <c r="F181" t="str">
        <f t="shared" si="2"/>
        <v>lena256_blurkernel10_3_100_1600</v>
      </c>
      <c r="G181">
        <v>0</v>
      </c>
      <c r="H181">
        <v>0</v>
      </c>
      <c r="I181">
        <v>1.8165999999999999E-4</v>
      </c>
      <c r="J181">
        <v>9.4760000000000004E-6</v>
      </c>
      <c r="K181">
        <v>22.813500000000001</v>
      </c>
      <c r="L181">
        <v>17.636700000000001</v>
      </c>
      <c r="M181">
        <v>20.378499999999999</v>
      </c>
      <c r="N181">
        <v>0</v>
      </c>
      <c r="O181">
        <v>0</v>
      </c>
    </row>
    <row r="182" spans="1:15" x14ac:dyDescent="0.25">
      <c r="A182" t="s">
        <v>14</v>
      </c>
      <c r="B182" t="s">
        <v>18</v>
      </c>
      <c r="C182">
        <v>3</v>
      </c>
      <c r="D182">
        <v>100</v>
      </c>
      <c r="E182">
        <v>3200</v>
      </c>
      <c r="F182" t="str">
        <f t="shared" si="2"/>
        <v>lena256_blurkernel10_3_100_3200</v>
      </c>
      <c r="G182">
        <v>0</v>
      </c>
      <c r="H182">
        <v>0</v>
      </c>
      <c r="I182">
        <v>3.7010400000000001E-4</v>
      </c>
      <c r="J182">
        <v>9.4760000000000004E-6</v>
      </c>
      <c r="K182">
        <v>19.751899999999999</v>
      </c>
      <c r="L182">
        <v>17.636700000000001</v>
      </c>
      <c r="M182">
        <v>20.163699999999999</v>
      </c>
      <c r="N182">
        <v>0</v>
      </c>
      <c r="O182">
        <v>0</v>
      </c>
    </row>
    <row r="183" spans="1:15" x14ac:dyDescent="0.25">
      <c r="A183" t="s">
        <v>14</v>
      </c>
      <c r="B183" t="s">
        <v>18</v>
      </c>
      <c r="C183">
        <v>3</v>
      </c>
      <c r="D183">
        <v>100</v>
      </c>
      <c r="E183">
        <v>6400</v>
      </c>
      <c r="F183" t="str">
        <f t="shared" si="2"/>
        <v>lena256_blurkernel10_3_100_6400</v>
      </c>
      <c r="G183">
        <v>0</v>
      </c>
      <c r="H183">
        <v>0</v>
      </c>
      <c r="I183">
        <v>7.6874599999999995E-4</v>
      </c>
      <c r="J183">
        <v>9.4760000000000004E-6</v>
      </c>
      <c r="K183">
        <v>16.626200000000001</v>
      </c>
      <c r="L183">
        <v>17.636700000000001</v>
      </c>
      <c r="M183">
        <v>19.703299999999999</v>
      </c>
      <c r="N183">
        <v>0</v>
      </c>
      <c r="O183">
        <v>0</v>
      </c>
    </row>
    <row r="184" spans="1:15" x14ac:dyDescent="0.25">
      <c r="A184" t="s">
        <v>14</v>
      </c>
      <c r="B184" t="s">
        <v>18</v>
      </c>
      <c r="C184">
        <v>3</v>
      </c>
      <c r="D184">
        <v>100</v>
      </c>
      <c r="E184">
        <v>12800</v>
      </c>
      <c r="F184" t="str">
        <f t="shared" si="2"/>
        <v>lena256_blurkernel10_3_100_12800</v>
      </c>
      <c r="G184">
        <v>0</v>
      </c>
      <c r="H184">
        <v>0</v>
      </c>
      <c r="I184">
        <v>1.6055850000000001E-3</v>
      </c>
      <c r="J184">
        <v>9.4760000000000004E-6</v>
      </c>
      <c r="K184">
        <v>13.514099999999999</v>
      </c>
      <c r="L184">
        <v>17.636700000000001</v>
      </c>
      <c r="M184">
        <v>19.105899999999998</v>
      </c>
      <c r="N184">
        <v>0</v>
      </c>
      <c r="O184">
        <v>0</v>
      </c>
    </row>
    <row r="185" spans="1:15" x14ac:dyDescent="0.25">
      <c r="A185" t="s">
        <v>14</v>
      </c>
      <c r="B185" t="s">
        <v>18</v>
      </c>
      <c r="C185">
        <v>3</v>
      </c>
      <c r="D185">
        <v>100</v>
      </c>
      <c r="E185">
        <v>25600</v>
      </c>
      <c r="F185" t="str">
        <f t="shared" si="2"/>
        <v>lena256_blurkernel10_3_100_25600</v>
      </c>
      <c r="G185">
        <v>0</v>
      </c>
      <c r="H185">
        <v>0</v>
      </c>
      <c r="I185">
        <v>3.5554509999999998E-3</v>
      </c>
      <c r="J185">
        <v>9.4760000000000004E-6</v>
      </c>
      <c r="K185">
        <v>10.3147</v>
      </c>
      <c r="L185">
        <v>17.636700000000001</v>
      </c>
      <c r="M185">
        <v>18.316600000000001</v>
      </c>
      <c r="N185">
        <v>0</v>
      </c>
      <c r="O185">
        <v>0</v>
      </c>
    </row>
    <row r="186" spans="1:15" x14ac:dyDescent="0.25">
      <c r="A186" t="s">
        <v>14</v>
      </c>
      <c r="B186" t="s">
        <v>18</v>
      </c>
      <c r="C186">
        <v>3</v>
      </c>
      <c r="D186">
        <v>100</v>
      </c>
      <c r="E186">
        <v>102400</v>
      </c>
      <c r="F186" t="str">
        <f t="shared" si="2"/>
        <v>lena256_blurkernel10_3_100_102400</v>
      </c>
      <c r="G186">
        <v>0</v>
      </c>
      <c r="H186">
        <v>0</v>
      </c>
      <c r="I186">
        <v>2.1124099E-2</v>
      </c>
      <c r="J186">
        <v>9.5480000000000007E-6</v>
      </c>
      <c r="K186">
        <v>4.0936000000000003</v>
      </c>
      <c r="L186">
        <v>17.627800000000001</v>
      </c>
      <c r="M186">
        <v>15.3788</v>
      </c>
      <c r="N186">
        <v>0</v>
      </c>
      <c r="O186">
        <v>0</v>
      </c>
    </row>
    <row r="187" spans="1:15" x14ac:dyDescent="0.25">
      <c r="A187" t="s">
        <v>14</v>
      </c>
      <c r="B187" t="s">
        <v>18</v>
      </c>
      <c r="C187">
        <v>7</v>
      </c>
      <c r="D187">
        <v>100</v>
      </c>
      <c r="E187">
        <v>200</v>
      </c>
      <c r="F187" t="str">
        <f t="shared" si="2"/>
        <v>lena256_blurkernel10_7_100_200</v>
      </c>
      <c r="G187">
        <v>0</v>
      </c>
      <c r="H187">
        <v>0</v>
      </c>
      <c r="I187">
        <v>2.0803999999999999E-5</v>
      </c>
      <c r="J187">
        <v>9.5929999999999995E-6</v>
      </c>
      <c r="K187">
        <v>32.207799999999999</v>
      </c>
      <c r="L187">
        <v>12.0106</v>
      </c>
      <c r="M187">
        <v>21.215900000000001</v>
      </c>
      <c r="N187">
        <v>0</v>
      </c>
      <c r="O187">
        <v>0</v>
      </c>
    </row>
    <row r="188" spans="1:15" x14ac:dyDescent="0.25">
      <c r="A188" t="s">
        <v>14</v>
      </c>
      <c r="B188" t="s">
        <v>18</v>
      </c>
      <c r="C188">
        <v>7</v>
      </c>
      <c r="D188">
        <v>100</v>
      </c>
      <c r="E188">
        <v>400</v>
      </c>
      <c r="F188" t="str">
        <f t="shared" si="2"/>
        <v>lena256_blurkernel10_7_100_400</v>
      </c>
      <c r="G188">
        <v>0</v>
      </c>
      <c r="H188">
        <v>0</v>
      </c>
      <c r="I188">
        <v>4.4217E-5</v>
      </c>
      <c r="J188">
        <v>9.5929999999999995E-6</v>
      </c>
      <c r="K188">
        <v>28.9358</v>
      </c>
      <c r="L188">
        <v>12.0106</v>
      </c>
      <c r="M188">
        <v>21.0809</v>
      </c>
      <c r="N188">
        <v>0</v>
      </c>
      <c r="O188">
        <v>0</v>
      </c>
    </row>
    <row r="189" spans="1:15" x14ac:dyDescent="0.25">
      <c r="A189" t="s">
        <v>14</v>
      </c>
      <c r="B189" t="s">
        <v>18</v>
      </c>
      <c r="C189">
        <v>7</v>
      </c>
      <c r="D189">
        <v>100</v>
      </c>
      <c r="E189">
        <v>800</v>
      </c>
      <c r="F189" t="str">
        <f t="shared" si="2"/>
        <v>lena256_blurkernel10_7_100_800</v>
      </c>
      <c r="G189">
        <v>0</v>
      </c>
      <c r="H189">
        <v>0</v>
      </c>
      <c r="I189">
        <v>8.8120000000000003E-5</v>
      </c>
      <c r="J189">
        <v>9.5929999999999995E-6</v>
      </c>
      <c r="K189">
        <v>25.946200000000001</v>
      </c>
      <c r="L189">
        <v>12.0106</v>
      </c>
      <c r="M189">
        <v>20.869299999999999</v>
      </c>
      <c r="N189">
        <v>0</v>
      </c>
      <c r="O189">
        <v>0</v>
      </c>
    </row>
    <row r="190" spans="1:15" x14ac:dyDescent="0.25">
      <c r="A190" t="s">
        <v>14</v>
      </c>
      <c r="B190" t="s">
        <v>18</v>
      </c>
      <c r="C190">
        <v>7</v>
      </c>
      <c r="D190">
        <v>100</v>
      </c>
      <c r="E190">
        <v>1600</v>
      </c>
      <c r="F190" t="str">
        <f t="shared" si="2"/>
        <v>lena256_blurkernel10_7_100_1600</v>
      </c>
      <c r="G190">
        <v>0</v>
      </c>
      <c r="H190">
        <v>0</v>
      </c>
      <c r="I190">
        <v>1.8069000000000001E-4</v>
      </c>
      <c r="J190">
        <v>9.5929999999999995E-6</v>
      </c>
      <c r="K190">
        <v>22.838000000000001</v>
      </c>
      <c r="L190">
        <v>12.0106</v>
      </c>
      <c r="M190">
        <v>20.5351</v>
      </c>
      <c r="N190">
        <v>0</v>
      </c>
      <c r="O190">
        <v>0</v>
      </c>
    </row>
    <row r="191" spans="1:15" x14ac:dyDescent="0.25">
      <c r="A191" t="s">
        <v>14</v>
      </c>
      <c r="B191" t="s">
        <v>18</v>
      </c>
      <c r="C191">
        <v>7</v>
      </c>
      <c r="D191">
        <v>100</v>
      </c>
      <c r="E191">
        <v>3200</v>
      </c>
      <c r="F191" t="str">
        <f t="shared" si="2"/>
        <v>lena256_blurkernel10_7_100_3200</v>
      </c>
      <c r="G191">
        <v>0</v>
      </c>
      <c r="H191">
        <v>0</v>
      </c>
      <c r="I191">
        <v>3.73612E-4</v>
      </c>
      <c r="J191">
        <v>9.5929999999999995E-6</v>
      </c>
      <c r="K191">
        <v>19.709900000000001</v>
      </c>
      <c r="L191">
        <v>12.0106</v>
      </c>
      <c r="M191">
        <v>20.045999999999999</v>
      </c>
      <c r="N191">
        <v>0</v>
      </c>
      <c r="O191">
        <v>0</v>
      </c>
    </row>
    <row r="192" spans="1:15" x14ac:dyDescent="0.25">
      <c r="A192" t="s">
        <v>14</v>
      </c>
      <c r="B192" t="s">
        <v>18</v>
      </c>
      <c r="C192">
        <v>7</v>
      </c>
      <c r="D192">
        <v>100</v>
      </c>
      <c r="E192">
        <v>6400</v>
      </c>
      <c r="F192" t="str">
        <f t="shared" si="2"/>
        <v>lena256_blurkernel10_7_100_6400</v>
      </c>
      <c r="G192">
        <v>0</v>
      </c>
      <c r="H192">
        <v>0</v>
      </c>
      <c r="I192">
        <v>7.60438E-4</v>
      </c>
      <c r="J192">
        <v>9.5929999999999995E-6</v>
      </c>
      <c r="K192">
        <v>16.665199999999999</v>
      </c>
      <c r="L192">
        <v>12.0106</v>
      </c>
      <c r="M192">
        <v>19.2346</v>
      </c>
      <c r="N192">
        <v>0</v>
      </c>
      <c r="O192">
        <v>0</v>
      </c>
    </row>
    <row r="193" spans="1:15" x14ac:dyDescent="0.25">
      <c r="A193" t="s">
        <v>14</v>
      </c>
      <c r="B193" t="s">
        <v>18</v>
      </c>
      <c r="C193">
        <v>7</v>
      </c>
      <c r="D193">
        <v>100</v>
      </c>
      <c r="E193">
        <v>12800</v>
      </c>
      <c r="F193" t="str">
        <f t="shared" si="2"/>
        <v>lena256_blurkernel10_7_100_12800</v>
      </c>
      <c r="G193">
        <v>0</v>
      </c>
      <c r="H193">
        <v>0</v>
      </c>
      <c r="I193">
        <v>1.6290709999999999E-3</v>
      </c>
      <c r="J193">
        <v>9.5929999999999995E-6</v>
      </c>
      <c r="K193">
        <v>13.459</v>
      </c>
      <c r="L193">
        <v>12.0106</v>
      </c>
      <c r="M193">
        <v>18.199200000000001</v>
      </c>
      <c r="N193">
        <v>0</v>
      </c>
      <c r="O193">
        <v>0</v>
      </c>
    </row>
    <row r="194" spans="1:15" x14ac:dyDescent="0.25">
      <c r="A194" t="s">
        <v>14</v>
      </c>
      <c r="B194" t="s">
        <v>18</v>
      </c>
      <c r="C194">
        <v>7</v>
      </c>
      <c r="D194">
        <v>100</v>
      </c>
      <c r="E194">
        <v>25600</v>
      </c>
      <c r="F194" t="str">
        <f t="shared" ref="F194:F257" si="3">A194&amp;"_"&amp;B194&amp;"_"&amp;C194&amp;"_"&amp;D194&amp;"_"&amp;E194</f>
        <v>lena256_blurkernel10_7_100_25600</v>
      </c>
      <c r="G194">
        <v>0</v>
      </c>
      <c r="H194">
        <v>0</v>
      </c>
      <c r="I194">
        <v>3.5075449999999999E-3</v>
      </c>
      <c r="J194">
        <v>9.5929999999999995E-6</v>
      </c>
      <c r="K194">
        <v>10.363899999999999</v>
      </c>
      <c r="L194">
        <v>12.0106</v>
      </c>
      <c r="M194">
        <v>16.824100000000001</v>
      </c>
      <c r="N194">
        <v>0</v>
      </c>
      <c r="O194">
        <v>0</v>
      </c>
    </row>
    <row r="195" spans="1:15" x14ac:dyDescent="0.25">
      <c r="A195" t="s">
        <v>14</v>
      </c>
      <c r="B195" t="s">
        <v>18</v>
      </c>
      <c r="C195">
        <v>7</v>
      </c>
      <c r="D195">
        <v>100</v>
      </c>
      <c r="E195">
        <v>102400</v>
      </c>
      <c r="F195" t="str">
        <f t="shared" si="3"/>
        <v>lena256_blurkernel10_7_100_102400</v>
      </c>
      <c r="G195">
        <v>0</v>
      </c>
      <c r="H195">
        <v>0</v>
      </c>
      <c r="I195">
        <v>2.1172512000000001E-2</v>
      </c>
      <c r="J195">
        <v>9.6129999999999993E-6</v>
      </c>
      <c r="K195">
        <v>4.1138000000000003</v>
      </c>
      <c r="L195">
        <v>12.010199999999999</v>
      </c>
      <c r="M195">
        <v>13.1485</v>
      </c>
      <c r="N195">
        <v>0</v>
      </c>
      <c r="O195">
        <v>0</v>
      </c>
    </row>
    <row r="196" spans="1:15" x14ac:dyDescent="0.25">
      <c r="A196" t="s">
        <v>14</v>
      </c>
      <c r="B196" t="s">
        <v>18</v>
      </c>
      <c r="C196">
        <v>15</v>
      </c>
      <c r="D196">
        <v>100</v>
      </c>
      <c r="E196">
        <v>200</v>
      </c>
      <c r="F196" t="str">
        <f t="shared" si="3"/>
        <v>lena256_blurkernel10_15_100_200</v>
      </c>
      <c r="G196">
        <v>0</v>
      </c>
      <c r="H196">
        <v>0</v>
      </c>
      <c r="I196">
        <v>2.0840999999999999E-5</v>
      </c>
      <c r="J196">
        <v>9.6379999999999999E-6</v>
      </c>
      <c r="K196">
        <v>32.198700000000002</v>
      </c>
      <c r="L196">
        <v>8.4277999999999995</v>
      </c>
      <c r="M196">
        <v>21.6615</v>
      </c>
      <c r="N196">
        <v>0</v>
      </c>
      <c r="O196">
        <v>0</v>
      </c>
    </row>
    <row r="197" spans="1:15" x14ac:dyDescent="0.25">
      <c r="A197" t="s">
        <v>14</v>
      </c>
      <c r="B197" t="s">
        <v>18</v>
      </c>
      <c r="C197">
        <v>15</v>
      </c>
      <c r="D197">
        <v>100</v>
      </c>
      <c r="E197">
        <v>400</v>
      </c>
      <c r="F197" t="str">
        <f t="shared" si="3"/>
        <v>lena256_blurkernel10_15_100_400</v>
      </c>
      <c r="G197">
        <v>0</v>
      </c>
      <c r="H197">
        <v>0</v>
      </c>
      <c r="I197">
        <v>4.3788999999999997E-5</v>
      </c>
      <c r="J197">
        <v>9.6379999999999999E-6</v>
      </c>
      <c r="K197">
        <v>28.978400000000001</v>
      </c>
      <c r="L197">
        <v>8.4277999999999995</v>
      </c>
      <c r="M197">
        <v>21.4725</v>
      </c>
      <c r="N197">
        <v>0</v>
      </c>
      <c r="O197">
        <v>0</v>
      </c>
    </row>
    <row r="198" spans="1:15" x14ac:dyDescent="0.25">
      <c r="A198" t="s">
        <v>14</v>
      </c>
      <c r="B198" t="s">
        <v>18</v>
      </c>
      <c r="C198">
        <v>15</v>
      </c>
      <c r="D198">
        <v>100</v>
      </c>
      <c r="E198">
        <v>800</v>
      </c>
      <c r="F198" t="str">
        <f t="shared" si="3"/>
        <v>lena256_blurkernel10_15_100_800</v>
      </c>
      <c r="G198">
        <v>0</v>
      </c>
      <c r="H198">
        <v>0</v>
      </c>
      <c r="I198">
        <v>8.8926999999999997E-5</v>
      </c>
      <c r="J198">
        <v>9.6379999999999999E-6</v>
      </c>
      <c r="K198">
        <v>25.904900000000001</v>
      </c>
      <c r="L198">
        <v>8.4277999999999995</v>
      </c>
      <c r="M198">
        <v>21.199100000000001</v>
      </c>
      <c r="N198">
        <v>0</v>
      </c>
      <c r="O198">
        <v>0</v>
      </c>
    </row>
    <row r="199" spans="1:15" x14ac:dyDescent="0.25">
      <c r="A199" t="s">
        <v>14</v>
      </c>
      <c r="B199" t="s">
        <v>18</v>
      </c>
      <c r="C199">
        <v>15</v>
      </c>
      <c r="D199">
        <v>100</v>
      </c>
      <c r="E199">
        <v>1600</v>
      </c>
      <c r="F199" t="str">
        <f t="shared" si="3"/>
        <v>lena256_blurkernel10_15_100_1600</v>
      </c>
      <c r="G199">
        <v>0</v>
      </c>
      <c r="H199">
        <v>0</v>
      </c>
      <c r="I199">
        <v>1.8347799999999999E-4</v>
      </c>
      <c r="J199">
        <v>9.6379999999999999E-6</v>
      </c>
      <c r="K199">
        <v>22.772300000000001</v>
      </c>
      <c r="L199">
        <v>8.4277999999999995</v>
      </c>
      <c r="M199">
        <v>20.777699999999999</v>
      </c>
      <c r="N199">
        <v>0</v>
      </c>
      <c r="O199">
        <v>0</v>
      </c>
    </row>
    <row r="200" spans="1:15" x14ac:dyDescent="0.25">
      <c r="A200" t="s">
        <v>14</v>
      </c>
      <c r="B200" t="s">
        <v>18</v>
      </c>
      <c r="C200">
        <v>15</v>
      </c>
      <c r="D200">
        <v>100</v>
      </c>
      <c r="E200">
        <v>3200</v>
      </c>
      <c r="F200" t="str">
        <f t="shared" si="3"/>
        <v>lena256_blurkernel10_15_100_3200</v>
      </c>
      <c r="G200">
        <v>0</v>
      </c>
      <c r="H200">
        <v>0</v>
      </c>
      <c r="I200">
        <v>3.7516600000000002E-4</v>
      </c>
      <c r="J200">
        <v>9.6379999999999999E-6</v>
      </c>
      <c r="K200">
        <v>19.6936</v>
      </c>
      <c r="L200">
        <v>8.4277999999999995</v>
      </c>
      <c r="M200">
        <v>20.1371</v>
      </c>
      <c r="N200">
        <v>0</v>
      </c>
      <c r="O200">
        <v>0</v>
      </c>
    </row>
    <row r="201" spans="1:15" x14ac:dyDescent="0.25">
      <c r="A201" t="s">
        <v>14</v>
      </c>
      <c r="B201" t="s">
        <v>18</v>
      </c>
      <c r="C201">
        <v>15</v>
      </c>
      <c r="D201">
        <v>100</v>
      </c>
      <c r="E201">
        <v>6400</v>
      </c>
      <c r="F201" t="str">
        <f t="shared" si="3"/>
        <v>lena256_blurkernel10_15_100_6400</v>
      </c>
      <c r="G201">
        <v>0</v>
      </c>
      <c r="H201">
        <v>0</v>
      </c>
      <c r="I201">
        <v>7.56155E-4</v>
      </c>
      <c r="J201">
        <v>9.6379999999999999E-6</v>
      </c>
      <c r="K201">
        <v>16.684200000000001</v>
      </c>
      <c r="L201">
        <v>8.4277999999999995</v>
      </c>
      <c r="M201">
        <v>19.216100000000001</v>
      </c>
      <c r="N201">
        <v>0</v>
      </c>
      <c r="O201">
        <v>0</v>
      </c>
    </row>
    <row r="202" spans="1:15" x14ac:dyDescent="0.25">
      <c r="A202" t="s">
        <v>14</v>
      </c>
      <c r="B202" t="s">
        <v>18</v>
      </c>
      <c r="C202">
        <v>15</v>
      </c>
      <c r="D202">
        <v>100</v>
      </c>
      <c r="E202">
        <v>12800</v>
      </c>
      <c r="F202" t="str">
        <f t="shared" si="3"/>
        <v>lena256_blurkernel10_15_100_12800</v>
      </c>
      <c r="G202">
        <v>0</v>
      </c>
      <c r="H202">
        <v>0</v>
      </c>
      <c r="I202">
        <v>1.601328E-3</v>
      </c>
      <c r="J202">
        <v>9.6379999999999999E-6</v>
      </c>
      <c r="K202">
        <v>13.536099999999999</v>
      </c>
      <c r="L202">
        <v>8.4277999999999995</v>
      </c>
      <c r="M202">
        <v>18.0915</v>
      </c>
      <c r="N202">
        <v>0</v>
      </c>
      <c r="O202">
        <v>0</v>
      </c>
    </row>
    <row r="203" spans="1:15" x14ac:dyDescent="0.25">
      <c r="A203" t="s">
        <v>14</v>
      </c>
      <c r="B203" t="s">
        <v>18</v>
      </c>
      <c r="C203">
        <v>15</v>
      </c>
      <c r="D203">
        <v>100</v>
      </c>
      <c r="E203">
        <v>25600</v>
      </c>
      <c r="F203" t="str">
        <f t="shared" si="3"/>
        <v>lena256_blurkernel10_15_100_25600</v>
      </c>
      <c r="G203">
        <v>0</v>
      </c>
      <c r="H203">
        <v>0</v>
      </c>
      <c r="I203">
        <v>3.5172350000000001E-3</v>
      </c>
      <c r="J203">
        <v>9.6379999999999999E-6</v>
      </c>
      <c r="K203">
        <v>10.343400000000001</v>
      </c>
      <c r="L203">
        <v>8.4277999999999995</v>
      </c>
      <c r="M203">
        <v>16.414200000000001</v>
      </c>
      <c r="N203">
        <v>0</v>
      </c>
      <c r="O203">
        <v>0</v>
      </c>
    </row>
    <row r="204" spans="1:15" x14ac:dyDescent="0.25">
      <c r="A204" t="s">
        <v>14</v>
      </c>
      <c r="B204" t="s">
        <v>18</v>
      </c>
      <c r="C204">
        <v>15</v>
      </c>
      <c r="D204">
        <v>100</v>
      </c>
      <c r="E204">
        <v>102400</v>
      </c>
      <c r="F204" t="str">
        <f t="shared" si="3"/>
        <v>lena256_blurkernel10_15_100_102400</v>
      </c>
      <c r="G204">
        <v>0</v>
      </c>
      <c r="H204">
        <v>0</v>
      </c>
      <c r="I204">
        <v>2.1166869000000001E-2</v>
      </c>
      <c r="J204">
        <v>9.5789999999999993E-6</v>
      </c>
      <c r="K204">
        <v>4.0987999999999998</v>
      </c>
      <c r="L204">
        <v>8.4260000000000002</v>
      </c>
      <c r="M204">
        <v>12.1754</v>
      </c>
      <c r="N204">
        <v>0</v>
      </c>
      <c r="O204">
        <v>0</v>
      </c>
    </row>
    <row r="205" spans="1:15" x14ac:dyDescent="0.25">
      <c r="A205" t="s">
        <v>14</v>
      </c>
      <c r="B205" t="s">
        <v>18</v>
      </c>
      <c r="C205">
        <v>31</v>
      </c>
      <c r="D205">
        <v>100</v>
      </c>
      <c r="E205">
        <v>200</v>
      </c>
      <c r="F205" t="str">
        <f t="shared" si="3"/>
        <v>lena256_blurkernel10_31_100_200</v>
      </c>
      <c r="G205">
        <v>0</v>
      </c>
      <c r="H205">
        <v>0</v>
      </c>
      <c r="I205">
        <v>2.1056E-5</v>
      </c>
      <c r="J205">
        <v>9.4970000000000007E-6</v>
      </c>
      <c r="K205">
        <v>32.154800000000002</v>
      </c>
      <c r="L205">
        <v>5.6360000000000001</v>
      </c>
      <c r="M205">
        <v>21.556799999999999</v>
      </c>
      <c r="N205">
        <v>0</v>
      </c>
      <c r="O205">
        <v>0</v>
      </c>
    </row>
    <row r="206" spans="1:15" x14ac:dyDescent="0.25">
      <c r="A206" t="s">
        <v>14</v>
      </c>
      <c r="B206" t="s">
        <v>18</v>
      </c>
      <c r="C206">
        <v>31</v>
      </c>
      <c r="D206">
        <v>100</v>
      </c>
      <c r="E206">
        <v>400</v>
      </c>
      <c r="F206" t="str">
        <f t="shared" si="3"/>
        <v>lena256_blurkernel10_31_100_400</v>
      </c>
      <c r="G206">
        <v>0</v>
      </c>
      <c r="H206">
        <v>0</v>
      </c>
      <c r="I206">
        <v>4.3597000000000003E-5</v>
      </c>
      <c r="J206">
        <v>9.4970000000000007E-6</v>
      </c>
      <c r="K206">
        <v>28.998000000000001</v>
      </c>
      <c r="L206">
        <v>5.6360000000000001</v>
      </c>
      <c r="M206">
        <v>21.359300000000001</v>
      </c>
      <c r="N206">
        <v>0</v>
      </c>
      <c r="O206">
        <v>0</v>
      </c>
    </row>
    <row r="207" spans="1:15" x14ac:dyDescent="0.25">
      <c r="A207" t="s">
        <v>14</v>
      </c>
      <c r="B207" t="s">
        <v>18</v>
      </c>
      <c r="C207">
        <v>31</v>
      </c>
      <c r="D207">
        <v>100</v>
      </c>
      <c r="E207">
        <v>800</v>
      </c>
      <c r="F207" t="str">
        <f t="shared" si="3"/>
        <v>lena256_blurkernel10_31_100_800</v>
      </c>
      <c r="G207">
        <v>0</v>
      </c>
      <c r="H207">
        <v>0</v>
      </c>
      <c r="I207">
        <v>8.9685000000000006E-5</v>
      </c>
      <c r="J207">
        <v>9.4970000000000007E-6</v>
      </c>
      <c r="K207">
        <v>25.8689</v>
      </c>
      <c r="L207">
        <v>5.6360000000000001</v>
      </c>
      <c r="M207">
        <v>21.123799999999999</v>
      </c>
      <c r="N207">
        <v>0</v>
      </c>
      <c r="O207">
        <v>0</v>
      </c>
    </row>
    <row r="208" spans="1:15" x14ac:dyDescent="0.25">
      <c r="A208" t="s">
        <v>14</v>
      </c>
      <c r="B208" t="s">
        <v>18</v>
      </c>
      <c r="C208">
        <v>31</v>
      </c>
      <c r="D208">
        <v>100</v>
      </c>
      <c r="E208">
        <v>1600</v>
      </c>
      <c r="F208" t="str">
        <f t="shared" si="3"/>
        <v>lena256_blurkernel10_31_100_1600</v>
      </c>
      <c r="G208">
        <v>0</v>
      </c>
      <c r="H208">
        <v>0</v>
      </c>
      <c r="I208">
        <v>1.8104899999999999E-4</v>
      </c>
      <c r="J208">
        <v>9.4970000000000007E-6</v>
      </c>
      <c r="K208">
        <v>22.8291</v>
      </c>
      <c r="L208">
        <v>5.6360000000000001</v>
      </c>
      <c r="M208">
        <v>20.673500000000001</v>
      </c>
      <c r="N208">
        <v>0</v>
      </c>
      <c r="O208">
        <v>0</v>
      </c>
    </row>
    <row r="209" spans="1:15" x14ac:dyDescent="0.25">
      <c r="A209" t="s">
        <v>14</v>
      </c>
      <c r="B209" t="s">
        <v>18</v>
      </c>
      <c r="C209">
        <v>31</v>
      </c>
      <c r="D209">
        <v>100</v>
      </c>
      <c r="E209">
        <v>3200</v>
      </c>
      <c r="F209" t="str">
        <f t="shared" si="3"/>
        <v>lena256_blurkernel10_31_100_3200</v>
      </c>
      <c r="G209">
        <v>0</v>
      </c>
      <c r="H209">
        <v>0</v>
      </c>
      <c r="I209">
        <v>3.6995499999999999E-4</v>
      </c>
      <c r="J209">
        <v>9.4970000000000007E-6</v>
      </c>
      <c r="K209">
        <v>19.750499999999999</v>
      </c>
      <c r="L209">
        <v>5.6360000000000001</v>
      </c>
      <c r="M209">
        <v>20.029699999999998</v>
      </c>
      <c r="N209">
        <v>0</v>
      </c>
      <c r="O209">
        <v>0</v>
      </c>
    </row>
    <row r="210" spans="1:15" x14ac:dyDescent="0.25">
      <c r="A210" t="s">
        <v>14</v>
      </c>
      <c r="B210" t="s">
        <v>18</v>
      </c>
      <c r="C210">
        <v>31</v>
      </c>
      <c r="D210">
        <v>100</v>
      </c>
      <c r="E210">
        <v>6400</v>
      </c>
      <c r="F210" t="str">
        <f t="shared" si="3"/>
        <v>lena256_blurkernel10_31_100_6400</v>
      </c>
      <c r="G210">
        <v>0</v>
      </c>
      <c r="H210">
        <v>0</v>
      </c>
      <c r="I210">
        <v>7.6058500000000004E-4</v>
      </c>
      <c r="J210">
        <v>9.4970000000000007E-6</v>
      </c>
      <c r="K210">
        <v>16.6706</v>
      </c>
      <c r="L210">
        <v>5.6360000000000001</v>
      </c>
      <c r="M210">
        <v>19.058900000000001</v>
      </c>
      <c r="N210">
        <v>0</v>
      </c>
      <c r="O210">
        <v>0</v>
      </c>
    </row>
    <row r="211" spans="1:15" x14ac:dyDescent="0.25">
      <c r="A211" t="s">
        <v>14</v>
      </c>
      <c r="B211" t="s">
        <v>18</v>
      </c>
      <c r="C211">
        <v>31</v>
      </c>
      <c r="D211">
        <v>100</v>
      </c>
      <c r="E211">
        <v>12800</v>
      </c>
      <c r="F211" t="str">
        <f t="shared" si="3"/>
        <v>lena256_blurkernel10_31_100_12800</v>
      </c>
      <c r="G211">
        <v>0</v>
      </c>
      <c r="H211">
        <v>0</v>
      </c>
      <c r="I211">
        <v>1.623319E-3</v>
      </c>
      <c r="J211">
        <v>9.4970000000000007E-6</v>
      </c>
      <c r="K211">
        <v>13.484</v>
      </c>
      <c r="L211">
        <v>5.6360000000000001</v>
      </c>
      <c r="M211">
        <v>17.845700000000001</v>
      </c>
      <c r="N211">
        <v>0</v>
      </c>
      <c r="O211">
        <v>0</v>
      </c>
    </row>
    <row r="212" spans="1:15" x14ac:dyDescent="0.25">
      <c r="A212" t="s">
        <v>14</v>
      </c>
      <c r="B212" t="s">
        <v>18</v>
      </c>
      <c r="C212">
        <v>31</v>
      </c>
      <c r="D212">
        <v>100</v>
      </c>
      <c r="E212">
        <v>25600</v>
      </c>
      <c r="F212" t="str">
        <f t="shared" si="3"/>
        <v>lena256_blurkernel10_31_100_25600</v>
      </c>
      <c r="G212">
        <v>0</v>
      </c>
      <c r="H212">
        <v>0</v>
      </c>
      <c r="I212">
        <v>3.5670279999999999E-3</v>
      </c>
      <c r="J212">
        <v>9.4970000000000007E-6</v>
      </c>
      <c r="K212">
        <v>10.2898</v>
      </c>
      <c r="L212">
        <v>5.6360000000000001</v>
      </c>
      <c r="M212">
        <v>16.184899999999999</v>
      </c>
      <c r="N212">
        <v>0</v>
      </c>
      <c r="O212">
        <v>0</v>
      </c>
    </row>
    <row r="213" spans="1:15" x14ac:dyDescent="0.25">
      <c r="A213" t="s">
        <v>14</v>
      </c>
      <c r="B213" t="s">
        <v>18</v>
      </c>
      <c r="C213">
        <v>31</v>
      </c>
      <c r="D213">
        <v>100</v>
      </c>
      <c r="E213">
        <v>102400</v>
      </c>
      <c r="F213" t="str">
        <f t="shared" si="3"/>
        <v>lena256_blurkernel10_31_100_102400</v>
      </c>
      <c r="G213">
        <v>0</v>
      </c>
      <c r="H213">
        <v>0</v>
      </c>
      <c r="I213">
        <v>2.1077209E-2</v>
      </c>
      <c r="J213">
        <v>9.5910000000000002E-6</v>
      </c>
      <c r="K213">
        <v>4.109</v>
      </c>
      <c r="L213">
        <v>5.6368999999999998</v>
      </c>
      <c r="M213">
        <v>11.7837</v>
      </c>
      <c r="N213">
        <v>0</v>
      </c>
      <c r="O213">
        <v>0</v>
      </c>
    </row>
    <row r="214" spans="1:15" x14ac:dyDescent="0.25">
      <c r="A214" t="s">
        <v>14</v>
      </c>
      <c r="B214" t="s">
        <v>18</v>
      </c>
      <c r="C214">
        <v>63</v>
      </c>
      <c r="D214">
        <v>100</v>
      </c>
      <c r="E214">
        <v>200</v>
      </c>
      <c r="F214" t="str">
        <f t="shared" si="3"/>
        <v>lena256_blurkernel10_63_100_200</v>
      </c>
      <c r="G214">
        <v>0</v>
      </c>
      <c r="H214">
        <v>0</v>
      </c>
      <c r="I214">
        <v>2.0894E-5</v>
      </c>
      <c r="J214">
        <v>9.5300000000000002E-6</v>
      </c>
      <c r="K214">
        <v>32.188099999999999</v>
      </c>
      <c r="L214">
        <v>3.3506</v>
      </c>
      <c r="M214">
        <v>20.904499999999999</v>
      </c>
      <c r="N214">
        <v>0</v>
      </c>
      <c r="O214">
        <v>0</v>
      </c>
    </row>
    <row r="215" spans="1:15" x14ac:dyDescent="0.25">
      <c r="A215" t="s">
        <v>14</v>
      </c>
      <c r="B215" t="s">
        <v>18</v>
      </c>
      <c r="C215">
        <v>63</v>
      </c>
      <c r="D215">
        <v>100</v>
      </c>
      <c r="E215">
        <v>400</v>
      </c>
      <c r="F215" t="str">
        <f t="shared" si="3"/>
        <v>lena256_blurkernel10_63_100_400</v>
      </c>
      <c r="G215">
        <v>0</v>
      </c>
      <c r="H215">
        <v>0</v>
      </c>
      <c r="I215">
        <v>4.3643000000000002E-5</v>
      </c>
      <c r="J215">
        <v>9.5300000000000002E-6</v>
      </c>
      <c r="K215">
        <v>28.992000000000001</v>
      </c>
      <c r="L215">
        <v>3.3506</v>
      </c>
      <c r="M215">
        <v>20.7774</v>
      </c>
      <c r="N215">
        <v>0</v>
      </c>
      <c r="O215">
        <v>0</v>
      </c>
    </row>
    <row r="216" spans="1:15" x14ac:dyDescent="0.25">
      <c r="A216" t="s">
        <v>14</v>
      </c>
      <c r="B216" t="s">
        <v>18</v>
      </c>
      <c r="C216">
        <v>63</v>
      </c>
      <c r="D216">
        <v>100</v>
      </c>
      <c r="E216">
        <v>800</v>
      </c>
      <c r="F216" t="str">
        <f t="shared" si="3"/>
        <v>lena256_blurkernel10_63_100_800</v>
      </c>
      <c r="G216">
        <v>0</v>
      </c>
      <c r="H216">
        <v>0</v>
      </c>
      <c r="I216">
        <v>8.9893000000000001E-5</v>
      </c>
      <c r="J216">
        <v>9.5300000000000002E-6</v>
      </c>
      <c r="K216">
        <v>25.859400000000001</v>
      </c>
      <c r="L216">
        <v>3.3506</v>
      </c>
      <c r="M216">
        <v>20.462599999999998</v>
      </c>
      <c r="N216">
        <v>0</v>
      </c>
      <c r="O216">
        <v>0</v>
      </c>
    </row>
    <row r="217" spans="1:15" x14ac:dyDescent="0.25">
      <c r="A217" t="s">
        <v>14</v>
      </c>
      <c r="B217" t="s">
        <v>18</v>
      </c>
      <c r="C217">
        <v>63</v>
      </c>
      <c r="D217">
        <v>100</v>
      </c>
      <c r="E217">
        <v>1600</v>
      </c>
      <c r="F217" t="str">
        <f t="shared" si="3"/>
        <v>lena256_blurkernel10_63_100_1600</v>
      </c>
      <c r="G217">
        <v>0</v>
      </c>
      <c r="H217">
        <v>0</v>
      </c>
      <c r="I217">
        <v>1.8047500000000001E-4</v>
      </c>
      <c r="J217">
        <v>9.5300000000000002E-6</v>
      </c>
      <c r="K217">
        <v>22.840699999999998</v>
      </c>
      <c r="L217">
        <v>3.3506</v>
      </c>
      <c r="M217">
        <v>20.097799999999999</v>
      </c>
      <c r="N217">
        <v>0</v>
      </c>
      <c r="O217">
        <v>0</v>
      </c>
    </row>
    <row r="218" spans="1:15" x14ac:dyDescent="0.25">
      <c r="A218" t="s">
        <v>14</v>
      </c>
      <c r="B218" t="s">
        <v>18</v>
      </c>
      <c r="C218">
        <v>63</v>
      </c>
      <c r="D218">
        <v>100</v>
      </c>
      <c r="E218">
        <v>3200</v>
      </c>
      <c r="F218" t="str">
        <f t="shared" si="3"/>
        <v>lena256_blurkernel10_63_100_3200</v>
      </c>
      <c r="G218">
        <v>0</v>
      </c>
      <c r="H218">
        <v>0</v>
      </c>
      <c r="I218">
        <v>3.7270100000000002E-4</v>
      </c>
      <c r="J218">
        <v>9.5300000000000002E-6</v>
      </c>
      <c r="K218">
        <v>19.72</v>
      </c>
      <c r="L218">
        <v>3.3506</v>
      </c>
      <c r="M218">
        <v>19.410399999999999</v>
      </c>
      <c r="N218">
        <v>0</v>
      </c>
      <c r="O218">
        <v>0</v>
      </c>
    </row>
    <row r="219" spans="1:15" x14ac:dyDescent="0.25">
      <c r="A219" t="s">
        <v>14</v>
      </c>
      <c r="B219" t="s">
        <v>18</v>
      </c>
      <c r="C219">
        <v>63</v>
      </c>
      <c r="D219">
        <v>100</v>
      </c>
      <c r="E219">
        <v>6400</v>
      </c>
      <c r="F219" t="str">
        <f t="shared" si="3"/>
        <v>lena256_blurkernel10_63_100_6400</v>
      </c>
      <c r="G219">
        <v>0</v>
      </c>
      <c r="H219">
        <v>0</v>
      </c>
      <c r="I219">
        <v>7.6952200000000002E-4</v>
      </c>
      <c r="J219">
        <v>9.5300000000000002E-6</v>
      </c>
      <c r="K219">
        <v>16.626200000000001</v>
      </c>
      <c r="L219">
        <v>3.3506</v>
      </c>
      <c r="M219">
        <v>18.486999999999998</v>
      </c>
      <c r="N219">
        <v>0</v>
      </c>
      <c r="O219">
        <v>0</v>
      </c>
    </row>
    <row r="220" spans="1:15" x14ac:dyDescent="0.25">
      <c r="A220" t="s">
        <v>14</v>
      </c>
      <c r="B220" t="s">
        <v>18</v>
      </c>
      <c r="C220">
        <v>63</v>
      </c>
      <c r="D220">
        <v>100</v>
      </c>
      <c r="E220">
        <v>12800</v>
      </c>
      <c r="F220" t="str">
        <f t="shared" si="3"/>
        <v>lena256_blurkernel10_63_100_12800</v>
      </c>
      <c r="G220">
        <v>0</v>
      </c>
      <c r="H220">
        <v>0</v>
      </c>
      <c r="I220">
        <v>1.613289E-3</v>
      </c>
      <c r="J220">
        <v>9.5300000000000002E-6</v>
      </c>
      <c r="K220">
        <v>13.509399999999999</v>
      </c>
      <c r="L220">
        <v>3.3506</v>
      </c>
      <c r="M220">
        <v>17.288900000000002</v>
      </c>
      <c r="N220">
        <v>0</v>
      </c>
      <c r="O220">
        <v>0</v>
      </c>
    </row>
    <row r="221" spans="1:15" x14ac:dyDescent="0.25">
      <c r="A221" t="s">
        <v>14</v>
      </c>
      <c r="B221" t="s">
        <v>18</v>
      </c>
      <c r="C221">
        <v>63</v>
      </c>
      <c r="D221">
        <v>100</v>
      </c>
      <c r="E221">
        <v>25600</v>
      </c>
      <c r="F221" t="str">
        <f t="shared" si="3"/>
        <v>lena256_blurkernel10_63_100_25600</v>
      </c>
      <c r="G221">
        <v>0</v>
      </c>
      <c r="H221">
        <v>0</v>
      </c>
      <c r="I221">
        <v>3.5305190000000002E-3</v>
      </c>
      <c r="J221">
        <v>9.5300000000000002E-6</v>
      </c>
      <c r="K221">
        <v>10.3338</v>
      </c>
      <c r="L221">
        <v>3.3506</v>
      </c>
      <c r="M221">
        <v>15.775399999999999</v>
      </c>
      <c r="N221">
        <v>0</v>
      </c>
      <c r="O221">
        <v>0</v>
      </c>
    </row>
    <row r="222" spans="1:15" x14ac:dyDescent="0.25">
      <c r="A222" t="s">
        <v>14</v>
      </c>
      <c r="B222" t="s">
        <v>15</v>
      </c>
      <c r="C222">
        <v>3</v>
      </c>
      <c r="D222">
        <v>100</v>
      </c>
      <c r="E222">
        <v>200</v>
      </c>
      <c r="F222" t="str">
        <f t="shared" si="3"/>
        <v>lena256_blurkernel7_3_100_200</v>
      </c>
      <c r="G222">
        <v>0</v>
      </c>
      <c r="H222">
        <v>0</v>
      </c>
      <c r="I222">
        <v>2.0733E-5</v>
      </c>
      <c r="J222">
        <v>9.6590000000000002E-6</v>
      </c>
      <c r="K222">
        <v>32.222499999999997</v>
      </c>
      <c r="L222">
        <v>18.029299999999999</v>
      </c>
      <c r="M222">
        <v>20.9359</v>
      </c>
      <c r="N222">
        <v>0</v>
      </c>
      <c r="O222">
        <v>0</v>
      </c>
    </row>
    <row r="223" spans="1:15" x14ac:dyDescent="0.25">
      <c r="A223" t="s">
        <v>14</v>
      </c>
      <c r="B223" t="s">
        <v>15</v>
      </c>
      <c r="C223">
        <v>3</v>
      </c>
      <c r="D223">
        <v>100</v>
      </c>
      <c r="E223">
        <v>400</v>
      </c>
      <c r="F223" t="str">
        <f t="shared" si="3"/>
        <v>lena256_blurkernel7_3_100_400</v>
      </c>
      <c r="G223">
        <v>0</v>
      </c>
      <c r="H223">
        <v>0</v>
      </c>
      <c r="I223">
        <v>4.3744E-5</v>
      </c>
      <c r="J223">
        <v>9.6590000000000002E-6</v>
      </c>
      <c r="K223">
        <v>28.9819</v>
      </c>
      <c r="L223">
        <v>18.029299999999999</v>
      </c>
      <c r="M223">
        <v>20.849499999999999</v>
      </c>
      <c r="N223">
        <v>0</v>
      </c>
      <c r="O223">
        <v>0</v>
      </c>
    </row>
    <row r="224" spans="1:15" x14ac:dyDescent="0.25">
      <c r="A224" t="s">
        <v>14</v>
      </c>
      <c r="B224" t="s">
        <v>15</v>
      </c>
      <c r="C224">
        <v>3</v>
      </c>
      <c r="D224">
        <v>100</v>
      </c>
      <c r="E224">
        <v>800</v>
      </c>
      <c r="F224" t="str">
        <f t="shared" si="3"/>
        <v>lena256_blurkernel7_3_100_800</v>
      </c>
      <c r="G224">
        <v>0</v>
      </c>
      <c r="H224">
        <v>0</v>
      </c>
      <c r="I224">
        <v>8.9307000000000004E-5</v>
      </c>
      <c r="J224">
        <v>9.6590000000000002E-6</v>
      </c>
      <c r="K224">
        <v>25.889700000000001</v>
      </c>
      <c r="L224">
        <v>18.029299999999999</v>
      </c>
      <c r="M224">
        <v>20.741399999999999</v>
      </c>
      <c r="N224">
        <v>0</v>
      </c>
      <c r="O224">
        <v>0</v>
      </c>
    </row>
    <row r="225" spans="1:15" x14ac:dyDescent="0.25">
      <c r="A225" t="s">
        <v>14</v>
      </c>
      <c r="B225" t="s">
        <v>15</v>
      </c>
      <c r="C225">
        <v>3</v>
      </c>
      <c r="D225">
        <v>100</v>
      </c>
      <c r="E225">
        <v>1600</v>
      </c>
      <c r="F225" t="str">
        <f t="shared" si="3"/>
        <v>lena256_blurkernel7_3_100_1600</v>
      </c>
      <c r="G225">
        <v>0</v>
      </c>
      <c r="H225">
        <v>0</v>
      </c>
      <c r="I225">
        <v>1.82201E-4</v>
      </c>
      <c r="J225">
        <v>9.6590000000000002E-6</v>
      </c>
      <c r="K225">
        <v>22.806699999999999</v>
      </c>
      <c r="L225">
        <v>18.029299999999999</v>
      </c>
      <c r="M225">
        <v>20.5733</v>
      </c>
      <c r="N225">
        <v>0</v>
      </c>
      <c r="O225">
        <v>0</v>
      </c>
    </row>
    <row r="226" spans="1:15" x14ac:dyDescent="0.25">
      <c r="A226" t="s">
        <v>14</v>
      </c>
      <c r="B226" t="s">
        <v>15</v>
      </c>
      <c r="C226">
        <v>3</v>
      </c>
      <c r="D226">
        <v>100</v>
      </c>
      <c r="E226">
        <v>3200</v>
      </c>
      <c r="F226" t="str">
        <f t="shared" si="3"/>
        <v>lena256_blurkernel7_3_100_3200</v>
      </c>
      <c r="G226">
        <v>0</v>
      </c>
      <c r="H226">
        <v>0</v>
      </c>
      <c r="I226">
        <v>3.7039700000000001E-4</v>
      </c>
      <c r="J226">
        <v>9.6590000000000002E-6</v>
      </c>
      <c r="K226">
        <v>19.744399999999999</v>
      </c>
      <c r="L226">
        <v>18.029299999999999</v>
      </c>
      <c r="M226">
        <v>20.231300000000001</v>
      </c>
      <c r="N226">
        <v>0</v>
      </c>
      <c r="O226">
        <v>0</v>
      </c>
    </row>
    <row r="227" spans="1:15" x14ac:dyDescent="0.25">
      <c r="A227" t="s">
        <v>14</v>
      </c>
      <c r="B227" t="s">
        <v>15</v>
      </c>
      <c r="C227">
        <v>3</v>
      </c>
      <c r="D227">
        <v>100</v>
      </c>
      <c r="E227">
        <v>6400</v>
      </c>
      <c r="F227" t="str">
        <f t="shared" si="3"/>
        <v>lena256_blurkernel7_3_100_6400</v>
      </c>
      <c r="G227">
        <v>0</v>
      </c>
      <c r="H227">
        <v>0</v>
      </c>
      <c r="I227">
        <v>7.6256900000000005E-4</v>
      </c>
      <c r="J227">
        <v>9.6590000000000002E-6</v>
      </c>
      <c r="K227">
        <v>16.658100000000001</v>
      </c>
      <c r="L227">
        <v>18.029299999999999</v>
      </c>
      <c r="M227">
        <v>19.896100000000001</v>
      </c>
      <c r="N227">
        <v>0</v>
      </c>
      <c r="O227">
        <v>0</v>
      </c>
    </row>
    <row r="228" spans="1:15" x14ac:dyDescent="0.25">
      <c r="A228" t="s">
        <v>14</v>
      </c>
      <c r="B228" t="s">
        <v>15</v>
      </c>
      <c r="C228">
        <v>3</v>
      </c>
      <c r="D228">
        <v>100</v>
      </c>
      <c r="E228">
        <v>12800</v>
      </c>
      <c r="F228" t="str">
        <f t="shared" si="3"/>
        <v>lena256_blurkernel7_3_100_12800</v>
      </c>
      <c r="G228">
        <v>0</v>
      </c>
      <c r="H228">
        <v>0</v>
      </c>
      <c r="I228">
        <v>1.5854949999999999E-3</v>
      </c>
      <c r="J228">
        <v>9.6590000000000002E-6</v>
      </c>
      <c r="K228">
        <v>13.585000000000001</v>
      </c>
      <c r="L228">
        <v>18.029299999999999</v>
      </c>
      <c r="M228">
        <v>19.3005</v>
      </c>
      <c r="N228">
        <v>0</v>
      </c>
      <c r="O228">
        <v>0</v>
      </c>
    </row>
    <row r="229" spans="1:15" x14ac:dyDescent="0.25">
      <c r="A229" t="s">
        <v>14</v>
      </c>
      <c r="B229" t="s">
        <v>15</v>
      </c>
      <c r="C229">
        <v>3</v>
      </c>
      <c r="D229">
        <v>100</v>
      </c>
      <c r="E229">
        <v>25600</v>
      </c>
      <c r="F229" t="str">
        <f t="shared" si="3"/>
        <v>lena256_blurkernel7_3_100_25600</v>
      </c>
      <c r="G229">
        <v>0</v>
      </c>
      <c r="H229">
        <v>0</v>
      </c>
      <c r="I229">
        <v>3.539366E-3</v>
      </c>
      <c r="J229">
        <v>9.6590000000000002E-6</v>
      </c>
      <c r="K229">
        <v>10.319800000000001</v>
      </c>
      <c r="L229">
        <v>18.029299999999999</v>
      </c>
      <c r="M229">
        <v>18.573799999999999</v>
      </c>
      <c r="N229">
        <v>0</v>
      </c>
      <c r="O229">
        <v>0</v>
      </c>
    </row>
    <row r="230" spans="1:15" x14ac:dyDescent="0.25">
      <c r="A230" t="s">
        <v>14</v>
      </c>
      <c r="B230" t="s">
        <v>15</v>
      </c>
      <c r="C230">
        <v>3</v>
      </c>
      <c r="D230">
        <v>100</v>
      </c>
      <c r="E230">
        <v>102400</v>
      </c>
      <c r="F230" t="str">
        <f t="shared" si="3"/>
        <v>lena256_blurkernel7_3_100_102400</v>
      </c>
      <c r="G230">
        <v>0</v>
      </c>
      <c r="H230">
        <v>0</v>
      </c>
      <c r="I230">
        <v>2.0950811E-2</v>
      </c>
      <c r="J230">
        <v>9.4599999999999992E-6</v>
      </c>
      <c r="K230">
        <v>4.1498999999999997</v>
      </c>
      <c r="L230">
        <v>18.029800000000002</v>
      </c>
      <c r="M230">
        <v>15.758800000000001</v>
      </c>
      <c r="N230">
        <v>0</v>
      </c>
      <c r="O230">
        <v>0</v>
      </c>
    </row>
    <row r="231" spans="1:15" x14ac:dyDescent="0.25">
      <c r="A231" t="s">
        <v>14</v>
      </c>
      <c r="B231" t="s">
        <v>15</v>
      </c>
      <c r="C231">
        <v>7</v>
      </c>
      <c r="D231">
        <v>100</v>
      </c>
      <c r="E231">
        <v>200</v>
      </c>
      <c r="F231" t="str">
        <f t="shared" si="3"/>
        <v>lena256_blurkernel7_7_100_200</v>
      </c>
      <c r="G231">
        <v>0</v>
      </c>
      <c r="H231">
        <v>0</v>
      </c>
      <c r="I231">
        <v>2.0764999999999999E-5</v>
      </c>
      <c r="J231">
        <v>9.5810000000000003E-6</v>
      </c>
      <c r="K231">
        <v>32.215899999999998</v>
      </c>
      <c r="L231">
        <v>12.170299999999999</v>
      </c>
      <c r="M231">
        <v>21.008700000000001</v>
      </c>
      <c r="N231">
        <v>0</v>
      </c>
      <c r="O231">
        <v>0</v>
      </c>
    </row>
    <row r="232" spans="1:15" x14ac:dyDescent="0.25">
      <c r="A232" t="s">
        <v>14</v>
      </c>
      <c r="B232" t="s">
        <v>15</v>
      </c>
      <c r="C232">
        <v>7</v>
      </c>
      <c r="D232">
        <v>100</v>
      </c>
      <c r="E232">
        <v>400</v>
      </c>
      <c r="F232" t="str">
        <f t="shared" si="3"/>
        <v>lena256_blurkernel7_7_100_400</v>
      </c>
      <c r="G232">
        <v>0</v>
      </c>
      <c r="H232">
        <v>0</v>
      </c>
      <c r="I232">
        <v>4.3451000000000001E-5</v>
      </c>
      <c r="J232">
        <v>9.5810000000000003E-6</v>
      </c>
      <c r="K232">
        <v>29.0123</v>
      </c>
      <c r="L232">
        <v>12.170299999999999</v>
      </c>
      <c r="M232">
        <v>20.866199999999999</v>
      </c>
      <c r="N232">
        <v>0</v>
      </c>
      <c r="O232">
        <v>0</v>
      </c>
    </row>
    <row r="233" spans="1:15" x14ac:dyDescent="0.25">
      <c r="A233" t="s">
        <v>14</v>
      </c>
      <c r="B233" t="s">
        <v>15</v>
      </c>
      <c r="C233">
        <v>7</v>
      </c>
      <c r="D233">
        <v>100</v>
      </c>
      <c r="E233">
        <v>800</v>
      </c>
      <c r="F233" t="str">
        <f t="shared" si="3"/>
        <v>lena256_blurkernel7_7_100_800</v>
      </c>
      <c r="G233">
        <v>0</v>
      </c>
      <c r="H233">
        <v>0</v>
      </c>
      <c r="I233">
        <v>8.9080999999999996E-5</v>
      </c>
      <c r="J233">
        <v>9.5810000000000003E-6</v>
      </c>
      <c r="K233">
        <v>25.899100000000001</v>
      </c>
      <c r="L233">
        <v>12.170299999999999</v>
      </c>
      <c r="M233">
        <v>20.6646</v>
      </c>
      <c r="N233">
        <v>0</v>
      </c>
      <c r="O233">
        <v>0</v>
      </c>
    </row>
    <row r="234" spans="1:15" x14ac:dyDescent="0.25">
      <c r="A234" t="s">
        <v>14</v>
      </c>
      <c r="B234" t="s">
        <v>15</v>
      </c>
      <c r="C234">
        <v>7</v>
      </c>
      <c r="D234">
        <v>100</v>
      </c>
      <c r="E234">
        <v>1600</v>
      </c>
      <c r="F234" t="str">
        <f t="shared" si="3"/>
        <v>lena256_blurkernel7_7_100_1600</v>
      </c>
      <c r="G234">
        <v>0</v>
      </c>
      <c r="H234">
        <v>0</v>
      </c>
      <c r="I234">
        <v>1.8110399999999999E-4</v>
      </c>
      <c r="J234">
        <v>9.5810000000000003E-6</v>
      </c>
      <c r="K234">
        <v>22.8294</v>
      </c>
      <c r="L234">
        <v>12.170299999999999</v>
      </c>
      <c r="M234">
        <v>20.310500000000001</v>
      </c>
      <c r="N234">
        <v>0</v>
      </c>
      <c r="O234">
        <v>0</v>
      </c>
    </row>
    <row r="235" spans="1:15" x14ac:dyDescent="0.25">
      <c r="A235" t="s">
        <v>14</v>
      </c>
      <c r="B235" t="s">
        <v>15</v>
      </c>
      <c r="C235">
        <v>7</v>
      </c>
      <c r="D235">
        <v>100</v>
      </c>
      <c r="E235">
        <v>3200</v>
      </c>
      <c r="F235" t="str">
        <f t="shared" si="3"/>
        <v>lena256_blurkernel7_7_100_3200</v>
      </c>
      <c r="G235">
        <v>0</v>
      </c>
      <c r="H235">
        <v>0</v>
      </c>
      <c r="I235">
        <v>3.6956199999999998E-4</v>
      </c>
      <c r="J235">
        <v>9.5810000000000003E-6</v>
      </c>
      <c r="K235">
        <v>19.753900000000002</v>
      </c>
      <c r="L235">
        <v>12.170299999999999</v>
      </c>
      <c r="M235">
        <v>19.773900000000001</v>
      </c>
      <c r="N235">
        <v>0</v>
      </c>
      <c r="O235">
        <v>0</v>
      </c>
    </row>
    <row r="236" spans="1:15" x14ac:dyDescent="0.25">
      <c r="A236" t="s">
        <v>14</v>
      </c>
      <c r="B236" t="s">
        <v>15</v>
      </c>
      <c r="C236">
        <v>7</v>
      </c>
      <c r="D236">
        <v>100</v>
      </c>
      <c r="E236">
        <v>6400</v>
      </c>
      <c r="F236" t="str">
        <f t="shared" si="3"/>
        <v>lena256_blurkernel7_7_100_6400</v>
      </c>
      <c r="G236">
        <v>0</v>
      </c>
      <c r="H236">
        <v>0</v>
      </c>
      <c r="I236">
        <v>7.6352799999999997E-4</v>
      </c>
      <c r="J236">
        <v>9.5810000000000003E-6</v>
      </c>
      <c r="K236">
        <v>16.6524</v>
      </c>
      <c r="L236">
        <v>12.170299999999999</v>
      </c>
      <c r="M236">
        <v>18.9621</v>
      </c>
      <c r="N236">
        <v>0</v>
      </c>
      <c r="O236">
        <v>0</v>
      </c>
    </row>
    <row r="237" spans="1:15" x14ac:dyDescent="0.25">
      <c r="A237" t="s">
        <v>14</v>
      </c>
      <c r="B237" t="s">
        <v>15</v>
      </c>
      <c r="C237">
        <v>7</v>
      </c>
      <c r="D237">
        <v>100</v>
      </c>
      <c r="E237">
        <v>12800</v>
      </c>
      <c r="F237" t="str">
        <f t="shared" si="3"/>
        <v>lena256_blurkernel7_7_100_12800</v>
      </c>
      <c r="G237">
        <v>0</v>
      </c>
      <c r="H237">
        <v>0</v>
      </c>
      <c r="I237">
        <v>1.6300010000000001E-3</v>
      </c>
      <c r="J237">
        <v>9.5810000000000003E-6</v>
      </c>
      <c r="K237">
        <v>13.4621</v>
      </c>
      <c r="L237">
        <v>12.170299999999999</v>
      </c>
      <c r="M237">
        <v>17.9054</v>
      </c>
      <c r="N237">
        <v>0</v>
      </c>
      <c r="O237">
        <v>0</v>
      </c>
    </row>
    <row r="238" spans="1:15" x14ac:dyDescent="0.25">
      <c r="A238" t="s">
        <v>14</v>
      </c>
      <c r="B238" t="s">
        <v>15</v>
      </c>
      <c r="C238">
        <v>7</v>
      </c>
      <c r="D238">
        <v>100</v>
      </c>
      <c r="E238">
        <v>25600</v>
      </c>
      <c r="F238" t="str">
        <f t="shared" si="3"/>
        <v>lena256_blurkernel7_7_100_25600</v>
      </c>
      <c r="G238">
        <v>0</v>
      </c>
      <c r="H238">
        <v>0</v>
      </c>
      <c r="I238">
        <v>3.563924E-3</v>
      </c>
      <c r="J238">
        <v>9.5810000000000003E-6</v>
      </c>
      <c r="K238">
        <v>10.288399999999999</v>
      </c>
      <c r="L238">
        <v>12.170299999999999</v>
      </c>
      <c r="M238">
        <v>16.534800000000001</v>
      </c>
      <c r="N238">
        <v>0</v>
      </c>
      <c r="O238">
        <v>0</v>
      </c>
    </row>
    <row r="239" spans="1:15" x14ac:dyDescent="0.25">
      <c r="A239" t="s">
        <v>14</v>
      </c>
      <c r="B239" t="s">
        <v>15</v>
      </c>
      <c r="C239">
        <v>7</v>
      </c>
      <c r="D239">
        <v>100</v>
      </c>
      <c r="E239">
        <v>102400</v>
      </c>
      <c r="F239" t="str">
        <f t="shared" si="3"/>
        <v>lena256_blurkernel7_7_100_102400</v>
      </c>
      <c r="G239">
        <v>0</v>
      </c>
      <c r="H239">
        <v>0</v>
      </c>
      <c r="I239">
        <v>2.1137915E-2</v>
      </c>
      <c r="J239">
        <v>9.4590000000000004E-6</v>
      </c>
      <c r="K239">
        <v>4.0827</v>
      </c>
      <c r="L239">
        <v>12.173299999999999</v>
      </c>
      <c r="M239">
        <v>12.9092</v>
      </c>
      <c r="N239">
        <v>0</v>
      </c>
      <c r="O239">
        <v>0</v>
      </c>
    </row>
    <row r="240" spans="1:15" x14ac:dyDescent="0.25">
      <c r="A240" t="s">
        <v>14</v>
      </c>
      <c r="B240" t="s">
        <v>15</v>
      </c>
      <c r="C240">
        <v>15</v>
      </c>
      <c r="D240">
        <v>100</v>
      </c>
      <c r="E240">
        <v>200</v>
      </c>
      <c r="F240" t="str">
        <f t="shared" si="3"/>
        <v>lena256_blurkernel7_15_100_200</v>
      </c>
      <c r="G240">
        <v>0</v>
      </c>
      <c r="H240">
        <v>0</v>
      </c>
      <c r="I240">
        <v>2.0970000000000001E-5</v>
      </c>
      <c r="J240">
        <v>9.5480000000000007E-6</v>
      </c>
      <c r="K240">
        <v>32.173000000000002</v>
      </c>
      <c r="L240">
        <v>8.2111000000000001</v>
      </c>
      <c r="M240">
        <v>21.866199999999999</v>
      </c>
      <c r="N240">
        <v>0</v>
      </c>
      <c r="O240">
        <v>0</v>
      </c>
    </row>
    <row r="241" spans="1:15" x14ac:dyDescent="0.25">
      <c r="A241" t="s">
        <v>14</v>
      </c>
      <c r="B241" t="s">
        <v>15</v>
      </c>
      <c r="C241">
        <v>15</v>
      </c>
      <c r="D241">
        <v>100</v>
      </c>
      <c r="E241">
        <v>400</v>
      </c>
      <c r="F241" t="str">
        <f t="shared" si="3"/>
        <v>lena256_blurkernel7_15_100_400</v>
      </c>
      <c r="G241">
        <v>0</v>
      </c>
      <c r="H241">
        <v>0</v>
      </c>
      <c r="I241">
        <v>4.3358000000000001E-5</v>
      </c>
      <c r="J241">
        <v>9.5480000000000007E-6</v>
      </c>
      <c r="K241">
        <v>29.02</v>
      </c>
      <c r="L241">
        <v>8.2111000000000001</v>
      </c>
      <c r="M241">
        <v>21.700800000000001</v>
      </c>
      <c r="N241">
        <v>0</v>
      </c>
      <c r="O241">
        <v>0</v>
      </c>
    </row>
    <row r="242" spans="1:15" x14ac:dyDescent="0.25">
      <c r="A242" t="s">
        <v>14</v>
      </c>
      <c r="B242" t="s">
        <v>15</v>
      </c>
      <c r="C242">
        <v>15</v>
      </c>
      <c r="D242">
        <v>100</v>
      </c>
      <c r="E242">
        <v>800</v>
      </c>
      <c r="F242" t="str">
        <f t="shared" si="3"/>
        <v>lena256_blurkernel7_15_100_800</v>
      </c>
      <c r="G242">
        <v>0</v>
      </c>
      <c r="H242">
        <v>0</v>
      </c>
      <c r="I242">
        <v>8.8891E-5</v>
      </c>
      <c r="J242">
        <v>9.5480000000000007E-6</v>
      </c>
      <c r="K242">
        <v>25.9084</v>
      </c>
      <c r="L242">
        <v>8.2111000000000001</v>
      </c>
      <c r="M242">
        <v>21.394500000000001</v>
      </c>
      <c r="N242">
        <v>0</v>
      </c>
      <c r="O242">
        <v>0</v>
      </c>
    </row>
    <row r="243" spans="1:15" x14ac:dyDescent="0.25">
      <c r="A243" t="s">
        <v>14</v>
      </c>
      <c r="B243" t="s">
        <v>15</v>
      </c>
      <c r="C243">
        <v>15</v>
      </c>
      <c r="D243">
        <v>100</v>
      </c>
      <c r="E243">
        <v>1600</v>
      </c>
      <c r="F243" t="str">
        <f t="shared" si="3"/>
        <v>lena256_blurkernel7_15_100_1600</v>
      </c>
      <c r="G243">
        <v>0</v>
      </c>
      <c r="H243">
        <v>0</v>
      </c>
      <c r="I243">
        <v>1.82342E-4</v>
      </c>
      <c r="J243">
        <v>9.5480000000000007E-6</v>
      </c>
      <c r="K243">
        <v>22.795100000000001</v>
      </c>
      <c r="L243">
        <v>8.2111000000000001</v>
      </c>
      <c r="M243">
        <v>20.975899999999999</v>
      </c>
      <c r="N243">
        <v>0</v>
      </c>
      <c r="O243">
        <v>0</v>
      </c>
    </row>
    <row r="244" spans="1:15" x14ac:dyDescent="0.25">
      <c r="A244" t="s">
        <v>14</v>
      </c>
      <c r="B244" t="s">
        <v>15</v>
      </c>
      <c r="C244">
        <v>15</v>
      </c>
      <c r="D244">
        <v>100</v>
      </c>
      <c r="E244">
        <v>3200</v>
      </c>
      <c r="F244" t="str">
        <f t="shared" si="3"/>
        <v>lena256_blurkernel7_15_100_3200</v>
      </c>
      <c r="G244">
        <v>0</v>
      </c>
      <c r="H244">
        <v>0</v>
      </c>
      <c r="I244">
        <v>3.7037000000000002E-4</v>
      </c>
      <c r="J244">
        <v>9.5480000000000007E-6</v>
      </c>
      <c r="K244">
        <v>19.748000000000001</v>
      </c>
      <c r="L244">
        <v>8.2111000000000001</v>
      </c>
      <c r="M244">
        <v>20.244700000000002</v>
      </c>
      <c r="N244">
        <v>0</v>
      </c>
      <c r="O244">
        <v>0</v>
      </c>
    </row>
    <row r="245" spans="1:15" x14ac:dyDescent="0.25">
      <c r="A245" t="s">
        <v>14</v>
      </c>
      <c r="B245" t="s">
        <v>15</v>
      </c>
      <c r="C245">
        <v>15</v>
      </c>
      <c r="D245">
        <v>100</v>
      </c>
      <c r="E245">
        <v>6400</v>
      </c>
      <c r="F245" t="str">
        <f t="shared" si="3"/>
        <v>lena256_blurkernel7_15_100_6400</v>
      </c>
      <c r="G245">
        <v>0</v>
      </c>
      <c r="H245">
        <v>0</v>
      </c>
      <c r="I245">
        <v>7.5653199999999997E-4</v>
      </c>
      <c r="J245">
        <v>9.5480000000000007E-6</v>
      </c>
      <c r="K245">
        <v>16.679099999999998</v>
      </c>
      <c r="L245">
        <v>8.2111000000000001</v>
      </c>
      <c r="M245">
        <v>19.292999999999999</v>
      </c>
      <c r="N245">
        <v>0</v>
      </c>
      <c r="O245">
        <v>0</v>
      </c>
    </row>
    <row r="246" spans="1:15" x14ac:dyDescent="0.25">
      <c r="A246" t="s">
        <v>14</v>
      </c>
      <c r="B246" t="s">
        <v>15</v>
      </c>
      <c r="C246">
        <v>15</v>
      </c>
      <c r="D246">
        <v>100</v>
      </c>
      <c r="E246">
        <v>12800</v>
      </c>
      <c r="F246" t="str">
        <f t="shared" si="3"/>
        <v>lena256_blurkernel7_15_100_12800</v>
      </c>
      <c r="G246">
        <v>0</v>
      </c>
      <c r="H246">
        <v>0</v>
      </c>
      <c r="I246">
        <v>1.611843E-3</v>
      </c>
      <c r="J246">
        <v>9.5480000000000007E-6</v>
      </c>
      <c r="K246">
        <v>13.5122</v>
      </c>
      <c r="L246">
        <v>8.2111000000000001</v>
      </c>
      <c r="M246">
        <v>18.007200000000001</v>
      </c>
      <c r="N246">
        <v>0</v>
      </c>
      <c r="O246">
        <v>0</v>
      </c>
    </row>
    <row r="247" spans="1:15" x14ac:dyDescent="0.25">
      <c r="A247" t="s">
        <v>14</v>
      </c>
      <c r="B247" t="s">
        <v>15</v>
      </c>
      <c r="C247">
        <v>15</v>
      </c>
      <c r="D247">
        <v>100</v>
      </c>
      <c r="E247">
        <v>25600</v>
      </c>
      <c r="F247" t="str">
        <f t="shared" si="3"/>
        <v>lena256_blurkernel7_15_100_25600</v>
      </c>
      <c r="G247">
        <v>0</v>
      </c>
      <c r="H247">
        <v>0</v>
      </c>
      <c r="I247">
        <v>3.5443530000000001E-3</v>
      </c>
      <c r="J247">
        <v>9.5480000000000007E-6</v>
      </c>
      <c r="K247">
        <v>10.331099999999999</v>
      </c>
      <c r="L247">
        <v>8.2111000000000001</v>
      </c>
      <c r="M247">
        <v>16.27</v>
      </c>
      <c r="N247">
        <v>0</v>
      </c>
      <c r="O247">
        <v>0</v>
      </c>
    </row>
    <row r="248" spans="1:15" x14ac:dyDescent="0.25">
      <c r="A248" t="s">
        <v>14</v>
      </c>
      <c r="B248" t="s">
        <v>15</v>
      </c>
      <c r="C248">
        <v>15</v>
      </c>
      <c r="D248">
        <v>100</v>
      </c>
      <c r="E248">
        <v>102400</v>
      </c>
      <c r="F248" t="str">
        <f t="shared" si="3"/>
        <v>lena256_blurkernel7_15_100_102400</v>
      </c>
      <c r="G248">
        <v>0</v>
      </c>
      <c r="H248">
        <v>0</v>
      </c>
      <c r="I248">
        <v>2.1184960999999999E-2</v>
      </c>
      <c r="J248">
        <v>9.5389999999999996E-6</v>
      </c>
      <c r="K248">
        <v>4.1521999999999997</v>
      </c>
      <c r="L248">
        <v>8.2073999999999998</v>
      </c>
      <c r="M248">
        <v>11.956899999999999</v>
      </c>
      <c r="N248">
        <v>0</v>
      </c>
      <c r="O248">
        <v>0</v>
      </c>
    </row>
    <row r="249" spans="1:15" x14ac:dyDescent="0.25">
      <c r="A249" t="s">
        <v>14</v>
      </c>
      <c r="B249" t="s">
        <v>15</v>
      </c>
      <c r="C249">
        <v>31</v>
      </c>
      <c r="D249">
        <v>100</v>
      </c>
      <c r="E249">
        <v>200</v>
      </c>
      <c r="F249" t="str">
        <f t="shared" si="3"/>
        <v>lena256_blurkernel7_31_100_200</v>
      </c>
      <c r="G249">
        <v>0</v>
      </c>
      <c r="H249">
        <v>0</v>
      </c>
      <c r="I249">
        <v>2.0839000000000002E-5</v>
      </c>
      <c r="J249">
        <v>9.4979999999999995E-6</v>
      </c>
      <c r="K249">
        <v>32.200099999999999</v>
      </c>
      <c r="L249">
        <v>5.3189000000000002</v>
      </c>
      <c r="M249">
        <v>21.878299999999999</v>
      </c>
      <c r="N249">
        <v>0</v>
      </c>
      <c r="O249">
        <v>0</v>
      </c>
    </row>
    <row r="250" spans="1:15" x14ac:dyDescent="0.25">
      <c r="A250" t="s">
        <v>14</v>
      </c>
      <c r="B250" t="s">
        <v>15</v>
      </c>
      <c r="C250">
        <v>31</v>
      </c>
      <c r="D250">
        <v>100</v>
      </c>
      <c r="E250">
        <v>400</v>
      </c>
      <c r="F250" t="str">
        <f t="shared" si="3"/>
        <v>lena256_blurkernel7_31_100_400</v>
      </c>
      <c r="G250">
        <v>0</v>
      </c>
      <c r="H250">
        <v>0</v>
      </c>
      <c r="I250">
        <v>4.3507000000000002E-5</v>
      </c>
      <c r="J250">
        <v>9.4979999999999995E-6</v>
      </c>
      <c r="K250">
        <v>29.006799999999998</v>
      </c>
      <c r="L250">
        <v>5.3189000000000002</v>
      </c>
      <c r="M250">
        <v>21.718699999999998</v>
      </c>
      <c r="N250">
        <v>0</v>
      </c>
      <c r="O250">
        <v>0</v>
      </c>
    </row>
    <row r="251" spans="1:15" x14ac:dyDescent="0.25">
      <c r="A251" t="s">
        <v>14</v>
      </c>
      <c r="B251" t="s">
        <v>15</v>
      </c>
      <c r="C251">
        <v>31</v>
      </c>
      <c r="D251">
        <v>100</v>
      </c>
      <c r="E251">
        <v>800</v>
      </c>
      <c r="F251" t="str">
        <f t="shared" si="3"/>
        <v>lena256_blurkernel7_31_100_800</v>
      </c>
      <c r="G251">
        <v>0</v>
      </c>
      <c r="H251">
        <v>0</v>
      </c>
      <c r="I251">
        <v>8.8931999999999995E-5</v>
      </c>
      <c r="J251">
        <v>9.4979999999999995E-6</v>
      </c>
      <c r="K251">
        <v>25.9054</v>
      </c>
      <c r="L251">
        <v>5.3189000000000002</v>
      </c>
      <c r="M251">
        <v>21.381799999999998</v>
      </c>
      <c r="N251">
        <v>0</v>
      </c>
      <c r="O251">
        <v>0</v>
      </c>
    </row>
    <row r="252" spans="1:15" x14ac:dyDescent="0.25">
      <c r="A252" t="s">
        <v>14</v>
      </c>
      <c r="B252" t="s">
        <v>15</v>
      </c>
      <c r="C252">
        <v>31</v>
      </c>
      <c r="D252">
        <v>100</v>
      </c>
      <c r="E252">
        <v>1600</v>
      </c>
      <c r="F252" t="str">
        <f t="shared" si="3"/>
        <v>lena256_blurkernel7_31_100_1600</v>
      </c>
      <c r="G252">
        <v>0</v>
      </c>
      <c r="H252">
        <v>0</v>
      </c>
      <c r="I252">
        <v>1.7836600000000001E-4</v>
      </c>
      <c r="J252">
        <v>9.4979999999999995E-6</v>
      </c>
      <c r="K252">
        <v>22.896799999999999</v>
      </c>
      <c r="L252">
        <v>5.3189000000000002</v>
      </c>
      <c r="M252">
        <v>20.9802</v>
      </c>
      <c r="N252">
        <v>0</v>
      </c>
      <c r="O252">
        <v>0</v>
      </c>
    </row>
    <row r="253" spans="1:15" x14ac:dyDescent="0.25">
      <c r="A253" t="s">
        <v>14</v>
      </c>
      <c r="B253" t="s">
        <v>15</v>
      </c>
      <c r="C253">
        <v>31</v>
      </c>
      <c r="D253">
        <v>100</v>
      </c>
      <c r="E253">
        <v>3200</v>
      </c>
      <c r="F253" t="str">
        <f t="shared" si="3"/>
        <v>lena256_blurkernel7_31_100_3200</v>
      </c>
      <c r="G253">
        <v>0</v>
      </c>
      <c r="H253">
        <v>0</v>
      </c>
      <c r="I253">
        <v>3.6501300000000002E-4</v>
      </c>
      <c r="J253">
        <v>9.4979999999999995E-6</v>
      </c>
      <c r="K253">
        <v>19.8081</v>
      </c>
      <c r="L253">
        <v>5.3189000000000002</v>
      </c>
      <c r="M253">
        <v>20.209499999999998</v>
      </c>
      <c r="N253">
        <v>0</v>
      </c>
      <c r="O253">
        <v>0</v>
      </c>
    </row>
    <row r="254" spans="1:15" x14ac:dyDescent="0.25">
      <c r="A254" t="s">
        <v>14</v>
      </c>
      <c r="B254" t="s">
        <v>15</v>
      </c>
      <c r="C254">
        <v>31</v>
      </c>
      <c r="D254">
        <v>100</v>
      </c>
      <c r="E254">
        <v>6400</v>
      </c>
      <c r="F254" t="str">
        <f t="shared" si="3"/>
        <v>lena256_blurkernel7_31_100_6400</v>
      </c>
      <c r="G254">
        <v>0</v>
      </c>
      <c r="H254">
        <v>0</v>
      </c>
      <c r="I254">
        <v>7.6126799999999995E-4</v>
      </c>
      <c r="J254">
        <v>9.4979999999999995E-6</v>
      </c>
      <c r="K254">
        <v>16.670200000000001</v>
      </c>
      <c r="L254">
        <v>5.3189000000000002</v>
      </c>
      <c r="M254">
        <v>19.273800000000001</v>
      </c>
      <c r="N254">
        <v>0</v>
      </c>
      <c r="O254">
        <v>0</v>
      </c>
    </row>
    <row r="255" spans="1:15" x14ac:dyDescent="0.25">
      <c r="A255" t="s">
        <v>14</v>
      </c>
      <c r="B255" t="s">
        <v>15</v>
      </c>
      <c r="C255">
        <v>31</v>
      </c>
      <c r="D255">
        <v>100</v>
      </c>
      <c r="E255">
        <v>12800</v>
      </c>
      <c r="F255" t="str">
        <f t="shared" si="3"/>
        <v>lena256_blurkernel7_31_100_12800</v>
      </c>
      <c r="G255">
        <v>0</v>
      </c>
      <c r="H255">
        <v>0</v>
      </c>
      <c r="I255">
        <v>1.6208259999999999E-3</v>
      </c>
      <c r="J255">
        <v>9.4979999999999995E-6</v>
      </c>
      <c r="K255">
        <v>13.482200000000001</v>
      </c>
      <c r="L255">
        <v>5.3189000000000002</v>
      </c>
      <c r="M255">
        <v>17.853200000000001</v>
      </c>
      <c r="N255">
        <v>0</v>
      </c>
      <c r="O255">
        <v>0</v>
      </c>
    </row>
    <row r="256" spans="1:15" x14ac:dyDescent="0.25">
      <c r="A256" t="s">
        <v>14</v>
      </c>
      <c r="B256" t="s">
        <v>15</v>
      </c>
      <c r="C256">
        <v>31</v>
      </c>
      <c r="D256">
        <v>100</v>
      </c>
      <c r="E256">
        <v>25600</v>
      </c>
      <c r="F256" t="str">
        <f t="shared" si="3"/>
        <v>lena256_blurkernel7_31_100_25600</v>
      </c>
      <c r="G256">
        <v>0</v>
      </c>
      <c r="H256">
        <v>0</v>
      </c>
      <c r="I256">
        <v>3.582666E-3</v>
      </c>
      <c r="J256">
        <v>9.4979999999999995E-6</v>
      </c>
      <c r="K256">
        <v>10.2775</v>
      </c>
      <c r="L256">
        <v>5.3189000000000002</v>
      </c>
      <c r="M256">
        <v>16.187200000000001</v>
      </c>
      <c r="N256">
        <v>0</v>
      </c>
      <c r="O256">
        <v>0</v>
      </c>
    </row>
    <row r="257" spans="1:15" x14ac:dyDescent="0.25">
      <c r="A257" t="s">
        <v>14</v>
      </c>
      <c r="B257" t="s">
        <v>15</v>
      </c>
      <c r="C257">
        <v>31</v>
      </c>
      <c r="D257">
        <v>100</v>
      </c>
      <c r="E257">
        <v>102400</v>
      </c>
      <c r="F257" t="str">
        <f t="shared" si="3"/>
        <v>lena256_blurkernel7_31_100_102400</v>
      </c>
      <c r="G257">
        <v>0</v>
      </c>
      <c r="H257">
        <v>0</v>
      </c>
      <c r="I257">
        <v>2.0931994999999998E-2</v>
      </c>
      <c r="J257">
        <v>9.5389999999999996E-6</v>
      </c>
      <c r="K257">
        <v>4.1477000000000004</v>
      </c>
      <c r="L257">
        <v>5.3186</v>
      </c>
      <c r="M257">
        <v>11.7425</v>
      </c>
      <c r="N257">
        <v>0</v>
      </c>
      <c r="O257">
        <v>0</v>
      </c>
    </row>
    <row r="258" spans="1:15" x14ac:dyDescent="0.25">
      <c r="A258" t="s">
        <v>14</v>
      </c>
      <c r="B258" t="s">
        <v>15</v>
      </c>
      <c r="C258">
        <v>63</v>
      </c>
      <c r="D258">
        <v>100</v>
      </c>
      <c r="E258">
        <v>200</v>
      </c>
      <c r="F258" t="str">
        <f t="shared" ref="F258:F321" si="4">A258&amp;"_"&amp;B258&amp;"_"&amp;C258&amp;"_"&amp;D258&amp;"_"&amp;E258</f>
        <v>lena256_blurkernel7_63_100_200</v>
      </c>
      <c r="G258">
        <v>0</v>
      </c>
      <c r="H258">
        <v>0</v>
      </c>
      <c r="I258">
        <v>2.0809E-5</v>
      </c>
      <c r="J258">
        <v>9.6560000000000004E-6</v>
      </c>
      <c r="K258">
        <v>32.206699999999998</v>
      </c>
      <c r="L258">
        <v>2.8426999999999998</v>
      </c>
      <c r="M258">
        <v>21.086099999999998</v>
      </c>
      <c r="N258">
        <v>0</v>
      </c>
      <c r="O258">
        <v>0</v>
      </c>
    </row>
    <row r="259" spans="1:15" x14ac:dyDescent="0.25">
      <c r="A259" t="s">
        <v>14</v>
      </c>
      <c r="B259" t="s">
        <v>15</v>
      </c>
      <c r="C259">
        <v>63</v>
      </c>
      <c r="D259">
        <v>100</v>
      </c>
      <c r="E259">
        <v>400</v>
      </c>
      <c r="F259" t="str">
        <f t="shared" si="4"/>
        <v>lena256_blurkernel7_63_100_400</v>
      </c>
      <c r="G259">
        <v>0</v>
      </c>
      <c r="H259">
        <v>0</v>
      </c>
      <c r="I259">
        <v>4.3554999999999999E-5</v>
      </c>
      <c r="J259">
        <v>9.6560000000000004E-6</v>
      </c>
      <c r="K259">
        <v>29.000299999999999</v>
      </c>
      <c r="L259">
        <v>2.8426999999999998</v>
      </c>
      <c r="M259">
        <v>20.935500000000001</v>
      </c>
      <c r="N259">
        <v>0</v>
      </c>
      <c r="O259">
        <v>0</v>
      </c>
    </row>
    <row r="260" spans="1:15" x14ac:dyDescent="0.25">
      <c r="A260" t="s">
        <v>14</v>
      </c>
      <c r="B260" t="s">
        <v>15</v>
      </c>
      <c r="C260">
        <v>63</v>
      </c>
      <c r="D260">
        <v>100</v>
      </c>
      <c r="E260">
        <v>800</v>
      </c>
      <c r="F260" t="str">
        <f t="shared" si="4"/>
        <v>lena256_blurkernel7_63_100_800</v>
      </c>
      <c r="G260">
        <v>0</v>
      </c>
      <c r="H260">
        <v>0</v>
      </c>
      <c r="I260">
        <v>8.9161999999999998E-5</v>
      </c>
      <c r="J260">
        <v>9.6560000000000004E-6</v>
      </c>
      <c r="K260">
        <v>25.894100000000002</v>
      </c>
      <c r="L260">
        <v>2.8426999999999998</v>
      </c>
      <c r="M260">
        <v>20.7196</v>
      </c>
      <c r="N260">
        <v>0</v>
      </c>
      <c r="O260">
        <v>0</v>
      </c>
    </row>
    <row r="261" spans="1:15" x14ac:dyDescent="0.25">
      <c r="A261" t="s">
        <v>14</v>
      </c>
      <c r="B261" t="s">
        <v>15</v>
      </c>
      <c r="C261">
        <v>63</v>
      </c>
      <c r="D261">
        <v>100</v>
      </c>
      <c r="E261">
        <v>1600</v>
      </c>
      <c r="F261" t="str">
        <f t="shared" si="4"/>
        <v>lena256_blurkernel7_63_100_1600</v>
      </c>
      <c r="G261">
        <v>0</v>
      </c>
      <c r="H261">
        <v>0</v>
      </c>
      <c r="I261">
        <v>1.81371E-4</v>
      </c>
      <c r="J261">
        <v>9.6560000000000004E-6</v>
      </c>
      <c r="K261">
        <v>22.829000000000001</v>
      </c>
      <c r="L261">
        <v>2.8426999999999998</v>
      </c>
      <c r="M261">
        <v>20.213200000000001</v>
      </c>
      <c r="N261">
        <v>0</v>
      </c>
      <c r="O261">
        <v>0</v>
      </c>
    </row>
    <row r="262" spans="1:15" x14ac:dyDescent="0.25">
      <c r="A262" t="s">
        <v>14</v>
      </c>
      <c r="B262" t="s">
        <v>15</v>
      </c>
      <c r="C262">
        <v>63</v>
      </c>
      <c r="D262">
        <v>100</v>
      </c>
      <c r="E262">
        <v>3200</v>
      </c>
      <c r="F262" t="str">
        <f t="shared" si="4"/>
        <v>lena256_blurkernel7_63_100_3200</v>
      </c>
      <c r="G262">
        <v>0</v>
      </c>
      <c r="H262">
        <v>0</v>
      </c>
      <c r="I262">
        <v>3.7152600000000001E-4</v>
      </c>
      <c r="J262">
        <v>9.6560000000000004E-6</v>
      </c>
      <c r="K262">
        <v>19.730699999999999</v>
      </c>
      <c r="L262">
        <v>2.8426999999999998</v>
      </c>
      <c r="M262">
        <v>19.578199999999999</v>
      </c>
      <c r="N262">
        <v>0</v>
      </c>
      <c r="O262">
        <v>0</v>
      </c>
    </row>
    <row r="263" spans="1:15" x14ac:dyDescent="0.25">
      <c r="A263" t="s">
        <v>14</v>
      </c>
      <c r="B263" t="s">
        <v>15</v>
      </c>
      <c r="C263">
        <v>63</v>
      </c>
      <c r="D263">
        <v>100</v>
      </c>
      <c r="E263">
        <v>6400</v>
      </c>
      <c r="F263" t="str">
        <f t="shared" si="4"/>
        <v>lena256_blurkernel7_63_100_6400</v>
      </c>
      <c r="G263">
        <v>0</v>
      </c>
      <c r="H263">
        <v>0</v>
      </c>
      <c r="I263">
        <v>7.6292500000000002E-4</v>
      </c>
      <c r="J263">
        <v>9.6560000000000004E-6</v>
      </c>
      <c r="K263">
        <v>16.654</v>
      </c>
      <c r="L263">
        <v>2.8426999999999998</v>
      </c>
      <c r="M263">
        <v>18.714400000000001</v>
      </c>
      <c r="N263">
        <v>0</v>
      </c>
      <c r="O263">
        <v>0</v>
      </c>
    </row>
    <row r="264" spans="1:15" x14ac:dyDescent="0.25">
      <c r="A264" t="s">
        <v>14</v>
      </c>
      <c r="B264" t="s">
        <v>15</v>
      </c>
      <c r="C264">
        <v>63</v>
      </c>
      <c r="D264">
        <v>100</v>
      </c>
      <c r="E264">
        <v>12800</v>
      </c>
      <c r="F264" t="str">
        <f t="shared" si="4"/>
        <v>lena256_blurkernel7_63_100_12800</v>
      </c>
      <c r="G264">
        <v>0</v>
      </c>
      <c r="H264">
        <v>0</v>
      </c>
      <c r="I264">
        <v>1.610181E-3</v>
      </c>
      <c r="J264">
        <v>9.6560000000000004E-6</v>
      </c>
      <c r="K264">
        <v>13.520799999999999</v>
      </c>
      <c r="L264">
        <v>2.8426999999999998</v>
      </c>
      <c r="M264">
        <v>17.4727</v>
      </c>
      <c r="N264">
        <v>0</v>
      </c>
      <c r="O264">
        <v>0</v>
      </c>
    </row>
    <row r="265" spans="1:15" x14ac:dyDescent="0.25">
      <c r="A265" t="s">
        <v>14</v>
      </c>
      <c r="B265" t="s">
        <v>15</v>
      </c>
      <c r="C265">
        <v>63</v>
      </c>
      <c r="D265">
        <v>100</v>
      </c>
      <c r="E265">
        <v>25600</v>
      </c>
      <c r="F265" t="str">
        <f t="shared" si="4"/>
        <v>lena256_blurkernel7_63_100_25600</v>
      </c>
      <c r="G265">
        <v>0</v>
      </c>
      <c r="H265">
        <v>0</v>
      </c>
      <c r="I265">
        <v>3.5781319999999999E-3</v>
      </c>
      <c r="J265">
        <v>9.6560000000000004E-6</v>
      </c>
      <c r="K265">
        <v>10.2803</v>
      </c>
      <c r="L265">
        <v>2.8426999999999998</v>
      </c>
      <c r="M265">
        <v>15.6374</v>
      </c>
      <c r="N265">
        <v>0</v>
      </c>
      <c r="O265">
        <v>0</v>
      </c>
    </row>
    <row r="266" spans="1:15" x14ac:dyDescent="0.25">
      <c r="A266" t="s">
        <v>14</v>
      </c>
      <c r="B266" t="s">
        <v>16</v>
      </c>
      <c r="C266">
        <v>3</v>
      </c>
      <c r="D266">
        <v>100</v>
      </c>
      <c r="E266">
        <v>200</v>
      </c>
      <c r="F266" t="str">
        <f t="shared" si="4"/>
        <v>lena256_blurkernel8_3_100_200</v>
      </c>
      <c r="G266">
        <v>0</v>
      </c>
      <c r="H266">
        <v>0</v>
      </c>
      <c r="I266">
        <v>2.0908999999999999E-5</v>
      </c>
      <c r="J266">
        <v>9.5740000000000002E-6</v>
      </c>
      <c r="K266">
        <v>32.188200000000002</v>
      </c>
      <c r="L266">
        <v>17.594200000000001</v>
      </c>
      <c r="M266">
        <v>21.0289</v>
      </c>
      <c r="N266">
        <v>0</v>
      </c>
      <c r="O266">
        <v>0</v>
      </c>
    </row>
    <row r="267" spans="1:15" x14ac:dyDescent="0.25">
      <c r="A267" t="s">
        <v>14</v>
      </c>
      <c r="B267" t="s">
        <v>16</v>
      </c>
      <c r="C267">
        <v>3</v>
      </c>
      <c r="D267">
        <v>100</v>
      </c>
      <c r="E267">
        <v>400</v>
      </c>
      <c r="F267" t="str">
        <f t="shared" si="4"/>
        <v>lena256_blurkernel8_3_100_400</v>
      </c>
      <c r="G267">
        <v>0</v>
      </c>
      <c r="H267">
        <v>0</v>
      </c>
      <c r="I267">
        <v>4.3472E-5</v>
      </c>
      <c r="J267">
        <v>9.5740000000000002E-6</v>
      </c>
      <c r="K267">
        <v>29.008800000000001</v>
      </c>
      <c r="L267">
        <v>17.594200000000001</v>
      </c>
      <c r="M267">
        <v>20.955500000000001</v>
      </c>
      <c r="N267">
        <v>0</v>
      </c>
      <c r="O267">
        <v>0</v>
      </c>
    </row>
    <row r="268" spans="1:15" x14ac:dyDescent="0.25">
      <c r="A268" t="s">
        <v>14</v>
      </c>
      <c r="B268" t="s">
        <v>16</v>
      </c>
      <c r="C268">
        <v>3</v>
      </c>
      <c r="D268">
        <v>100</v>
      </c>
      <c r="E268">
        <v>800</v>
      </c>
      <c r="F268" t="str">
        <f t="shared" si="4"/>
        <v>lena256_blurkernel8_3_100_800</v>
      </c>
      <c r="G268">
        <v>0</v>
      </c>
      <c r="H268">
        <v>0</v>
      </c>
      <c r="I268">
        <v>8.9310999999999999E-5</v>
      </c>
      <c r="J268">
        <v>9.5740000000000002E-6</v>
      </c>
      <c r="K268">
        <v>25.886399999999998</v>
      </c>
      <c r="L268">
        <v>17.594200000000001</v>
      </c>
      <c r="M268">
        <v>20.8186</v>
      </c>
      <c r="N268">
        <v>0</v>
      </c>
      <c r="O268">
        <v>0</v>
      </c>
    </row>
    <row r="269" spans="1:15" x14ac:dyDescent="0.25">
      <c r="A269" t="s">
        <v>14</v>
      </c>
      <c r="B269" t="s">
        <v>16</v>
      </c>
      <c r="C269">
        <v>3</v>
      </c>
      <c r="D269">
        <v>100</v>
      </c>
      <c r="E269">
        <v>1600</v>
      </c>
      <c r="F269" t="str">
        <f t="shared" si="4"/>
        <v>lena256_blurkernel8_3_100_1600</v>
      </c>
      <c r="G269">
        <v>0</v>
      </c>
      <c r="H269">
        <v>0</v>
      </c>
      <c r="I269">
        <v>1.8110199999999999E-4</v>
      </c>
      <c r="J269">
        <v>9.5740000000000002E-6</v>
      </c>
      <c r="K269">
        <v>22.826599999999999</v>
      </c>
      <c r="L269">
        <v>17.594200000000001</v>
      </c>
      <c r="M269">
        <v>20.613800000000001</v>
      </c>
      <c r="N269">
        <v>0</v>
      </c>
      <c r="O269">
        <v>0</v>
      </c>
    </row>
    <row r="270" spans="1:15" x14ac:dyDescent="0.25">
      <c r="A270" t="s">
        <v>14</v>
      </c>
      <c r="B270" t="s">
        <v>16</v>
      </c>
      <c r="C270">
        <v>3</v>
      </c>
      <c r="D270">
        <v>100</v>
      </c>
      <c r="E270">
        <v>3200</v>
      </c>
      <c r="F270" t="str">
        <f t="shared" si="4"/>
        <v>lena256_blurkernel8_3_100_3200</v>
      </c>
      <c r="G270">
        <v>0</v>
      </c>
      <c r="H270">
        <v>0</v>
      </c>
      <c r="I270">
        <v>3.6981699999999999E-4</v>
      </c>
      <c r="J270">
        <v>9.5740000000000002E-6</v>
      </c>
      <c r="K270">
        <v>19.7561</v>
      </c>
      <c r="L270">
        <v>17.594200000000001</v>
      </c>
      <c r="M270">
        <v>20.3294</v>
      </c>
      <c r="N270">
        <v>0</v>
      </c>
      <c r="O270">
        <v>0</v>
      </c>
    </row>
    <row r="271" spans="1:15" x14ac:dyDescent="0.25">
      <c r="A271" t="s">
        <v>14</v>
      </c>
      <c r="B271" t="s">
        <v>16</v>
      </c>
      <c r="C271">
        <v>3</v>
      </c>
      <c r="D271">
        <v>100</v>
      </c>
      <c r="E271">
        <v>6400</v>
      </c>
      <c r="F271" t="str">
        <f t="shared" si="4"/>
        <v>lena256_blurkernel8_3_100_6400</v>
      </c>
      <c r="G271">
        <v>0</v>
      </c>
      <c r="H271">
        <v>0</v>
      </c>
      <c r="I271">
        <v>7.6200499999999995E-4</v>
      </c>
      <c r="J271">
        <v>9.5740000000000002E-6</v>
      </c>
      <c r="K271">
        <v>16.658100000000001</v>
      </c>
      <c r="L271">
        <v>17.594200000000001</v>
      </c>
      <c r="M271">
        <v>19.861999999999998</v>
      </c>
      <c r="N271">
        <v>0</v>
      </c>
      <c r="O271">
        <v>0</v>
      </c>
    </row>
    <row r="272" spans="1:15" x14ac:dyDescent="0.25">
      <c r="A272" t="s">
        <v>14</v>
      </c>
      <c r="B272" t="s">
        <v>16</v>
      </c>
      <c r="C272">
        <v>3</v>
      </c>
      <c r="D272">
        <v>100</v>
      </c>
      <c r="E272">
        <v>12800</v>
      </c>
      <c r="F272" t="str">
        <f t="shared" si="4"/>
        <v>lena256_blurkernel8_3_100_12800</v>
      </c>
      <c r="G272">
        <v>0</v>
      </c>
      <c r="H272">
        <v>0</v>
      </c>
      <c r="I272">
        <v>1.6130210000000001E-3</v>
      </c>
      <c r="J272">
        <v>9.5740000000000002E-6</v>
      </c>
      <c r="K272">
        <v>13.5046</v>
      </c>
      <c r="L272">
        <v>17.594200000000001</v>
      </c>
      <c r="M272">
        <v>19.3537</v>
      </c>
      <c r="N272">
        <v>0</v>
      </c>
      <c r="O272">
        <v>0</v>
      </c>
    </row>
    <row r="273" spans="1:15" x14ac:dyDescent="0.25">
      <c r="A273" t="s">
        <v>14</v>
      </c>
      <c r="B273" t="s">
        <v>16</v>
      </c>
      <c r="C273">
        <v>3</v>
      </c>
      <c r="D273">
        <v>100</v>
      </c>
      <c r="E273">
        <v>25600</v>
      </c>
      <c r="F273" t="str">
        <f t="shared" si="4"/>
        <v>lena256_blurkernel8_3_100_25600</v>
      </c>
      <c r="G273">
        <v>0</v>
      </c>
      <c r="H273">
        <v>0</v>
      </c>
      <c r="I273">
        <v>3.5657950000000001E-3</v>
      </c>
      <c r="J273">
        <v>9.5740000000000002E-6</v>
      </c>
      <c r="K273">
        <v>10.299799999999999</v>
      </c>
      <c r="L273">
        <v>17.594200000000001</v>
      </c>
      <c r="M273">
        <v>18.532599999999999</v>
      </c>
      <c r="N273">
        <v>0</v>
      </c>
      <c r="O273">
        <v>0</v>
      </c>
    </row>
    <row r="274" spans="1:15" x14ac:dyDescent="0.25">
      <c r="A274" t="s">
        <v>14</v>
      </c>
      <c r="B274" t="s">
        <v>16</v>
      </c>
      <c r="C274">
        <v>3</v>
      </c>
      <c r="D274">
        <v>100</v>
      </c>
      <c r="E274">
        <v>102400</v>
      </c>
      <c r="F274" t="str">
        <f t="shared" si="4"/>
        <v>lena256_blurkernel8_3_100_102400</v>
      </c>
      <c r="G274">
        <v>0</v>
      </c>
      <c r="H274">
        <v>0</v>
      </c>
      <c r="I274">
        <v>2.1117799999999999E-2</v>
      </c>
      <c r="J274">
        <v>9.4730000000000006E-6</v>
      </c>
      <c r="K274">
        <v>4.1326999999999998</v>
      </c>
      <c r="L274">
        <v>17.590399999999999</v>
      </c>
      <c r="M274">
        <v>15.6287</v>
      </c>
      <c r="N274">
        <v>0</v>
      </c>
      <c r="O274">
        <v>0</v>
      </c>
    </row>
    <row r="275" spans="1:15" x14ac:dyDescent="0.25">
      <c r="A275" t="s">
        <v>14</v>
      </c>
      <c r="B275" t="s">
        <v>16</v>
      </c>
      <c r="C275">
        <v>7</v>
      </c>
      <c r="D275">
        <v>100</v>
      </c>
      <c r="E275">
        <v>200</v>
      </c>
      <c r="F275" t="str">
        <f t="shared" si="4"/>
        <v>lena256_blurkernel8_7_100_200</v>
      </c>
      <c r="G275">
        <v>0</v>
      </c>
      <c r="H275">
        <v>0</v>
      </c>
      <c r="I275">
        <v>2.0798999999999999E-5</v>
      </c>
      <c r="J275">
        <v>9.5030000000000003E-6</v>
      </c>
      <c r="K275">
        <v>32.2087</v>
      </c>
      <c r="L275">
        <v>12.0017</v>
      </c>
      <c r="M275">
        <v>20.972000000000001</v>
      </c>
      <c r="N275">
        <v>0</v>
      </c>
      <c r="O275">
        <v>0</v>
      </c>
    </row>
    <row r="276" spans="1:15" x14ac:dyDescent="0.25">
      <c r="A276" t="s">
        <v>14</v>
      </c>
      <c r="B276" t="s">
        <v>16</v>
      </c>
      <c r="C276">
        <v>7</v>
      </c>
      <c r="D276">
        <v>100</v>
      </c>
      <c r="E276">
        <v>400</v>
      </c>
      <c r="F276" t="str">
        <f t="shared" si="4"/>
        <v>lena256_blurkernel8_7_100_400</v>
      </c>
      <c r="G276">
        <v>0</v>
      </c>
      <c r="H276">
        <v>0</v>
      </c>
      <c r="I276">
        <v>4.3809E-5</v>
      </c>
      <c r="J276">
        <v>9.5030000000000003E-6</v>
      </c>
      <c r="K276">
        <v>28.973199999999999</v>
      </c>
      <c r="L276">
        <v>12.0017</v>
      </c>
      <c r="M276">
        <v>20.872199999999999</v>
      </c>
      <c r="N276">
        <v>0</v>
      </c>
      <c r="O276">
        <v>0</v>
      </c>
    </row>
    <row r="277" spans="1:15" x14ac:dyDescent="0.25">
      <c r="A277" t="s">
        <v>14</v>
      </c>
      <c r="B277" t="s">
        <v>16</v>
      </c>
      <c r="C277">
        <v>7</v>
      </c>
      <c r="D277">
        <v>100</v>
      </c>
      <c r="E277">
        <v>800</v>
      </c>
      <c r="F277" t="str">
        <f t="shared" si="4"/>
        <v>lena256_blurkernel8_7_100_800</v>
      </c>
      <c r="G277">
        <v>0</v>
      </c>
      <c r="H277">
        <v>0</v>
      </c>
      <c r="I277">
        <v>9.0059E-5</v>
      </c>
      <c r="J277">
        <v>9.5030000000000003E-6</v>
      </c>
      <c r="K277">
        <v>25.851299999999998</v>
      </c>
      <c r="L277">
        <v>12.0017</v>
      </c>
      <c r="M277">
        <v>20.694299999999998</v>
      </c>
      <c r="N277">
        <v>0</v>
      </c>
      <c r="O277">
        <v>0</v>
      </c>
    </row>
    <row r="278" spans="1:15" x14ac:dyDescent="0.25">
      <c r="A278" t="s">
        <v>14</v>
      </c>
      <c r="B278" t="s">
        <v>16</v>
      </c>
      <c r="C278">
        <v>7</v>
      </c>
      <c r="D278">
        <v>100</v>
      </c>
      <c r="E278">
        <v>1600</v>
      </c>
      <c r="F278" t="str">
        <f t="shared" si="4"/>
        <v>lena256_blurkernel8_7_100_1600</v>
      </c>
      <c r="G278">
        <v>0</v>
      </c>
      <c r="H278">
        <v>0</v>
      </c>
      <c r="I278">
        <v>1.8112E-4</v>
      </c>
      <c r="J278">
        <v>9.5030000000000003E-6</v>
      </c>
      <c r="K278">
        <v>22.833100000000002</v>
      </c>
      <c r="L278">
        <v>12.0017</v>
      </c>
      <c r="M278">
        <v>20.3231</v>
      </c>
      <c r="N278">
        <v>0</v>
      </c>
      <c r="O278">
        <v>0</v>
      </c>
    </row>
    <row r="279" spans="1:15" x14ac:dyDescent="0.25">
      <c r="A279" t="s">
        <v>14</v>
      </c>
      <c r="B279" t="s">
        <v>16</v>
      </c>
      <c r="C279">
        <v>7</v>
      </c>
      <c r="D279">
        <v>100</v>
      </c>
      <c r="E279">
        <v>3200</v>
      </c>
      <c r="F279" t="str">
        <f t="shared" si="4"/>
        <v>lena256_blurkernel8_7_100_3200</v>
      </c>
      <c r="G279">
        <v>0</v>
      </c>
      <c r="H279">
        <v>0</v>
      </c>
      <c r="I279">
        <v>3.6939299999999998E-4</v>
      </c>
      <c r="J279">
        <v>9.5030000000000003E-6</v>
      </c>
      <c r="K279">
        <v>19.752300000000002</v>
      </c>
      <c r="L279">
        <v>12.0017</v>
      </c>
      <c r="M279">
        <v>19.744700000000002</v>
      </c>
      <c r="N279">
        <v>0</v>
      </c>
      <c r="O279">
        <v>0</v>
      </c>
    </row>
    <row r="280" spans="1:15" x14ac:dyDescent="0.25">
      <c r="A280" t="s">
        <v>14</v>
      </c>
      <c r="B280" t="s">
        <v>16</v>
      </c>
      <c r="C280">
        <v>7</v>
      </c>
      <c r="D280">
        <v>100</v>
      </c>
      <c r="E280">
        <v>6400</v>
      </c>
      <c r="F280" t="str">
        <f t="shared" si="4"/>
        <v>lena256_blurkernel8_7_100_6400</v>
      </c>
      <c r="G280">
        <v>0</v>
      </c>
      <c r="H280">
        <v>0</v>
      </c>
      <c r="I280">
        <v>7.7255399999999995E-4</v>
      </c>
      <c r="J280">
        <v>9.5030000000000003E-6</v>
      </c>
      <c r="K280">
        <v>16.596699999999998</v>
      </c>
      <c r="L280">
        <v>12.0017</v>
      </c>
      <c r="M280">
        <v>18.9602</v>
      </c>
      <c r="N280">
        <v>0</v>
      </c>
      <c r="O280">
        <v>0</v>
      </c>
    </row>
    <row r="281" spans="1:15" x14ac:dyDescent="0.25">
      <c r="A281" t="s">
        <v>14</v>
      </c>
      <c r="B281" t="s">
        <v>16</v>
      </c>
      <c r="C281">
        <v>7</v>
      </c>
      <c r="D281">
        <v>100</v>
      </c>
      <c r="E281">
        <v>12800</v>
      </c>
      <c r="F281" t="str">
        <f t="shared" si="4"/>
        <v>lena256_blurkernel8_7_100_12800</v>
      </c>
      <c r="G281">
        <v>0</v>
      </c>
      <c r="H281">
        <v>0</v>
      </c>
      <c r="I281">
        <v>1.6104369999999999E-3</v>
      </c>
      <c r="J281">
        <v>9.5030000000000003E-6</v>
      </c>
      <c r="K281">
        <v>13.517799999999999</v>
      </c>
      <c r="L281">
        <v>12.0017</v>
      </c>
      <c r="M281">
        <v>17.953800000000001</v>
      </c>
      <c r="N281">
        <v>0</v>
      </c>
      <c r="O281">
        <v>0</v>
      </c>
    </row>
    <row r="282" spans="1:15" x14ac:dyDescent="0.25">
      <c r="A282" t="s">
        <v>14</v>
      </c>
      <c r="B282" t="s">
        <v>16</v>
      </c>
      <c r="C282">
        <v>7</v>
      </c>
      <c r="D282">
        <v>100</v>
      </c>
      <c r="E282">
        <v>25600</v>
      </c>
      <c r="F282" t="str">
        <f t="shared" si="4"/>
        <v>lena256_blurkernel8_7_100_25600</v>
      </c>
      <c r="G282">
        <v>0</v>
      </c>
      <c r="H282">
        <v>0</v>
      </c>
      <c r="I282">
        <v>3.549155E-3</v>
      </c>
      <c r="J282">
        <v>9.5030000000000003E-6</v>
      </c>
      <c r="K282">
        <v>10.2987</v>
      </c>
      <c r="L282">
        <v>12.0017</v>
      </c>
      <c r="M282">
        <v>16.6235</v>
      </c>
      <c r="N282">
        <v>0</v>
      </c>
      <c r="O282">
        <v>0</v>
      </c>
    </row>
    <row r="283" spans="1:15" x14ac:dyDescent="0.25">
      <c r="A283" t="s">
        <v>14</v>
      </c>
      <c r="B283" t="s">
        <v>16</v>
      </c>
      <c r="C283">
        <v>7</v>
      </c>
      <c r="D283">
        <v>100</v>
      </c>
      <c r="E283">
        <v>102400</v>
      </c>
      <c r="F283" t="str">
        <f t="shared" si="4"/>
        <v>lena256_blurkernel8_7_100_102400</v>
      </c>
      <c r="G283">
        <v>0</v>
      </c>
      <c r="H283">
        <v>0</v>
      </c>
      <c r="I283">
        <v>2.0964343999999999E-2</v>
      </c>
      <c r="J283">
        <v>9.4970000000000007E-6</v>
      </c>
      <c r="K283">
        <v>4.1535000000000002</v>
      </c>
      <c r="L283">
        <v>12.000999999999999</v>
      </c>
      <c r="M283">
        <v>12.9697</v>
      </c>
      <c r="N283">
        <v>0</v>
      </c>
      <c r="O283">
        <v>0</v>
      </c>
    </row>
    <row r="284" spans="1:15" x14ac:dyDescent="0.25">
      <c r="A284" t="s">
        <v>14</v>
      </c>
      <c r="B284" t="s">
        <v>16</v>
      </c>
      <c r="C284">
        <v>15</v>
      </c>
      <c r="D284">
        <v>100</v>
      </c>
      <c r="E284">
        <v>200</v>
      </c>
      <c r="F284" t="str">
        <f t="shared" si="4"/>
        <v>lena256_blurkernel8_15_100_200</v>
      </c>
      <c r="G284">
        <v>0</v>
      </c>
      <c r="H284">
        <v>0</v>
      </c>
      <c r="I284">
        <v>2.0761999999999999E-5</v>
      </c>
      <c r="J284">
        <v>9.5829999999999996E-6</v>
      </c>
      <c r="K284">
        <v>32.2166</v>
      </c>
      <c r="L284">
        <v>8.2185000000000006</v>
      </c>
      <c r="M284">
        <v>21.733599999999999</v>
      </c>
      <c r="N284">
        <v>0</v>
      </c>
      <c r="O284">
        <v>0</v>
      </c>
    </row>
    <row r="285" spans="1:15" x14ac:dyDescent="0.25">
      <c r="A285" t="s">
        <v>14</v>
      </c>
      <c r="B285" t="s">
        <v>16</v>
      </c>
      <c r="C285">
        <v>15</v>
      </c>
      <c r="D285">
        <v>100</v>
      </c>
      <c r="E285">
        <v>400</v>
      </c>
      <c r="F285" t="str">
        <f t="shared" si="4"/>
        <v>lena256_blurkernel8_15_100_400</v>
      </c>
      <c r="G285">
        <v>0</v>
      </c>
      <c r="H285">
        <v>0</v>
      </c>
      <c r="I285">
        <v>4.3964999999999997E-5</v>
      </c>
      <c r="J285">
        <v>9.5829999999999996E-6</v>
      </c>
      <c r="K285">
        <v>28.961200000000002</v>
      </c>
      <c r="L285">
        <v>8.2185000000000006</v>
      </c>
      <c r="M285">
        <v>21.601900000000001</v>
      </c>
      <c r="N285">
        <v>0</v>
      </c>
      <c r="O285">
        <v>0</v>
      </c>
    </row>
    <row r="286" spans="1:15" x14ac:dyDescent="0.25">
      <c r="A286" t="s">
        <v>14</v>
      </c>
      <c r="B286" t="s">
        <v>16</v>
      </c>
      <c r="C286">
        <v>15</v>
      </c>
      <c r="D286">
        <v>100</v>
      </c>
      <c r="E286">
        <v>800</v>
      </c>
      <c r="F286" t="str">
        <f t="shared" si="4"/>
        <v>lena256_blurkernel8_15_100_800</v>
      </c>
      <c r="G286">
        <v>0</v>
      </c>
      <c r="H286">
        <v>0</v>
      </c>
      <c r="I286">
        <v>8.9166999999999995E-5</v>
      </c>
      <c r="J286">
        <v>9.5829999999999996E-6</v>
      </c>
      <c r="K286">
        <v>25.8919</v>
      </c>
      <c r="L286">
        <v>8.2185000000000006</v>
      </c>
      <c r="M286">
        <v>21.313600000000001</v>
      </c>
      <c r="N286">
        <v>0</v>
      </c>
      <c r="O286">
        <v>0</v>
      </c>
    </row>
    <row r="287" spans="1:15" x14ac:dyDescent="0.25">
      <c r="A287" t="s">
        <v>14</v>
      </c>
      <c r="B287" t="s">
        <v>16</v>
      </c>
      <c r="C287">
        <v>15</v>
      </c>
      <c r="D287">
        <v>100</v>
      </c>
      <c r="E287">
        <v>1600</v>
      </c>
      <c r="F287" t="str">
        <f t="shared" si="4"/>
        <v>lena256_blurkernel8_15_100_1600</v>
      </c>
      <c r="G287">
        <v>0</v>
      </c>
      <c r="H287">
        <v>0</v>
      </c>
      <c r="I287">
        <v>1.8048599999999999E-4</v>
      </c>
      <c r="J287">
        <v>9.5829999999999996E-6</v>
      </c>
      <c r="K287">
        <v>22.8444</v>
      </c>
      <c r="L287">
        <v>8.2185000000000006</v>
      </c>
      <c r="M287">
        <v>20.867699999999999</v>
      </c>
      <c r="N287">
        <v>0</v>
      </c>
      <c r="O287">
        <v>0</v>
      </c>
    </row>
    <row r="288" spans="1:15" x14ac:dyDescent="0.25">
      <c r="A288" t="s">
        <v>14</v>
      </c>
      <c r="B288" t="s">
        <v>16</v>
      </c>
      <c r="C288">
        <v>15</v>
      </c>
      <c r="D288">
        <v>100</v>
      </c>
      <c r="E288">
        <v>3200</v>
      </c>
      <c r="F288" t="str">
        <f t="shared" si="4"/>
        <v>lena256_blurkernel8_15_100_3200</v>
      </c>
      <c r="G288">
        <v>0</v>
      </c>
      <c r="H288">
        <v>0</v>
      </c>
      <c r="I288">
        <v>3.6937199999999997E-4</v>
      </c>
      <c r="J288">
        <v>9.5829999999999996E-6</v>
      </c>
      <c r="K288">
        <v>19.7575</v>
      </c>
      <c r="L288">
        <v>8.2185000000000006</v>
      </c>
      <c r="M288">
        <v>20.1904</v>
      </c>
      <c r="N288">
        <v>0</v>
      </c>
      <c r="O288">
        <v>0</v>
      </c>
    </row>
    <row r="289" spans="1:15" x14ac:dyDescent="0.25">
      <c r="A289" t="s">
        <v>14</v>
      </c>
      <c r="B289" t="s">
        <v>16</v>
      </c>
      <c r="C289">
        <v>15</v>
      </c>
      <c r="D289">
        <v>100</v>
      </c>
      <c r="E289">
        <v>6400</v>
      </c>
      <c r="F289" t="str">
        <f t="shared" si="4"/>
        <v>lena256_blurkernel8_15_100_6400</v>
      </c>
      <c r="G289">
        <v>0</v>
      </c>
      <c r="H289">
        <v>0</v>
      </c>
      <c r="I289">
        <v>7.6261700000000005E-4</v>
      </c>
      <c r="J289">
        <v>9.5829999999999996E-6</v>
      </c>
      <c r="K289">
        <v>16.6632</v>
      </c>
      <c r="L289">
        <v>8.2185000000000006</v>
      </c>
      <c r="M289">
        <v>19.160799999999998</v>
      </c>
      <c r="N289">
        <v>0</v>
      </c>
      <c r="O289">
        <v>0</v>
      </c>
    </row>
    <row r="290" spans="1:15" x14ac:dyDescent="0.25">
      <c r="A290" t="s">
        <v>14</v>
      </c>
      <c r="B290" t="s">
        <v>16</v>
      </c>
      <c r="C290">
        <v>15</v>
      </c>
      <c r="D290">
        <v>100</v>
      </c>
      <c r="E290">
        <v>12800</v>
      </c>
      <c r="F290" t="str">
        <f t="shared" si="4"/>
        <v>lena256_blurkernel8_15_100_12800</v>
      </c>
      <c r="G290">
        <v>0</v>
      </c>
      <c r="H290">
        <v>0</v>
      </c>
      <c r="I290">
        <v>1.6206390000000001E-3</v>
      </c>
      <c r="J290">
        <v>9.5829999999999996E-6</v>
      </c>
      <c r="K290">
        <v>13.489699999999999</v>
      </c>
      <c r="L290">
        <v>8.2185000000000006</v>
      </c>
      <c r="M290">
        <v>17.9466</v>
      </c>
      <c r="N290">
        <v>0</v>
      </c>
      <c r="O290">
        <v>0</v>
      </c>
    </row>
    <row r="291" spans="1:15" x14ac:dyDescent="0.25">
      <c r="A291" t="s">
        <v>14</v>
      </c>
      <c r="B291" t="s">
        <v>16</v>
      </c>
      <c r="C291">
        <v>15</v>
      </c>
      <c r="D291">
        <v>100</v>
      </c>
      <c r="E291">
        <v>25600</v>
      </c>
      <c r="F291" t="str">
        <f t="shared" si="4"/>
        <v>lena256_blurkernel8_15_100_25600</v>
      </c>
      <c r="G291">
        <v>0</v>
      </c>
      <c r="H291">
        <v>0</v>
      </c>
      <c r="I291">
        <v>3.577963E-3</v>
      </c>
      <c r="J291">
        <v>9.5829999999999996E-6</v>
      </c>
      <c r="K291">
        <v>10.2674</v>
      </c>
      <c r="L291">
        <v>8.2185000000000006</v>
      </c>
      <c r="M291">
        <v>16.259599999999999</v>
      </c>
      <c r="N291">
        <v>0</v>
      </c>
      <c r="O291">
        <v>0</v>
      </c>
    </row>
    <row r="292" spans="1:15" x14ac:dyDescent="0.25">
      <c r="A292" t="s">
        <v>14</v>
      </c>
      <c r="B292" t="s">
        <v>16</v>
      </c>
      <c r="C292">
        <v>15</v>
      </c>
      <c r="D292">
        <v>100</v>
      </c>
      <c r="E292">
        <v>102400</v>
      </c>
      <c r="F292" t="str">
        <f t="shared" si="4"/>
        <v>lena256_blurkernel8_15_100_102400</v>
      </c>
      <c r="G292">
        <v>0</v>
      </c>
      <c r="H292">
        <v>0</v>
      </c>
      <c r="I292">
        <v>2.1084151999999998E-2</v>
      </c>
      <c r="J292">
        <v>9.4790000000000002E-6</v>
      </c>
      <c r="K292">
        <v>4.1322999999999999</v>
      </c>
      <c r="L292">
        <v>8.2182999999999993</v>
      </c>
      <c r="M292">
        <v>11.9496</v>
      </c>
      <c r="N292">
        <v>0</v>
      </c>
      <c r="O292">
        <v>0</v>
      </c>
    </row>
    <row r="293" spans="1:15" x14ac:dyDescent="0.25">
      <c r="A293" t="s">
        <v>14</v>
      </c>
      <c r="B293" t="s">
        <v>16</v>
      </c>
      <c r="C293">
        <v>31</v>
      </c>
      <c r="D293">
        <v>100</v>
      </c>
      <c r="E293">
        <v>200</v>
      </c>
      <c r="F293" t="str">
        <f t="shared" si="4"/>
        <v>lena256_blurkernel8_31_100_200</v>
      </c>
      <c r="G293">
        <v>0</v>
      </c>
      <c r="H293">
        <v>0</v>
      </c>
      <c r="I293">
        <v>2.0803000000000001E-5</v>
      </c>
      <c r="J293">
        <v>9.4339999999999998E-6</v>
      </c>
      <c r="K293">
        <v>32.207700000000003</v>
      </c>
      <c r="L293">
        <v>5.3033999999999999</v>
      </c>
      <c r="M293">
        <v>21.838999999999999</v>
      </c>
      <c r="N293">
        <v>0</v>
      </c>
      <c r="O293">
        <v>0</v>
      </c>
    </row>
    <row r="294" spans="1:15" x14ac:dyDescent="0.25">
      <c r="A294" t="s">
        <v>14</v>
      </c>
      <c r="B294" t="s">
        <v>16</v>
      </c>
      <c r="C294">
        <v>31</v>
      </c>
      <c r="D294">
        <v>100</v>
      </c>
      <c r="E294">
        <v>400</v>
      </c>
      <c r="F294" t="str">
        <f t="shared" si="4"/>
        <v>lena256_blurkernel8_31_100_400</v>
      </c>
      <c r="G294">
        <v>0</v>
      </c>
      <c r="H294">
        <v>0</v>
      </c>
      <c r="I294">
        <v>4.3322000000000003E-5</v>
      </c>
      <c r="J294">
        <v>9.4339999999999998E-6</v>
      </c>
      <c r="K294">
        <v>29.024799999999999</v>
      </c>
      <c r="L294">
        <v>5.3033999999999999</v>
      </c>
      <c r="M294">
        <v>21.6556</v>
      </c>
      <c r="N294">
        <v>0</v>
      </c>
      <c r="O294">
        <v>0</v>
      </c>
    </row>
    <row r="295" spans="1:15" x14ac:dyDescent="0.25">
      <c r="A295" t="s">
        <v>14</v>
      </c>
      <c r="B295" t="s">
        <v>16</v>
      </c>
      <c r="C295">
        <v>31</v>
      </c>
      <c r="D295">
        <v>100</v>
      </c>
      <c r="E295">
        <v>800</v>
      </c>
      <c r="F295" t="str">
        <f t="shared" si="4"/>
        <v>lena256_blurkernel8_31_100_800</v>
      </c>
      <c r="G295">
        <v>0</v>
      </c>
      <c r="H295">
        <v>0</v>
      </c>
      <c r="I295">
        <v>8.9715000000000004E-5</v>
      </c>
      <c r="J295">
        <v>9.4339999999999998E-6</v>
      </c>
      <c r="K295">
        <v>25.867699999999999</v>
      </c>
      <c r="L295">
        <v>5.3033999999999999</v>
      </c>
      <c r="M295">
        <v>21.362200000000001</v>
      </c>
      <c r="N295">
        <v>0</v>
      </c>
      <c r="O295">
        <v>0</v>
      </c>
    </row>
    <row r="296" spans="1:15" x14ac:dyDescent="0.25">
      <c r="A296" t="s">
        <v>14</v>
      </c>
      <c r="B296" t="s">
        <v>16</v>
      </c>
      <c r="C296">
        <v>31</v>
      </c>
      <c r="D296">
        <v>100</v>
      </c>
      <c r="E296">
        <v>1600</v>
      </c>
      <c r="F296" t="str">
        <f t="shared" si="4"/>
        <v>lena256_blurkernel8_31_100_1600</v>
      </c>
      <c r="G296">
        <v>0</v>
      </c>
      <c r="H296">
        <v>0</v>
      </c>
      <c r="I296">
        <v>1.8211599999999999E-4</v>
      </c>
      <c r="J296">
        <v>9.4339999999999998E-6</v>
      </c>
      <c r="K296">
        <v>22.800899999999999</v>
      </c>
      <c r="L296">
        <v>5.3033999999999999</v>
      </c>
      <c r="M296">
        <v>20.904299999999999</v>
      </c>
      <c r="N296">
        <v>0</v>
      </c>
      <c r="O296">
        <v>0</v>
      </c>
    </row>
    <row r="297" spans="1:15" x14ac:dyDescent="0.25">
      <c r="A297" t="s">
        <v>14</v>
      </c>
      <c r="B297" t="s">
        <v>16</v>
      </c>
      <c r="C297">
        <v>31</v>
      </c>
      <c r="D297">
        <v>100</v>
      </c>
      <c r="E297">
        <v>3200</v>
      </c>
      <c r="F297" t="str">
        <f t="shared" si="4"/>
        <v>lena256_blurkernel8_31_100_3200</v>
      </c>
      <c r="G297">
        <v>0</v>
      </c>
      <c r="H297">
        <v>0</v>
      </c>
      <c r="I297">
        <v>3.7263800000000001E-4</v>
      </c>
      <c r="J297">
        <v>9.4339999999999998E-6</v>
      </c>
      <c r="K297">
        <v>19.716200000000001</v>
      </c>
      <c r="L297">
        <v>5.3033999999999999</v>
      </c>
      <c r="M297">
        <v>20.224399999999999</v>
      </c>
      <c r="N297">
        <v>0</v>
      </c>
      <c r="O297">
        <v>0</v>
      </c>
    </row>
    <row r="298" spans="1:15" x14ac:dyDescent="0.25">
      <c r="A298" t="s">
        <v>14</v>
      </c>
      <c r="B298" t="s">
        <v>16</v>
      </c>
      <c r="C298">
        <v>31</v>
      </c>
      <c r="D298">
        <v>100</v>
      </c>
      <c r="E298">
        <v>6400</v>
      </c>
      <c r="F298" t="str">
        <f t="shared" si="4"/>
        <v>lena256_blurkernel8_31_100_6400</v>
      </c>
      <c r="G298">
        <v>0</v>
      </c>
      <c r="H298">
        <v>0</v>
      </c>
      <c r="I298">
        <v>7.68212E-4</v>
      </c>
      <c r="J298">
        <v>9.4339999999999998E-6</v>
      </c>
      <c r="K298">
        <v>16.622900000000001</v>
      </c>
      <c r="L298">
        <v>5.3033999999999999</v>
      </c>
      <c r="M298">
        <v>19.094799999999999</v>
      </c>
      <c r="N298">
        <v>0</v>
      </c>
      <c r="O298">
        <v>0</v>
      </c>
    </row>
    <row r="299" spans="1:15" x14ac:dyDescent="0.25">
      <c r="A299" t="s">
        <v>14</v>
      </c>
      <c r="B299" t="s">
        <v>16</v>
      </c>
      <c r="C299">
        <v>31</v>
      </c>
      <c r="D299">
        <v>100</v>
      </c>
      <c r="E299">
        <v>12800</v>
      </c>
      <c r="F299" t="str">
        <f t="shared" si="4"/>
        <v>lena256_blurkernel8_31_100_12800</v>
      </c>
      <c r="G299">
        <v>0</v>
      </c>
      <c r="H299">
        <v>0</v>
      </c>
      <c r="I299">
        <v>1.6225219999999999E-3</v>
      </c>
      <c r="J299">
        <v>9.4339999999999998E-6</v>
      </c>
      <c r="K299">
        <v>13.4884</v>
      </c>
      <c r="L299">
        <v>5.3033999999999999</v>
      </c>
      <c r="M299">
        <v>17.8872</v>
      </c>
      <c r="N299">
        <v>0</v>
      </c>
      <c r="O299">
        <v>0</v>
      </c>
    </row>
    <row r="300" spans="1:15" x14ac:dyDescent="0.25">
      <c r="A300" t="s">
        <v>14</v>
      </c>
      <c r="B300" t="s">
        <v>16</v>
      </c>
      <c r="C300">
        <v>31</v>
      </c>
      <c r="D300">
        <v>100</v>
      </c>
      <c r="E300">
        <v>25600</v>
      </c>
      <c r="F300" t="str">
        <f t="shared" si="4"/>
        <v>lena256_blurkernel8_31_100_25600</v>
      </c>
      <c r="G300">
        <v>0</v>
      </c>
      <c r="H300">
        <v>0</v>
      </c>
      <c r="I300">
        <v>3.5673279999999998E-3</v>
      </c>
      <c r="J300">
        <v>9.4339999999999998E-6</v>
      </c>
      <c r="K300">
        <v>10.29</v>
      </c>
      <c r="L300">
        <v>5.3033999999999999</v>
      </c>
      <c r="M300">
        <v>16.121200000000002</v>
      </c>
      <c r="N300">
        <v>0</v>
      </c>
      <c r="O300">
        <v>0</v>
      </c>
    </row>
    <row r="301" spans="1:15" x14ac:dyDescent="0.25">
      <c r="A301" t="s">
        <v>14</v>
      </c>
      <c r="B301" t="s">
        <v>16</v>
      </c>
      <c r="C301">
        <v>31</v>
      </c>
      <c r="D301">
        <v>100</v>
      </c>
      <c r="E301">
        <v>102400</v>
      </c>
      <c r="F301" t="str">
        <f t="shared" si="4"/>
        <v>lena256_blurkernel8_31_100_102400</v>
      </c>
      <c r="G301">
        <v>0</v>
      </c>
      <c r="H301">
        <v>0</v>
      </c>
      <c r="I301">
        <v>2.0855755E-2</v>
      </c>
      <c r="J301">
        <v>9.5980000000000003E-6</v>
      </c>
      <c r="K301">
        <v>4.1734</v>
      </c>
      <c r="L301">
        <v>5.3041</v>
      </c>
      <c r="M301">
        <v>11.799300000000001</v>
      </c>
      <c r="N301">
        <v>0</v>
      </c>
      <c r="O301">
        <v>0</v>
      </c>
    </row>
    <row r="302" spans="1:15" x14ac:dyDescent="0.25">
      <c r="A302" t="s">
        <v>14</v>
      </c>
      <c r="B302" t="s">
        <v>16</v>
      </c>
      <c r="C302">
        <v>63</v>
      </c>
      <c r="D302">
        <v>100</v>
      </c>
      <c r="E302">
        <v>200</v>
      </c>
      <c r="F302" t="str">
        <f t="shared" si="4"/>
        <v>lena256_blurkernel8_63_100_200</v>
      </c>
      <c r="G302">
        <v>0</v>
      </c>
      <c r="H302">
        <v>0</v>
      </c>
      <c r="I302">
        <v>2.0893000000000001E-5</v>
      </c>
      <c r="J302">
        <v>9.594E-6</v>
      </c>
      <c r="K302">
        <v>32.188699999999997</v>
      </c>
      <c r="L302">
        <v>2.9011999999999998</v>
      </c>
      <c r="M302">
        <v>21.0717</v>
      </c>
      <c r="N302">
        <v>0</v>
      </c>
      <c r="O302">
        <v>0</v>
      </c>
    </row>
    <row r="303" spans="1:15" x14ac:dyDescent="0.25">
      <c r="A303" t="s">
        <v>14</v>
      </c>
      <c r="B303" t="s">
        <v>16</v>
      </c>
      <c r="C303">
        <v>63</v>
      </c>
      <c r="D303">
        <v>100</v>
      </c>
      <c r="E303">
        <v>400</v>
      </c>
      <c r="F303" t="str">
        <f t="shared" si="4"/>
        <v>lena256_blurkernel8_63_100_400</v>
      </c>
      <c r="G303">
        <v>0</v>
      </c>
      <c r="H303">
        <v>0</v>
      </c>
      <c r="I303">
        <v>4.3772E-5</v>
      </c>
      <c r="J303">
        <v>9.594E-6</v>
      </c>
      <c r="K303">
        <v>28.979299999999999</v>
      </c>
      <c r="L303">
        <v>2.9011999999999998</v>
      </c>
      <c r="M303">
        <v>20.924099999999999</v>
      </c>
      <c r="N303">
        <v>0</v>
      </c>
      <c r="O303">
        <v>0</v>
      </c>
    </row>
    <row r="304" spans="1:15" x14ac:dyDescent="0.25">
      <c r="A304" t="s">
        <v>14</v>
      </c>
      <c r="B304" t="s">
        <v>16</v>
      </c>
      <c r="C304">
        <v>63</v>
      </c>
      <c r="D304">
        <v>100</v>
      </c>
      <c r="E304">
        <v>800</v>
      </c>
      <c r="F304" t="str">
        <f t="shared" si="4"/>
        <v>lena256_blurkernel8_63_100_800</v>
      </c>
      <c r="G304">
        <v>0</v>
      </c>
      <c r="H304">
        <v>0</v>
      </c>
      <c r="I304">
        <v>8.8638000000000001E-5</v>
      </c>
      <c r="J304">
        <v>9.594E-6</v>
      </c>
      <c r="K304">
        <v>25.923100000000002</v>
      </c>
      <c r="L304">
        <v>2.9011999999999998</v>
      </c>
      <c r="M304">
        <v>20.6297</v>
      </c>
      <c r="N304">
        <v>0</v>
      </c>
      <c r="O304">
        <v>0</v>
      </c>
    </row>
    <row r="305" spans="1:15" x14ac:dyDescent="0.25">
      <c r="A305" t="s">
        <v>14</v>
      </c>
      <c r="B305" t="s">
        <v>16</v>
      </c>
      <c r="C305">
        <v>63</v>
      </c>
      <c r="D305">
        <v>100</v>
      </c>
      <c r="E305">
        <v>1600</v>
      </c>
      <c r="F305" t="str">
        <f t="shared" si="4"/>
        <v>lena256_blurkernel8_63_100_1600</v>
      </c>
      <c r="G305">
        <v>0</v>
      </c>
      <c r="H305">
        <v>0</v>
      </c>
      <c r="I305">
        <v>1.8193199999999999E-4</v>
      </c>
      <c r="J305">
        <v>9.594E-6</v>
      </c>
      <c r="K305">
        <v>22.811</v>
      </c>
      <c r="L305">
        <v>2.9011999999999998</v>
      </c>
      <c r="M305">
        <v>20.188600000000001</v>
      </c>
      <c r="N305">
        <v>0</v>
      </c>
      <c r="O305">
        <v>0</v>
      </c>
    </row>
    <row r="306" spans="1:15" x14ac:dyDescent="0.25">
      <c r="A306" t="s">
        <v>14</v>
      </c>
      <c r="B306" t="s">
        <v>16</v>
      </c>
      <c r="C306">
        <v>63</v>
      </c>
      <c r="D306">
        <v>100</v>
      </c>
      <c r="E306">
        <v>3200</v>
      </c>
      <c r="F306" t="str">
        <f t="shared" si="4"/>
        <v>lena256_blurkernel8_63_100_3200</v>
      </c>
      <c r="G306">
        <v>0</v>
      </c>
      <c r="H306">
        <v>0</v>
      </c>
      <c r="I306">
        <v>3.7303999999999999E-4</v>
      </c>
      <c r="J306">
        <v>9.594E-6</v>
      </c>
      <c r="K306">
        <v>19.710100000000001</v>
      </c>
      <c r="L306">
        <v>2.9011999999999998</v>
      </c>
      <c r="M306">
        <v>19.526</v>
      </c>
      <c r="N306">
        <v>0</v>
      </c>
      <c r="O306">
        <v>0</v>
      </c>
    </row>
    <row r="307" spans="1:15" x14ac:dyDescent="0.25">
      <c r="A307" t="s">
        <v>14</v>
      </c>
      <c r="B307" t="s">
        <v>16</v>
      </c>
      <c r="C307">
        <v>63</v>
      </c>
      <c r="D307">
        <v>100</v>
      </c>
      <c r="E307">
        <v>6400</v>
      </c>
      <c r="F307" t="str">
        <f t="shared" si="4"/>
        <v>lena256_blurkernel8_63_100_6400</v>
      </c>
      <c r="G307">
        <v>0</v>
      </c>
      <c r="H307">
        <v>0</v>
      </c>
      <c r="I307">
        <v>7.6305299999999997E-4</v>
      </c>
      <c r="J307">
        <v>9.594E-6</v>
      </c>
      <c r="K307">
        <v>16.654</v>
      </c>
      <c r="L307">
        <v>2.9011999999999998</v>
      </c>
      <c r="M307">
        <v>18.5715</v>
      </c>
      <c r="N307">
        <v>0</v>
      </c>
      <c r="O307">
        <v>0</v>
      </c>
    </row>
    <row r="308" spans="1:15" x14ac:dyDescent="0.25">
      <c r="A308" t="s">
        <v>14</v>
      </c>
      <c r="B308" t="s">
        <v>16</v>
      </c>
      <c r="C308">
        <v>63</v>
      </c>
      <c r="D308">
        <v>100</v>
      </c>
      <c r="E308">
        <v>12800</v>
      </c>
      <c r="F308" t="str">
        <f t="shared" si="4"/>
        <v>lena256_blurkernel8_63_100_12800</v>
      </c>
      <c r="G308">
        <v>0</v>
      </c>
      <c r="H308">
        <v>0</v>
      </c>
      <c r="I308">
        <v>1.625509E-3</v>
      </c>
      <c r="J308">
        <v>9.594E-6</v>
      </c>
      <c r="K308">
        <v>13.485200000000001</v>
      </c>
      <c r="L308">
        <v>2.9011999999999998</v>
      </c>
      <c r="M308">
        <v>17.335599999999999</v>
      </c>
      <c r="N308">
        <v>0</v>
      </c>
      <c r="O308">
        <v>0</v>
      </c>
    </row>
    <row r="309" spans="1:15" x14ac:dyDescent="0.25">
      <c r="A309" t="s">
        <v>14</v>
      </c>
      <c r="B309" t="s">
        <v>16</v>
      </c>
      <c r="C309">
        <v>63</v>
      </c>
      <c r="D309">
        <v>100</v>
      </c>
      <c r="E309">
        <v>25600</v>
      </c>
      <c r="F309" t="str">
        <f t="shared" si="4"/>
        <v>lena256_blurkernel8_63_100_25600</v>
      </c>
      <c r="G309">
        <v>0</v>
      </c>
      <c r="H309">
        <v>0</v>
      </c>
      <c r="I309">
        <v>3.584238E-3</v>
      </c>
      <c r="J309">
        <v>9.594E-6</v>
      </c>
      <c r="K309">
        <v>10.256600000000001</v>
      </c>
      <c r="L309">
        <v>2.9011999999999998</v>
      </c>
      <c r="M309">
        <v>15.7509</v>
      </c>
      <c r="N309">
        <v>0</v>
      </c>
      <c r="O309">
        <v>0</v>
      </c>
    </row>
    <row r="310" spans="1:15" x14ac:dyDescent="0.25">
      <c r="A310" t="s">
        <v>14</v>
      </c>
      <c r="B310" t="s">
        <v>17</v>
      </c>
      <c r="C310">
        <v>3</v>
      </c>
      <c r="D310">
        <v>100</v>
      </c>
      <c r="E310">
        <v>200</v>
      </c>
      <c r="F310" t="str">
        <f t="shared" si="4"/>
        <v>lena256_line_3_100_200</v>
      </c>
      <c r="G310">
        <v>0</v>
      </c>
      <c r="H310">
        <v>0</v>
      </c>
      <c r="I310">
        <v>2.0947000000000001E-5</v>
      </c>
      <c r="J310">
        <v>9.5559999999999996E-6</v>
      </c>
      <c r="K310">
        <v>32.1768</v>
      </c>
      <c r="L310">
        <v>15.0571</v>
      </c>
      <c r="M310">
        <v>21.159500000000001</v>
      </c>
      <c r="N310">
        <v>0</v>
      </c>
      <c r="O310">
        <v>0</v>
      </c>
    </row>
    <row r="311" spans="1:15" x14ac:dyDescent="0.25">
      <c r="A311" t="s">
        <v>14</v>
      </c>
      <c r="B311" t="s">
        <v>17</v>
      </c>
      <c r="C311">
        <v>3</v>
      </c>
      <c r="D311">
        <v>100</v>
      </c>
      <c r="E311">
        <v>400</v>
      </c>
      <c r="F311" t="str">
        <f t="shared" si="4"/>
        <v>lena256_line_3_100_400</v>
      </c>
      <c r="G311">
        <v>0</v>
      </c>
      <c r="H311">
        <v>0</v>
      </c>
      <c r="I311">
        <v>4.3511999999999999E-5</v>
      </c>
      <c r="J311">
        <v>9.5559999999999996E-6</v>
      </c>
      <c r="K311">
        <v>29.007300000000001</v>
      </c>
      <c r="L311">
        <v>15.0571</v>
      </c>
      <c r="M311">
        <v>21.0533</v>
      </c>
      <c r="N311">
        <v>0</v>
      </c>
      <c r="O311">
        <v>0</v>
      </c>
    </row>
    <row r="312" spans="1:15" x14ac:dyDescent="0.25">
      <c r="A312" t="s">
        <v>14</v>
      </c>
      <c r="B312" t="s">
        <v>17</v>
      </c>
      <c r="C312">
        <v>3</v>
      </c>
      <c r="D312">
        <v>100</v>
      </c>
      <c r="E312">
        <v>800</v>
      </c>
      <c r="F312" t="str">
        <f t="shared" si="4"/>
        <v>lena256_line_3_100_800</v>
      </c>
      <c r="G312">
        <v>0</v>
      </c>
      <c r="H312">
        <v>0</v>
      </c>
      <c r="I312">
        <v>8.9290999999999996E-5</v>
      </c>
      <c r="J312">
        <v>9.5559999999999996E-6</v>
      </c>
      <c r="K312">
        <v>25.8873</v>
      </c>
      <c r="L312">
        <v>15.0571</v>
      </c>
      <c r="M312">
        <v>20.8644</v>
      </c>
      <c r="N312">
        <v>0</v>
      </c>
      <c r="O312">
        <v>0</v>
      </c>
    </row>
    <row r="313" spans="1:15" x14ac:dyDescent="0.25">
      <c r="A313" t="s">
        <v>14</v>
      </c>
      <c r="B313" t="s">
        <v>17</v>
      </c>
      <c r="C313">
        <v>3</v>
      </c>
      <c r="D313">
        <v>100</v>
      </c>
      <c r="E313">
        <v>1600</v>
      </c>
      <c r="F313" t="str">
        <f t="shared" si="4"/>
        <v>lena256_line_3_100_1600</v>
      </c>
      <c r="G313">
        <v>0</v>
      </c>
      <c r="H313">
        <v>0</v>
      </c>
      <c r="I313">
        <v>1.8286999999999999E-4</v>
      </c>
      <c r="J313">
        <v>9.5559999999999996E-6</v>
      </c>
      <c r="K313">
        <v>22.785299999999999</v>
      </c>
      <c r="L313">
        <v>15.0571</v>
      </c>
      <c r="M313">
        <v>20.6067</v>
      </c>
      <c r="N313">
        <v>0</v>
      </c>
      <c r="O313">
        <v>0</v>
      </c>
    </row>
    <row r="314" spans="1:15" x14ac:dyDescent="0.25">
      <c r="A314" t="s">
        <v>14</v>
      </c>
      <c r="B314" t="s">
        <v>17</v>
      </c>
      <c r="C314">
        <v>3</v>
      </c>
      <c r="D314">
        <v>100</v>
      </c>
      <c r="E314">
        <v>3200</v>
      </c>
      <c r="F314" t="str">
        <f t="shared" si="4"/>
        <v>lena256_line_3_100_3200</v>
      </c>
      <c r="G314">
        <v>0</v>
      </c>
      <c r="H314">
        <v>0</v>
      </c>
      <c r="I314">
        <v>3.7070499999999998E-4</v>
      </c>
      <c r="J314">
        <v>9.5559999999999996E-6</v>
      </c>
      <c r="K314">
        <v>19.745699999999999</v>
      </c>
      <c r="L314">
        <v>15.0571</v>
      </c>
      <c r="M314">
        <v>20.193100000000001</v>
      </c>
      <c r="N314">
        <v>0</v>
      </c>
      <c r="O314">
        <v>0</v>
      </c>
    </row>
    <row r="315" spans="1:15" x14ac:dyDescent="0.25">
      <c r="A315" t="s">
        <v>14</v>
      </c>
      <c r="B315" t="s">
        <v>17</v>
      </c>
      <c r="C315">
        <v>3</v>
      </c>
      <c r="D315">
        <v>100</v>
      </c>
      <c r="E315">
        <v>6400</v>
      </c>
      <c r="F315" t="str">
        <f t="shared" si="4"/>
        <v>lena256_line_3_100_6400</v>
      </c>
      <c r="G315">
        <v>0</v>
      </c>
      <c r="H315">
        <v>0</v>
      </c>
      <c r="I315">
        <v>7.6341199999999999E-4</v>
      </c>
      <c r="J315">
        <v>9.5559999999999996E-6</v>
      </c>
      <c r="K315">
        <v>16.6584</v>
      </c>
      <c r="L315">
        <v>15.0571</v>
      </c>
      <c r="M315">
        <v>19.515699999999999</v>
      </c>
      <c r="N315">
        <v>0</v>
      </c>
      <c r="O315">
        <v>0</v>
      </c>
    </row>
    <row r="316" spans="1:15" x14ac:dyDescent="0.25">
      <c r="A316" t="s">
        <v>14</v>
      </c>
      <c r="B316" t="s">
        <v>17</v>
      </c>
      <c r="C316">
        <v>3</v>
      </c>
      <c r="D316">
        <v>100</v>
      </c>
      <c r="E316">
        <v>12800</v>
      </c>
      <c r="F316" t="str">
        <f t="shared" si="4"/>
        <v>lena256_line_3_100_12800</v>
      </c>
      <c r="G316">
        <v>0</v>
      </c>
      <c r="H316">
        <v>0</v>
      </c>
      <c r="I316">
        <v>1.62794E-3</v>
      </c>
      <c r="J316">
        <v>9.5559999999999996E-6</v>
      </c>
      <c r="K316">
        <v>13.4711</v>
      </c>
      <c r="L316">
        <v>15.0571</v>
      </c>
      <c r="M316">
        <v>18.718699999999998</v>
      </c>
      <c r="N316">
        <v>0</v>
      </c>
      <c r="O316">
        <v>0</v>
      </c>
    </row>
    <row r="317" spans="1:15" x14ac:dyDescent="0.25">
      <c r="A317" t="s">
        <v>14</v>
      </c>
      <c r="B317" t="s">
        <v>17</v>
      </c>
      <c r="C317">
        <v>3</v>
      </c>
      <c r="D317">
        <v>100</v>
      </c>
      <c r="E317">
        <v>25600</v>
      </c>
      <c r="F317" t="str">
        <f t="shared" si="4"/>
        <v>lena256_line_3_100_25600</v>
      </c>
      <c r="G317">
        <v>0</v>
      </c>
      <c r="H317">
        <v>0</v>
      </c>
      <c r="I317">
        <v>3.567728E-3</v>
      </c>
      <c r="J317">
        <v>9.5559999999999996E-6</v>
      </c>
      <c r="K317">
        <v>10.276199999999999</v>
      </c>
      <c r="L317">
        <v>15.0571</v>
      </c>
      <c r="M317">
        <v>17.577500000000001</v>
      </c>
      <c r="N317">
        <v>0</v>
      </c>
      <c r="O317">
        <v>0</v>
      </c>
    </row>
    <row r="318" spans="1:15" x14ac:dyDescent="0.25">
      <c r="A318" t="s">
        <v>14</v>
      </c>
      <c r="B318" t="s">
        <v>17</v>
      </c>
      <c r="C318">
        <v>3</v>
      </c>
      <c r="D318">
        <v>100</v>
      </c>
      <c r="E318">
        <v>102400</v>
      </c>
      <c r="F318" t="str">
        <f t="shared" si="4"/>
        <v>lena256_line_3_100_102400</v>
      </c>
      <c r="G318">
        <v>0</v>
      </c>
      <c r="H318">
        <v>0</v>
      </c>
      <c r="I318">
        <v>2.1070439999999999E-2</v>
      </c>
      <c r="J318">
        <v>9.6039999999999999E-6</v>
      </c>
      <c r="K318">
        <v>4.1143999999999998</v>
      </c>
      <c r="L318">
        <v>15.065</v>
      </c>
      <c r="M318">
        <v>14.2735</v>
      </c>
      <c r="N318">
        <v>0</v>
      </c>
      <c r="O318">
        <v>0</v>
      </c>
    </row>
    <row r="319" spans="1:15" x14ac:dyDescent="0.25">
      <c r="A319" t="s">
        <v>14</v>
      </c>
      <c r="B319" t="s">
        <v>17</v>
      </c>
      <c r="C319">
        <v>7</v>
      </c>
      <c r="D319">
        <v>100</v>
      </c>
      <c r="E319">
        <v>200</v>
      </c>
      <c r="F319" t="str">
        <f t="shared" si="4"/>
        <v>lena256_line_7_100_200</v>
      </c>
      <c r="G319">
        <v>0</v>
      </c>
      <c r="H319">
        <v>0</v>
      </c>
      <c r="I319">
        <v>2.0619999999999999E-5</v>
      </c>
      <c r="J319">
        <v>9.4220000000000006E-6</v>
      </c>
      <c r="K319">
        <v>32.245699999999999</v>
      </c>
      <c r="L319">
        <v>10.084199999999999</v>
      </c>
      <c r="M319">
        <v>21.895399999999999</v>
      </c>
      <c r="N319">
        <v>0</v>
      </c>
      <c r="O319">
        <v>0</v>
      </c>
    </row>
    <row r="320" spans="1:15" x14ac:dyDescent="0.25">
      <c r="A320" t="s">
        <v>14</v>
      </c>
      <c r="B320" t="s">
        <v>17</v>
      </c>
      <c r="C320">
        <v>7</v>
      </c>
      <c r="D320">
        <v>100</v>
      </c>
      <c r="E320">
        <v>400</v>
      </c>
      <c r="F320" t="str">
        <f t="shared" si="4"/>
        <v>lena256_line_7_100_400</v>
      </c>
      <c r="G320">
        <v>0</v>
      </c>
      <c r="H320">
        <v>0</v>
      </c>
      <c r="I320">
        <v>4.2886999999999998E-5</v>
      </c>
      <c r="J320">
        <v>9.4220000000000006E-6</v>
      </c>
      <c r="K320">
        <v>29.069600000000001</v>
      </c>
      <c r="L320">
        <v>10.084199999999999</v>
      </c>
      <c r="M320">
        <v>21.726299999999998</v>
      </c>
      <c r="N320">
        <v>0</v>
      </c>
      <c r="O320">
        <v>0</v>
      </c>
    </row>
    <row r="321" spans="1:15" x14ac:dyDescent="0.25">
      <c r="A321" t="s">
        <v>14</v>
      </c>
      <c r="B321" t="s">
        <v>17</v>
      </c>
      <c r="C321">
        <v>7</v>
      </c>
      <c r="D321">
        <v>100</v>
      </c>
      <c r="E321">
        <v>800</v>
      </c>
      <c r="F321" t="str">
        <f t="shared" si="4"/>
        <v>lena256_line_7_100_800</v>
      </c>
      <c r="G321">
        <v>0</v>
      </c>
      <c r="H321">
        <v>0</v>
      </c>
      <c r="I321">
        <v>8.8758000000000006E-5</v>
      </c>
      <c r="J321">
        <v>9.4220000000000006E-6</v>
      </c>
      <c r="K321">
        <v>25.913399999999999</v>
      </c>
      <c r="L321">
        <v>10.084199999999999</v>
      </c>
      <c r="M321">
        <v>21.525500000000001</v>
      </c>
      <c r="N321">
        <v>0</v>
      </c>
      <c r="O321">
        <v>0</v>
      </c>
    </row>
    <row r="322" spans="1:15" x14ac:dyDescent="0.25">
      <c r="A322" t="s">
        <v>14</v>
      </c>
      <c r="B322" t="s">
        <v>17</v>
      </c>
      <c r="C322">
        <v>7</v>
      </c>
      <c r="D322">
        <v>100</v>
      </c>
      <c r="E322">
        <v>1600</v>
      </c>
      <c r="F322" t="str">
        <f t="shared" ref="F322:F385" si="5">A322&amp;"_"&amp;B322&amp;"_"&amp;C322&amp;"_"&amp;D322&amp;"_"&amp;E322</f>
        <v>lena256_line_7_100_1600</v>
      </c>
      <c r="G322">
        <v>0</v>
      </c>
      <c r="H322">
        <v>0</v>
      </c>
      <c r="I322">
        <v>1.80168E-4</v>
      </c>
      <c r="J322">
        <v>9.4220000000000006E-6</v>
      </c>
      <c r="K322">
        <v>22.853999999999999</v>
      </c>
      <c r="L322">
        <v>10.084199999999999</v>
      </c>
      <c r="M322">
        <v>21.076499999999999</v>
      </c>
      <c r="N322">
        <v>0</v>
      </c>
      <c r="O322">
        <v>0</v>
      </c>
    </row>
    <row r="323" spans="1:15" x14ac:dyDescent="0.25">
      <c r="A323" t="s">
        <v>14</v>
      </c>
      <c r="B323" t="s">
        <v>17</v>
      </c>
      <c r="C323">
        <v>7</v>
      </c>
      <c r="D323">
        <v>100</v>
      </c>
      <c r="E323">
        <v>3200</v>
      </c>
      <c r="F323" t="str">
        <f t="shared" si="5"/>
        <v>lena256_line_7_100_3200</v>
      </c>
      <c r="G323">
        <v>0</v>
      </c>
      <c r="H323">
        <v>0</v>
      </c>
      <c r="I323">
        <v>3.6874899999999998E-4</v>
      </c>
      <c r="J323">
        <v>9.4220000000000006E-6</v>
      </c>
      <c r="K323">
        <v>19.762699999999999</v>
      </c>
      <c r="L323">
        <v>10.084199999999999</v>
      </c>
      <c r="M323">
        <v>20.426500000000001</v>
      </c>
      <c r="N323">
        <v>0</v>
      </c>
      <c r="O323">
        <v>0</v>
      </c>
    </row>
    <row r="324" spans="1:15" x14ac:dyDescent="0.25">
      <c r="A324" t="s">
        <v>14</v>
      </c>
      <c r="B324" t="s">
        <v>17</v>
      </c>
      <c r="C324">
        <v>7</v>
      </c>
      <c r="D324">
        <v>100</v>
      </c>
      <c r="E324">
        <v>6400</v>
      </c>
      <c r="F324" t="str">
        <f t="shared" si="5"/>
        <v>lena256_line_7_100_6400</v>
      </c>
      <c r="G324">
        <v>0</v>
      </c>
      <c r="H324">
        <v>0</v>
      </c>
      <c r="I324">
        <v>7.6256700000000002E-4</v>
      </c>
      <c r="J324">
        <v>9.4220000000000006E-6</v>
      </c>
      <c r="K324">
        <v>16.6572</v>
      </c>
      <c r="L324">
        <v>10.084199999999999</v>
      </c>
      <c r="M324">
        <v>19.541399999999999</v>
      </c>
      <c r="N324">
        <v>0</v>
      </c>
      <c r="O324">
        <v>0</v>
      </c>
    </row>
    <row r="325" spans="1:15" x14ac:dyDescent="0.25">
      <c r="A325" t="s">
        <v>14</v>
      </c>
      <c r="B325" t="s">
        <v>17</v>
      </c>
      <c r="C325">
        <v>7</v>
      </c>
      <c r="D325">
        <v>100</v>
      </c>
      <c r="E325">
        <v>12800</v>
      </c>
      <c r="F325" t="str">
        <f t="shared" si="5"/>
        <v>lena256_line_7_100_12800</v>
      </c>
      <c r="G325">
        <v>0</v>
      </c>
      <c r="H325">
        <v>0</v>
      </c>
      <c r="I325">
        <v>1.6085889999999999E-3</v>
      </c>
      <c r="J325">
        <v>9.4220000000000006E-6</v>
      </c>
      <c r="K325">
        <v>13.5159</v>
      </c>
      <c r="L325">
        <v>10.084199999999999</v>
      </c>
      <c r="M325">
        <v>18.392499999999998</v>
      </c>
      <c r="N325">
        <v>0</v>
      </c>
      <c r="O325">
        <v>0</v>
      </c>
    </row>
    <row r="326" spans="1:15" x14ac:dyDescent="0.25">
      <c r="A326" t="s">
        <v>14</v>
      </c>
      <c r="B326" t="s">
        <v>17</v>
      </c>
      <c r="C326">
        <v>7</v>
      </c>
      <c r="D326">
        <v>100</v>
      </c>
      <c r="E326">
        <v>25600</v>
      </c>
      <c r="F326" t="str">
        <f t="shared" si="5"/>
        <v>lena256_line_7_100_25600</v>
      </c>
      <c r="G326">
        <v>0</v>
      </c>
      <c r="H326">
        <v>0</v>
      </c>
      <c r="I326">
        <v>3.5706850000000001E-3</v>
      </c>
      <c r="J326">
        <v>9.4220000000000006E-6</v>
      </c>
      <c r="K326">
        <v>10.2844</v>
      </c>
      <c r="L326">
        <v>10.084199999999999</v>
      </c>
      <c r="M326">
        <v>16.6706</v>
      </c>
      <c r="N326">
        <v>0</v>
      </c>
      <c r="O326">
        <v>0</v>
      </c>
    </row>
    <row r="327" spans="1:15" x14ac:dyDescent="0.25">
      <c r="A327" t="s">
        <v>14</v>
      </c>
      <c r="B327" t="s">
        <v>17</v>
      </c>
      <c r="C327">
        <v>7</v>
      </c>
      <c r="D327">
        <v>100</v>
      </c>
      <c r="E327">
        <v>102400</v>
      </c>
      <c r="F327" t="str">
        <f t="shared" si="5"/>
        <v>lena256_line_7_100_102400</v>
      </c>
      <c r="G327">
        <v>0</v>
      </c>
      <c r="H327">
        <v>0</v>
      </c>
      <c r="I327">
        <v>2.096466E-2</v>
      </c>
      <c r="J327">
        <v>9.5929999999999995E-6</v>
      </c>
      <c r="K327">
        <v>4.1555</v>
      </c>
      <c r="L327">
        <v>10.085599999999999</v>
      </c>
      <c r="M327">
        <v>12.598599999999999</v>
      </c>
      <c r="N327">
        <v>0</v>
      </c>
      <c r="O327">
        <v>0</v>
      </c>
    </row>
    <row r="328" spans="1:15" x14ac:dyDescent="0.25">
      <c r="A328" t="s">
        <v>14</v>
      </c>
      <c r="B328" t="s">
        <v>17</v>
      </c>
      <c r="C328">
        <v>15</v>
      </c>
      <c r="D328">
        <v>100</v>
      </c>
      <c r="E328">
        <v>200</v>
      </c>
      <c r="F328" t="str">
        <f t="shared" si="5"/>
        <v>lena256_line_15_100_200</v>
      </c>
      <c r="G328">
        <v>0</v>
      </c>
      <c r="H328">
        <v>0</v>
      </c>
      <c r="I328">
        <v>2.1081999999999999E-5</v>
      </c>
      <c r="J328">
        <v>9.5410000000000006E-6</v>
      </c>
      <c r="K328">
        <v>32.150100000000002</v>
      </c>
      <c r="L328">
        <v>6.5659000000000001</v>
      </c>
      <c r="M328">
        <v>22.056799999999999</v>
      </c>
      <c r="N328">
        <v>0</v>
      </c>
      <c r="O328">
        <v>0</v>
      </c>
    </row>
    <row r="329" spans="1:15" x14ac:dyDescent="0.25">
      <c r="A329" t="s">
        <v>14</v>
      </c>
      <c r="B329" t="s">
        <v>17</v>
      </c>
      <c r="C329">
        <v>15</v>
      </c>
      <c r="D329">
        <v>100</v>
      </c>
      <c r="E329">
        <v>400</v>
      </c>
      <c r="F329" t="str">
        <f t="shared" si="5"/>
        <v>lena256_line_15_100_400</v>
      </c>
      <c r="G329">
        <v>0</v>
      </c>
      <c r="H329">
        <v>0</v>
      </c>
      <c r="I329">
        <v>4.3921000000000002E-5</v>
      </c>
      <c r="J329">
        <v>9.5410000000000006E-6</v>
      </c>
      <c r="K329">
        <v>28.9635</v>
      </c>
      <c r="L329">
        <v>6.5659000000000001</v>
      </c>
      <c r="M329">
        <v>21.893999999999998</v>
      </c>
      <c r="N329">
        <v>0</v>
      </c>
      <c r="O329">
        <v>0</v>
      </c>
    </row>
    <row r="330" spans="1:15" x14ac:dyDescent="0.25">
      <c r="A330" t="s">
        <v>14</v>
      </c>
      <c r="B330" t="s">
        <v>17</v>
      </c>
      <c r="C330">
        <v>15</v>
      </c>
      <c r="D330">
        <v>100</v>
      </c>
      <c r="E330">
        <v>800</v>
      </c>
      <c r="F330" t="str">
        <f t="shared" si="5"/>
        <v>lena256_line_15_100_800</v>
      </c>
      <c r="G330">
        <v>0</v>
      </c>
      <c r="H330">
        <v>0</v>
      </c>
      <c r="I330">
        <v>8.9031999999999997E-5</v>
      </c>
      <c r="J330">
        <v>9.5410000000000006E-6</v>
      </c>
      <c r="K330">
        <v>25.904399999999999</v>
      </c>
      <c r="L330">
        <v>6.5659000000000001</v>
      </c>
      <c r="M330">
        <v>21.5733</v>
      </c>
      <c r="N330">
        <v>0</v>
      </c>
      <c r="O330">
        <v>0</v>
      </c>
    </row>
    <row r="331" spans="1:15" x14ac:dyDescent="0.25">
      <c r="A331" t="s">
        <v>14</v>
      </c>
      <c r="B331" t="s">
        <v>17</v>
      </c>
      <c r="C331">
        <v>15</v>
      </c>
      <c r="D331">
        <v>100</v>
      </c>
      <c r="E331">
        <v>1600</v>
      </c>
      <c r="F331" t="str">
        <f t="shared" si="5"/>
        <v>lena256_line_15_100_1600</v>
      </c>
      <c r="G331">
        <v>0</v>
      </c>
      <c r="H331">
        <v>0</v>
      </c>
      <c r="I331">
        <v>1.81669E-4</v>
      </c>
      <c r="J331">
        <v>9.5410000000000006E-6</v>
      </c>
      <c r="K331">
        <v>22.815300000000001</v>
      </c>
      <c r="L331">
        <v>6.5659000000000001</v>
      </c>
      <c r="M331">
        <v>21.073499999999999</v>
      </c>
      <c r="N331">
        <v>0</v>
      </c>
      <c r="O331">
        <v>0</v>
      </c>
    </row>
    <row r="332" spans="1:15" x14ac:dyDescent="0.25">
      <c r="A332" t="s">
        <v>14</v>
      </c>
      <c r="B332" t="s">
        <v>17</v>
      </c>
      <c r="C332">
        <v>15</v>
      </c>
      <c r="D332">
        <v>100</v>
      </c>
      <c r="E332">
        <v>3200</v>
      </c>
      <c r="F332" t="str">
        <f t="shared" si="5"/>
        <v>lena256_line_15_100_3200</v>
      </c>
      <c r="G332">
        <v>0</v>
      </c>
      <c r="H332">
        <v>0</v>
      </c>
      <c r="I332">
        <v>3.7114199999999998E-4</v>
      </c>
      <c r="J332">
        <v>9.5410000000000006E-6</v>
      </c>
      <c r="K332">
        <v>19.7347</v>
      </c>
      <c r="L332">
        <v>6.5659000000000001</v>
      </c>
      <c r="M332">
        <v>20.324400000000001</v>
      </c>
      <c r="N332">
        <v>0</v>
      </c>
      <c r="O332">
        <v>0</v>
      </c>
    </row>
    <row r="333" spans="1:15" x14ac:dyDescent="0.25">
      <c r="A333" t="s">
        <v>14</v>
      </c>
      <c r="B333" t="s">
        <v>17</v>
      </c>
      <c r="C333">
        <v>15</v>
      </c>
      <c r="D333">
        <v>100</v>
      </c>
      <c r="E333">
        <v>6400</v>
      </c>
      <c r="F333" t="str">
        <f t="shared" si="5"/>
        <v>lena256_line_15_100_6400</v>
      </c>
      <c r="G333">
        <v>0</v>
      </c>
      <c r="H333">
        <v>0</v>
      </c>
      <c r="I333">
        <v>7.63055E-4</v>
      </c>
      <c r="J333">
        <v>9.5410000000000006E-6</v>
      </c>
      <c r="K333">
        <v>16.658999999999999</v>
      </c>
      <c r="L333">
        <v>6.5659000000000001</v>
      </c>
      <c r="M333">
        <v>19.388100000000001</v>
      </c>
      <c r="N333">
        <v>0</v>
      </c>
      <c r="O333">
        <v>0</v>
      </c>
    </row>
    <row r="334" spans="1:15" x14ac:dyDescent="0.25">
      <c r="A334" t="s">
        <v>14</v>
      </c>
      <c r="B334" t="s">
        <v>17</v>
      </c>
      <c r="C334">
        <v>15</v>
      </c>
      <c r="D334">
        <v>100</v>
      </c>
      <c r="E334">
        <v>12800</v>
      </c>
      <c r="F334" t="str">
        <f t="shared" si="5"/>
        <v>lena256_line_15_100_12800</v>
      </c>
      <c r="G334">
        <v>0</v>
      </c>
      <c r="H334">
        <v>0</v>
      </c>
      <c r="I334">
        <v>1.621637E-3</v>
      </c>
      <c r="J334">
        <v>9.5410000000000006E-6</v>
      </c>
      <c r="K334">
        <v>13.485799999999999</v>
      </c>
      <c r="L334">
        <v>6.5659000000000001</v>
      </c>
      <c r="M334">
        <v>18.028500000000001</v>
      </c>
      <c r="N334">
        <v>0</v>
      </c>
      <c r="O334">
        <v>0</v>
      </c>
    </row>
    <row r="335" spans="1:15" x14ac:dyDescent="0.25">
      <c r="A335" t="s">
        <v>14</v>
      </c>
      <c r="B335" t="s">
        <v>17</v>
      </c>
      <c r="C335">
        <v>15</v>
      </c>
      <c r="D335">
        <v>100</v>
      </c>
      <c r="E335">
        <v>25600</v>
      </c>
      <c r="F335" t="str">
        <f t="shared" si="5"/>
        <v>lena256_line_15_100_25600</v>
      </c>
      <c r="G335">
        <v>0</v>
      </c>
      <c r="H335">
        <v>0</v>
      </c>
      <c r="I335">
        <v>3.5611140000000002E-3</v>
      </c>
      <c r="J335">
        <v>9.5410000000000006E-6</v>
      </c>
      <c r="K335">
        <v>10.282500000000001</v>
      </c>
      <c r="L335">
        <v>6.5659000000000001</v>
      </c>
      <c r="M335">
        <v>16.343599999999999</v>
      </c>
      <c r="N335">
        <v>0</v>
      </c>
      <c r="O335">
        <v>0</v>
      </c>
    </row>
    <row r="336" spans="1:15" x14ac:dyDescent="0.25">
      <c r="A336" t="s">
        <v>14</v>
      </c>
      <c r="B336" t="s">
        <v>17</v>
      </c>
      <c r="C336">
        <v>15</v>
      </c>
      <c r="D336">
        <v>100</v>
      </c>
      <c r="E336">
        <v>102400</v>
      </c>
      <c r="F336" t="str">
        <f t="shared" si="5"/>
        <v>lena256_line_15_100_102400</v>
      </c>
      <c r="G336">
        <v>0</v>
      </c>
      <c r="H336">
        <v>0</v>
      </c>
      <c r="I336">
        <v>2.1035498E-2</v>
      </c>
      <c r="J336">
        <v>9.4550000000000001E-6</v>
      </c>
      <c r="K336">
        <v>4.1443000000000003</v>
      </c>
      <c r="L336">
        <v>6.5660999999999996</v>
      </c>
      <c r="M336">
        <v>12.187099999999999</v>
      </c>
      <c r="N336">
        <v>0</v>
      </c>
      <c r="O336">
        <v>0</v>
      </c>
    </row>
    <row r="337" spans="1:15" x14ac:dyDescent="0.25">
      <c r="A337" t="s">
        <v>14</v>
      </c>
      <c r="B337" t="s">
        <v>17</v>
      </c>
      <c r="C337">
        <v>31</v>
      </c>
      <c r="D337">
        <v>100</v>
      </c>
      <c r="E337">
        <v>200</v>
      </c>
      <c r="F337" t="str">
        <f t="shared" si="5"/>
        <v>lena256_line_31_100_200</v>
      </c>
      <c r="G337">
        <v>0</v>
      </c>
      <c r="H337">
        <v>0</v>
      </c>
      <c r="I337">
        <v>2.0587000000000001E-5</v>
      </c>
      <c r="J337">
        <v>9.5009999999999993E-6</v>
      </c>
      <c r="K337">
        <v>32.252899999999997</v>
      </c>
      <c r="L337">
        <v>3.6453000000000002</v>
      </c>
      <c r="M337">
        <v>21.8477</v>
      </c>
      <c r="N337">
        <v>0</v>
      </c>
      <c r="O337">
        <v>0</v>
      </c>
    </row>
    <row r="338" spans="1:15" x14ac:dyDescent="0.25">
      <c r="A338" t="s">
        <v>14</v>
      </c>
      <c r="B338" t="s">
        <v>17</v>
      </c>
      <c r="C338">
        <v>31</v>
      </c>
      <c r="D338">
        <v>100</v>
      </c>
      <c r="E338">
        <v>400</v>
      </c>
      <c r="F338" t="str">
        <f t="shared" si="5"/>
        <v>lena256_line_31_100_400</v>
      </c>
      <c r="G338">
        <v>0</v>
      </c>
      <c r="H338">
        <v>0</v>
      </c>
      <c r="I338">
        <v>4.3415999999999999E-5</v>
      </c>
      <c r="J338">
        <v>9.5009999999999993E-6</v>
      </c>
      <c r="K338">
        <v>29.014600000000002</v>
      </c>
      <c r="L338">
        <v>3.6453000000000002</v>
      </c>
      <c r="M338">
        <v>21.6813</v>
      </c>
      <c r="N338">
        <v>0</v>
      </c>
      <c r="O338">
        <v>0</v>
      </c>
    </row>
    <row r="339" spans="1:15" x14ac:dyDescent="0.25">
      <c r="A339" t="s">
        <v>14</v>
      </c>
      <c r="B339" t="s">
        <v>17</v>
      </c>
      <c r="C339">
        <v>31</v>
      </c>
      <c r="D339">
        <v>100</v>
      </c>
      <c r="E339">
        <v>800</v>
      </c>
      <c r="F339" t="str">
        <f t="shared" si="5"/>
        <v>lena256_line_31_100_800</v>
      </c>
      <c r="G339">
        <v>0</v>
      </c>
      <c r="H339">
        <v>0</v>
      </c>
      <c r="I339">
        <v>8.9696000000000003E-5</v>
      </c>
      <c r="J339">
        <v>9.5009999999999993E-6</v>
      </c>
      <c r="K339">
        <v>25.869900000000001</v>
      </c>
      <c r="L339">
        <v>3.6453000000000002</v>
      </c>
      <c r="M339">
        <v>21.390499999999999</v>
      </c>
      <c r="N339">
        <v>0</v>
      </c>
      <c r="O339">
        <v>0</v>
      </c>
    </row>
    <row r="340" spans="1:15" x14ac:dyDescent="0.25">
      <c r="A340" t="s">
        <v>14</v>
      </c>
      <c r="B340" t="s">
        <v>17</v>
      </c>
      <c r="C340">
        <v>31</v>
      </c>
      <c r="D340">
        <v>100</v>
      </c>
      <c r="E340">
        <v>1600</v>
      </c>
      <c r="F340" t="str">
        <f t="shared" si="5"/>
        <v>lena256_line_31_100_1600</v>
      </c>
      <c r="G340">
        <v>0</v>
      </c>
      <c r="H340">
        <v>0</v>
      </c>
      <c r="I340">
        <v>1.8203199999999999E-4</v>
      </c>
      <c r="J340">
        <v>9.5009999999999993E-6</v>
      </c>
      <c r="K340">
        <v>22.8062</v>
      </c>
      <c r="L340">
        <v>3.6453000000000002</v>
      </c>
      <c r="M340">
        <v>20.857299999999999</v>
      </c>
      <c r="N340">
        <v>0</v>
      </c>
      <c r="O340">
        <v>0</v>
      </c>
    </row>
    <row r="341" spans="1:15" x14ac:dyDescent="0.25">
      <c r="A341" t="s">
        <v>14</v>
      </c>
      <c r="B341" t="s">
        <v>17</v>
      </c>
      <c r="C341">
        <v>31</v>
      </c>
      <c r="D341">
        <v>100</v>
      </c>
      <c r="E341">
        <v>3200</v>
      </c>
      <c r="F341" t="str">
        <f t="shared" si="5"/>
        <v>lena256_line_31_100_3200</v>
      </c>
      <c r="G341">
        <v>0</v>
      </c>
      <c r="H341">
        <v>0</v>
      </c>
      <c r="I341">
        <v>3.73075E-4</v>
      </c>
      <c r="J341">
        <v>9.5009999999999993E-6</v>
      </c>
      <c r="K341">
        <v>19.7135</v>
      </c>
      <c r="L341">
        <v>3.6453000000000002</v>
      </c>
      <c r="M341">
        <v>20.155899999999999</v>
      </c>
      <c r="N341">
        <v>0</v>
      </c>
      <c r="O341">
        <v>0</v>
      </c>
    </row>
    <row r="342" spans="1:15" x14ac:dyDescent="0.25">
      <c r="A342" t="s">
        <v>14</v>
      </c>
      <c r="B342" t="s">
        <v>17</v>
      </c>
      <c r="C342">
        <v>31</v>
      </c>
      <c r="D342">
        <v>100</v>
      </c>
      <c r="E342">
        <v>6400</v>
      </c>
      <c r="F342" t="str">
        <f t="shared" si="5"/>
        <v>lena256_line_31_100_6400</v>
      </c>
      <c r="G342">
        <v>0</v>
      </c>
      <c r="H342">
        <v>0</v>
      </c>
      <c r="I342">
        <v>7.5871200000000004E-4</v>
      </c>
      <c r="J342">
        <v>9.5009999999999993E-6</v>
      </c>
      <c r="K342">
        <v>16.685500000000001</v>
      </c>
      <c r="L342">
        <v>3.6453000000000002</v>
      </c>
      <c r="M342">
        <v>19.255299999999998</v>
      </c>
      <c r="N342">
        <v>0</v>
      </c>
      <c r="O342">
        <v>0</v>
      </c>
    </row>
    <row r="343" spans="1:15" x14ac:dyDescent="0.25">
      <c r="A343" t="s">
        <v>14</v>
      </c>
      <c r="B343" t="s">
        <v>17</v>
      </c>
      <c r="C343">
        <v>31</v>
      </c>
      <c r="D343">
        <v>100</v>
      </c>
      <c r="E343">
        <v>12800</v>
      </c>
      <c r="F343" t="str">
        <f t="shared" si="5"/>
        <v>lena256_line_31_100_12800</v>
      </c>
      <c r="G343">
        <v>0</v>
      </c>
      <c r="H343">
        <v>0</v>
      </c>
      <c r="I343">
        <v>1.6184859999999999E-3</v>
      </c>
      <c r="J343">
        <v>9.5009999999999993E-6</v>
      </c>
      <c r="K343">
        <v>13.492699999999999</v>
      </c>
      <c r="L343">
        <v>3.6453000000000002</v>
      </c>
      <c r="M343">
        <v>17.8569</v>
      </c>
      <c r="N343">
        <v>0</v>
      </c>
      <c r="O343">
        <v>0</v>
      </c>
    </row>
    <row r="344" spans="1:15" x14ac:dyDescent="0.25">
      <c r="A344" t="s">
        <v>14</v>
      </c>
      <c r="B344" t="s">
        <v>17</v>
      </c>
      <c r="C344">
        <v>31</v>
      </c>
      <c r="D344">
        <v>100</v>
      </c>
      <c r="E344">
        <v>25600</v>
      </c>
      <c r="F344" t="str">
        <f t="shared" si="5"/>
        <v>lena256_line_31_100_25600</v>
      </c>
      <c r="G344">
        <v>0</v>
      </c>
      <c r="H344">
        <v>0</v>
      </c>
      <c r="I344">
        <v>3.5469270000000001E-3</v>
      </c>
      <c r="J344">
        <v>9.5009999999999993E-6</v>
      </c>
      <c r="K344">
        <v>10.29</v>
      </c>
      <c r="L344">
        <v>3.6453000000000002</v>
      </c>
      <c r="M344">
        <v>16.295200000000001</v>
      </c>
      <c r="N344">
        <v>0</v>
      </c>
      <c r="O344">
        <v>0</v>
      </c>
    </row>
    <row r="345" spans="1:15" x14ac:dyDescent="0.25">
      <c r="A345" t="s">
        <v>14</v>
      </c>
      <c r="B345" t="s">
        <v>17</v>
      </c>
      <c r="C345">
        <v>31</v>
      </c>
      <c r="D345">
        <v>100</v>
      </c>
      <c r="E345">
        <v>102400</v>
      </c>
      <c r="F345" t="str">
        <f t="shared" si="5"/>
        <v>lena256_line_31_100_102400</v>
      </c>
      <c r="G345">
        <v>0</v>
      </c>
      <c r="H345">
        <v>0</v>
      </c>
      <c r="I345">
        <v>2.0855755E-2</v>
      </c>
      <c r="J345">
        <v>9.5869999999999999E-6</v>
      </c>
      <c r="K345">
        <v>4.1734</v>
      </c>
      <c r="L345">
        <v>3.6455000000000002</v>
      </c>
      <c r="M345">
        <v>11.8887</v>
      </c>
      <c r="N345">
        <v>0</v>
      </c>
      <c r="O345">
        <v>0</v>
      </c>
    </row>
    <row r="346" spans="1:15" x14ac:dyDescent="0.25">
      <c r="A346" t="s">
        <v>14</v>
      </c>
      <c r="B346" t="s">
        <v>17</v>
      </c>
      <c r="C346">
        <v>63</v>
      </c>
      <c r="D346">
        <v>100</v>
      </c>
      <c r="E346">
        <v>200</v>
      </c>
      <c r="F346" t="str">
        <f t="shared" si="5"/>
        <v>lena256_line_63_100_200</v>
      </c>
      <c r="G346">
        <v>0</v>
      </c>
      <c r="H346">
        <v>0</v>
      </c>
      <c r="I346">
        <v>2.0842000000000001E-5</v>
      </c>
      <c r="J346">
        <v>9.5200000000000003E-6</v>
      </c>
      <c r="K346">
        <v>32.1999</v>
      </c>
      <c r="L346">
        <v>1.6156999999999999</v>
      </c>
      <c r="M346">
        <v>21.052099999999999</v>
      </c>
      <c r="N346">
        <v>0</v>
      </c>
      <c r="O346">
        <v>0</v>
      </c>
    </row>
    <row r="347" spans="1:15" x14ac:dyDescent="0.25">
      <c r="A347" t="s">
        <v>14</v>
      </c>
      <c r="B347" t="s">
        <v>17</v>
      </c>
      <c r="C347">
        <v>63</v>
      </c>
      <c r="D347">
        <v>100</v>
      </c>
      <c r="E347">
        <v>400</v>
      </c>
      <c r="F347" t="str">
        <f t="shared" si="5"/>
        <v>lena256_line_63_100_400</v>
      </c>
      <c r="G347">
        <v>0</v>
      </c>
      <c r="H347">
        <v>0</v>
      </c>
      <c r="I347">
        <v>4.3818E-5</v>
      </c>
      <c r="J347">
        <v>9.5200000000000003E-6</v>
      </c>
      <c r="K347">
        <v>28.973600000000001</v>
      </c>
      <c r="L347">
        <v>1.6156999999999999</v>
      </c>
      <c r="M347">
        <v>20.922799999999999</v>
      </c>
      <c r="N347">
        <v>0</v>
      </c>
      <c r="O347">
        <v>0</v>
      </c>
    </row>
    <row r="348" spans="1:15" x14ac:dyDescent="0.25">
      <c r="A348" t="s">
        <v>14</v>
      </c>
      <c r="B348" t="s">
        <v>17</v>
      </c>
      <c r="C348">
        <v>63</v>
      </c>
      <c r="D348">
        <v>100</v>
      </c>
      <c r="E348">
        <v>800</v>
      </c>
      <c r="F348" t="str">
        <f t="shared" si="5"/>
        <v>lena256_line_63_100_800</v>
      </c>
      <c r="G348">
        <v>0</v>
      </c>
      <c r="H348">
        <v>0</v>
      </c>
      <c r="I348">
        <v>8.9481000000000006E-5</v>
      </c>
      <c r="J348">
        <v>9.5200000000000003E-6</v>
      </c>
      <c r="K348">
        <v>25.879200000000001</v>
      </c>
      <c r="L348">
        <v>1.6156999999999999</v>
      </c>
      <c r="M348">
        <v>20.622399999999999</v>
      </c>
      <c r="N348">
        <v>0</v>
      </c>
      <c r="O348">
        <v>0</v>
      </c>
    </row>
    <row r="349" spans="1:15" x14ac:dyDescent="0.25">
      <c r="A349" t="s">
        <v>14</v>
      </c>
      <c r="B349" t="s">
        <v>17</v>
      </c>
      <c r="C349">
        <v>63</v>
      </c>
      <c r="D349">
        <v>100</v>
      </c>
      <c r="E349">
        <v>1600</v>
      </c>
      <c r="F349" t="str">
        <f t="shared" si="5"/>
        <v>lena256_line_63_100_1600</v>
      </c>
      <c r="G349">
        <v>0</v>
      </c>
      <c r="H349">
        <v>0</v>
      </c>
      <c r="I349">
        <v>1.8220399999999999E-4</v>
      </c>
      <c r="J349">
        <v>9.5200000000000003E-6</v>
      </c>
      <c r="K349">
        <v>22.8049</v>
      </c>
      <c r="L349">
        <v>1.6156999999999999</v>
      </c>
      <c r="M349">
        <v>20.2469</v>
      </c>
      <c r="N349">
        <v>0</v>
      </c>
      <c r="O349">
        <v>0</v>
      </c>
    </row>
    <row r="350" spans="1:15" x14ac:dyDescent="0.25">
      <c r="A350" t="s">
        <v>14</v>
      </c>
      <c r="B350" t="s">
        <v>17</v>
      </c>
      <c r="C350">
        <v>63</v>
      </c>
      <c r="D350">
        <v>100</v>
      </c>
      <c r="E350">
        <v>3200</v>
      </c>
      <c r="F350" t="str">
        <f t="shared" si="5"/>
        <v>lena256_line_63_100_3200</v>
      </c>
      <c r="G350">
        <v>0</v>
      </c>
      <c r="H350">
        <v>0</v>
      </c>
      <c r="I350">
        <v>3.7006099999999998E-4</v>
      </c>
      <c r="J350">
        <v>9.5200000000000003E-6</v>
      </c>
      <c r="K350">
        <v>19.752600000000001</v>
      </c>
      <c r="L350">
        <v>1.6156999999999999</v>
      </c>
      <c r="M350">
        <v>19.616199999999999</v>
      </c>
      <c r="N350">
        <v>0</v>
      </c>
      <c r="O350">
        <v>0</v>
      </c>
    </row>
    <row r="351" spans="1:15" x14ac:dyDescent="0.25">
      <c r="A351" t="s">
        <v>14</v>
      </c>
      <c r="B351" t="s">
        <v>17</v>
      </c>
      <c r="C351">
        <v>63</v>
      </c>
      <c r="D351">
        <v>100</v>
      </c>
      <c r="E351">
        <v>6400</v>
      </c>
      <c r="F351" t="str">
        <f t="shared" si="5"/>
        <v>lena256_line_63_100_6400</v>
      </c>
      <c r="G351">
        <v>0</v>
      </c>
      <c r="H351">
        <v>0</v>
      </c>
      <c r="I351">
        <v>7.6849500000000001E-4</v>
      </c>
      <c r="J351">
        <v>9.5200000000000003E-6</v>
      </c>
      <c r="K351">
        <v>16.623200000000001</v>
      </c>
      <c r="L351">
        <v>1.6156999999999999</v>
      </c>
      <c r="M351">
        <v>18.6447</v>
      </c>
      <c r="N351">
        <v>0</v>
      </c>
      <c r="O351">
        <v>0</v>
      </c>
    </row>
    <row r="352" spans="1:15" x14ac:dyDescent="0.25">
      <c r="A352" t="s">
        <v>14</v>
      </c>
      <c r="B352" t="s">
        <v>17</v>
      </c>
      <c r="C352">
        <v>63</v>
      </c>
      <c r="D352">
        <v>100</v>
      </c>
      <c r="E352">
        <v>12800</v>
      </c>
      <c r="F352" t="str">
        <f t="shared" si="5"/>
        <v>lena256_line_63_100_12800</v>
      </c>
      <c r="G352">
        <v>0</v>
      </c>
      <c r="H352">
        <v>0</v>
      </c>
      <c r="I352">
        <v>1.616199E-3</v>
      </c>
      <c r="J352">
        <v>9.5200000000000003E-6</v>
      </c>
      <c r="K352">
        <v>13.502700000000001</v>
      </c>
      <c r="L352">
        <v>1.6156999999999999</v>
      </c>
      <c r="M352">
        <v>17.405200000000001</v>
      </c>
      <c r="N352">
        <v>0</v>
      </c>
      <c r="O352">
        <v>0</v>
      </c>
    </row>
    <row r="353" spans="1:15" x14ac:dyDescent="0.25">
      <c r="A353" t="s">
        <v>14</v>
      </c>
      <c r="B353" t="s">
        <v>17</v>
      </c>
      <c r="C353">
        <v>63</v>
      </c>
      <c r="D353">
        <v>100</v>
      </c>
      <c r="E353">
        <v>25600</v>
      </c>
      <c r="F353" t="str">
        <f t="shared" si="5"/>
        <v>lena256_line_63_100_25600</v>
      </c>
      <c r="G353">
        <v>0</v>
      </c>
      <c r="H353">
        <v>0</v>
      </c>
      <c r="I353">
        <v>3.5465179999999998E-3</v>
      </c>
      <c r="J353">
        <v>9.5200000000000003E-6</v>
      </c>
      <c r="K353">
        <v>10.3163</v>
      </c>
      <c r="L353">
        <v>1.6156999999999999</v>
      </c>
      <c r="M353">
        <v>15.8148</v>
      </c>
      <c r="N353">
        <v>0</v>
      </c>
      <c r="O353">
        <v>0</v>
      </c>
    </row>
    <row r="354" spans="1:15" x14ac:dyDescent="0.25">
      <c r="A354" t="s">
        <v>20</v>
      </c>
      <c r="B354" t="s">
        <v>18</v>
      </c>
      <c r="C354">
        <v>3</v>
      </c>
      <c r="D354">
        <v>100</v>
      </c>
      <c r="E354">
        <v>200</v>
      </c>
      <c r="F354" t="str">
        <f t="shared" si="5"/>
        <v>text256_blurkernel10_3_100_200</v>
      </c>
      <c r="G354">
        <v>0</v>
      </c>
      <c r="H354">
        <v>0</v>
      </c>
      <c r="I354">
        <v>1.6742E-5</v>
      </c>
      <c r="J354">
        <v>9.825E-6</v>
      </c>
      <c r="K354">
        <v>35.659599999999998</v>
      </c>
      <c r="L354">
        <v>7.1314000000000002</v>
      </c>
      <c r="M354">
        <v>17.3413</v>
      </c>
      <c r="N354">
        <v>0</v>
      </c>
      <c r="O354">
        <v>0</v>
      </c>
    </row>
    <row r="355" spans="1:15" x14ac:dyDescent="0.25">
      <c r="A355" t="s">
        <v>20</v>
      </c>
      <c r="B355" t="s">
        <v>18</v>
      </c>
      <c r="C355">
        <v>3</v>
      </c>
      <c r="D355">
        <v>100</v>
      </c>
      <c r="E355">
        <v>400</v>
      </c>
      <c r="F355" t="str">
        <f t="shared" si="5"/>
        <v>text256_blurkernel10_3_100_400</v>
      </c>
      <c r="G355">
        <v>0</v>
      </c>
      <c r="H355">
        <v>0</v>
      </c>
      <c r="I355">
        <v>3.4844E-5</v>
      </c>
      <c r="J355">
        <v>9.825E-6</v>
      </c>
      <c r="K355">
        <v>32.468400000000003</v>
      </c>
      <c r="L355">
        <v>7.1314000000000002</v>
      </c>
      <c r="M355">
        <v>17.308599999999998</v>
      </c>
      <c r="N355">
        <v>0</v>
      </c>
      <c r="O355">
        <v>0</v>
      </c>
    </row>
    <row r="356" spans="1:15" x14ac:dyDescent="0.25">
      <c r="A356" t="s">
        <v>20</v>
      </c>
      <c r="B356" t="s">
        <v>18</v>
      </c>
      <c r="C356">
        <v>3</v>
      </c>
      <c r="D356">
        <v>100</v>
      </c>
      <c r="E356">
        <v>800</v>
      </c>
      <c r="F356" t="str">
        <f t="shared" si="5"/>
        <v>text256_blurkernel10_3_100_800</v>
      </c>
      <c r="G356">
        <v>0</v>
      </c>
      <c r="H356">
        <v>0</v>
      </c>
      <c r="I356">
        <v>7.0406000000000003E-5</v>
      </c>
      <c r="J356">
        <v>9.825E-6</v>
      </c>
      <c r="K356">
        <v>29.397200000000002</v>
      </c>
      <c r="L356">
        <v>7.1314000000000002</v>
      </c>
      <c r="M356">
        <v>17.259</v>
      </c>
      <c r="N356">
        <v>0</v>
      </c>
      <c r="O356">
        <v>0</v>
      </c>
    </row>
    <row r="357" spans="1:15" x14ac:dyDescent="0.25">
      <c r="A357" t="s">
        <v>20</v>
      </c>
      <c r="B357" t="s">
        <v>18</v>
      </c>
      <c r="C357">
        <v>3</v>
      </c>
      <c r="D357">
        <v>100</v>
      </c>
      <c r="E357">
        <v>1600</v>
      </c>
      <c r="F357" t="str">
        <f t="shared" si="5"/>
        <v>text256_blurkernel10_3_100_1600</v>
      </c>
      <c r="G357">
        <v>0</v>
      </c>
      <c r="H357">
        <v>0</v>
      </c>
      <c r="I357">
        <v>1.41526E-4</v>
      </c>
      <c r="J357">
        <v>9.825E-6</v>
      </c>
      <c r="K357">
        <v>26.352900000000002</v>
      </c>
      <c r="L357">
        <v>7.1314000000000002</v>
      </c>
      <c r="M357">
        <v>17.173100000000002</v>
      </c>
      <c r="N357">
        <v>0</v>
      </c>
      <c r="O357">
        <v>0</v>
      </c>
    </row>
    <row r="358" spans="1:15" x14ac:dyDescent="0.25">
      <c r="A358" t="s">
        <v>20</v>
      </c>
      <c r="B358" t="s">
        <v>18</v>
      </c>
      <c r="C358">
        <v>3</v>
      </c>
      <c r="D358">
        <v>100</v>
      </c>
      <c r="E358">
        <v>3200</v>
      </c>
      <c r="F358" t="str">
        <f t="shared" si="5"/>
        <v>text256_blurkernel10_3_100_3200</v>
      </c>
      <c r="G358">
        <v>0</v>
      </c>
      <c r="H358">
        <v>0</v>
      </c>
      <c r="I358">
        <v>2.9082700000000001E-4</v>
      </c>
      <c r="J358">
        <v>9.825E-6</v>
      </c>
      <c r="K358">
        <v>23.2011</v>
      </c>
      <c r="L358">
        <v>7.1314000000000002</v>
      </c>
      <c r="M358">
        <v>16.958400000000001</v>
      </c>
      <c r="N358">
        <v>0</v>
      </c>
      <c r="O358">
        <v>0</v>
      </c>
    </row>
    <row r="359" spans="1:15" x14ac:dyDescent="0.25">
      <c r="A359" t="s">
        <v>20</v>
      </c>
      <c r="B359" t="s">
        <v>18</v>
      </c>
      <c r="C359">
        <v>3</v>
      </c>
      <c r="D359">
        <v>100</v>
      </c>
      <c r="E359">
        <v>6400</v>
      </c>
      <c r="F359" t="str">
        <f t="shared" si="5"/>
        <v>text256_blurkernel10_3_100_6400</v>
      </c>
      <c r="G359">
        <v>0</v>
      </c>
      <c r="H359">
        <v>0</v>
      </c>
      <c r="I359">
        <v>5.8291500000000004E-4</v>
      </c>
      <c r="J359">
        <v>9.825E-6</v>
      </c>
      <c r="K359">
        <v>20.146699999999999</v>
      </c>
      <c r="L359">
        <v>7.1314000000000002</v>
      </c>
      <c r="M359">
        <v>16.422899999999998</v>
      </c>
      <c r="N359">
        <v>0</v>
      </c>
      <c r="O359">
        <v>0</v>
      </c>
    </row>
    <row r="360" spans="1:15" x14ac:dyDescent="0.25">
      <c r="A360" t="s">
        <v>20</v>
      </c>
      <c r="B360" t="s">
        <v>18</v>
      </c>
      <c r="C360">
        <v>3</v>
      </c>
      <c r="D360">
        <v>100</v>
      </c>
      <c r="E360">
        <v>12800</v>
      </c>
      <c r="F360" t="str">
        <f t="shared" si="5"/>
        <v>text256_blurkernel10_3_100_12800</v>
      </c>
      <c r="G360">
        <v>0</v>
      </c>
      <c r="H360">
        <v>0</v>
      </c>
      <c r="I360">
        <v>1.2140899999999999E-3</v>
      </c>
      <c r="J360">
        <v>9.825E-6</v>
      </c>
      <c r="K360">
        <v>16.933900000000001</v>
      </c>
      <c r="L360">
        <v>7.1314000000000002</v>
      </c>
      <c r="M360">
        <v>15.5159</v>
      </c>
      <c r="N360">
        <v>0</v>
      </c>
      <c r="O360">
        <v>0</v>
      </c>
    </row>
    <row r="361" spans="1:15" x14ac:dyDescent="0.25">
      <c r="A361" t="s">
        <v>20</v>
      </c>
      <c r="B361" t="s">
        <v>18</v>
      </c>
      <c r="C361">
        <v>3</v>
      </c>
      <c r="D361">
        <v>100</v>
      </c>
      <c r="E361">
        <v>25600</v>
      </c>
      <c r="F361" t="str">
        <f t="shared" si="5"/>
        <v>text256_blurkernel10_3_100_25600</v>
      </c>
      <c r="G361">
        <v>0</v>
      </c>
      <c r="H361">
        <v>0</v>
      </c>
      <c r="I361">
        <v>2.518756E-3</v>
      </c>
      <c r="J361">
        <v>9.825E-6</v>
      </c>
      <c r="K361">
        <v>13.739599999999999</v>
      </c>
      <c r="L361">
        <v>7.1314000000000002</v>
      </c>
      <c r="M361">
        <v>14.146000000000001</v>
      </c>
      <c r="N361">
        <v>0</v>
      </c>
      <c r="O361">
        <v>0</v>
      </c>
    </row>
    <row r="362" spans="1:15" x14ac:dyDescent="0.25">
      <c r="A362" t="s">
        <v>20</v>
      </c>
      <c r="B362" t="s">
        <v>18</v>
      </c>
      <c r="C362">
        <v>3</v>
      </c>
      <c r="D362">
        <v>100</v>
      </c>
      <c r="E362">
        <v>102400</v>
      </c>
      <c r="F362" t="str">
        <f t="shared" si="5"/>
        <v>text256_blurkernel10_3_100_102400</v>
      </c>
      <c r="G362">
        <v>0</v>
      </c>
      <c r="H362">
        <v>0</v>
      </c>
      <c r="I362">
        <v>1.3642048E-2</v>
      </c>
      <c r="J362">
        <v>9.8069999999999994E-6</v>
      </c>
      <c r="K362">
        <v>6.6441999999999997</v>
      </c>
      <c r="L362">
        <v>7.1307</v>
      </c>
      <c r="M362">
        <v>9.7911000000000001</v>
      </c>
      <c r="N362">
        <v>0</v>
      </c>
      <c r="O362">
        <v>0</v>
      </c>
    </row>
    <row r="363" spans="1:15" x14ac:dyDescent="0.25">
      <c r="A363" t="s">
        <v>20</v>
      </c>
      <c r="B363" t="s">
        <v>18</v>
      </c>
      <c r="C363">
        <v>7</v>
      </c>
      <c r="D363">
        <v>100</v>
      </c>
      <c r="E363">
        <v>200</v>
      </c>
      <c r="F363" t="str">
        <f t="shared" si="5"/>
        <v>text256_blurkernel10_7_100_200</v>
      </c>
      <c r="G363">
        <v>0</v>
      </c>
      <c r="H363">
        <v>0</v>
      </c>
      <c r="I363">
        <v>1.6918999999999998E-5</v>
      </c>
      <c r="J363">
        <v>1.199E-5</v>
      </c>
      <c r="K363">
        <v>35.616700000000002</v>
      </c>
      <c r="L363">
        <v>2.1829000000000001</v>
      </c>
      <c r="M363">
        <v>19.428899999999999</v>
      </c>
      <c r="N363">
        <v>0</v>
      </c>
      <c r="O363">
        <v>0</v>
      </c>
    </row>
    <row r="364" spans="1:15" x14ac:dyDescent="0.25">
      <c r="A364" t="s">
        <v>20</v>
      </c>
      <c r="B364" t="s">
        <v>18</v>
      </c>
      <c r="C364">
        <v>7</v>
      </c>
      <c r="D364">
        <v>100</v>
      </c>
      <c r="E364">
        <v>400</v>
      </c>
      <c r="F364" t="str">
        <f t="shared" si="5"/>
        <v>text256_blurkernel10_7_100_400</v>
      </c>
      <c r="G364">
        <v>0</v>
      </c>
      <c r="H364">
        <v>0</v>
      </c>
      <c r="I364">
        <v>3.5083000000000003E-5</v>
      </c>
      <c r="J364">
        <v>1.199E-5</v>
      </c>
      <c r="K364">
        <v>32.440600000000003</v>
      </c>
      <c r="L364">
        <v>2.1829000000000001</v>
      </c>
      <c r="M364">
        <v>19.411799999999999</v>
      </c>
      <c r="N364">
        <v>0</v>
      </c>
      <c r="O364">
        <v>0</v>
      </c>
    </row>
    <row r="365" spans="1:15" x14ac:dyDescent="0.25">
      <c r="A365" t="s">
        <v>20</v>
      </c>
      <c r="B365" t="s">
        <v>18</v>
      </c>
      <c r="C365">
        <v>7</v>
      </c>
      <c r="D365">
        <v>100</v>
      </c>
      <c r="E365">
        <v>800</v>
      </c>
      <c r="F365" t="str">
        <f t="shared" si="5"/>
        <v>text256_blurkernel10_7_100_800</v>
      </c>
      <c r="G365">
        <v>0</v>
      </c>
      <c r="H365">
        <v>0</v>
      </c>
      <c r="I365">
        <v>7.1532999999999994E-5</v>
      </c>
      <c r="J365">
        <v>1.199E-5</v>
      </c>
      <c r="K365">
        <v>29.332699999999999</v>
      </c>
      <c r="L365">
        <v>2.1829000000000001</v>
      </c>
      <c r="M365">
        <v>19.305499999999999</v>
      </c>
      <c r="N365">
        <v>0</v>
      </c>
      <c r="O365">
        <v>0</v>
      </c>
    </row>
    <row r="366" spans="1:15" x14ac:dyDescent="0.25">
      <c r="A366" t="s">
        <v>20</v>
      </c>
      <c r="B366" t="s">
        <v>18</v>
      </c>
      <c r="C366">
        <v>7</v>
      </c>
      <c r="D366">
        <v>100</v>
      </c>
      <c r="E366">
        <v>1600</v>
      </c>
      <c r="F366" t="str">
        <f t="shared" si="5"/>
        <v>text256_blurkernel10_7_100_1600</v>
      </c>
      <c r="G366">
        <v>0</v>
      </c>
      <c r="H366">
        <v>0</v>
      </c>
      <c r="I366">
        <v>1.4393000000000001E-4</v>
      </c>
      <c r="J366">
        <v>1.199E-5</v>
      </c>
      <c r="K366">
        <v>26.280200000000001</v>
      </c>
      <c r="L366">
        <v>2.1829000000000001</v>
      </c>
      <c r="M366">
        <v>19.073399999999999</v>
      </c>
      <c r="N366">
        <v>0</v>
      </c>
      <c r="O366">
        <v>0</v>
      </c>
    </row>
    <row r="367" spans="1:15" x14ac:dyDescent="0.25">
      <c r="A367" t="s">
        <v>20</v>
      </c>
      <c r="B367" t="s">
        <v>18</v>
      </c>
      <c r="C367">
        <v>7</v>
      </c>
      <c r="D367">
        <v>100</v>
      </c>
      <c r="E367">
        <v>3200</v>
      </c>
      <c r="F367" t="str">
        <f t="shared" si="5"/>
        <v>text256_blurkernel10_7_100_3200</v>
      </c>
      <c r="G367">
        <v>0</v>
      </c>
      <c r="H367">
        <v>0</v>
      </c>
      <c r="I367">
        <v>2.88571E-4</v>
      </c>
      <c r="J367">
        <v>1.199E-5</v>
      </c>
      <c r="K367">
        <v>23.228300000000001</v>
      </c>
      <c r="L367">
        <v>2.1829000000000001</v>
      </c>
      <c r="M367">
        <v>18.7089</v>
      </c>
      <c r="N367">
        <v>0</v>
      </c>
      <c r="O367">
        <v>0</v>
      </c>
    </row>
    <row r="368" spans="1:15" x14ac:dyDescent="0.25">
      <c r="A368" t="s">
        <v>20</v>
      </c>
      <c r="B368" t="s">
        <v>18</v>
      </c>
      <c r="C368">
        <v>7</v>
      </c>
      <c r="D368">
        <v>100</v>
      </c>
      <c r="E368">
        <v>6400</v>
      </c>
      <c r="F368" t="str">
        <f t="shared" si="5"/>
        <v>text256_blurkernel10_7_100_6400</v>
      </c>
      <c r="G368">
        <v>0</v>
      </c>
      <c r="H368">
        <v>0</v>
      </c>
      <c r="I368">
        <v>5.9680699999999998E-4</v>
      </c>
      <c r="J368">
        <v>1.199E-5</v>
      </c>
      <c r="K368">
        <v>20.0472</v>
      </c>
      <c r="L368">
        <v>2.1829000000000001</v>
      </c>
      <c r="M368">
        <v>17.8872</v>
      </c>
      <c r="N368">
        <v>0</v>
      </c>
      <c r="O368">
        <v>0</v>
      </c>
    </row>
    <row r="369" spans="1:15" x14ac:dyDescent="0.25">
      <c r="A369" t="s">
        <v>20</v>
      </c>
      <c r="B369" t="s">
        <v>18</v>
      </c>
      <c r="C369">
        <v>7</v>
      </c>
      <c r="D369">
        <v>100</v>
      </c>
      <c r="E369">
        <v>12800</v>
      </c>
      <c r="F369" t="str">
        <f t="shared" si="5"/>
        <v>text256_blurkernel10_7_100_12800</v>
      </c>
      <c r="G369">
        <v>0</v>
      </c>
      <c r="H369">
        <v>0</v>
      </c>
      <c r="I369">
        <v>1.2020819999999999E-3</v>
      </c>
      <c r="J369">
        <v>1.199E-5</v>
      </c>
      <c r="K369">
        <v>16.9742</v>
      </c>
      <c r="L369">
        <v>2.1829000000000001</v>
      </c>
      <c r="M369">
        <v>16.661000000000001</v>
      </c>
      <c r="N369">
        <v>0</v>
      </c>
      <c r="O369">
        <v>0</v>
      </c>
    </row>
    <row r="370" spans="1:15" x14ac:dyDescent="0.25">
      <c r="A370" t="s">
        <v>20</v>
      </c>
      <c r="B370" t="s">
        <v>18</v>
      </c>
      <c r="C370">
        <v>7</v>
      </c>
      <c r="D370">
        <v>100</v>
      </c>
      <c r="E370">
        <v>25600</v>
      </c>
      <c r="F370" t="str">
        <f t="shared" si="5"/>
        <v>text256_blurkernel10_7_100_25600</v>
      </c>
      <c r="G370">
        <v>0</v>
      </c>
      <c r="H370">
        <v>0</v>
      </c>
      <c r="I370">
        <v>2.556656E-3</v>
      </c>
      <c r="J370">
        <v>1.199E-5</v>
      </c>
      <c r="K370">
        <v>13.6745</v>
      </c>
      <c r="L370">
        <v>2.1829000000000001</v>
      </c>
      <c r="M370">
        <v>14.814399999999999</v>
      </c>
      <c r="N370">
        <v>0</v>
      </c>
      <c r="O370">
        <v>0</v>
      </c>
    </row>
    <row r="371" spans="1:15" x14ac:dyDescent="0.25">
      <c r="A371" t="s">
        <v>20</v>
      </c>
      <c r="B371" t="s">
        <v>18</v>
      </c>
      <c r="C371">
        <v>7</v>
      </c>
      <c r="D371">
        <v>100</v>
      </c>
      <c r="E371">
        <v>102400</v>
      </c>
      <c r="F371" t="str">
        <f t="shared" si="5"/>
        <v>text256_blurkernel10_7_100_102400</v>
      </c>
      <c r="G371">
        <v>0</v>
      </c>
      <c r="H371">
        <v>0</v>
      </c>
      <c r="I371">
        <v>1.3370750000000001E-2</v>
      </c>
      <c r="J371">
        <v>1.1909000000000001E-5</v>
      </c>
      <c r="K371">
        <v>6.7396000000000003</v>
      </c>
      <c r="L371">
        <v>2.1827000000000001</v>
      </c>
      <c r="M371">
        <v>9.6532</v>
      </c>
      <c r="N371">
        <v>0</v>
      </c>
      <c r="O371">
        <v>0</v>
      </c>
    </row>
    <row r="372" spans="1:15" x14ac:dyDescent="0.25">
      <c r="A372" t="s">
        <v>20</v>
      </c>
      <c r="B372" t="s">
        <v>18</v>
      </c>
      <c r="C372">
        <v>15</v>
      </c>
      <c r="D372">
        <v>100</v>
      </c>
      <c r="E372">
        <v>200</v>
      </c>
      <c r="F372" t="str">
        <f t="shared" si="5"/>
        <v>text256_blurkernel10_15_100_200</v>
      </c>
      <c r="G372">
        <v>0</v>
      </c>
      <c r="H372">
        <v>0</v>
      </c>
      <c r="I372">
        <v>1.6796999999999999E-5</v>
      </c>
      <c r="J372">
        <v>1.4487999999999999E-5</v>
      </c>
      <c r="K372">
        <v>35.651000000000003</v>
      </c>
      <c r="L372">
        <v>1.3017000000000001</v>
      </c>
      <c r="M372">
        <v>19.489599999999999</v>
      </c>
      <c r="N372">
        <v>0</v>
      </c>
      <c r="O372">
        <v>0</v>
      </c>
    </row>
    <row r="373" spans="1:15" x14ac:dyDescent="0.25">
      <c r="A373" t="s">
        <v>20</v>
      </c>
      <c r="B373" t="s">
        <v>18</v>
      </c>
      <c r="C373">
        <v>15</v>
      </c>
      <c r="D373">
        <v>100</v>
      </c>
      <c r="E373">
        <v>400</v>
      </c>
      <c r="F373" t="str">
        <f t="shared" si="5"/>
        <v>text256_blurkernel10_15_100_400</v>
      </c>
      <c r="G373">
        <v>0</v>
      </c>
      <c r="H373">
        <v>0</v>
      </c>
      <c r="I373">
        <v>3.5200000000000002E-5</v>
      </c>
      <c r="J373">
        <v>1.4487999999999999E-5</v>
      </c>
      <c r="K373">
        <v>32.423499999999997</v>
      </c>
      <c r="L373">
        <v>1.3017000000000001</v>
      </c>
      <c r="M373">
        <v>19.452500000000001</v>
      </c>
      <c r="N373">
        <v>0</v>
      </c>
      <c r="O373">
        <v>0</v>
      </c>
    </row>
    <row r="374" spans="1:15" x14ac:dyDescent="0.25">
      <c r="A374" t="s">
        <v>20</v>
      </c>
      <c r="B374" t="s">
        <v>18</v>
      </c>
      <c r="C374">
        <v>15</v>
      </c>
      <c r="D374">
        <v>100</v>
      </c>
      <c r="E374">
        <v>800</v>
      </c>
      <c r="F374" t="str">
        <f t="shared" si="5"/>
        <v>text256_blurkernel10_15_100_800</v>
      </c>
      <c r="G374">
        <v>0</v>
      </c>
      <c r="H374">
        <v>0</v>
      </c>
      <c r="I374">
        <v>7.1150999999999997E-5</v>
      </c>
      <c r="J374">
        <v>1.4487999999999999E-5</v>
      </c>
      <c r="K374">
        <v>29.354099999999999</v>
      </c>
      <c r="L374">
        <v>1.3017000000000001</v>
      </c>
      <c r="M374">
        <v>19.3291</v>
      </c>
      <c r="N374">
        <v>0</v>
      </c>
      <c r="O374">
        <v>0</v>
      </c>
    </row>
    <row r="375" spans="1:15" x14ac:dyDescent="0.25">
      <c r="A375" t="s">
        <v>20</v>
      </c>
      <c r="B375" t="s">
        <v>18</v>
      </c>
      <c r="C375">
        <v>15</v>
      </c>
      <c r="D375">
        <v>100</v>
      </c>
      <c r="E375">
        <v>1600</v>
      </c>
      <c r="F375" t="str">
        <f t="shared" si="5"/>
        <v>text256_blurkernel10_15_100_1600</v>
      </c>
      <c r="G375">
        <v>0</v>
      </c>
      <c r="H375">
        <v>0</v>
      </c>
      <c r="I375">
        <v>1.4334800000000001E-4</v>
      </c>
      <c r="J375">
        <v>1.4487999999999999E-5</v>
      </c>
      <c r="K375">
        <v>26.2986</v>
      </c>
      <c r="L375">
        <v>1.3017000000000001</v>
      </c>
      <c r="M375">
        <v>19.126100000000001</v>
      </c>
      <c r="N375">
        <v>0</v>
      </c>
      <c r="O375">
        <v>0</v>
      </c>
    </row>
    <row r="376" spans="1:15" x14ac:dyDescent="0.25">
      <c r="A376" t="s">
        <v>20</v>
      </c>
      <c r="B376" t="s">
        <v>18</v>
      </c>
      <c r="C376">
        <v>15</v>
      </c>
      <c r="D376">
        <v>100</v>
      </c>
      <c r="E376">
        <v>3200</v>
      </c>
      <c r="F376" t="str">
        <f t="shared" si="5"/>
        <v>text256_blurkernel10_15_100_3200</v>
      </c>
      <c r="G376">
        <v>0</v>
      </c>
      <c r="H376">
        <v>0</v>
      </c>
      <c r="I376">
        <v>2.9247499999999999E-4</v>
      </c>
      <c r="J376">
        <v>1.4487999999999999E-5</v>
      </c>
      <c r="K376">
        <v>23.1721</v>
      </c>
      <c r="L376">
        <v>1.3017000000000001</v>
      </c>
      <c r="M376">
        <v>18.6313</v>
      </c>
      <c r="N376">
        <v>0</v>
      </c>
      <c r="O376">
        <v>0</v>
      </c>
    </row>
    <row r="377" spans="1:15" x14ac:dyDescent="0.25">
      <c r="A377" t="s">
        <v>20</v>
      </c>
      <c r="B377" t="s">
        <v>18</v>
      </c>
      <c r="C377">
        <v>15</v>
      </c>
      <c r="D377">
        <v>100</v>
      </c>
      <c r="E377">
        <v>6400</v>
      </c>
      <c r="F377" t="str">
        <f t="shared" si="5"/>
        <v>text256_blurkernel10_15_100_6400</v>
      </c>
      <c r="G377">
        <v>0</v>
      </c>
      <c r="H377">
        <v>0</v>
      </c>
      <c r="I377">
        <v>5.8997800000000001E-4</v>
      </c>
      <c r="J377">
        <v>1.4487999999999999E-5</v>
      </c>
      <c r="K377">
        <v>20.094200000000001</v>
      </c>
      <c r="L377">
        <v>1.3017000000000001</v>
      </c>
      <c r="M377">
        <v>17.927199999999999</v>
      </c>
      <c r="N377">
        <v>0</v>
      </c>
      <c r="O377">
        <v>0</v>
      </c>
    </row>
    <row r="378" spans="1:15" x14ac:dyDescent="0.25">
      <c r="A378" t="s">
        <v>20</v>
      </c>
      <c r="B378" t="s">
        <v>18</v>
      </c>
      <c r="C378">
        <v>15</v>
      </c>
      <c r="D378">
        <v>100</v>
      </c>
      <c r="E378">
        <v>12800</v>
      </c>
      <c r="F378" t="str">
        <f t="shared" si="5"/>
        <v>text256_blurkernel10_15_100_12800</v>
      </c>
      <c r="G378">
        <v>0</v>
      </c>
      <c r="H378">
        <v>0</v>
      </c>
      <c r="I378">
        <v>1.200247E-3</v>
      </c>
      <c r="J378">
        <v>1.4487999999999999E-5</v>
      </c>
      <c r="K378">
        <v>16.983899999999998</v>
      </c>
      <c r="L378">
        <v>1.3017000000000001</v>
      </c>
      <c r="M378">
        <v>16.6341</v>
      </c>
      <c r="N378">
        <v>0</v>
      </c>
      <c r="O378">
        <v>0</v>
      </c>
    </row>
    <row r="379" spans="1:15" x14ac:dyDescent="0.25">
      <c r="A379" t="s">
        <v>20</v>
      </c>
      <c r="B379" t="s">
        <v>18</v>
      </c>
      <c r="C379">
        <v>15</v>
      </c>
      <c r="D379">
        <v>100</v>
      </c>
      <c r="E379">
        <v>25600</v>
      </c>
      <c r="F379" t="str">
        <f t="shared" si="5"/>
        <v>text256_blurkernel10_15_100_25600</v>
      </c>
      <c r="G379">
        <v>0</v>
      </c>
      <c r="H379">
        <v>0</v>
      </c>
      <c r="I379">
        <v>2.537423E-3</v>
      </c>
      <c r="J379">
        <v>1.4487999999999999E-5</v>
      </c>
      <c r="K379">
        <v>13.707800000000001</v>
      </c>
      <c r="L379">
        <v>1.3017000000000001</v>
      </c>
      <c r="M379">
        <v>14.792400000000001</v>
      </c>
      <c r="N379">
        <v>0</v>
      </c>
      <c r="O379">
        <v>0</v>
      </c>
    </row>
    <row r="380" spans="1:15" x14ac:dyDescent="0.25">
      <c r="A380" t="s">
        <v>20</v>
      </c>
      <c r="B380" t="s">
        <v>18</v>
      </c>
      <c r="C380">
        <v>15</v>
      </c>
      <c r="D380">
        <v>100</v>
      </c>
      <c r="E380">
        <v>102400</v>
      </c>
      <c r="F380" t="str">
        <f t="shared" si="5"/>
        <v>text256_blurkernel10_15_100_102400</v>
      </c>
      <c r="G380">
        <v>0</v>
      </c>
      <c r="H380">
        <v>0</v>
      </c>
      <c r="I380">
        <v>1.3251171000000001E-2</v>
      </c>
      <c r="J380">
        <v>1.4746000000000001E-5</v>
      </c>
      <c r="K380">
        <v>6.7721999999999998</v>
      </c>
      <c r="L380">
        <v>1.3023</v>
      </c>
      <c r="M380">
        <v>9.6219999999999999</v>
      </c>
      <c r="N380">
        <v>0</v>
      </c>
      <c r="O380">
        <v>0</v>
      </c>
    </row>
    <row r="381" spans="1:15" x14ac:dyDescent="0.25">
      <c r="A381" t="s">
        <v>20</v>
      </c>
      <c r="B381" t="s">
        <v>18</v>
      </c>
      <c r="C381">
        <v>31</v>
      </c>
      <c r="D381">
        <v>100</v>
      </c>
      <c r="E381">
        <v>200</v>
      </c>
      <c r="F381" t="str">
        <f t="shared" si="5"/>
        <v>text256_blurkernel10_31_100_200</v>
      </c>
      <c r="G381">
        <v>0</v>
      </c>
      <c r="H381">
        <v>0</v>
      </c>
      <c r="I381">
        <v>1.6959000000000001E-5</v>
      </c>
      <c r="J381">
        <v>1.6362E-5</v>
      </c>
      <c r="K381">
        <v>35.601700000000001</v>
      </c>
      <c r="L381">
        <v>0.23860000000000001</v>
      </c>
      <c r="M381">
        <v>19.453900000000001</v>
      </c>
      <c r="N381">
        <v>0</v>
      </c>
      <c r="O381">
        <v>0</v>
      </c>
    </row>
    <row r="382" spans="1:15" x14ac:dyDescent="0.25">
      <c r="A382" t="s">
        <v>20</v>
      </c>
      <c r="B382" t="s">
        <v>18</v>
      </c>
      <c r="C382">
        <v>31</v>
      </c>
      <c r="D382">
        <v>100</v>
      </c>
      <c r="E382">
        <v>400</v>
      </c>
      <c r="F382" t="str">
        <f t="shared" si="5"/>
        <v>text256_blurkernel10_31_100_400</v>
      </c>
      <c r="G382">
        <v>0</v>
      </c>
      <c r="H382">
        <v>0</v>
      </c>
      <c r="I382">
        <v>3.4904000000000003E-5</v>
      </c>
      <c r="J382">
        <v>1.6362E-5</v>
      </c>
      <c r="K382">
        <v>32.4589</v>
      </c>
      <c r="L382">
        <v>0.23860000000000001</v>
      </c>
      <c r="M382">
        <v>19.403500000000001</v>
      </c>
      <c r="N382">
        <v>0</v>
      </c>
      <c r="O382">
        <v>0</v>
      </c>
    </row>
    <row r="383" spans="1:15" x14ac:dyDescent="0.25">
      <c r="A383" t="s">
        <v>20</v>
      </c>
      <c r="B383" t="s">
        <v>18</v>
      </c>
      <c r="C383">
        <v>31</v>
      </c>
      <c r="D383">
        <v>100</v>
      </c>
      <c r="E383">
        <v>800</v>
      </c>
      <c r="F383" t="str">
        <f t="shared" si="5"/>
        <v>text256_blurkernel10_31_100_800</v>
      </c>
      <c r="G383">
        <v>0</v>
      </c>
      <c r="H383">
        <v>0</v>
      </c>
      <c r="I383">
        <v>7.0508999999999999E-5</v>
      </c>
      <c r="J383">
        <v>1.6362E-5</v>
      </c>
      <c r="K383">
        <v>29.391500000000001</v>
      </c>
      <c r="L383">
        <v>0.23860000000000001</v>
      </c>
      <c r="M383">
        <v>19.257000000000001</v>
      </c>
      <c r="N383">
        <v>0</v>
      </c>
      <c r="O383">
        <v>0</v>
      </c>
    </row>
    <row r="384" spans="1:15" x14ac:dyDescent="0.25">
      <c r="A384" t="s">
        <v>20</v>
      </c>
      <c r="B384" t="s">
        <v>18</v>
      </c>
      <c r="C384">
        <v>31</v>
      </c>
      <c r="D384">
        <v>100</v>
      </c>
      <c r="E384">
        <v>1600</v>
      </c>
      <c r="F384" t="str">
        <f t="shared" si="5"/>
        <v>text256_blurkernel10_31_100_1600</v>
      </c>
      <c r="G384">
        <v>0</v>
      </c>
      <c r="H384">
        <v>0</v>
      </c>
      <c r="I384">
        <v>1.44022E-4</v>
      </c>
      <c r="J384">
        <v>1.6362E-5</v>
      </c>
      <c r="K384">
        <v>26.264299999999999</v>
      </c>
      <c r="L384">
        <v>0.23860000000000001</v>
      </c>
      <c r="M384">
        <v>19.0548</v>
      </c>
      <c r="N384">
        <v>0</v>
      </c>
      <c r="O384">
        <v>0</v>
      </c>
    </row>
    <row r="385" spans="1:15" x14ac:dyDescent="0.25">
      <c r="A385" t="s">
        <v>20</v>
      </c>
      <c r="B385" t="s">
        <v>18</v>
      </c>
      <c r="C385">
        <v>31</v>
      </c>
      <c r="D385">
        <v>100</v>
      </c>
      <c r="E385">
        <v>3200</v>
      </c>
      <c r="F385" t="str">
        <f t="shared" si="5"/>
        <v>text256_blurkernel10_31_100_3200</v>
      </c>
      <c r="G385">
        <v>0</v>
      </c>
      <c r="H385">
        <v>0</v>
      </c>
      <c r="I385">
        <v>2.9025200000000001E-4</v>
      </c>
      <c r="J385">
        <v>1.6362E-5</v>
      </c>
      <c r="K385">
        <v>23.208300000000001</v>
      </c>
      <c r="L385">
        <v>0.23860000000000001</v>
      </c>
      <c r="M385">
        <v>18.6677</v>
      </c>
      <c r="N385">
        <v>0</v>
      </c>
      <c r="O385">
        <v>0</v>
      </c>
    </row>
    <row r="386" spans="1:15" x14ac:dyDescent="0.25">
      <c r="A386" t="s">
        <v>20</v>
      </c>
      <c r="B386" t="s">
        <v>18</v>
      </c>
      <c r="C386">
        <v>31</v>
      </c>
      <c r="D386">
        <v>100</v>
      </c>
      <c r="E386">
        <v>6400</v>
      </c>
      <c r="F386" t="str">
        <f t="shared" ref="F386:F449" si="6">A386&amp;"_"&amp;B386&amp;"_"&amp;C386&amp;"_"&amp;D386&amp;"_"&amp;E386</f>
        <v>text256_blurkernel10_31_100_6400</v>
      </c>
      <c r="G386">
        <v>0</v>
      </c>
      <c r="H386">
        <v>0</v>
      </c>
      <c r="I386">
        <v>5.7936399999999996E-4</v>
      </c>
      <c r="J386">
        <v>1.6362E-5</v>
      </c>
      <c r="K386">
        <v>20.174700000000001</v>
      </c>
      <c r="L386">
        <v>0.23860000000000001</v>
      </c>
      <c r="M386">
        <v>17.904199999999999</v>
      </c>
      <c r="N386">
        <v>0</v>
      </c>
      <c r="O386">
        <v>0</v>
      </c>
    </row>
    <row r="387" spans="1:15" x14ac:dyDescent="0.25">
      <c r="A387" t="s">
        <v>20</v>
      </c>
      <c r="B387" t="s">
        <v>18</v>
      </c>
      <c r="C387">
        <v>31</v>
      </c>
      <c r="D387">
        <v>100</v>
      </c>
      <c r="E387">
        <v>12800</v>
      </c>
      <c r="F387" t="str">
        <f t="shared" si="6"/>
        <v>text256_blurkernel10_31_100_12800</v>
      </c>
      <c r="G387">
        <v>0</v>
      </c>
      <c r="H387">
        <v>0</v>
      </c>
      <c r="I387">
        <v>1.2006670000000001E-3</v>
      </c>
      <c r="J387">
        <v>1.6362E-5</v>
      </c>
      <c r="K387">
        <v>16.9816</v>
      </c>
      <c r="L387">
        <v>0.23860000000000001</v>
      </c>
      <c r="M387">
        <v>16.518599999999999</v>
      </c>
      <c r="N387">
        <v>0</v>
      </c>
      <c r="O387">
        <v>0</v>
      </c>
    </row>
    <row r="388" spans="1:15" x14ac:dyDescent="0.25">
      <c r="A388" t="s">
        <v>20</v>
      </c>
      <c r="B388" t="s">
        <v>18</v>
      </c>
      <c r="C388">
        <v>31</v>
      </c>
      <c r="D388">
        <v>100</v>
      </c>
      <c r="E388">
        <v>25600</v>
      </c>
      <c r="F388" t="str">
        <f t="shared" si="6"/>
        <v>text256_blurkernel10_31_100_25600</v>
      </c>
      <c r="G388">
        <v>0</v>
      </c>
      <c r="H388">
        <v>0</v>
      </c>
      <c r="I388">
        <v>2.556689E-3</v>
      </c>
      <c r="J388">
        <v>1.6362E-5</v>
      </c>
      <c r="K388">
        <v>13.674899999999999</v>
      </c>
      <c r="L388">
        <v>0.23860000000000001</v>
      </c>
      <c r="M388">
        <v>14.5855</v>
      </c>
      <c r="N388">
        <v>0</v>
      </c>
      <c r="O388">
        <v>0</v>
      </c>
    </row>
    <row r="389" spans="1:15" x14ac:dyDescent="0.25">
      <c r="A389" t="s">
        <v>20</v>
      </c>
      <c r="B389" t="s">
        <v>18</v>
      </c>
      <c r="C389">
        <v>31</v>
      </c>
      <c r="D389">
        <v>100</v>
      </c>
      <c r="E389">
        <v>102400</v>
      </c>
      <c r="F389" t="str">
        <f t="shared" si="6"/>
        <v>text256_blurkernel10_31_100_102400</v>
      </c>
      <c r="G389">
        <v>0</v>
      </c>
      <c r="H389">
        <v>0</v>
      </c>
      <c r="I389">
        <v>1.3377554E-2</v>
      </c>
      <c r="J389">
        <v>1.6385E-5</v>
      </c>
      <c r="K389">
        <v>6.7248999999999999</v>
      </c>
      <c r="L389">
        <v>0.23980000000000001</v>
      </c>
      <c r="M389">
        <v>9.5213000000000001</v>
      </c>
      <c r="N389">
        <v>0</v>
      </c>
      <c r="O389">
        <v>0</v>
      </c>
    </row>
    <row r="390" spans="1:15" x14ac:dyDescent="0.25">
      <c r="A390" t="s">
        <v>20</v>
      </c>
      <c r="B390" t="s">
        <v>18</v>
      </c>
      <c r="C390">
        <v>63</v>
      </c>
      <c r="D390">
        <v>100</v>
      </c>
      <c r="E390">
        <v>200</v>
      </c>
      <c r="F390" t="str">
        <f t="shared" si="6"/>
        <v>text256_blurkernel10_63_100_200</v>
      </c>
      <c r="G390">
        <v>0</v>
      </c>
      <c r="H390">
        <v>0</v>
      </c>
      <c r="I390">
        <v>1.7022000000000001E-5</v>
      </c>
      <c r="J390">
        <v>1.7234000000000001E-5</v>
      </c>
      <c r="K390">
        <v>35.593800000000002</v>
      </c>
      <c r="L390">
        <v>0.44230000000000003</v>
      </c>
      <c r="M390">
        <v>19.8657</v>
      </c>
      <c r="N390">
        <v>0</v>
      </c>
      <c r="O390">
        <v>0</v>
      </c>
    </row>
    <row r="391" spans="1:15" x14ac:dyDescent="0.25">
      <c r="A391" t="s">
        <v>20</v>
      </c>
      <c r="B391" t="s">
        <v>18</v>
      </c>
      <c r="C391">
        <v>63</v>
      </c>
      <c r="D391">
        <v>100</v>
      </c>
      <c r="E391">
        <v>400</v>
      </c>
      <c r="F391" t="str">
        <f t="shared" si="6"/>
        <v>text256_blurkernel10_63_100_400</v>
      </c>
      <c r="G391">
        <v>0</v>
      </c>
      <c r="H391">
        <v>0</v>
      </c>
      <c r="I391">
        <v>3.4984999999999998E-5</v>
      </c>
      <c r="J391">
        <v>1.7234000000000001E-5</v>
      </c>
      <c r="K391">
        <v>32.450200000000002</v>
      </c>
      <c r="L391">
        <v>0.44230000000000003</v>
      </c>
      <c r="M391">
        <v>19.7803</v>
      </c>
      <c r="N391">
        <v>0</v>
      </c>
      <c r="O391">
        <v>0</v>
      </c>
    </row>
    <row r="392" spans="1:15" x14ac:dyDescent="0.25">
      <c r="A392" t="s">
        <v>20</v>
      </c>
      <c r="B392" t="s">
        <v>18</v>
      </c>
      <c r="C392">
        <v>63</v>
      </c>
      <c r="D392">
        <v>100</v>
      </c>
      <c r="E392">
        <v>800</v>
      </c>
      <c r="F392" t="str">
        <f t="shared" si="6"/>
        <v>text256_blurkernel10_63_100_800</v>
      </c>
      <c r="G392">
        <v>0</v>
      </c>
      <c r="H392">
        <v>0</v>
      </c>
      <c r="I392">
        <v>7.1509999999999998E-5</v>
      </c>
      <c r="J392">
        <v>1.7234000000000001E-5</v>
      </c>
      <c r="K392">
        <v>29.3428</v>
      </c>
      <c r="L392">
        <v>0.44230000000000003</v>
      </c>
      <c r="M392">
        <v>19.660599999999999</v>
      </c>
      <c r="N392">
        <v>0</v>
      </c>
      <c r="O392">
        <v>0</v>
      </c>
    </row>
    <row r="393" spans="1:15" x14ac:dyDescent="0.25">
      <c r="A393" t="s">
        <v>20</v>
      </c>
      <c r="B393" t="s">
        <v>18</v>
      </c>
      <c r="C393">
        <v>63</v>
      </c>
      <c r="D393">
        <v>100</v>
      </c>
      <c r="E393">
        <v>1600</v>
      </c>
      <c r="F393" t="str">
        <f t="shared" si="6"/>
        <v>text256_blurkernel10_63_100_1600</v>
      </c>
      <c r="G393">
        <v>0</v>
      </c>
      <c r="H393">
        <v>0</v>
      </c>
      <c r="I393">
        <v>1.4336000000000001E-4</v>
      </c>
      <c r="J393">
        <v>1.7234000000000001E-5</v>
      </c>
      <c r="K393">
        <v>26.287600000000001</v>
      </c>
      <c r="L393">
        <v>0.44230000000000003</v>
      </c>
      <c r="M393">
        <v>19.395399999999999</v>
      </c>
      <c r="N393">
        <v>0</v>
      </c>
      <c r="O393">
        <v>0</v>
      </c>
    </row>
    <row r="394" spans="1:15" x14ac:dyDescent="0.25">
      <c r="A394" t="s">
        <v>20</v>
      </c>
      <c r="B394" t="s">
        <v>18</v>
      </c>
      <c r="C394">
        <v>63</v>
      </c>
      <c r="D394">
        <v>100</v>
      </c>
      <c r="E394">
        <v>3200</v>
      </c>
      <c r="F394" t="str">
        <f t="shared" si="6"/>
        <v>text256_blurkernel10_63_100_3200</v>
      </c>
      <c r="G394">
        <v>0</v>
      </c>
      <c r="H394">
        <v>0</v>
      </c>
      <c r="I394">
        <v>2.8926499999999998E-4</v>
      </c>
      <c r="J394">
        <v>1.7234000000000001E-5</v>
      </c>
      <c r="K394">
        <v>23.2258</v>
      </c>
      <c r="L394">
        <v>0.44230000000000003</v>
      </c>
      <c r="M394">
        <v>19.0671</v>
      </c>
      <c r="N394">
        <v>0</v>
      </c>
      <c r="O394">
        <v>0</v>
      </c>
    </row>
    <row r="395" spans="1:15" x14ac:dyDescent="0.25">
      <c r="A395" t="s">
        <v>20</v>
      </c>
      <c r="B395" t="s">
        <v>18</v>
      </c>
      <c r="C395">
        <v>63</v>
      </c>
      <c r="D395">
        <v>100</v>
      </c>
      <c r="E395">
        <v>6400</v>
      </c>
      <c r="F395" t="str">
        <f t="shared" si="6"/>
        <v>text256_blurkernel10_63_100_6400</v>
      </c>
      <c r="G395">
        <v>0</v>
      </c>
      <c r="H395">
        <v>0</v>
      </c>
      <c r="I395">
        <v>5.8630499999999996E-4</v>
      </c>
      <c r="J395">
        <v>1.7234000000000001E-5</v>
      </c>
      <c r="K395">
        <v>20.124300000000002</v>
      </c>
      <c r="L395">
        <v>0.44230000000000003</v>
      </c>
      <c r="M395">
        <v>18.153199999999998</v>
      </c>
      <c r="N395">
        <v>0</v>
      </c>
      <c r="O395">
        <v>0</v>
      </c>
    </row>
    <row r="396" spans="1:15" x14ac:dyDescent="0.25">
      <c r="A396" t="s">
        <v>20</v>
      </c>
      <c r="B396" t="s">
        <v>18</v>
      </c>
      <c r="C396">
        <v>63</v>
      </c>
      <c r="D396">
        <v>100</v>
      </c>
      <c r="E396">
        <v>12800</v>
      </c>
      <c r="F396" t="str">
        <f t="shared" si="6"/>
        <v>text256_blurkernel10_63_100_12800</v>
      </c>
      <c r="G396">
        <v>0</v>
      </c>
      <c r="H396">
        <v>0</v>
      </c>
      <c r="I396">
        <v>1.1947699999999999E-3</v>
      </c>
      <c r="J396">
        <v>1.7234000000000001E-5</v>
      </c>
      <c r="K396">
        <v>17.002300000000002</v>
      </c>
      <c r="L396">
        <v>0.44230000000000003</v>
      </c>
      <c r="M396">
        <v>16.928799999999999</v>
      </c>
      <c r="N396">
        <v>0</v>
      </c>
      <c r="O396">
        <v>0</v>
      </c>
    </row>
    <row r="397" spans="1:15" x14ac:dyDescent="0.25">
      <c r="A397" t="s">
        <v>20</v>
      </c>
      <c r="B397" t="s">
        <v>18</v>
      </c>
      <c r="C397">
        <v>63</v>
      </c>
      <c r="D397">
        <v>100</v>
      </c>
      <c r="E397">
        <v>25600</v>
      </c>
      <c r="F397" t="str">
        <f t="shared" si="6"/>
        <v>text256_blurkernel10_63_100_25600</v>
      </c>
      <c r="G397">
        <v>0</v>
      </c>
      <c r="H397">
        <v>0</v>
      </c>
      <c r="I397">
        <v>2.5263070000000002E-3</v>
      </c>
      <c r="J397">
        <v>1.7234000000000001E-5</v>
      </c>
      <c r="K397">
        <v>13.726699999999999</v>
      </c>
      <c r="L397">
        <v>0.44230000000000003</v>
      </c>
      <c r="M397">
        <v>14.8119</v>
      </c>
      <c r="N397">
        <v>0</v>
      </c>
      <c r="O397">
        <v>0</v>
      </c>
    </row>
    <row r="398" spans="1:15" x14ac:dyDescent="0.25">
      <c r="A398" t="s">
        <v>20</v>
      </c>
      <c r="B398" t="s">
        <v>15</v>
      </c>
      <c r="C398">
        <v>3</v>
      </c>
      <c r="D398">
        <v>100</v>
      </c>
      <c r="E398">
        <v>200</v>
      </c>
      <c r="F398" t="str">
        <f t="shared" si="6"/>
        <v>text256_blurkernel7_3_100_200</v>
      </c>
      <c r="G398">
        <v>0</v>
      </c>
      <c r="H398">
        <v>0</v>
      </c>
      <c r="I398">
        <v>1.6629999999999998E-5</v>
      </c>
      <c r="J398">
        <v>9.6469999999999993E-6</v>
      </c>
      <c r="K398">
        <v>35.688299999999998</v>
      </c>
      <c r="L398">
        <v>9.2119999999999997</v>
      </c>
      <c r="M398">
        <v>17.3322</v>
      </c>
      <c r="N398">
        <v>0</v>
      </c>
      <c r="O398">
        <v>0</v>
      </c>
    </row>
    <row r="399" spans="1:15" x14ac:dyDescent="0.25">
      <c r="A399" t="s">
        <v>20</v>
      </c>
      <c r="B399" t="s">
        <v>15</v>
      </c>
      <c r="C399">
        <v>3</v>
      </c>
      <c r="D399">
        <v>100</v>
      </c>
      <c r="E399">
        <v>400</v>
      </c>
      <c r="F399" t="str">
        <f t="shared" si="6"/>
        <v>text256_blurkernel7_3_100_400</v>
      </c>
      <c r="G399">
        <v>0</v>
      </c>
      <c r="H399">
        <v>0</v>
      </c>
      <c r="I399">
        <v>3.4730000000000001E-5</v>
      </c>
      <c r="J399">
        <v>9.6469999999999993E-6</v>
      </c>
      <c r="K399">
        <v>32.479100000000003</v>
      </c>
      <c r="L399">
        <v>9.2119999999999997</v>
      </c>
      <c r="M399">
        <v>17.319099999999999</v>
      </c>
      <c r="N399">
        <v>0</v>
      </c>
      <c r="O399">
        <v>0</v>
      </c>
    </row>
    <row r="400" spans="1:15" x14ac:dyDescent="0.25">
      <c r="A400" t="s">
        <v>20</v>
      </c>
      <c r="B400" t="s">
        <v>15</v>
      </c>
      <c r="C400">
        <v>3</v>
      </c>
      <c r="D400">
        <v>100</v>
      </c>
      <c r="E400">
        <v>800</v>
      </c>
      <c r="F400" t="str">
        <f t="shared" si="6"/>
        <v>text256_blurkernel7_3_100_800</v>
      </c>
      <c r="G400">
        <v>0</v>
      </c>
      <c r="H400">
        <v>0</v>
      </c>
      <c r="I400">
        <v>7.0511000000000003E-5</v>
      </c>
      <c r="J400">
        <v>9.6469999999999993E-6</v>
      </c>
      <c r="K400">
        <v>29.386500000000002</v>
      </c>
      <c r="L400">
        <v>9.2119999999999997</v>
      </c>
      <c r="M400">
        <v>17.2789</v>
      </c>
      <c r="N400">
        <v>0</v>
      </c>
      <c r="O400">
        <v>0</v>
      </c>
    </row>
    <row r="401" spans="1:15" x14ac:dyDescent="0.25">
      <c r="A401" t="s">
        <v>20</v>
      </c>
      <c r="B401" t="s">
        <v>15</v>
      </c>
      <c r="C401">
        <v>3</v>
      </c>
      <c r="D401">
        <v>100</v>
      </c>
      <c r="E401">
        <v>1600</v>
      </c>
      <c r="F401" t="str">
        <f t="shared" si="6"/>
        <v>text256_blurkernel7_3_100_1600</v>
      </c>
      <c r="G401">
        <v>0</v>
      </c>
      <c r="H401">
        <v>0</v>
      </c>
      <c r="I401">
        <v>1.4426400000000001E-4</v>
      </c>
      <c r="J401">
        <v>9.6469999999999993E-6</v>
      </c>
      <c r="K401">
        <v>26.2636</v>
      </c>
      <c r="L401">
        <v>9.2119999999999997</v>
      </c>
      <c r="M401">
        <v>17.203700000000001</v>
      </c>
      <c r="N401">
        <v>0</v>
      </c>
      <c r="O401">
        <v>0</v>
      </c>
    </row>
    <row r="402" spans="1:15" x14ac:dyDescent="0.25">
      <c r="A402" t="s">
        <v>20</v>
      </c>
      <c r="B402" t="s">
        <v>15</v>
      </c>
      <c r="C402">
        <v>3</v>
      </c>
      <c r="D402">
        <v>100</v>
      </c>
      <c r="E402">
        <v>3200</v>
      </c>
      <c r="F402" t="str">
        <f t="shared" si="6"/>
        <v>text256_blurkernel7_3_100_3200</v>
      </c>
      <c r="G402">
        <v>0</v>
      </c>
      <c r="H402">
        <v>0</v>
      </c>
      <c r="I402">
        <v>2.9126599999999999E-4</v>
      </c>
      <c r="J402">
        <v>9.6469999999999993E-6</v>
      </c>
      <c r="K402">
        <v>23.193999999999999</v>
      </c>
      <c r="L402">
        <v>9.2119999999999997</v>
      </c>
      <c r="M402">
        <v>16.991900000000001</v>
      </c>
      <c r="N402">
        <v>0</v>
      </c>
      <c r="O402">
        <v>0</v>
      </c>
    </row>
    <row r="403" spans="1:15" x14ac:dyDescent="0.25">
      <c r="A403" t="s">
        <v>20</v>
      </c>
      <c r="B403" t="s">
        <v>15</v>
      </c>
      <c r="C403">
        <v>3</v>
      </c>
      <c r="D403">
        <v>100</v>
      </c>
      <c r="E403">
        <v>6400</v>
      </c>
      <c r="F403" t="str">
        <f t="shared" si="6"/>
        <v>text256_blurkernel7_3_100_6400</v>
      </c>
      <c r="G403">
        <v>0</v>
      </c>
      <c r="H403">
        <v>0</v>
      </c>
      <c r="I403">
        <v>5.8976999999999999E-4</v>
      </c>
      <c r="J403">
        <v>9.6469999999999993E-6</v>
      </c>
      <c r="K403">
        <v>20.100899999999999</v>
      </c>
      <c r="L403">
        <v>9.2119999999999997</v>
      </c>
      <c r="M403">
        <v>16.4209</v>
      </c>
      <c r="N403">
        <v>0</v>
      </c>
      <c r="O403">
        <v>0</v>
      </c>
    </row>
    <row r="404" spans="1:15" x14ac:dyDescent="0.25">
      <c r="A404" t="s">
        <v>20</v>
      </c>
      <c r="B404" t="s">
        <v>15</v>
      </c>
      <c r="C404">
        <v>3</v>
      </c>
      <c r="D404">
        <v>100</v>
      </c>
      <c r="E404">
        <v>12800</v>
      </c>
      <c r="F404" t="str">
        <f t="shared" si="6"/>
        <v>text256_blurkernel7_3_100_12800</v>
      </c>
      <c r="G404">
        <v>0</v>
      </c>
      <c r="H404">
        <v>0</v>
      </c>
      <c r="I404">
        <v>1.21912E-3</v>
      </c>
      <c r="J404">
        <v>9.6469999999999993E-6</v>
      </c>
      <c r="K404">
        <v>16.914999999999999</v>
      </c>
      <c r="L404">
        <v>9.2119999999999997</v>
      </c>
      <c r="M404">
        <v>15.5214</v>
      </c>
      <c r="N404">
        <v>0</v>
      </c>
      <c r="O404">
        <v>0</v>
      </c>
    </row>
    <row r="405" spans="1:15" x14ac:dyDescent="0.25">
      <c r="A405" t="s">
        <v>20</v>
      </c>
      <c r="B405" t="s">
        <v>15</v>
      </c>
      <c r="C405">
        <v>3</v>
      </c>
      <c r="D405">
        <v>100</v>
      </c>
      <c r="E405">
        <v>25600</v>
      </c>
      <c r="F405" t="str">
        <f t="shared" si="6"/>
        <v>text256_blurkernel7_3_100_25600</v>
      </c>
      <c r="G405">
        <v>0</v>
      </c>
      <c r="H405">
        <v>0</v>
      </c>
      <c r="I405">
        <v>2.5419000000000001E-3</v>
      </c>
      <c r="J405">
        <v>9.6469999999999993E-6</v>
      </c>
      <c r="K405">
        <v>13.700200000000001</v>
      </c>
      <c r="L405">
        <v>9.2119999999999997</v>
      </c>
      <c r="M405">
        <v>14.1473</v>
      </c>
      <c r="N405">
        <v>0</v>
      </c>
      <c r="O405">
        <v>0</v>
      </c>
    </row>
    <row r="406" spans="1:15" x14ac:dyDescent="0.25">
      <c r="A406" t="s">
        <v>20</v>
      </c>
      <c r="B406" t="s">
        <v>15</v>
      </c>
      <c r="C406">
        <v>3</v>
      </c>
      <c r="D406">
        <v>100</v>
      </c>
      <c r="E406">
        <v>102400</v>
      </c>
      <c r="F406" t="str">
        <f t="shared" si="6"/>
        <v>text256_blurkernel7_3_100_102400</v>
      </c>
      <c r="G406">
        <v>0</v>
      </c>
      <c r="H406">
        <v>0</v>
      </c>
      <c r="I406">
        <v>1.3464116999999999E-2</v>
      </c>
      <c r="J406">
        <v>9.7729999999999994E-6</v>
      </c>
      <c r="K406">
        <v>6.6952999999999996</v>
      </c>
      <c r="L406">
        <v>9.2093000000000007</v>
      </c>
      <c r="M406">
        <v>10.7644</v>
      </c>
      <c r="N406">
        <v>0</v>
      </c>
      <c r="O406">
        <v>0</v>
      </c>
    </row>
    <row r="407" spans="1:15" x14ac:dyDescent="0.25">
      <c r="A407" t="s">
        <v>20</v>
      </c>
      <c r="B407" t="s">
        <v>15</v>
      </c>
      <c r="C407">
        <v>7</v>
      </c>
      <c r="D407">
        <v>100</v>
      </c>
      <c r="E407">
        <v>200</v>
      </c>
      <c r="F407" t="str">
        <f t="shared" si="6"/>
        <v>text256_blurkernel7_7_100_200</v>
      </c>
      <c r="G407">
        <v>0</v>
      </c>
      <c r="H407">
        <v>0</v>
      </c>
      <c r="I407">
        <v>1.6888000000000002E-5</v>
      </c>
      <c r="J407">
        <v>1.1576000000000001E-5</v>
      </c>
      <c r="K407">
        <v>35.6295</v>
      </c>
      <c r="L407">
        <v>3.0992999999999999</v>
      </c>
      <c r="M407">
        <v>18.916599999999999</v>
      </c>
      <c r="N407">
        <v>0</v>
      </c>
      <c r="O407">
        <v>0</v>
      </c>
    </row>
    <row r="408" spans="1:15" x14ac:dyDescent="0.25">
      <c r="A408" t="s">
        <v>20</v>
      </c>
      <c r="B408" t="s">
        <v>15</v>
      </c>
      <c r="C408">
        <v>7</v>
      </c>
      <c r="D408">
        <v>100</v>
      </c>
      <c r="E408">
        <v>400</v>
      </c>
      <c r="F408" t="str">
        <f t="shared" si="6"/>
        <v>text256_blurkernel7_7_100_400</v>
      </c>
      <c r="G408">
        <v>0</v>
      </c>
      <c r="H408">
        <v>0</v>
      </c>
      <c r="I408">
        <v>3.5120999999999998E-5</v>
      </c>
      <c r="J408">
        <v>1.1576000000000001E-5</v>
      </c>
      <c r="K408">
        <v>32.439900000000002</v>
      </c>
      <c r="L408">
        <v>3.0992999999999999</v>
      </c>
      <c r="M408">
        <v>18.845400000000001</v>
      </c>
      <c r="N408">
        <v>0</v>
      </c>
      <c r="O408">
        <v>0</v>
      </c>
    </row>
    <row r="409" spans="1:15" x14ac:dyDescent="0.25">
      <c r="A409" t="s">
        <v>20</v>
      </c>
      <c r="B409" t="s">
        <v>15</v>
      </c>
      <c r="C409">
        <v>7</v>
      </c>
      <c r="D409">
        <v>100</v>
      </c>
      <c r="E409">
        <v>800</v>
      </c>
      <c r="F409" t="str">
        <f t="shared" si="6"/>
        <v>text256_blurkernel7_7_100_800</v>
      </c>
      <c r="G409">
        <v>0</v>
      </c>
      <c r="H409">
        <v>0</v>
      </c>
      <c r="I409">
        <v>7.0894000000000003E-5</v>
      </c>
      <c r="J409">
        <v>1.1576000000000001E-5</v>
      </c>
      <c r="K409">
        <v>29.368099999999998</v>
      </c>
      <c r="L409">
        <v>3.0992999999999999</v>
      </c>
      <c r="M409">
        <v>18.769100000000002</v>
      </c>
      <c r="N409">
        <v>0</v>
      </c>
      <c r="O409">
        <v>0</v>
      </c>
    </row>
    <row r="410" spans="1:15" x14ac:dyDescent="0.25">
      <c r="A410" t="s">
        <v>20</v>
      </c>
      <c r="B410" t="s">
        <v>15</v>
      </c>
      <c r="C410">
        <v>7</v>
      </c>
      <c r="D410">
        <v>100</v>
      </c>
      <c r="E410">
        <v>1600</v>
      </c>
      <c r="F410" t="str">
        <f t="shared" si="6"/>
        <v>text256_blurkernel7_7_100_1600</v>
      </c>
      <c r="G410">
        <v>0</v>
      </c>
      <c r="H410">
        <v>0</v>
      </c>
      <c r="I410">
        <v>1.41843E-4</v>
      </c>
      <c r="J410">
        <v>1.1576000000000001E-5</v>
      </c>
      <c r="K410">
        <v>26.343599999999999</v>
      </c>
      <c r="L410">
        <v>3.0992999999999999</v>
      </c>
      <c r="M410">
        <v>18.614100000000001</v>
      </c>
      <c r="N410">
        <v>0</v>
      </c>
      <c r="O410">
        <v>0</v>
      </c>
    </row>
    <row r="411" spans="1:15" x14ac:dyDescent="0.25">
      <c r="A411" t="s">
        <v>20</v>
      </c>
      <c r="B411" t="s">
        <v>15</v>
      </c>
      <c r="C411">
        <v>7</v>
      </c>
      <c r="D411">
        <v>100</v>
      </c>
      <c r="E411">
        <v>3200</v>
      </c>
      <c r="F411" t="str">
        <f t="shared" si="6"/>
        <v>text256_blurkernel7_7_100_3200</v>
      </c>
      <c r="G411">
        <v>0</v>
      </c>
      <c r="H411">
        <v>0</v>
      </c>
      <c r="I411">
        <v>2.8610899999999999E-4</v>
      </c>
      <c r="J411">
        <v>1.1576000000000001E-5</v>
      </c>
      <c r="K411">
        <v>23.271100000000001</v>
      </c>
      <c r="L411">
        <v>3.0992999999999999</v>
      </c>
      <c r="M411">
        <v>18.214500000000001</v>
      </c>
      <c r="N411">
        <v>0</v>
      </c>
      <c r="O411">
        <v>0</v>
      </c>
    </row>
    <row r="412" spans="1:15" x14ac:dyDescent="0.25">
      <c r="A412" t="s">
        <v>20</v>
      </c>
      <c r="B412" t="s">
        <v>15</v>
      </c>
      <c r="C412">
        <v>7</v>
      </c>
      <c r="D412">
        <v>100</v>
      </c>
      <c r="E412">
        <v>6400</v>
      </c>
      <c r="F412" t="str">
        <f t="shared" si="6"/>
        <v>text256_blurkernel7_7_100_6400</v>
      </c>
      <c r="G412">
        <v>0</v>
      </c>
      <c r="H412">
        <v>0</v>
      </c>
      <c r="I412">
        <v>5.8616400000000002E-4</v>
      </c>
      <c r="J412">
        <v>1.1576000000000001E-5</v>
      </c>
      <c r="K412">
        <v>20.124400000000001</v>
      </c>
      <c r="L412">
        <v>3.0992999999999999</v>
      </c>
      <c r="M412">
        <v>17.5716</v>
      </c>
      <c r="N412">
        <v>0</v>
      </c>
      <c r="O412">
        <v>0</v>
      </c>
    </row>
    <row r="413" spans="1:15" x14ac:dyDescent="0.25">
      <c r="A413" t="s">
        <v>20</v>
      </c>
      <c r="B413" t="s">
        <v>15</v>
      </c>
      <c r="C413">
        <v>7</v>
      </c>
      <c r="D413">
        <v>100</v>
      </c>
      <c r="E413">
        <v>12800</v>
      </c>
      <c r="F413" t="str">
        <f t="shared" si="6"/>
        <v>text256_blurkernel7_7_100_12800</v>
      </c>
      <c r="G413">
        <v>0</v>
      </c>
      <c r="H413">
        <v>0</v>
      </c>
      <c r="I413">
        <v>1.2172420000000001E-3</v>
      </c>
      <c r="J413">
        <v>1.1576000000000001E-5</v>
      </c>
      <c r="K413">
        <v>16.918600000000001</v>
      </c>
      <c r="L413">
        <v>3.0992999999999999</v>
      </c>
      <c r="M413">
        <v>16.324200000000001</v>
      </c>
      <c r="N413">
        <v>0</v>
      </c>
      <c r="O413">
        <v>0</v>
      </c>
    </row>
    <row r="414" spans="1:15" x14ac:dyDescent="0.25">
      <c r="A414" t="s">
        <v>20</v>
      </c>
      <c r="B414" t="s">
        <v>15</v>
      </c>
      <c r="C414">
        <v>7</v>
      </c>
      <c r="D414">
        <v>100</v>
      </c>
      <c r="E414">
        <v>25600</v>
      </c>
      <c r="F414" t="str">
        <f t="shared" si="6"/>
        <v>text256_blurkernel7_7_100_25600</v>
      </c>
      <c r="G414">
        <v>0</v>
      </c>
      <c r="H414">
        <v>0</v>
      </c>
      <c r="I414">
        <v>2.5429670000000001E-3</v>
      </c>
      <c r="J414">
        <v>1.1576000000000001E-5</v>
      </c>
      <c r="K414">
        <v>13.698499999999999</v>
      </c>
      <c r="L414">
        <v>3.0992999999999999</v>
      </c>
      <c r="M414">
        <v>14.5379</v>
      </c>
      <c r="N414">
        <v>0</v>
      </c>
      <c r="O414">
        <v>0</v>
      </c>
    </row>
    <row r="415" spans="1:15" x14ac:dyDescent="0.25">
      <c r="A415" t="s">
        <v>20</v>
      </c>
      <c r="B415" t="s">
        <v>15</v>
      </c>
      <c r="C415">
        <v>7</v>
      </c>
      <c r="D415">
        <v>100</v>
      </c>
      <c r="E415">
        <v>102400</v>
      </c>
      <c r="F415" t="str">
        <f t="shared" si="6"/>
        <v>text256_blurkernel7_7_100_102400</v>
      </c>
      <c r="G415">
        <v>0</v>
      </c>
      <c r="H415">
        <v>0</v>
      </c>
      <c r="I415">
        <v>1.3322202999999999E-2</v>
      </c>
      <c r="J415">
        <v>1.1646E-5</v>
      </c>
      <c r="K415">
        <v>6.7431000000000001</v>
      </c>
      <c r="L415">
        <v>3.1012</v>
      </c>
      <c r="M415">
        <v>9.4454999999999991</v>
      </c>
      <c r="N415">
        <v>0</v>
      </c>
      <c r="O415">
        <v>0</v>
      </c>
    </row>
    <row r="416" spans="1:15" x14ac:dyDescent="0.25">
      <c r="A416" t="s">
        <v>20</v>
      </c>
      <c r="B416" t="s">
        <v>15</v>
      </c>
      <c r="C416">
        <v>15</v>
      </c>
      <c r="D416">
        <v>100</v>
      </c>
      <c r="E416">
        <v>200</v>
      </c>
      <c r="F416" t="str">
        <f t="shared" si="6"/>
        <v>text256_blurkernel7_15_100_200</v>
      </c>
      <c r="G416">
        <v>0</v>
      </c>
      <c r="H416">
        <v>0</v>
      </c>
      <c r="I416">
        <v>1.6733000000000001E-5</v>
      </c>
      <c r="J416">
        <v>1.4319E-5</v>
      </c>
      <c r="K416">
        <v>35.6629</v>
      </c>
      <c r="L416">
        <v>1.5181</v>
      </c>
      <c r="M416">
        <v>19.747499999999999</v>
      </c>
      <c r="N416">
        <v>0</v>
      </c>
      <c r="O416">
        <v>0</v>
      </c>
    </row>
    <row r="417" spans="1:15" x14ac:dyDescent="0.25">
      <c r="A417" t="s">
        <v>20</v>
      </c>
      <c r="B417" t="s">
        <v>15</v>
      </c>
      <c r="C417">
        <v>15</v>
      </c>
      <c r="D417">
        <v>100</v>
      </c>
      <c r="E417">
        <v>400</v>
      </c>
      <c r="F417" t="str">
        <f t="shared" si="6"/>
        <v>text256_blurkernel7_15_100_400</v>
      </c>
      <c r="G417">
        <v>0</v>
      </c>
      <c r="H417">
        <v>0</v>
      </c>
      <c r="I417">
        <v>3.5002999999999997E-5</v>
      </c>
      <c r="J417">
        <v>1.4319E-5</v>
      </c>
      <c r="K417">
        <v>32.451099999999997</v>
      </c>
      <c r="L417">
        <v>1.5181</v>
      </c>
      <c r="M417">
        <v>19.6739</v>
      </c>
      <c r="N417">
        <v>0</v>
      </c>
      <c r="O417">
        <v>0</v>
      </c>
    </row>
    <row r="418" spans="1:15" x14ac:dyDescent="0.25">
      <c r="A418" t="s">
        <v>20</v>
      </c>
      <c r="B418" t="s">
        <v>15</v>
      </c>
      <c r="C418">
        <v>15</v>
      </c>
      <c r="D418">
        <v>100</v>
      </c>
      <c r="E418">
        <v>800</v>
      </c>
      <c r="F418" t="str">
        <f t="shared" si="6"/>
        <v>text256_blurkernel7_15_100_800</v>
      </c>
      <c r="G418">
        <v>0</v>
      </c>
      <c r="H418">
        <v>0</v>
      </c>
      <c r="I418">
        <v>7.1600000000000006E-5</v>
      </c>
      <c r="J418">
        <v>1.4319E-5</v>
      </c>
      <c r="K418">
        <v>29.3294</v>
      </c>
      <c r="L418">
        <v>1.5181</v>
      </c>
      <c r="M418">
        <v>19.5928</v>
      </c>
      <c r="N418">
        <v>0</v>
      </c>
      <c r="O418">
        <v>0</v>
      </c>
    </row>
    <row r="419" spans="1:15" x14ac:dyDescent="0.25">
      <c r="A419" t="s">
        <v>20</v>
      </c>
      <c r="B419" t="s">
        <v>15</v>
      </c>
      <c r="C419">
        <v>15</v>
      </c>
      <c r="D419">
        <v>100</v>
      </c>
      <c r="E419">
        <v>1600</v>
      </c>
      <c r="F419" t="str">
        <f t="shared" si="6"/>
        <v>text256_blurkernel7_15_100_1600</v>
      </c>
      <c r="G419">
        <v>0</v>
      </c>
      <c r="H419">
        <v>0</v>
      </c>
      <c r="I419">
        <v>1.4593700000000001E-4</v>
      </c>
      <c r="J419">
        <v>1.4319E-5</v>
      </c>
      <c r="K419">
        <v>26.212599999999998</v>
      </c>
      <c r="L419">
        <v>1.5181</v>
      </c>
      <c r="M419">
        <v>19.290099999999999</v>
      </c>
      <c r="N419">
        <v>0</v>
      </c>
      <c r="O419">
        <v>0</v>
      </c>
    </row>
    <row r="420" spans="1:15" x14ac:dyDescent="0.25">
      <c r="A420" t="s">
        <v>20</v>
      </c>
      <c r="B420" t="s">
        <v>15</v>
      </c>
      <c r="C420">
        <v>15</v>
      </c>
      <c r="D420">
        <v>100</v>
      </c>
      <c r="E420">
        <v>3200</v>
      </c>
      <c r="F420" t="str">
        <f t="shared" si="6"/>
        <v>text256_blurkernel7_15_100_3200</v>
      </c>
      <c r="G420">
        <v>0</v>
      </c>
      <c r="H420">
        <v>0</v>
      </c>
      <c r="I420">
        <v>2.93178E-4</v>
      </c>
      <c r="J420">
        <v>1.4319E-5</v>
      </c>
      <c r="K420">
        <v>23.1617</v>
      </c>
      <c r="L420">
        <v>1.5181</v>
      </c>
      <c r="M420">
        <v>18.889600000000002</v>
      </c>
      <c r="N420">
        <v>0</v>
      </c>
      <c r="O420">
        <v>0</v>
      </c>
    </row>
    <row r="421" spans="1:15" x14ac:dyDescent="0.25">
      <c r="A421" t="s">
        <v>20</v>
      </c>
      <c r="B421" t="s">
        <v>15</v>
      </c>
      <c r="C421">
        <v>15</v>
      </c>
      <c r="D421">
        <v>100</v>
      </c>
      <c r="E421">
        <v>6400</v>
      </c>
      <c r="F421" t="str">
        <f t="shared" si="6"/>
        <v>text256_blurkernel7_15_100_6400</v>
      </c>
      <c r="G421">
        <v>0</v>
      </c>
      <c r="H421">
        <v>0</v>
      </c>
      <c r="I421">
        <v>5.8933300000000004E-4</v>
      </c>
      <c r="J421">
        <v>1.4319E-5</v>
      </c>
      <c r="K421">
        <v>20.102799999999998</v>
      </c>
      <c r="L421">
        <v>1.5181</v>
      </c>
      <c r="M421">
        <v>18.141999999999999</v>
      </c>
      <c r="N421">
        <v>0</v>
      </c>
      <c r="O421">
        <v>0</v>
      </c>
    </row>
    <row r="422" spans="1:15" x14ac:dyDescent="0.25">
      <c r="A422" t="s">
        <v>20</v>
      </c>
      <c r="B422" t="s">
        <v>15</v>
      </c>
      <c r="C422">
        <v>15</v>
      </c>
      <c r="D422">
        <v>100</v>
      </c>
      <c r="E422">
        <v>12800</v>
      </c>
      <c r="F422" t="str">
        <f t="shared" si="6"/>
        <v>text256_blurkernel7_15_100_12800</v>
      </c>
      <c r="G422">
        <v>0</v>
      </c>
      <c r="H422">
        <v>0</v>
      </c>
      <c r="I422">
        <v>1.2048969999999999E-3</v>
      </c>
      <c r="J422">
        <v>1.4319E-5</v>
      </c>
      <c r="K422">
        <v>16.962700000000002</v>
      </c>
      <c r="L422">
        <v>1.5181</v>
      </c>
      <c r="M422">
        <v>16.8001</v>
      </c>
      <c r="N422">
        <v>0</v>
      </c>
      <c r="O422">
        <v>0</v>
      </c>
    </row>
    <row r="423" spans="1:15" x14ac:dyDescent="0.25">
      <c r="A423" t="s">
        <v>20</v>
      </c>
      <c r="B423" t="s">
        <v>15</v>
      </c>
      <c r="C423">
        <v>15</v>
      </c>
      <c r="D423">
        <v>100</v>
      </c>
      <c r="E423">
        <v>25600</v>
      </c>
      <c r="F423" t="str">
        <f t="shared" si="6"/>
        <v>text256_blurkernel7_15_100_25600</v>
      </c>
      <c r="G423">
        <v>0</v>
      </c>
      <c r="H423">
        <v>0</v>
      </c>
      <c r="I423">
        <v>2.5471449999999998E-3</v>
      </c>
      <c r="J423">
        <v>1.4319E-5</v>
      </c>
      <c r="K423">
        <v>13.6915</v>
      </c>
      <c r="L423">
        <v>1.5181</v>
      </c>
      <c r="M423">
        <v>14.7897</v>
      </c>
      <c r="N423">
        <v>0</v>
      </c>
      <c r="O423">
        <v>0</v>
      </c>
    </row>
    <row r="424" spans="1:15" x14ac:dyDescent="0.25">
      <c r="A424" t="s">
        <v>20</v>
      </c>
      <c r="B424" t="s">
        <v>15</v>
      </c>
      <c r="C424">
        <v>15</v>
      </c>
      <c r="D424">
        <v>100</v>
      </c>
      <c r="E424">
        <v>102400</v>
      </c>
      <c r="F424" t="str">
        <f t="shared" si="6"/>
        <v>text256_blurkernel7_15_100_102400</v>
      </c>
      <c r="G424">
        <v>0</v>
      </c>
      <c r="H424">
        <v>0</v>
      </c>
      <c r="I424">
        <v>1.3347365999999999E-2</v>
      </c>
      <c r="J424">
        <v>1.428E-5</v>
      </c>
      <c r="K424">
        <v>6.7469000000000001</v>
      </c>
      <c r="L424">
        <v>1.5181</v>
      </c>
      <c r="M424">
        <v>9.5233000000000008</v>
      </c>
      <c r="N424">
        <v>0</v>
      </c>
      <c r="O424">
        <v>0</v>
      </c>
    </row>
    <row r="425" spans="1:15" x14ac:dyDescent="0.25">
      <c r="A425" t="s">
        <v>20</v>
      </c>
      <c r="B425" t="s">
        <v>15</v>
      </c>
      <c r="C425">
        <v>31</v>
      </c>
      <c r="D425">
        <v>100</v>
      </c>
      <c r="E425">
        <v>200</v>
      </c>
      <c r="F425" t="str">
        <f t="shared" si="6"/>
        <v>text256_blurkernel7_31_100_200</v>
      </c>
      <c r="G425">
        <v>0</v>
      </c>
      <c r="H425">
        <v>0</v>
      </c>
      <c r="I425">
        <v>1.6518E-5</v>
      </c>
      <c r="J425">
        <v>1.6290000000000002E-5</v>
      </c>
      <c r="K425">
        <v>35.721499999999999</v>
      </c>
      <c r="L425">
        <v>0.7843</v>
      </c>
      <c r="M425">
        <v>19.528199999999998</v>
      </c>
      <c r="N425">
        <v>0</v>
      </c>
      <c r="O425">
        <v>0</v>
      </c>
    </row>
    <row r="426" spans="1:15" x14ac:dyDescent="0.25">
      <c r="A426" t="s">
        <v>20</v>
      </c>
      <c r="B426" t="s">
        <v>15</v>
      </c>
      <c r="C426">
        <v>31</v>
      </c>
      <c r="D426">
        <v>100</v>
      </c>
      <c r="E426">
        <v>400</v>
      </c>
      <c r="F426" t="str">
        <f t="shared" si="6"/>
        <v>text256_blurkernel7_31_100_400</v>
      </c>
      <c r="G426">
        <v>0</v>
      </c>
      <c r="H426">
        <v>0</v>
      </c>
      <c r="I426">
        <v>3.5287000000000003E-5</v>
      </c>
      <c r="J426">
        <v>1.6290000000000002E-5</v>
      </c>
      <c r="K426">
        <v>32.417000000000002</v>
      </c>
      <c r="L426">
        <v>0.7843</v>
      </c>
      <c r="M426">
        <v>19.5305</v>
      </c>
      <c r="N426">
        <v>0</v>
      </c>
      <c r="O426">
        <v>0</v>
      </c>
    </row>
    <row r="427" spans="1:15" x14ac:dyDescent="0.25">
      <c r="A427" t="s">
        <v>20</v>
      </c>
      <c r="B427" t="s">
        <v>15</v>
      </c>
      <c r="C427">
        <v>31</v>
      </c>
      <c r="D427">
        <v>100</v>
      </c>
      <c r="E427">
        <v>800</v>
      </c>
      <c r="F427" t="str">
        <f t="shared" si="6"/>
        <v>text256_blurkernel7_31_100_800</v>
      </c>
      <c r="G427">
        <v>0</v>
      </c>
      <c r="H427">
        <v>0</v>
      </c>
      <c r="I427">
        <v>7.1302000000000003E-5</v>
      </c>
      <c r="J427">
        <v>1.6290000000000002E-5</v>
      </c>
      <c r="K427">
        <v>29.354199999999999</v>
      </c>
      <c r="L427">
        <v>0.7843</v>
      </c>
      <c r="M427">
        <v>19.402899999999999</v>
      </c>
      <c r="N427">
        <v>0</v>
      </c>
      <c r="O427">
        <v>0</v>
      </c>
    </row>
    <row r="428" spans="1:15" x14ac:dyDescent="0.25">
      <c r="A428" t="s">
        <v>20</v>
      </c>
      <c r="B428" t="s">
        <v>15</v>
      </c>
      <c r="C428">
        <v>31</v>
      </c>
      <c r="D428">
        <v>100</v>
      </c>
      <c r="E428">
        <v>1600</v>
      </c>
      <c r="F428" t="str">
        <f t="shared" si="6"/>
        <v>text256_blurkernel7_31_100_1600</v>
      </c>
      <c r="G428">
        <v>0</v>
      </c>
      <c r="H428">
        <v>0</v>
      </c>
      <c r="I428">
        <v>1.42953E-4</v>
      </c>
      <c r="J428">
        <v>1.6290000000000002E-5</v>
      </c>
      <c r="K428">
        <v>26.301200000000001</v>
      </c>
      <c r="L428">
        <v>0.7843</v>
      </c>
      <c r="M428">
        <v>19.1907</v>
      </c>
      <c r="N428">
        <v>0</v>
      </c>
      <c r="O428">
        <v>0</v>
      </c>
    </row>
    <row r="429" spans="1:15" x14ac:dyDescent="0.25">
      <c r="A429" t="s">
        <v>20</v>
      </c>
      <c r="B429" t="s">
        <v>15</v>
      </c>
      <c r="C429">
        <v>31</v>
      </c>
      <c r="D429">
        <v>100</v>
      </c>
      <c r="E429">
        <v>3200</v>
      </c>
      <c r="F429" t="str">
        <f t="shared" si="6"/>
        <v>text256_blurkernel7_31_100_3200</v>
      </c>
      <c r="G429">
        <v>0</v>
      </c>
      <c r="H429">
        <v>0</v>
      </c>
      <c r="I429">
        <v>2.8910300000000003E-4</v>
      </c>
      <c r="J429">
        <v>1.6290000000000002E-5</v>
      </c>
      <c r="K429">
        <v>23.233499999999999</v>
      </c>
      <c r="L429">
        <v>0.7843</v>
      </c>
      <c r="M429">
        <v>18.770900000000001</v>
      </c>
      <c r="N429">
        <v>0</v>
      </c>
      <c r="O429">
        <v>0</v>
      </c>
    </row>
    <row r="430" spans="1:15" x14ac:dyDescent="0.25">
      <c r="A430" t="s">
        <v>20</v>
      </c>
      <c r="B430" t="s">
        <v>15</v>
      </c>
      <c r="C430">
        <v>31</v>
      </c>
      <c r="D430">
        <v>100</v>
      </c>
      <c r="E430">
        <v>6400</v>
      </c>
      <c r="F430" t="str">
        <f t="shared" si="6"/>
        <v>text256_blurkernel7_31_100_6400</v>
      </c>
      <c r="G430">
        <v>0</v>
      </c>
      <c r="H430">
        <v>0</v>
      </c>
      <c r="I430">
        <v>5.8741100000000003E-4</v>
      </c>
      <c r="J430">
        <v>1.6290000000000002E-5</v>
      </c>
      <c r="K430">
        <v>20.1157</v>
      </c>
      <c r="L430">
        <v>0.7843</v>
      </c>
      <c r="M430">
        <v>17.993400000000001</v>
      </c>
      <c r="N430">
        <v>0</v>
      </c>
      <c r="O430">
        <v>0</v>
      </c>
    </row>
    <row r="431" spans="1:15" x14ac:dyDescent="0.25">
      <c r="A431" t="s">
        <v>20</v>
      </c>
      <c r="B431" t="s">
        <v>15</v>
      </c>
      <c r="C431">
        <v>31</v>
      </c>
      <c r="D431">
        <v>100</v>
      </c>
      <c r="E431">
        <v>12800</v>
      </c>
      <c r="F431" t="str">
        <f t="shared" si="6"/>
        <v>text256_blurkernel7_31_100_12800</v>
      </c>
      <c r="G431">
        <v>0</v>
      </c>
      <c r="H431">
        <v>0</v>
      </c>
      <c r="I431">
        <v>1.1956810000000001E-3</v>
      </c>
      <c r="J431">
        <v>1.6290000000000002E-5</v>
      </c>
      <c r="K431">
        <v>16.998000000000001</v>
      </c>
      <c r="L431">
        <v>0.7843</v>
      </c>
      <c r="M431">
        <v>16.687899999999999</v>
      </c>
      <c r="N431">
        <v>0</v>
      </c>
      <c r="O431">
        <v>0</v>
      </c>
    </row>
    <row r="432" spans="1:15" x14ac:dyDescent="0.25">
      <c r="A432" t="s">
        <v>20</v>
      </c>
      <c r="B432" t="s">
        <v>15</v>
      </c>
      <c r="C432">
        <v>31</v>
      </c>
      <c r="D432">
        <v>100</v>
      </c>
      <c r="E432">
        <v>25600</v>
      </c>
      <c r="F432" t="str">
        <f t="shared" si="6"/>
        <v>text256_blurkernel7_31_100_25600</v>
      </c>
      <c r="G432">
        <v>0</v>
      </c>
      <c r="H432">
        <v>0</v>
      </c>
      <c r="I432">
        <v>2.5789760000000002E-3</v>
      </c>
      <c r="J432">
        <v>1.6290000000000002E-5</v>
      </c>
      <c r="K432">
        <v>13.636699999999999</v>
      </c>
      <c r="L432">
        <v>0.7843</v>
      </c>
      <c r="M432">
        <v>14.7995</v>
      </c>
      <c r="N432">
        <v>0</v>
      </c>
      <c r="O432">
        <v>0</v>
      </c>
    </row>
    <row r="433" spans="1:15" x14ac:dyDescent="0.25">
      <c r="A433" t="s">
        <v>20</v>
      </c>
      <c r="B433" t="s">
        <v>15</v>
      </c>
      <c r="C433">
        <v>31</v>
      </c>
      <c r="D433">
        <v>100</v>
      </c>
      <c r="E433">
        <v>102400</v>
      </c>
      <c r="F433" t="str">
        <f t="shared" si="6"/>
        <v>text256_blurkernel7_31_100_102400</v>
      </c>
      <c r="G433">
        <v>0</v>
      </c>
      <c r="H433">
        <v>0</v>
      </c>
      <c r="I433">
        <v>1.3378328E-2</v>
      </c>
      <c r="J433">
        <v>1.6243E-5</v>
      </c>
      <c r="K433">
        <v>6.7319000000000004</v>
      </c>
      <c r="L433">
        <v>0.78410000000000002</v>
      </c>
      <c r="M433">
        <v>9.6379000000000001</v>
      </c>
      <c r="N433">
        <v>0</v>
      </c>
      <c r="O433">
        <v>0</v>
      </c>
    </row>
    <row r="434" spans="1:15" x14ac:dyDescent="0.25">
      <c r="A434" t="s">
        <v>20</v>
      </c>
      <c r="B434" t="s">
        <v>15</v>
      </c>
      <c r="C434">
        <v>63</v>
      </c>
      <c r="D434">
        <v>100</v>
      </c>
      <c r="E434">
        <v>200</v>
      </c>
      <c r="F434" t="str">
        <f t="shared" si="6"/>
        <v>text256_blurkernel7_63_100_200</v>
      </c>
      <c r="G434">
        <v>0</v>
      </c>
      <c r="H434">
        <v>0</v>
      </c>
      <c r="I434">
        <v>1.6963E-5</v>
      </c>
      <c r="J434">
        <v>1.7227E-5</v>
      </c>
      <c r="K434">
        <v>35.601500000000001</v>
      </c>
      <c r="L434">
        <v>0.1956</v>
      </c>
      <c r="M434">
        <v>19.8156</v>
      </c>
      <c r="N434">
        <v>0</v>
      </c>
      <c r="O434">
        <v>0</v>
      </c>
    </row>
    <row r="435" spans="1:15" x14ac:dyDescent="0.25">
      <c r="A435" t="s">
        <v>20</v>
      </c>
      <c r="B435" t="s">
        <v>15</v>
      </c>
      <c r="C435">
        <v>63</v>
      </c>
      <c r="D435">
        <v>100</v>
      </c>
      <c r="E435">
        <v>400</v>
      </c>
      <c r="F435" t="str">
        <f t="shared" si="6"/>
        <v>text256_blurkernel7_63_100_400</v>
      </c>
      <c r="G435">
        <v>0</v>
      </c>
      <c r="H435">
        <v>0</v>
      </c>
      <c r="I435">
        <v>3.5405999999999999E-5</v>
      </c>
      <c r="J435">
        <v>1.7227E-5</v>
      </c>
      <c r="K435">
        <v>32.405299999999997</v>
      </c>
      <c r="L435">
        <v>0.1956</v>
      </c>
      <c r="M435">
        <v>19.771799999999999</v>
      </c>
      <c r="N435">
        <v>0</v>
      </c>
      <c r="O435">
        <v>0</v>
      </c>
    </row>
    <row r="436" spans="1:15" x14ac:dyDescent="0.25">
      <c r="A436" t="s">
        <v>20</v>
      </c>
      <c r="B436" t="s">
        <v>15</v>
      </c>
      <c r="C436">
        <v>63</v>
      </c>
      <c r="D436">
        <v>100</v>
      </c>
      <c r="E436">
        <v>800</v>
      </c>
      <c r="F436" t="str">
        <f t="shared" si="6"/>
        <v>text256_blurkernel7_63_100_800</v>
      </c>
      <c r="G436">
        <v>0</v>
      </c>
      <c r="H436">
        <v>0</v>
      </c>
      <c r="I436">
        <v>7.1418E-5</v>
      </c>
      <c r="J436">
        <v>1.7227E-5</v>
      </c>
      <c r="K436">
        <v>29.336300000000001</v>
      </c>
      <c r="L436">
        <v>0.1956</v>
      </c>
      <c r="M436">
        <v>19.6721</v>
      </c>
      <c r="N436">
        <v>0</v>
      </c>
      <c r="O436">
        <v>0</v>
      </c>
    </row>
    <row r="437" spans="1:15" x14ac:dyDescent="0.25">
      <c r="A437" t="s">
        <v>20</v>
      </c>
      <c r="B437" t="s">
        <v>15</v>
      </c>
      <c r="C437">
        <v>63</v>
      </c>
      <c r="D437">
        <v>100</v>
      </c>
      <c r="E437">
        <v>1600</v>
      </c>
      <c r="F437" t="str">
        <f t="shared" si="6"/>
        <v>text256_blurkernel7_63_100_1600</v>
      </c>
      <c r="G437">
        <v>0</v>
      </c>
      <c r="H437">
        <v>0</v>
      </c>
      <c r="I437">
        <v>1.42361E-4</v>
      </c>
      <c r="J437">
        <v>1.7227E-5</v>
      </c>
      <c r="K437">
        <v>26.320699999999999</v>
      </c>
      <c r="L437">
        <v>0.1956</v>
      </c>
      <c r="M437">
        <v>19.4055</v>
      </c>
      <c r="N437">
        <v>0</v>
      </c>
      <c r="O437">
        <v>0</v>
      </c>
    </row>
    <row r="438" spans="1:15" x14ac:dyDescent="0.25">
      <c r="A438" t="s">
        <v>20</v>
      </c>
      <c r="B438" t="s">
        <v>15</v>
      </c>
      <c r="C438">
        <v>63</v>
      </c>
      <c r="D438">
        <v>100</v>
      </c>
      <c r="E438">
        <v>3200</v>
      </c>
      <c r="F438" t="str">
        <f t="shared" si="6"/>
        <v>text256_blurkernel7_63_100_3200</v>
      </c>
      <c r="G438">
        <v>0</v>
      </c>
      <c r="H438">
        <v>0</v>
      </c>
      <c r="I438">
        <v>2.8856599999999997E-4</v>
      </c>
      <c r="J438">
        <v>1.7227E-5</v>
      </c>
      <c r="K438">
        <v>23.232600000000001</v>
      </c>
      <c r="L438">
        <v>0.1956</v>
      </c>
      <c r="M438">
        <v>19.056799999999999</v>
      </c>
      <c r="N438">
        <v>0</v>
      </c>
      <c r="O438">
        <v>0</v>
      </c>
    </row>
    <row r="439" spans="1:15" x14ac:dyDescent="0.25">
      <c r="A439" t="s">
        <v>20</v>
      </c>
      <c r="B439" t="s">
        <v>15</v>
      </c>
      <c r="C439">
        <v>63</v>
      </c>
      <c r="D439">
        <v>100</v>
      </c>
      <c r="E439">
        <v>6400</v>
      </c>
      <c r="F439" t="str">
        <f t="shared" si="6"/>
        <v>text256_blurkernel7_63_100_6400</v>
      </c>
      <c r="G439">
        <v>0</v>
      </c>
      <c r="H439">
        <v>0</v>
      </c>
      <c r="I439">
        <v>5.86397E-4</v>
      </c>
      <c r="J439">
        <v>1.7227E-5</v>
      </c>
      <c r="K439">
        <v>20.1297</v>
      </c>
      <c r="L439">
        <v>0.1956</v>
      </c>
      <c r="M439">
        <v>18.236999999999998</v>
      </c>
      <c r="N439">
        <v>0</v>
      </c>
      <c r="O439">
        <v>0</v>
      </c>
    </row>
    <row r="440" spans="1:15" x14ac:dyDescent="0.25">
      <c r="A440" t="s">
        <v>20</v>
      </c>
      <c r="B440" t="s">
        <v>15</v>
      </c>
      <c r="C440">
        <v>63</v>
      </c>
      <c r="D440">
        <v>100</v>
      </c>
      <c r="E440">
        <v>12800</v>
      </c>
      <c r="F440" t="str">
        <f t="shared" si="6"/>
        <v>text256_blurkernel7_63_100_12800</v>
      </c>
      <c r="G440">
        <v>0</v>
      </c>
      <c r="H440">
        <v>0</v>
      </c>
      <c r="I440">
        <v>1.223928E-3</v>
      </c>
      <c r="J440">
        <v>1.7227E-5</v>
      </c>
      <c r="K440">
        <v>16.896599999999999</v>
      </c>
      <c r="L440">
        <v>0.1956</v>
      </c>
      <c r="M440">
        <v>16.933800000000002</v>
      </c>
      <c r="N440">
        <v>0</v>
      </c>
      <c r="O440">
        <v>0</v>
      </c>
    </row>
    <row r="441" spans="1:15" x14ac:dyDescent="0.25">
      <c r="A441" t="s">
        <v>20</v>
      </c>
      <c r="B441" t="s">
        <v>15</v>
      </c>
      <c r="C441">
        <v>63</v>
      </c>
      <c r="D441">
        <v>100</v>
      </c>
      <c r="E441">
        <v>25600</v>
      </c>
      <c r="F441" t="str">
        <f t="shared" si="6"/>
        <v>text256_blurkernel7_63_100_25600</v>
      </c>
      <c r="G441">
        <v>0</v>
      </c>
      <c r="H441">
        <v>0</v>
      </c>
      <c r="I441">
        <v>2.5240900000000001E-3</v>
      </c>
      <c r="J441">
        <v>1.7227E-5</v>
      </c>
      <c r="K441">
        <v>13.7311</v>
      </c>
      <c r="L441">
        <v>0.1956</v>
      </c>
      <c r="M441">
        <v>14.924099999999999</v>
      </c>
      <c r="N441">
        <v>0</v>
      </c>
      <c r="O441">
        <v>0</v>
      </c>
    </row>
    <row r="442" spans="1:15" x14ac:dyDescent="0.25">
      <c r="A442" t="s">
        <v>20</v>
      </c>
      <c r="B442" t="s">
        <v>16</v>
      </c>
      <c r="C442">
        <v>3</v>
      </c>
      <c r="D442">
        <v>100</v>
      </c>
      <c r="E442">
        <v>200</v>
      </c>
      <c r="F442" t="str">
        <f t="shared" si="6"/>
        <v>text256_blurkernel8_3_100_200</v>
      </c>
      <c r="G442">
        <v>0</v>
      </c>
      <c r="H442">
        <v>0</v>
      </c>
      <c r="I442">
        <v>1.6549999999999999E-5</v>
      </c>
      <c r="J442">
        <v>9.8919999999999995E-6</v>
      </c>
      <c r="K442">
        <v>35.7072</v>
      </c>
      <c r="L442">
        <v>8.6290999999999993</v>
      </c>
      <c r="M442">
        <v>17.194600000000001</v>
      </c>
      <c r="N442">
        <v>0</v>
      </c>
      <c r="O442">
        <v>0</v>
      </c>
    </row>
    <row r="443" spans="1:15" x14ac:dyDescent="0.25">
      <c r="A443" t="s">
        <v>20</v>
      </c>
      <c r="B443" t="s">
        <v>16</v>
      </c>
      <c r="C443">
        <v>3</v>
      </c>
      <c r="D443">
        <v>100</v>
      </c>
      <c r="E443">
        <v>400</v>
      </c>
      <c r="F443" t="str">
        <f t="shared" si="6"/>
        <v>text256_blurkernel8_3_100_400</v>
      </c>
      <c r="G443">
        <v>0</v>
      </c>
      <c r="H443">
        <v>0</v>
      </c>
      <c r="I443">
        <v>3.4677E-5</v>
      </c>
      <c r="J443">
        <v>9.8919999999999995E-6</v>
      </c>
      <c r="K443">
        <v>32.485399999999998</v>
      </c>
      <c r="L443">
        <v>8.6290999999999993</v>
      </c>
      <c r="M443">
        <v>17.191500000000001</v>
      </c>
      <c r="N443">
        <v>0</v>
      </c>
      <c r="O443">
        <v>0</v>
      </c>
    </row>
    <row r="444" spans="1:15" x14ac:dyDescent="0.25">
      <c r="A444" t="s">
        <v>20</v>
      </c>
      <c r="B444" t="s">
        <v>16</v>
      </c>
      <c r="C444">
        <v>3</v>
      </c>
      <c r="D444">
        <v>100</v>
      </c>
      <c r="E444">
        <v>800</v>
      </c>
      <c r="F444" t="str">
        <f t="shared" si="6"/>
        <v>text256_blurkernel8_3_100_800</v>
      </c>
      <c r="G444">
        <v>0</v>
      </c>
      <c r="H444">
        <v>0</v>
      </c>
      <c r="I444">
        <v>7.0654999999999994E-5</v>
      </c>
      <c r="J444">
        <v>9.8919999999999995E-6</v>
      </c>
      <c r="K444">
        <v>29.383500000000002</v>
      </c>
      <c r="L444">
        <v>8.6290999999999993</v>
      </c>
      <c r="M444">
        <v>17.153199999999998</v>
      </c>
      <c r="N444">
        <v>0</v>
      </c>
      <c r="O444">
        <v>0</v>
      </c>
    </row>
    <row r="445" spans="1:15" x14ac:dyDescent="0.25">
      <c r="A445" t="s">
        <v>20</v>
      </c>
      <c r="B445" t="s">
        <v>16</v>
      </c>
      <c r="C445">
        <v>3</v>
      </c>
      <c r="D445">
        <v>100</v>
      </c>
      <c r="E445">
        <v>1600</v>
      </c>
      <c r="F445" t="str">
        <f t="shared" si="6"/>
        <v>text256_blurkernel8_3_100_1600</v>
      </c>
      <c r="G445">
        <v>0</v>
      </c>
      <c r="H445">
        <v>0</v>
      </c>
      <c r="I445">
        <v>1.43151E-4</v>
      </c>
      <c r="J445">
        <v>9.8919999999999995E-6</v>
      </c>
      <c r="K445">
        <v>26.301200000000001</v>
      </c>
      <c r="L445">
        <v>8.6290999999999993</v>
      </c>
      <c r="M445">
        <v>17.0578</v>
      </c>
      <c r="N445">
        <v>0</v>
      </c>
      <c r="O445">
        <v>0</v>
      </c>
    </row>
    <row r="446" spans="1:15" x14ac:dyDescent="0.25">
      <c r="A446" t="s">
        <v>20</v>
      </c>
      <c r="B446" t="s">
        <v>16</v>
      </c>
      <c r="C446">
        <v>3</v>
      </c>
      <c r="D446">
        <v>100</v>
      </c>
      <c r="E446">
        <v>3200</v>
      </c>
      <c r="F446" t="str">
        <f t="shared" si="6"/>
        <v>text256_blurkernel8_3_100_3200</v>
      </c>
      <c r="G446">
        <v>0</v>
      </c>
      <c r="H446">
        <v>0</v>
      </c>
      <c r="I446">
        <v>2.9173300000000002E-4</v>
      </c>
      <c r="J446">
        <v>9.8919999999999995E-6</v>
      </c>
      <c r="K446">
        <v>23.186499999999999</v>
      </c>
      <c r="L446">
        <v>8.6290999999999993</v>
      </c>
      <c r="M446">
        <v>16.8552</v>
      </c>
      <c r="N446">
        <v>0</v>
      </c>
      <c r="O446">
        <v>0</v>
      </c>
    </row>
    <row r="447" spans="1:15" x14ac:dyDescent="0.25">
      <c r="A447" t="s">
        <v>20</v>
      </c>
      <c r="B447" t="s">
        <v>16</v>
      </c>
      <c r="C447">
        <v>3</v>
      </c>
      <c r="D447">
        <v>100</v>
      </c>
      <c r="E447">
        <v>6400</v>
      </c>
      <c r="F447" t="str">
        <f t="shared" si="6"/>
        <v>text256_blurkernel8_3_100_6400</v>
      </c>
      <c r="G447">
        <v>0</v>
      </c>
      <c r="H447">
        <v>0</v>
      </c>
      <c r="I447">
        <v>5.9228099999999995E-4</v>
      </c>
      <c r="J447">
        <v>9.8919999999999995E-6</v>
      </c>
      <c r="K447">
        <v>20.079699999999999</v>
      </c>
      <c r="L447">
        <v>8.6290999999999993</v>
      </c>
      <c r="M447">
        <v>16.3642</v>
      </c>
      <c r="N447">
        <v>0</v>
      </c>
      <c r="O447">
        <v>0</v>
      </c>
    </row>
    <row r="448" spans="1:15" x14ac:dyDescent="0.25">
      <c r="A448" t="s">
        <v>20</v>
      </c>
      <c r="B448" t="s">
        <v>16</v>
      </c>
      <c r="C448">
        <v>3</v>
      </c>
      <c r="D448">
        <v>100</v>
      </c>
      <c r="E448">
        <v>12800</v>
      </c>
      <c r="F448" t="str">
        <f t="shared" si="6"/>
        <v>text256_blurkernel8_3_100_12800</v>
      </c>
      <c r="G448">
        <v>0</v>
      </c>
      <c r="H448">
        <v>0</v>
      </c>
      <c r="I448">
        <v>1.2017530000000001E-3</v>
      </c>
      <c r="J448">
        <v>9.8919999999999995E-6</v>
      </c>
      <c r="K448">
        <v>16.975899999999999</v>
      </c>
      <c r="L448">
        <v>8.6290999999999993</v>
      </c>
      <c r="M448">
        <v>15.3969</v>
      </c>
      <c r="N448">
        <v>0</v>
      </c>
      <c r="O448">
        <v>0</v>
      </c>
    </row>
    <row r="449" spans="1:15" x14ac:dyDescent="0.25">
      <c r="A449" t="s">
        <v>20</v>
      </c>
      <c r="B449" t="s">
        <v>16</v>
      </c>
      <c r="C449">
        <v>3</v>
      </c>
      <c r="D449">
        <v>100</v>
      </c>
      <c r="E449">
        <v>25600</v>
      </c>
      <c r="F449" t="str">
        <f t="shared" si="6"/>
        <v>text256_blurkernel8_3_100_25600</v>
      </c>
      <c r="G449">
        <v>0</v>
      </c>
      <c r="H449">
        <v>0</v>
      </c>
      <c r="I449">
        <v>2.540273E-3</v>
      </c>
      <c r="J449">
        <v>9.8919999999999995E-6</v>
      </c>
      <c r="K449">
        <v>13.7027</v>
      </c>
      <c r="L449">
        <v>8.6290999999999993</v>
      </c>
      <c r="M449">
        <v>14.005699999999999</v>
      </c>
      <c r="N449">
        <v>0</v>
      </c>
      <c r="O449">
        <v>0</v>
      </c>
    </row>
    <row r="450" spans="1:15" x14ac:dyDescent="0.25">
      <c r="A450" t="s">
        <v>20</v>
      </c>
      <c r="B450" t="s">
        <v>16</v>
      </c>
      <c r="C450">
        <v>3</v>
      </c>
      <c r="D450">
        <v>100</v>
      </c>
      <c r="E450">
        <v>102400</v>
      </c>
      <c r="F450" t="str">
        <f t="shared" ref="F450:F513" si="7">A450&amp;"_"&amp;B450&amp;"_"&amp;C450&amp;"_"&amp;D450&amp;"_"&amp;E450</f>
        <v>text256_blurkernel8_3_100_102400</v>
      </c>
      <c r="G450">
        <v>0</v>
      </c>
      <c r="H450">
        <v>0</v>
      </c>
      <c r="I450">
        <v>1.3567269E-2</v>
      </c>
      <c r="J450">
        <v>9.7620000000000007E-6</v>
      </c>
      <c r="K450">
        <v>6.6647999999999996</v>
      </c>
      <c r="L450">
        <v>8.6270000000000007</v>
      </c>
      <c r="M450">
        <v>10.691800000000001</v>
      </c>
      <c r="N450">
        <v>0</v>
      </c>
      <c r="O450">
        <v>0</v>
      </c>
    </row>
    <row r="451" spans="1:15" x14ac:dyDescent="0.25">
      <c r="A451" t="s">
        <v>20</v>
      </c>
      <c r="B451" t="s">
        <v>16</v>
      </c>
      <c r="C451">
        <v>7</v>
      </c>
      <c r="D451">
        <v>100</v>
      </c>
      <c r="E451">
        <v>200</v>
      </c>
      <c r="F451" t="str">
        <f t="shared" si="7"/>
        <v>text256_blurkernel8_7_100_200</v>
      </c>
      <c r="G451">
        <v>0</v>
      </c>
      <c r="H451">
        <v>0</v>
      </c>
      <c r="I451">
        <v>1.6731999999999998E-5</v>
      </c>
      <c r="J451">
        <v>1.1731E-5</v>
      </c>
      <c r="K451">
        <v>35.672199999999997</v>
      </c>
      <c r="L451">
        <v>2.7490999999999999</v>
      </c>
      <c r="M451">
        <v>18.949300000000001</v>
      </c>
      <c r="N451">
        <v>0</v>
      </c>
      <c r="O451">
        <v>0</v>
      </c>
    </row>
    <row r="452" spans="1:15" x14ac:dyDescent="0.25">
      <c r="A452" t="s">
        <v>20</v>
      </c>
      <c r="B452" t="s">
        <v>16</v>
      </c>
      <c r="C452">
        <v>7</v>
      </c>
      <c r="D452">
        <v>100</v>
      </c>
      <c r="E452">
        <v>400</v>
      </c>
      <c r="F452" t="str">
        <f t="shared" si="7"/>
        <v>text256_blurkernel8_7_100_400</v>
      </c>
      <c r="G452">
        <v>0</v>
      </c>
      <c r="H452">
        <v>0</v>
      </c>
      <c r="I452">
        <v>3.4449999999999997E-5</v>
      </c>
      <c r="J452">
        <v>1.1731E-5</v>
      </c>
      <c r="K452">
        <v>32.520800000000001</v>
      </c>
      <c r="L452">
        <v>2.7490999999999999</v>
      </c>
      <c r="M452">
        <v>18.906199999999998</v>
      </c>
      <c r="N452">
        <v>0</v>
      </c>
      <c r="O452">
        <v>0</v>
      </c>
    </row>
    <row r="453" spans="1:15" x14ac:dyDescent="0.25">
      <c r="A453" t="s">
        <v>20</v>
      </c>
      <c r="B453" t="s">
        <v>16</v>
      </c>
      <c r="C453">
        <v>7</v>
      </c>
      <c r="D453">
        <v>100</v>
      </c>
      <c r="E453">
        <v>800</v>
      </c>
      <c r="F453" t="str">
        <f t="shared" si="7"/>
        <v>text256_blurkernel8_7_100_800</v>
      </c>
      <c r="G453">
        <v>0</v>
      </c>
      <c r="H453">
        <v>0</v>
      </c>
      <c r="I453">
        <v>7.1302000000000003E-5</v>
      </c>
      <c r="J453">
        <v>1.1731E-5</v>
      </c>
      <c r="K453">
        <v>29.340800000000002</v>
      </c>
      <c r="L453">
        <v>2.7490999999999999</v>
      </c>
      <c r="M453">
        <v>18.817599999999999</v>
      </c>
      <c r="N453">
        <v>0</v>
      </c>
      <c r="O453">
        <v>0</v>
      </c>
    </row>
    <row r="454" spans="1:15" x14ac:dyDescent="0.25">
      <c r="A454" t="s">
        <v>20</v>
      </c>
      <c r="B454" t="s">
        <v>16</v>
      </c>
      <c r="C454">
        <v>7</v>
      </c>
      <c r="D454">
        <v>100</v>
      </c>
      <c r="E454">
        <v>1600</v>
      </c>
      <c r="F454" t="str">
        <f t="shared" si="7"/>
        <v>text256_blurkernel8_7_100_1600</v>
      </c>
      <c r="G454">
        <v>0</v>
      </c>
      <c r="H454">
        <v>0</v>
      </c>
      <c r="I454">
        <v>1.4293899999999999E-4</v>
      </c>
      <c r="J454">
        <v>1.1731E-5</v>
      </c>
      <c r="K454">
        <v>26.310300000000002</v>
      </c>
      <c r="L454">
        <v>2.7490999999999999</v>
      </c>
      <c r="M454">
        <v>18.659199999999998</v>
      </c>
      <c r="N454">
        <v>0</v>
      </c>
      <c r="O454">
        <v>0</v>
      </c>
    </row>
    <row r="455" spans="1:15" x14ac:dyDescent="0.25">
      <c r="A455" t="s">
        <v>20</v>
      </c>
      <c r="B455" t="s">
        <v>16</v>
      </c>
      <c r="C455">
        <v>7</v>
      </c>
      <c r="D455">
        <v>100</v>
      </c>
      <c r="E455">
        <v>3200</v>
      </c>
      <c r="F455" t="str">
        <f t="shared" si="7"/>
        <v>text256_blurkernel8_7_100_3200</v>
      </c>
      <c r="G455">
        <v>0</v>
      </c>
      <c r="H455">
        <v>0</v>
      </c>
      <c r="I455">
        <v>2.9157400000000001E-4</v>
      </c>
      <c r="J455">
        <v>1.1731E-5</v>
      </c>
      <c r="K455">
        <v>23.186</v>
      </c>
      <c r="L455">
        <v>2.7490999999999999</v>
      </c>
      <c r="M455">
        <v>18.225999999999999</v>
      </c>
      <c r="N455">
        <v>0</v>
      </c>
      <c r="O455">
        <v>0</v>
      </c>
    </row>
    <row r="456" spans="1:15" x14ac:dyDescent="0.25">
      <c r="A456" t="s">
        <v>20</v>
      </c>
      <c r="B456" t="s">
        <v>16</v>
      </c>
      <c r="C456">
        <v>7</v>
      </c>
      <c r="D456">
        <v>100</v>
      </c>
      <c r="E456">
        <v>6400</v>
      </c>
      <c r="F456" t="str">
        <f t="shared" si="7"/>
        <v>text256_blurkernel8_7_100_6400</v>
      </c>
      <c r="G456">
        <v>0</v>
      </c>
      <c r="H456">
        <v>0</v>
      </c>
      <c r="I456">
        <v>5.85288E-4</v>
      </c>
      <c r="J456">
        <v>1.1731E-5</v>
      </c>
      <c r="K456">
        <v>20.135100000000001</v>
      </c>
      <c r="L456">
        <v>2.7490999999999999</v>
      </c>
      <c r="M456">
        <v>17.615600000000001</v>
      </c>
      <c r="N456">
        <v>0</v>
      </c>
      <c r="O456">
        <v>0</v>
      </c>
    </row>
    <row r="457" spans="1:15" x14ac:dyDescent="0.25">
      <c r="A457" t="s">
        <v>20</v>
      </c>
      <c r="B457" t="s">
        <v>16</v>
      </c>
      <c r="C457">
        <v>7</v>
      </c>
      <c r="D457">
        <v>100</v>
      </c>
      <c r="E457">
        <v>12800</v>
      </c>
      <c r="F457" t="str">
        <f t="shared" si="7"/>
        <v>text256_blurkernel8_7_100_12800</v>
      </c>
      <c r="G457">
        <v>0</v>
      </c>
      <c r="H457">
        <v>0</v>
      </c>
      <c r="I457">
        <v>1.2156999999999999E-3</v>
      </c>
      <c r="J457">
        <v>1.1731E-5</v>
      </c>
      <c r="K457">
        <v>16.925899999999999</v>
      </c>
      <c r="L457">
        <v>2.7490999999999999</v>
      </c>
      <c r="M457">
        <v>16.347000000000001</v>
      </c>
      <c r="N457">
        <v>0</v>
      </c>
      <c r="O457">
        <v>0</v>
      </c>
    </row>
    <row r="458" spans="1:15" x14ac:dyDescent="0.25">
      <c r="A458" t="s">
        <v>20</v>
      </c>
      <c r="B458" t="s">
        <v>16</v>
      </c>
      <c r="C458">
        <v>7</v>
      </c>
      <c r="D458">
        <v>100</v>
      </c>
      <c r="E458">
        <v>25600</v>
      </c>
      <c r="F458" t="str">
        <f t="shared" si="7"/>
        <v>text256_blurkernel8_7_100_25600</v>
      </c>
      <c r="G458">
        <v>0</v>
      </c>
      <c r="H458">
        <v>0</v>
      </c>
      <c r="I458">
        <v>2.5444880000000001E-3</v>
      </c>
      <c r="J458">
        <v>1.1731E-5</v>
      </c>
      <c r="K458">
        <v>13.695399999999999</v>
      </c>
      <c r="L458">
        <v>2.7490999999999999</v>
      </c>
      <c r="M458">
        <v>14.575100000000001</v>
      </c>
      <c r="N458">
        <v>0</v>
      </c>
      <c r="O458">
        <v>0</v>
      </c>
    </row>
    <row r="459" spans="1:15" x14ac:dyDescent="0.25">
      <c r="A459" t="s">
        <v>20</v>
      </c>
      <c r="B459" t="s">
        <v>16</v>
      </c>
      <c r="C459">
        <v>7</v>
      </c>
      <c r="D459">
        <v>100</v>
      </c>
      <c r="E459">
        <v>102400</v>
      </c>
      <c r="F459" t="str">
        <f t="shared" si="7"/>
        <v>text256_blurkernel8_7_100_102400</v>
      </c>
      <c r="G459">
        <v>0</v>
      </c>
      <c r="H459">
        <v>0</v>
      </c>
      <c r="I459">
        <v>1.3509251E-2</v>
      </c>
      <c r="J459">
        <v>1.1841000000000001E-5</v>
      </c>
      <c r="K459">
        <v>6.6837999999999997</v>
      </c>
      <c r="L459">
        <v>2.7488000000000001</v>
      </c>
      <c r="M459">
        <v>9.3800000000000008</v>
      </c>
      <c r="N459">
        <v>0</v>
      </c>
      <c r="O459">
        <v>0</v>
      </c>
    </row>
    <row r="460" spans="1:15" x14ac:dyDescent="0.25">
      <c r="A460" t="s">
        <v>20</v>
      </c>
      <c r="B460" t="s">
        <v>16</v>
      </c>
      <c r="C460">
        <v>15</v>
      </c>
      <c r="D460">
        <v>100</v>
      </c>
      <c r="E460">
        <v>200</v>
      </c>
      <c r="F460" t="str">
        <f t="shared" si="7"/>
        <v>text256_blurkernel8_15_100_200</v>
      </c>
      <c r="G460">
        <v>0</v>
      </c>
      <c r="H460">
        <v>0</v>
      </c>
      <c r="I460">
        <v>1.6456999999999998E-5</v>
      </c>
      <c r="J460">
        <v>1.4070000000000001E-5</v>
      </c>
      <c r="K460">
        <v>35.736899999999999</v>
      </c>
      <c r="L460">
        <v>1.6814</v>
      </c>
      <c r="M460">
        <v>19.766100000000002</v>
      </c>
      <c r="N460">
        <v>0</v>
      </c>
      <c r="O460">
        <v>0</v>
      </c>
    </row>
    <row r="461" spans="1:15" x14ac:dyDescent="0.25">
      <c r="A461" t="s">
        <v>20</v>
      </c>
      <c r="B461" t="s">
        <v>16</v>
      </c>
      <c r="C461">
        <v>15</v>
      </c>
      <c r="D461">
        <v>100</v>
      </c>
      <c r="E461">
        <v>400</v>
      </c>
      <c r="F461" t="str">
        <f t="shared" si="7"/>
        <v>text256_blurkernel8_15_100_400</v>
      </c>
      <c r="G461">
        <v>0</v>
      </c>
      <c r="H461">
        <v>0</v>
      </c>
      <c r="I461">
        <v>3.4953000000000002E-5</v>
      </c>
      <c r="J461">
        <v>1.4070000000000001E-5</v>
      </c>
      <c r="K461">
        <v>32.455300000000001</v>
      </c>
      <c r="L461">
        <v>1.6814</v>
      </c>
      <c r="M461">
        <v>19.6891</v>
      </c>
      <c r="N461">
        <v>0</v>
      </c>
      <c r="O461">
        <v>0</v>
      </c>
    </row>
    <row r="462" spans="1:15" x14ac:dyDescent="0.25">
      <c r="A462" t="s">
        <v>20</v>
      </c>
      <c r="B462" t="s">
        <v>16</v>
      </c>
      <c r="C462">
        <v>15</v>
      </c>
      <c r="D462">
        <v>100</v>
      </c>
      <c r="E462">
        <v>800</v>
      </c>
      <c r="F462" t="str">
        <f t="shared" si="7"/>
        <v>text256_blurkernel8_15_100_800</v>
      </c>
      <c r="G462">
        <v>0</v>
      </c>
      <c r="H462">
        <v>0</v>
      </c>
      <c r="I462">
        <v>7.1222000000000004E-5</v>
      </c>
      <c r="J462">
        <v>1.4070000000000001E-5</v>
      </c>
      <c r="K462">
        <v>29.3538</v>
      </c>
      <c r="L462">
        <v>1.6814</v>
      </c>
      <c r="M462">
        <v>19.5457</v>
      </c>
      <c r="N462">
        <v>0</v>
      </c>
      <c r="O462">
        <v>0</v>
      </c>
    </row>
    <row r="463" spans="1:15" x14ac:dyDescent="0.25">
      <c r="A463" t="s">
        <v>20</v>
      </c>
      <c r="B463" t="s">
        <v>16</v>
      </c>
      <c r="C463">
        <v>15</v>
      </c>
      <c r="D463">
        <v>100</v>
      </c>
      <c r="E463">
        <v>1600</v>
      </c>
      <c r="F463" t="str">
        <f t="shared" si="7"/>
        <v>text256_blurkernel8_15_100_1600</v>
      </c>
      <c r="G463">
        <v>0</v>
      </c>
      <c r="H463">
        <v>0</v>
      </c>
      <c r="I463">
        <v>1.4360299999999999E-4</v>
      </c>
      <c r="J463">
        <v>1.4070000000000001E-5</v>
      </c>
      <c r="K463">
        <v>26.291799999999999</v>
      </c>
      <c r="L463">
        <v>1.6814</v>
      </c>
      <c r="M463">
        <v>19.396100000000001</v>
      </c>
      <c r="N463">
        <v>0</v>
      </c>
      <c r="O463">
        <v>0</v>
      </c>
    </row>
    <row r="464" spans="1:15" x14ac:dyDescent="0.25">
      <c r="A464" t="s">
        <v>20</v>
      </c>
      <c r="B464" t="s">
        <v>16</v>
      </c>
      <c r="C464">
        <v>15</v>
      </c>
      <c r="D464">
        <v>100</v>
      </c>
      <c r="E464">
        <v>3200</v>
      </c>
      <c r="F464" t="str">
        <f t="shared" si="7"/>
        <v>text256_blurkernel8_15_100_3200</v>
      </c>
      <c r="G464">
        <v>0</v>
      </c>
      <c r="H464">
        <v>0</v>
      </c>
      <c r="I464">
        <v>2.8901000000000003E-4</v>
      </c>
      <c r="J464">
        <v>1.4070000000000001E-5</v>
      </c>
      <c r="K464">
        <v>23.228000000000002</v>
      </c>
      <c r="L464">
        <v>1.6814</v>
      </c>
      <c r="M464">
        <v>18.929300000000001</v>
      </c>
      <c r="N464">
        <v>0</v>
      </c>
      <c r="O464">
        <v>0</v>
      </c>
    </row>
    <row r="465" spans="1:15" x14ac:dyDescent="0.25">
      <c r="A465" t="s">
        <v>20</v>
      </c>
      <c r="B465" t="s">
        <v>16</v>
      </c>
      <c r="C465">
        <v>15</v>
      </c>
      <c r="D465">
        <v>100</v>
      </c>
      <c r="E465">
        <v>6400</v>
      </c>
      <c r="F465" t="str">
        <f t="shared" si="7"/>
        <v>text256_blurkernel8_15_100_6400</v>
      </c>
      <c r="G465">
        <v>0</v>
      </c>
      <c r="H465">
        <v>0</v>
      </c>
      <c r="I465">
        <v>5.8975300000000004E-4</v>
      </c>
      <c r="J465">
        <v>1.4070000000000001E-5</v>
      </c>
      <c r="K465">
        <v>20.096</v>
      </c>
      <c r="L465">
        <v>1.6814</v>
      </c>
      <c r="M465">
        <v>18.106200000000001</v>
      </c>
      <c r="N465">
        <v>0</v>
      </c>
      <c r="O465">
        <v>0</v>
      </c>
    </row>
    <row r="466" spans="1:15" x14ac:dyDescent="0.25">
      <c r="A466" t="s">
        <v>20</v>
      </c>
      <c r="B466" t="s">
        <v>16</v>
      </c>
      <c r="C466">
        <v>15</v>
      </c>
      <c r="D466">
        <v>100</v>
      </c>
      <c r="E466">
        <v>12800</v>
      </c>
      <c r="F466" t="str">
        <f t="shared" si="7"/>
        <v>text256_blurkernel8_15_100_12800</v>
      </c>
      <c r="G466">
        <v>0</v>
      </c>
      <c r="H466">
        <v>0</v>
      </c>
      <c r="I466">
        <v>1.2104850000000001E-3</v>
      </c>
      <c r="J466">
        <v>1.4070000000000001E-5</v>
      </c>
      <c r="K466">
        <v>16.947800000000001</v>
      </c>
      <c r="L466">
        <v>1.6814</v>
      </c>
      <c r="M466">
        <v>16.769400000000001</v>
      </c>
      <c r="N466">
        <v>0</v>
      </c>
      <c r="O466">
        <v>0</v>
      </c>
    </row>
    <row r="467" spans="1:15" x14ac:dyDescent="0.25">
      <c r="A467" t="s">
        <v>20</v>
      </c>
      <c r="B467" t="s">
        <v>16</v>
      </c>
      <c r="C467">
        <v>15</v>
      </c>
      <c r="D467">
        <v>100</v>
      </c>
      <c r="E467">
        <v>25600</v>
      </c>
      <c r="F467" t="str">
        <f t="shared" si="7"/>
        <v>text256_blurkernel8_15_100_25600</v>
      </c>
      <c r="G467">
        <v>0</v>
      </c>
      <c r="H467">
        <v>0</v>
      </c>
      <c r="I467">
        <v>2.5671639999999998E-3</v>
      </c>
      <c r="J467">
        <v>1.4070000000000001E-5</v>
      </c>
      <c r="K467">
        <v>13.657500000000001</v>
      </c>
      <c r="L467">
        <v>1.6814</v>
      </c>
      <c r="M467">
        <v>14.7521</v>
      </c>
      <c r="N467">
        <v>0</v>
      </c>
      <c r="O467">
        <v>0</v>
      </c>
    </row>
    <row r="468" spans="1:15" x14ac:dyDescent="0.25">
      <c r="A468" t="s">
        <v>20</v>
      </c>
      <c r="B468" t="s">
        <v>16</v>
      </c>
      <c r="C468">
        <v>15</v>
      </c>
      <c r="D468">
        <v>100</v>
      </c>
      <c r="E468">
        <v>102400</v>
      </c>
      <c r="F468" t="str">
        <f t="shared" si="7"/>
        <v>text256_blurkernel8_15_100_102400</v>
      </c>
      <c r="G468">
        <v>0</v>
      </c>
      <c r="H468">
        <v>0</v>
      </c>
      <c r="I468">
        <v>1.3480399000000001E-2</v>
      </c>
      <c r="J468">
        <v>1.4059E-5</v>
      </c>
      <c r="K468">
        <v>6.6954000000000002</v>
      </c>
      <c r="L468">
        <v>1.6820999999999999</v>
      </c>
      <c r="M468">
        <v>9.5275999999999996</v>
      </c>
      <c r="N468">
        <v>0</v>
      </c>
      <c r="O468">
        <v>0</v>
      </c>
    </row>
    <row r="469" spans="1:15" x14ac:dyDescent="0.25">
      <c r="A469" t="s">
        <v>20</v>
      </c>
      <c r="B469" t="s">
        <v>16</v>
      </c>
      <c r="C469">
        <v>31</v>
      </c>
      <c r="D469">
        <v>100</v>
      </c>
      <c r="E469">
        <v>200</v>
      </c>
      <c r="F469" t="str">
        <f t="shared" si="7"/>
        <v>text256_blurkernel8_31_100_200</v>
      </c>
      <c r="G469">
        <v>0</v>
      </c>
      <c r="H469">
        <v>0</v>
      </c>
      <c r="I469">
        <v>1.6545000000000002E-5</v>
      </c>
      <c r="J469">
        <v>1.6016999999999999E-5</v>
      </c>
      <c r="K469">
        <v>35.7121</v>
      </c>
      <c r="L469">
        <v>0.86770000000000003</v>
      </c>
      <c r="M469">
        <v>19.562100000000001</v>
      </c>
      <c r="N469">
        <v>0</v>
      </c>
      <c r="O469">
        <v>0</v>
      </c>
    </row>
    <row r="470" spans="1:15" x14ac:dyDescent="0.25">
      <c r="A470" t="s">
        <v>20</v>
      </c>
      <c r="B470" t="s">
        <v>16</v>
      </c>
      <c r="C470">
        <v>31</v>
      </c>
      <c r="D470">
        <v>100</v>
      </c>
      <c r="E470">
        <v>400</v>
      </c>
      <c r="F470" t="str">
        <f t="shared" si="7"/>
        <v>text256_blurkernel8_31_100_400</v>
      </c>
      <c r="G470">
        <v>0</v>
      </c>
      <c r="H470">
        <v>0</v>
      </c>
      <c r="I470">
        <v>3.4959999999999997E-5</v>
      </c>
      <c r="J470">
        <v>1.6016999999999999E-5</v>
      </c>
      <c r="K470">
        <v>32.458500000000001</v>
      </c>
      <c r="L470">
        <v>0.86770000000000003</v>
      </c>
      <c r="M470">
        <v>19.519200000000001</v>
      </c>
      <c r="N470">
        <v>0</v>
      </c>
      <c r="O470">
        <v>0</v>
      </c>
    </row>
    <row r="471" spans="1:15" x14ac:dyDescent="0.25">
      <c r="A471" t="s">
        <v>20</v>
      </c>
      <c r="B471" t="s">
        <v>16</v>
      </c>
      <c r="C471">
        <v>31</v>
      </c>
      <c r="D471">
        <v>100</v>
      </c>
      <c r="E471">
        <v>800</v>
      </c>
      <c r="F471" t="str">
        <f t="shared" si="7"/>
        <v>text256_blurkernel8_31_100_800</v>
      </c>
      <c r="G471">
        <v>0</v>
      </c>
      <c r="H471">
        <v>0</v>
      </c>
      <c r="I471">
        <v>7.0741999999999995E-5</v>
      </c>
      <c r="J471">
        <v>1.6016999999999999E-5</v>
      </c>
      <c r="K471">
        <v>29.3812</v>
      </c>
      <c r="L471">
        <v>0.86770000000000003</v>
      </c>
      <c r="M471">
        <v>19.453099999999999</v>
      </c>
      <c r="N471">
        <v>0</v>
      </c>
      <c r="O471">
        <v>0</v>
      </c>
    </row>
    <row r="472" spans="1:15" x14ac:dyDescent="0.25">
      <c r="A472" t="s">
        <v>20</v>
      </c>
      <c r="B472" t="s">
        <v>16</v>
      </c>
      <c r="C472">
        <v>31</v>
      </c>
      <c r="D472">
        <v>100</v>
      </c>
      <c r="E472">
        <v>1600</v>
      </c>
      <c r="F472" t="str">
        <f t="shared" si="7"/>
        <v>text256_blurkernel8_31_100_1600</v>
      </c>
      <c r="G472">
        <v>0</v>
      </c>
      <c r="H472">
        <v>0</v>
      </c>
      <c r="I472">
        <v>1.4287699999999999E-4</v>
      </c>
      <c r="J472">
        <v>1.6016999999999999E-5</v>
      </c>
      <c r="K472">
        <v>26.304500000000001</v>
      </c>
      <c r="L472">
        <v>0.86770000000000003</v>
      </c>
      <c r="M472">
        <v>19.1981</v>
      </c>
      <c r="N472">
        <v>0</v>
      </c>
      <c r="O472">
        <v>0</v>
      </c>
    </row>
    <row r="473" spans="1:15" x14ac:dyDescent="0.25">
      <c r="A473" t="s">
        <v>20</v>
      </c>
      <c r="B473" t="s">
        <v>16</v>
      </c>
      <c r="C473">
        <v>31</v>
      </c>
      <c r="D473">
        <v>100</v>
      </c>
      <c r="E473">
        <v>3200</v>
      </c>
      <c r="F473" t="str">
        <f t="shared" si="7"/>
        <v>text256_blurkernel8_31_100_3200</v>
      </c>
      <c r="G473">
        <v>0</v>
      </c>
      <c r="H473">
        <v>0</v>
      </c>
      <c r="I473">
        <v>2.9558999999999998E-4</v>
      </c>
      <c r="J473">
        <v>1.6016999999999999E-5</v>
      </c>
      <c r="K473">
        <v>23.130199999999999</v>
      </c>
      <c r="L473">
        <v>0.86770000000000003</v>
      </c>
      <c r="M473">
        <v>18.806100000000001</v>
      </c>
      <c r="N473">
        <v>0</v>
      </c>
      <c r="O473">
        <v>0</v>
      </c>
    </row>
    <row r="474" spans="1:15" x14ac:dyDescent="0.25">
      <c r="A474" t="s">
        <v>20</v>
      </c>
      <c r="B474" t="s">
        <v>16</v>
      </c>
      <c r="C474">
        <v>31</v>
      </c>
      <c r="D474">
        <v>100</v>
      </c>
      <c r="E474">
        <v>6400</v>
      </c>
      <c r="F474" t="str">
        <f t="shared" si="7"/>
        <v>text256_blurkernel8_31_100_6400</v>
      </c>
      <c r="G474">
        <v>0</v>
      </c>
      <c r="H474">
        <v>0</v>
      </c>
      <c r="I474">
        <v>5.8684099999999995E-4</v>
      </c>
      <c r="J474">
        <v>1.6016999999999999E-5</v>
      </c>
      <c r="K474">
        <v>20.122800000000002</v>
      </c>
      <c r="L474">
        <v>0.86770000000000003</v>
      </c>
      <c r="M474">
        <v>17.950700000000001</v>
      </c>
      <c r="N474">
        <v>0</v>
      </c>
      <c r="O474">
        <v>0</v>
      </c>
    </row>
    <row r="475" spans="1:15" x14ac:dyDescent="0.25">
      <c r="A475" t="s">
        <v>20</v>
      </c>
      <c r="B475" t="s">
        <v>16</v>
      </c>
      <c r="C475">
        <v>31</v>
      </c>
      <c r="D475">
        <v>100</v>
      </c>
      <c r="E475">
        <v>12800</v>
      </c>
      <c r="F475" t="str">
        <f t="shared" si="7"/>
        <v>text256_blurkernel8_31_100_12800</v>
      </c>
      <c r="G475">
        <v>0</v>
      </c>
      <c r="H475">
        <v>0</v>
      </c>
      <c r="I475">
        <v>1.2254900000000001E-3</v>
      </c>
      <c r="J475">
        <v>1.6016999999999999E-5</v>
      </c>
      <c r="K475">
        <v>16.889600000000002</v>
      </c>
      <c r="L475">
        <v>0.86770000000000003</v>
      </c>
      <c r="M475">
        <v>16.6233</v>
      </c>
      <c r="N475">
        <v>0</v>
      </c>
      <c r="O475">
        <v>0</v>
      </c>
    </row>
    <row r="476" spans="1:15" x14ac:dyDescent="0.25">
      <c r="A476" t="s">
        <v>20</v>
      </c>
      <c r="B476" t="s">
        <v>16</v>
      </c>
      <c r="C476">
        <v>31</v>
      </c>
      <c r="D476">
        <v>100</v>
      </c>
      <c r="E476">
        <v>25600</v>
      </c>
      <c r="F476" t="str">
        <f t="shared" si="7"/>
        <v>text256_blurkernel8_31_100_25600</v>
      </c>
      <c r="G476">
        <v>0</v>
      </c>
      <c r="H476">
        <v>0</v>
      </c>
      <c r="I476">
        <v>2.496444E-3</v>
      </c>
      <c r="J476">
        <v>1.6016999999999999E-5</v>
      </c>
      <c r="K476">
        <v>13.778700000000001</v>
      </c>
      <c r="L476">
        <v>0.86770000000000003</v>
      </c>
      <c r="M476">
        <v>14.859</v>
      </c>
      <c r="N476">
        <v>0</v>
      </c>
      <c r="O476">
        <v>0</v>
      </c>
    </row>
    <row r="477" spans="1:15" x14ac:dyDescent="0.25">
      <c r="A477" t="s">
        <v>20</v>
      </c>
      <c r="B477" t="s">
        <v>16</v>
      </c>
      <c r="C477">
        <v>31</v>
      </c>
      <c r="D477">
        <v>100</v>
      </c>
      <c r="E477">
        <v>102400</v>
      </c>
      <c r="F477" t="str">
        <f t="shared" si="7"/>
        <v>text256_blurkernel8_31_100_102400</v>
      </c>
      <c r="G477">
        <v>0</v>
      </c>
      <c r="H477">
        <v>0</v>
      </c>
      <c r="I477">
        <v>1.3441628000000001E-2</v>
      </c>
      <c r="J477">
        <v>1.6322000000000001E-5</v>
      </c>
      <c r="K477">
        <v>6.7134</v>
      </c>
      <c r="L477">
        <v>0.86780000000000002</v>
      </c>
      <c r="M477">
        <v>9.4725000000000001</v>
      </c>
      <c r="N477">
        <v>0</v>
      </c>
      <c r="O477">
        <v>0</v>
      </c>
    </row>
    <row r="478" spans="1:15" x14ac:dyDescent="0.25">
      <c r="A478" t="s">
        <v>20</v>
      </c>
      <c r="B478" t="s">
        <v>16</v>
      </c>
      <c r="C478">
        <v>63</v>
      </c>
      <c r="D478">
        <v>100</v>
      </c>
      <c r="E478">
        <v>200</v>
      </c>
      <c r="F478" t="str">
        <f t="shared" si="7"/>
        <v>text256_blurkernel8_63_100_200</v>
      </c>
      <c r="G478">
        <v>0</v>
      </c>
      <c r="H478">
        <v>0</v>
      </c>
      <c r="I478">
        <v>1.6705E-5</v>
      </c>
      <c r="J478">
        <v>1.7175000000000001E-5</v>
      </c>
      <c r="K478">
        <v>35.674500000000002</v>
      </c>
      <c r="L478">
        <v>0.28749999999999998</v>
      </c>
      <c r="M478">
        <v>19.834900000000001</v>
      </c>
      <c r="N478">
        <v>0</v>
      </c>
      <c r="O478">
        <v>0</v>
      </c>
    </row>
    <row r="479" spans="1:15" x14ac:dyDescent="0.25">
      <c r="A479" t="s">
        <v>20</v>
      </c>
      <c r="B479" t="s">
        <v>16</v>
      </c>
      <c r="C479">
        <v>63</v>
      </c>
      <c r="D479">
        <v>100</v>
      </c>
      <c r="E479">
        <v>400</v>
      </c>
      <c r="F479" t="str">
        <f t="shared" si="7"/>
        <v>text256_blurkernel8_63_100_400</v>
      </c>
      <c r="G479">
        <v>0</v>
      </c>
      <c r="H479">
        <v>0</v>
      </c>
      <c r="I479">
        <v>3.4637000000000001E-5</v>
      </c>
      <c r="J479">
        <v>1.7175000000000001E-5</v>
      </c>
      <c r="K479">
        <v>32.503599999999999</v>
      </c>
      <c r="L479">
        <v>0.28749999999999998</v>
      </c>
      <c r="M479">
        <v>19.7483</v>
      </c>
      <c r="N479">
        <v>0</v>
      </c>
      <c r="O479">
        <v>0</v>
      </c>
    </row>
    <row r="480" spans="1:15" x14ac:dyDescent="0.25">
      <c r="A480" t="s">
        <v>20</v>
      </c>
      <c r="B480" t="s">
        <v>16</v>
      </c>
      <c r="C480">
        <v>63</v>
      </c>
      <c r="D480">
        <v>100</v>
      </c>
      <c r="E480">
        <v>800</v>
      </c>
      <c r="F480" t="str">
        <f t="shared" si="7"/>
        <v>text256_blurkernel8_63_100_800</v>
      </c>
      <c r="G480">
        <v>0</v>
      </c>
      <c r="H480">
        <v>0</v>
      </c>
      <c r="I480">
        <v>7.1187999999999997E-5</v>
      </c>
      <c r="J480">
        <v>1.7175000000000001E-5</v>
      </c>
      <c r="K480">
        <v>29.351800000000001</v>
      </c>
      <c r="L480">
        <v>0.28749999999999998</v>
      </c>
      <c r="M480">
        <v>19.685600000000001</v>
      </c>
      <c r="N480">
        <v>0</v>
      </c>
      <c r="O480">
        <v>0</v>
      </c>
    </row>
    <row r="481" spans="1:15" x14ac:dyDescent="0.25">
      <c r="A481" t="s">
        <v>20</v>
      </c>
      <c r="B481" t="s">
        <v>16</v>
      </c>
      <c r="C481">
        <v>63</v>
      </c>
      <c r="D481">
        <v>100</v>
      </c>
      <c r="E481">
        <v>1600</v>
      </c>
      <c r="F481" t="str">
        <f t="shared" si="7"/>
        <v>text256_blurkernel8_63_100_1600</v>
      </c>
      <c r="G481">
        <v>0</v>
      </c>
      <c r="H481">
        <v>0</v>
      </c>
      <c r="I481">
        <v>1.4429300000000001E-4</v>
      </c>
      <c r="J481">
        <v>1.7175000000000001E-5</v>
      </c>
      <c r="K481">
        <v>26.269300000000001</v>
      </c>
      <c r="L481">
        <v>0.28749999999999998</v>
      </c>
      <c r="M481">
        <v>19.4437</v>
      </c>
      <c r="N481">
        <v>0</v>
      </c>
      <c r="O481">
        <v>0</v>
      </c>
    </row>
    <row r="482" spans="1:15" x14ac:dyDescent="0.25">
      <c r="A482" t="s">
        <v>20</v>
      </c>
      <c r="B482" t="s">
        <v>16</v>
      </c>
      <c r="C482">
        <v>63</v>
      </c>
      <c r="D482">
        <v>100</v>
      </c>
      <c r="E482">
        <v>3200</v>
      </c>
      <c r="F482" t="str">
        <f t="shared" si="7"/>
        <v>text256_blurkernel8_63_100_3200</v>
      </c>
      <c r="G482">
        <v>0</v>
      </c>
      <c r="H482">
        <v>0</v>
      </c>
      <c r="I482">
        <v>2.8742999999999998E-4</v>
      </c>
      <c r="J482">
        <v>1.7175000000000001E-5</v>
      </c>
      <c r="K482">
        <v>23.2483</v>
      </c>
      <c r="L482">
        <v>0.28749999999999998</v>
      </c>
      <c r="M482">
        <v>19.075199999999999</v>
      </c>
      <c r="N482">
        <v>0</v>
      </c>
      <c r="O482">
        <v>0</v>
      </c>
    </row>
    <row r="483" spans="1:15" x14ac:dyDescent="0.25">
      <c r="A483" t="s">
        <v>20</v>
      </c>
      <c r="B483" t="s">
        <v>16</v>
      </c>
      <c r="C483">
        <v>63</v>
      </c>
      <c r="D483">
        <v>100</v>
      </c>
      <c r="E483">
        <v>6400</v>
      </c>
      <c r="F483" t="str">
        <f t="shared" si="7"/>
        <v>text256_blurkernel8_63_100_6400</v>
      </c>
      <c r="G483">
        <v>0</v>
      </c>
      <c r="H483">
        <v>0</v>
      </c>
      <c r="I483">
        <v>5.8228299999999995E-4</v>
      </c>
      <c r="J483">
        <v>1.7175000000000001E-5</v>
      </c>
      <c r="K483">
        <v>20.1539</v>
      </c>
      <c r="L483">
        <v>0.28749999999999998</v>
      </c>
      <c r="M483">
        <v>18.137</v>
      </c>
      <c r="N483">
        <v>0</v>
      </c>
      <c r="O483">
        <v>0</v>
      </c>
    </row>
    <row r="484" spans="1:15" x14ac:dyDescent="0.25">
      <c r="A484" t="s">
        <v>20</v>
      </c>
      <c r="B484" t="s">
        <v>16</v>
      </c>
      <c r="C484">
        <v>63</v>
      </c>
      <c r="D484">
        <v>100</v>
      </c>
      <c r="E484">
        <v>12800</v>
      </c>
      <c r="F484" t="str">
        <f t="shared" si="7"/>
        <v>text256_blurkernel8_63_100_12800</v>
      </c>
      <c r="G484">
        <v>0</v>
      </c>
      <c r="H484">
        <v>0</v>
      </c>
      <c r="I484">
        <v>1.2275910000000001E-3</v>
      </c>
      <c r="J484">
        <v>1.7175000000000001E-5</v>
      </c>
      <c r="K484">
        <v>16.881399999999999</v>
      </c>
      <c r="L484">
        <v>0.28749999999999998</v>
      </c>
      <c r="M484">
        <v>16.7959</v>
      </c>
      <c r="N484">
        <v>0</v>
      </c>
      <c r="O484">
        <v>0</v>
      </c>
    </row>
    <row r="485" spans="1:15" x14ac:dyDescent="0.25">
      <c r="A485" t="s">
        <v>20</v>
      </c>
      <c r="B485" t="s">
        <v>16</v>
      </c>
      <c r="C485">
        <v>63</v>
      </c>
      <c r="D485">
        <v>100</v>
      </c>
      <c r="E485">
        <v>25600</v>
      </c>
      <c r="F485" t="str">
        <f t="shared" si="7"/>
        <v>text256_blurkernel8_63_100_25600</v>
      </c>
      <c r="G485">
        <v>0</v>
      </c>
      <c r="H485">
        <v>0</v>
      </c>
      <c r="I485">
        <v>2.5585769999999998E-3</v>
      </c>
      <c r="J485">
        <v>1.7175000000000001E-5</v>
      </c>
      <c r="K485">
        <v>13.672499999999999</v>
      </c>
      <c r="L485">
        <v>0.28749999999999998</v>
      </c>
      <c r="M485">
        <v>14.8872</v>
      </c>
      <c r="N485">
        <v>0</v>
      </c>
      <c r="O485">
        <v>0</v>
      </c>
    </row>
    <row r="486" spans="1:15" x14ac:dyDescent="0.25">
      <c r="A486" t="s">
        <v>20</v>
      </c>
      <c r="B486" t="s">
        <v>17</v>
      </c>
      <c r="C486">
        <v>3</v>
      </c>
      <c r="D486">
        <v>100</v>
      </c>
      <c r="E486">
        <v>200</v>
      </c>
      <c r="F486" t="str">
        <f t="shared" si="7"/>
        <v>text256_line_3_100_200</v>
      </c>
      <c r="G486">
        <v>0</v>
      </c>
      <c r="H486">
        <v>0</v>
      </c>
      <c r="I486">
        <v>1.6837000000000002E-5</v>
      </c>
      <c r="J486">
        <v>9.3759999999999997E-6</v>
      </c>
      <c r="K486">
        <v>35.6434</v>
      </c>
      <c r="L486">
        <v>5.9844999999999997</v>
      </c>
      <c r="M486">
        <v>18.498899999999999</v>
      </c>
      <c r="N486">
        <v>0</v>
      </c>
      <c r="O486">
        <v>0</v>
      </c>
    </row>
    <row r="487" spans="1:15" x14ac:dyDescent="0.25">
      <c r="A487" t="s">
        <v>20</v>
      </c>
      <c r="B487" t="s">
        <v>17</v>
      </c>
      <c r="C487">
        <v>3</v>
      </c>
      <c r="D487">
        <v>100</v>
      </c>
      <c r="E487">
        <v>400</v>
      </c>
      <c r="F487" t="str">
        <f t="shared" si="7"/>
        <v>text256_line_3_100_400</v>
      </c>
      <c r="G487">
        <v>0</v>
      </c>
      <c r="H487">
        <v>0</v>
      </c>
      <c r="I487">
        <v>3.4955E-5</v>
      </c>
      <c r="J487">
        <v>9.3759999999999997E-6</v>
      </c>
      <c r="K487">
        <v>32.452399999999997</v>
      </c>
      <c r="L487">
        <v>5.9844999999999997</v>
      </c>
      <c r="M487">
        <v>18.488399999999999</v>
      </c>
      <c r="N487">
        <v>0</v>
      </c>
      <c r="O487">
        <v>0</v>
      </c>
    </row>
    <row r="488" spans="1:15" x14ac:dyDescent="0.25">
      <c r="A488" t="s">
        <v>20</v>
      </c>
      <c r="B488" t="s">
        <v>17</v>
      </c>
      <c r="C488">
        <v>3</v>
      </c>
      <c r="D488">
        <v>100</v>
      </c>
      <c r="E488">
        <v>800</v>
      </c>
      <c r="F488" t="str">
        <f t="shared" si="7"/>
        <v>text256_line_3_100_800</v>
      </c>
      <c r="G488">
        <v>0</v>
      </c>
      <c r="H488">
        <v>0</v>
      </c>
      <c r="I488">
        <v>7.1106000000000007E-5</v>
      </c>
      <c r="J488">
        <v>9.3759999999999997E-6</v>
      </c>
      <c r="K488">
        <v>29.355799999999999</v>
      </c>
      <c r="L488">
        <v>5.9844999999999997</v>
      </c>
      <c r="M488">
        <v>18.403300000000002</v>
      </c>
      <c r="N488">
        <v>0</v>
      </c>
      <c r="O488">
        <v>0</v>
      </c>
    </row>
    <row r="489" spans="1:15" x14ac:dyDescent="0.25">
      <c r="A489" t="s">
        <v>20</v>
      </c>
      <c r="B489" t="s">
        <v>17</v>
      </c>
      <c r="C489">
        <v>3</v>
      </c>
      <c r="D489">
        <v>100</v>
      </c>
      <c r="E489">
        <v>1600</v>
      </c>
      <c r="F489" t="str">
        <f t="shared" si="7"/>
        <v>text256_line_3_100_1600</v>
      </c>
      <c r="G489">
        <v>0</v>
      </c>
      <c r="H489">
        <v>0</v>
      </c>
      <c r="I489">
        <v>1.4343200000000001E-4</v>
      </c>
      <c r="J489">
        <v>9.3759999999999997E-6</v>
      </c>
      <c r="K489">
        <v>26.292300000000001</v>
      </c>
      <c r="L489">
        <v>5.9844999999999997</v>
      </c>
      <c r="M489">
        <v>18.209</v>
      </c>
      <c r="N489">
        <v>0</v>
      </c>
      <c r="O489">
        <v>0</v>
      </c>
    </row>
    <row r="490" spans="1:15" x14ac:dyDescent="0.25">
      <c r="A490" t="s">
        <v>20</v>
      </c>
      <c r="B490" t="s">
        <v>17</v>
      </c>
      <c r="C490">
        <v>3</v>
      </c>
      <c r="D490">
        <v>100</v>
      </c>
      <c r="E490">
        <v>3200</v>
      </c>
      <c r="F490" t="str">
        <f t="shared" si="7"/>
        <v>text256_line_3_100_3200</v>
      </c>
      <c r="G490">
        <v>0</v>
      </c>
      <c r="H490">
        <v>0</v>
      </c>
      <c r="I490">
        <v>2.8992299999999998E-4</v>
      </c>
      <c r="J490">
        <v>9.3759999999999997E-6</v>
      </c>
      <c r="K490">
        <v>23.213799999999999</v>
      </c>
      <c r="L490">
        <v>5.9844999999999997</v>
      </c>
      <c r="M490">
        <v>17.959</v>
      </c>
      <c r="N490">
        <v>0</v>
      </c>
      <c r="O490">
        <v>0</v>
      </c>
    </row>
    <row r="491" spans="1:15" x14ac:dyDescent="0.25">
      <c r="A491" t="s">
        <v>20</v>
      </c>
      <c r="B491" t="s">
        <v>17</v>
      </c>
      <c r="C491">
        <v>3</v>
      </c>
      <c r="D491">
        <v>100</v>
      </c>
      <c r="E491">
        <v>6400</v>
      </c>
      <c r="F491" t="str">
        <f t="shared" si="7"/>
        <v>text256_line_3_100_6400</v>
      </c>
      <c r="G491">
        <v>0</v>
      </c>
      <c r="H491">
        <v>0</v>
      </c>
      <c r="I491">
        <v>5.8529700000000003E-4</v>
      </c>
      <c r="J491">
        <v>9.3759999999999997E-6</v>
      </c>
      <c r="K491">
        <v>20.128399999999999</v>
      </c>
      <c r="L491">
        <v>5.9844999999999997</v>
      </c>
      <c r="M491">
        <v>17.284800000000001</v>
      </c>
      <c r="N491">
        <v>0</v>
      </c>
      <c r="O491">
        <v>0</v>
      </c>
    </row>
    <row r="492" spans="1:15" x14ac:dyDescent="0.25">
      <c r="A492" t="s">
        <v>20</v>
      </c>
      <c r="B492" t="s">
        <v>17</v>
      </c>
      <c r="C492">
        <v>3</v>
      </c>
      <c r="D492">
        <v>100</v>
      </c>
      <c r="E492">
        <v>12800</v>
      </c>
      <c r="F492" t="str">
        <f t="shared" si="7"/>
        <v>text256_line_3_100_12800</v>
      </c>
      <c r="G492">
        <v>0</v>
      </c>
      <c r="H492">
        <v>0</v>
      </c>
      <c r="I492">
        <v>1.19254E-3</v>
      </c>
      <c r="J492">
        <v>9.3759999999999997E-6</v>
      </c>
      <c r="K492">
        <v>17.009799999999998</v>
      </c>
      <c r="L492">
        <v>5.9844999999999997</v>
      </c>
      <c r="M492">
        <v>16.1721</v>
      </c>
      <c r="N492">
        <v>0</v>
      </c>
      <c r="O492">
        <v>0</v>
      </c>
    </row>
    <row r="493" spans="1:15" x14ac:dyDescent="0.25">
      <c r="A493" t="s">
        <v>20</v>
      </c>
      <c r="B493" t="s">
        <v>17</v>
      </c>
      <c r="C493">
        <v>3</v>
      </c>
      <c r="D493">
        <v>100</v>
      </c>
      <c r="E493">
        <v>25600</v>
      </c>
      <c r="F493" t="str">
        <f t="shared" si="7"/>
        <v>text256_line_3_100_25600</v>
      </c>
      <c r="G493">
        <v>0</v>
      </c>
      <c r="H493">
        <v>0</v>
      </c>
      <c r="I493">
        <v>2.5496360000000001E-3</v>
      </c>
      <c r="J493">
        <v>9.3759999999999997E-6</v>
      </c>
      <c r="K493">
        <v>13.6866</v>
      </c>
      <c r="L493">
        <v>5.9844999999999997</v>
      </c>
      <c r="M493">
        <v>14.489699999999999</v>
      </c>
      <c r="N493">
        <v>0</v>
      </c>
      <c r="O493">
        <v>0</v>
      </c>
    </row>
    <row r="494" spans="1:15" x14ac:dyDescent="0.25">
      <c r="A494" t="s">
        <v>20</v>
      </c>
      <c r="B494" t="s">
        <v>17</v>
      </c>
      <c r="C494">
        <v>3</v>
      </c>
      <c r="D494">
        <v>100</v>
      </c>
      <c r="E494">
        <v>102400</v>
      </c>
      <c r="F494" t="str">
        <f t="shared" si="7"/>
        <v>text256_line_3_100_102400</v>
      </c>
      <c r="G494">
        <v>0</v>
      </c>
      <c r="H494">
        <v>0</v>
      </c>
      <c r="I494">
        <v>1.3448275000000001E-2</v>
      </c>
      <c r="J494">
        <v>9.3899999999999999E-6</v>
      </c>
      <c r="K494">
        <v>6.7034000000000002</v>
      </c>
      <c r="L494">
        <v>5.9852999999999996</v>
      </c>
      <c r="M494">
        <v>9.9082000000000008</v>
      </c>
      <c r="N494">
        <v>0</v>
      </c>
      <c r="O494">
        <v>0</v>
      </c>
    </row>
    <row r="495" spans="1:15" x14ac:dyDescent="0.25">
      <c r="A495" t="s">
        <v>20</v>
      </c>
      <c r="B495" t="s">
        <v>17</v>
      </c>
      <c r="C495">
        <v>7</v>
      </c>
      <c r="D495">
        <v>100</v>
      </c>
      <c r="E495">
        <v>200</v>
      </c>
      <c r="F495" t="str">
        <f t="shared" si="7"/>
        <v>text256_line_7_100_200</v>
      </c>
      <c r="G495">
        <v>0</v>
      </c>
      <c r="H495">
        <v>0</v>
      </c>
      <c r="I495">
        <v>1.6803000000000002E-5</v>
      </c>
      <c r="J495">
        <v>1.1426999999999999E-5</v>
      </c>
      <c r="K495">
        <v>35.645800000000001</v>
      </c>
      <c r="L495">
        <v>1.8153999999999999</v>
      </c>
      <c r="M495">
        <v>19.467600000000001</v>
      </c>
      <c r="N495">
        <v>0</v>
      </c>
      <c r="O495">
        <v>0</v>
      </c>
    </row>
    <row r="496" spans="1:15" x14ac:dyDescent="0.25">
      <c r="A496" t="s">
        <v>20</v>
      </c>
      <c r="B496" t="s">
        <v>17</v>
      </c>
      <c r="C496">
        <v>7</v>
      </c>
      <c r="D496">
        <v>100</v>
      </c>
      <c r="E496">
        <v>400</v>
      </c>
      <c r="F496" t="str">
        <f t="shared" si="7"/>
        <v>text256_line_7_100_400</v>
      </c>
      <c r="G496">
        <v>0</v>
      </c>
      <c r="H496">
        <v>0</v>
      </c>
      <c r="I496">
        <v>3.5293000000000002E-5</v>
      </c>
      <c r="J496">
        <v>1.1426999999999999E-5</v>
      </c>
      <c r="K496">
        <v>32.420699999999997</v>
      </c>
      <c r="L496">
        <v>1.8153999999999999</v>
      </c>
      <c r="M496">
        <v>19.419699999999999</v>
      </c>
      <c r="N496">
        <v>0</v>
      </c>
      <c r="O496">
        <v>0</v>
      </c>
    </row>
    <row r="497" spans="1:15" x14ac:dyDescent="0.25">
      <c r="A497" t="s">
        <v>20</v>
      </c>
      <c r="B497" t="s">
        <v>17</v>
      </c>
      <c r="C497">
        <v>7</v>
      </c>
      <c r="D497">
        <v>100</v>
      </c>
      <c r="E497">
        <v>800</v>
      </c>
      <c r="F497" t="str">
        <f t="shared" si="7"/>
        <v>text256_line_7_100_800</v>
      </c>
      <c r="G497">
        <v>0</v>
      </c>
      <c r="H497">
        <v>0</v>
      </c>
      <c r="I497">
        <v>7.0796000000000005E-5</v>
      </c>
      <c r="J497">
        <v>1.1426999999999999E-5</v>
      </c>
      <c r="K497">
        <v>29.386399999999998</v>
      </c>
      <c r="L497">
        <v>1.8153999999999999</v>
      </c>
      <c r="M497">
        <v>19.318899999999999</v>
      </c>
      <c r="N497">
        <v>0</v>
      </c>
      <c r="O497">
        <v>0</v>
      </c>
    </row>
    <row r="498" spans="1:15" x14ac:dyDescent="0.25">
      <c r="A498" t="s">
        <v>20</v>
      </c>
      <c r="B498" t="s">
        <v>17</v>
      </c>
      <c r="C498">
        <v>7</v>
      </c>
      <c r="D498">
        <v>100</v>
      </c>
      <c r="E498">
        <v>1600</v>
      </c>
      <c r="F498" t="str">
        <f t="shared" si="7"/>
        <v>text256_line_7_100_1600</v>
      </c>
      <c r="G498">
        <v>0</v>
      </c>
      <c r="H498">
        <v>0</v>
      </c>
      <c r="I498">
        <v>1.4521299999999999E-4</v>
      </c>
      <c r="J498">
        <v>1.1426999999999999E-5</v>
      </c>
      <c r="K498">
        <v>26.244800000000001</v>
      </c>
      <c r="L498">
        <v>1.8153999999999999</v>
      </c>
      <c r="M498">
        <v>19.122499999999999</v>
      </c>
      <c r="N498">
        <v>0</v>
      </c>
      <c r="O498">
        <v>0</v>
      </c>
    </row>
    <row r="499" spans="1:15" x14ac:dyDescent="0.25">
      <c r="A499" t="s">
        <v>20</v>
      </c>
      <c r="B499" t="s">
        <v>17</v>
      </c>
      <c r="C499">
        <v>7</v>
      </c>
      <c r="D499">
        <v>100</v>
      </c>
      <c r="E499">
        <v>3200</v>
      </c>
      <c r="F499" t="str">
        <f t="shared" si="7"/>
        <v>text256_line_7_100_3200</v>
      </c>
      <c r="G499">
        <v>0</v>
      </c>
      <c r="H499">
        <v>0</v>
      </c>
      <c r="I499">
        <v>2.8944099999999998E-4</v>
      </c>
      <c r="J499">
        <v>1.1426999999999999E-5</v>
      </c>
      <c r="K499">
        <v>23.215199999999999</v>
      </c>
      <c r="L499">
        <v>1.8153999999999999</v>
      </c>
      <c r="M499">
        <v>18.64</v>
      </c>
      <c r="N499">
        <v>0</v>
      </c>
      <c r="O499">
        <v>0</v>
      </c>
    </row>
    <row r="500" spans="1:15" x14ac:dyDescent="0.25">
      <c r="A500" t="s">
        <v>20</v>
      </c>
      <c r="B500" t="s">
        <v>17</v>
      </c>
      <c r="C500">
        <v>7</v>
      </c>
      <c r="D500">
        <v>100</v>
      </c>
      <c r="E500">
        <v>6400</v>
      </c>
      <c r="F500" t="str">
        <f t="shared" si="7"/>
        <v>text256_line_7_100_6400</v>
      </c>
      <c r="G500">
        <v>0</v>
      </c>
      <c r="H500">
        <v>0</v>
      </c>
      <c r="I500">
        <v>5.9152900000000003E-4</v>
      </c>
      <c r="J500">
        <v>1.1426999999999999E-5</v>
      </c>
      <c r="K500">
        <v>20.084700000000002</v>
      </c>
      <c r="L500">
        <v>1.8153999999999999</v>
      </c>
      <c r="M500">
        <v>17.781500000000001</v>
      </c>
      <c r="N500">
        <v>0</v>
      </c>
      <c r="O500">
        <v>0</v>
      </c>
    </row>
    <row r="501" spans="1:15" x14ac:dyDescent="0.25">
      <c r="A501" t="s">
        <v>20</v>
      </c>
      <c r="B501" t="s">
        <v>17</v>
      </c>
      <c r="C501">
        <v>7</v>
      </c>
      <c r="D501">
        <v>100</v>
      </c>
      <c r="E501">
        <v>12800</v>
      </c>
      <c r="F501" t="str">
        <f t="shared" si="7"/>
        <v>text256_line_7_100_12800</v>
      </c>
      <c r="G501">
        <v>0</v>
      </c>
      <c r="H501">
        <v>0</v>
      </c>
      <c r="I501">
        <v>1.193214E-3</v>
      </c>
      <c r="J501">
        <v>1.1426999999999999E-5</v>
      </c>
      <c r="K501">
        <v>17.0062</v>
      </c>
      <c r="L501">
        <v>1.8153999999999999</v>
      </c>
      <c r="M501">
        <v>16.594000000000001</v>
      </c>
      <c r="N501">
        <v>0</v>
      </c>
      <c r="O501">
        <v>0</v>
      </c>
    </row>
    <row r="502" spans="1:15" x14ac:dyDescent="0.25">
      <c r="A502" t="s">
        <v>20</v>
      </c>
      <c r="B502" t="s">
        <v>17</v>
      </c>
      <c r="C502">
        <v>7</v>
      </c>
      <c r="D502">
        <v>100</v>
      </c>
      <c r="E502">
        <v>25600</v>
      </c>
      <c r="F502" t="str">
        <f t="shared" si="7"/>
        <v>text256_line_7_100_25600</v>
      </c>
      <c r="G502">
        <v>0</v>
      </c>
      <c r="H502">
        <v>0</v>
      </c>
      <c r="I502">
        <v>2.5161210000000001E-3</v>
      </c>
      <c r="J502">
        <v>1.1426999999999999E-5</v>
      </c>
      <c r="K502">
        <v>13.7447</v>
      </c>
      <c r="L502">
        <v>1.8153999999999999</v>
      </c>
      <c r="M502">
        <v>14.7315</v>
      </c>
      <c r="N502">
        <v>0</v>
      </c>
      <c r="O502">
        <v>0</v>
      </c>
    </row>
    <row r="503" spans="1:15" x14ac:dyDescent="0.25">
      <c r="A503" t="s">
        <v>20</v>
      </c>
      <c r="B503" t="s">
        <v>17</v>
      </c>
      <c r="C503">
        <v>7</v>
      </c>
      <c r="D503">
        <v>100</v>
      </c>
      <c r="E503">
        <v>102400</v>
      </c>
      <c r="F503" t="str">
        <f t="shared" si="7"/>
        <v>text256_line_7_100_102400</v>
      </c>
      <c r="G503">
        <v>0</v>
      </c>
      <c r="H503">
        <v>0</v>
      </c>
      <c r="I503">
        <v>1.3686032000000001E-2</v>
      </c>
      <c r="J503">
        <v>1.1449E-5</v>
      </c>
      <c r="K503">
        <v>6.6337999999999999</v>
      </c>
      <c r="L503">
        <v>1.8168</v>
      </c>
      <c r="M503">
        <v>9.4795999999999996</v>
      </c>
      <c r="N503">
        <v>0</v>
      </c>
      <c r="O503">
        <v>0</v>
      </c>
    </row>
    <row r="504" spans="1:15" x14ac:dyDescent="0.25">
      <c r="A504" t="s">
        <v>20</v>
      </c>
      <c r="B504" t="s">
        <v>17</v>
      </c>
      <c r="C504">
        <v>15</v>
      </c>
      <c r="D504">
        <v>100</v>
      </c>
      <c r="E504">
        <v>200</v>
      </c>
      <c r="F504" t="str">
        <f t="shared" si="7"/>
        <v>text256_line_15_100_200</v>
      </c>
      <c r="G504">
        <v>0</v>
      </c>
      <c r="H504">
        <v>0</v>
      </c>
      <c r="I504">
        <v>1.6883000000000001E-5</v>
      </c>
      <c r="J504">
        <v>1.4361E-5</v>
      </c>
      <c r="K504">
        <v>35.6312</v>
      </c>
      <c r="L504">
        <v>1.3432999999999999</v>
      </c>
      <c r="M504">
        <v>19.5288</v>
      </c>
      <c r="N504">
        <v>0</v>
      </c>
      <c r="O504">
        <v>0</v>
      </c>
    </row>
    <row r="505" spans="1:15" x14ac:dyDescent="0.25">
      <c r="A505" t="s">
        <v>20</v>
      </c>
      <c r="B505" t="s">
        <v>17</v>
      </c>
      <c r="C505">
        <v>15</v>
      </c>
      <c r="D505">
        <v>100</v>
      </c>
      <c r="E505">
        <v>400</v>
      </c>
      <c r="F505" t="str">
        <f t="shared" si="7"/>
        <v>text256_line_15_100_400</v>
      </c>
      <c r="G505">
        <v>0</v>
      </c>
      <c r="H505">
        <v>0</v>
      </c>
      <c r="I505">
        <v>3.4431999999999998E-5</v>
      </c>
      <c r="J505">
        <v>1.4361E-5</v>
      </c>
      <c r="K505">
        <v>32.527700000000003</v>
      </c>
      <c r="L505">
        <v>1.3432999999999999</v>
      </c>
      <c r="M505">
        <v>19.494499999999999</v>
      </c>
      <c r="N505">
        <v>0</v>
      </c>
      <c r="O505">
        <v>0</v>
      </c>
    </row>
    <row r="506" spans="1:15" x14ac:dyDescent="0.25">
      <c r="A506" t="s">
        <v>20</v>
      </c>
      <c r="B506" t="s">
        <v>17</v>
      </c>
      <c r="C506">
        <v>15</v>
      </c>
      <c r="D506">
        <v>100</v>
      </c>
      <c r="E506">
        <v>800</v>
      </c>
      <c r="F506" t="str">
        <f t="shared" si="7"/>
        <v>text256_line_15_100_800</v>
      </c>
      <c r="G506">
        <v>0</v>
      </c>
      <c r="H506">
        <v>0</v>
      </c>
      <c r="I506">
        <v>7.1129000000000003E-5</v>
      </c>
      <c r="J506">
        <v>1.4361E-5</v>
      </c>
      <c r="K506">
        <v>29.359100000000002</v>
      </c>
      <c r="L506">
        <v>1.3432999999999999</v>
      </c>
      <c r="M506">
        <v>19.384499999999999</v>
      </c>
      <c r="N506">
        <v>0</v>
      </c>
      <c r="O506">
        <v>0</v>
      </c>
    </row>
    <row r="507" spans="1:15" x14ac:dyDescent="0.25">
      <c r="A507" t="s">
        <v>20</v>
      </c>
      <c r="B507" t="s">
        <v>17</v>
      </c>
      <c r="C507">
        <v>15</v>
      </c>
      <c r="D507">
        <v>100</v>
      </c>
      <c r="E507">
        <v>1600</v>
      </c>
      <c r="F507" t="str">
        <f t="shared" si="7"/>
        <v>text256_line_15_100_1600</v>
      </c>
      <c r="G507">
        <v>0</v>
      </c>
      <c r="H507">
        <v>0</v>
      </c>
      <c r="I507">
        <v>1.4349999999999999E-4</v>
      </c>
      <c r="J507">
        <v>1.4361E-5</v>
      </c>
      <c r="K507">
        <v>26.285399999999999</v>
      </c>
      <c r="L507">
        <v>1.3432999999999999</v>
      </c>
      <c r="M507">
        <v>19.127600000000001</v>
      </c>
      <c r="N507">
        <v>0</v>
      </c>
      <c r="O507">
        <v>0</v>
      </c>
    </row>
    <row r="508" spans="1:15" x14ac:dyDescent="0.25">
      <c r="A508" t="s">
        <v>20</v>
      </c>
      <c r="B508" t="s">
        <v>17</v>
      </c>
      <c r="C508">
        <v>15</v>
      </c>
      <c r="D508">
        <v>100</v>
      </c>
      <c r="E508">
        <v>3200</v>
      </c>
      <c r="F508" t="str">
        <f t="shared" si="7"/>
        <v>text256_line_15_100_3200</v>
      </c>
      <c r="G508">
        <v>0</v>
      </c>
      <c r="H508">
        <v>0</v>
      </c>
      <c r="I508">
        <v>2.9450599999999999E-4</v>
      </c>
      <c r="J508">
        <v>1.4361E-5</v>
      </c>
      <c r="K508">
        <v>23.145700000000001</v>
      </c>
      <c r="L508">
        <v>1.3432999999999999</v>
      </c>
      <c r="M508">
        <v>18.658799999999999</v>
      </c>
      <c r="N508">
        <v>0</v>
      </c>
      <c r="O508">
        <v>0</v>
      </c>
    </row>
    <row r="509" spans="1:15" x14ac:dyDescent="0.25">
      <c r="A509" t="s">
        <v>20</v>
      </c>
      <c r="B509" t="s">
        <v>17</v>
      </c>
      <c r="C509">
        <v>15</v>
      </c>
      <c r="D509">
        <v>100</v>
      </c>
      <c r="E509">
        <v>6400</v>
      </c>
      <c r="F509" t="str">
        <f t="shared" si="7"/>
        <v>text256_line_15_100_6400</v>
      </c>
      <c r="G509">
        <v>0</v>
      </c>
      <c r="H509">
        <v>0</v>
      </c>
      <c r="I509">
        <v>5.9209799999999999E-4</v>
      </c>
      <c r="J509">
        <v>1.4361E-5</v>
      </c>
      <c r="K509">
        <v>20.081199999999999</v>
      </c>
      <c r="L509">
        <v>1.3432999999999999</v>
      </c>
      <c r="M509">
        <v>17.766200000000001</v>
      </c>
      <c r="N509">
        <v>0</v>
      </c>
      <c r="O509">
        <v>0</v>
      </c>
    </row>
    <row r="510" spans="1:15" x14ac:dyDescent="0.25">
      <c r="A510" t="s">
        <v>20</v>
      </c>
      <c r="B510" t="s">
        <v>17</v>
      </c>
      <c r="C510">
        <v>15</v>
      </c>
      <c r="D510">
        <v>100</v>
      </c>
      <c r="E510">
        <v>12800</v>
      </c>
      <c r="F510" t="str">
        <f t="shared" si="7"/>
        <v>text256_line_15_100_12800</v>
      </c>
      <c r="G510">
        <v>0</v>
      </c>
      <c r="H510">
        <v>0</v>
      </c>
      <c r="I510">
        <v>1.2125079999999999E-3</v>
      </c>
      <c r="J510">
        <v>1.4361E-5</v>
      </c>
      <c r="K510">
        <v>16.937799999999999</v>
      </c>
      <c r="L510">
        <v>1.3432999999999999</v>
      </c>
      <c r="M510">
        <v>16.4468</v>
      </c>
      <c r="N510">
        <v>0</v>
      </c>
      <c r="O510">
        <v>0</v>
      </c>
    </row>
    <row r="511" spans="1:15" x14ac:dyDescent="0.25">
      <c r="A511" t="s">
        <v>20</v>
      </c>
      <c r="B511" t="s">
        <v>17</v>
      </c>
      <c r="C511">
        <v>15</v>
      </c>
      <c r="D511">
        <v>100</v>
      </c>
      <c r="E511">
        <v>25600</v>
      </c>
      <c r="F511" t="str">
        <f t="shared" si="7"/>
        <v>text256_line_15_100_25600</v>
      </c>
      <c r="G511">
        <v>0</v>
      </c>
      <c r="H511">
        <v>0</v>
      </c>
      <c r="I511">
        <v>2.5612120000000002E-3</v>
      </c>
      <c r="J511">
        <v>1.4361E-5</v>
      </c>
      <c r="K511">
        <v>13.667199999999999</v>
      </c>
      <c r="L511">
        <v>1.3432999999999999</v>
      </c>
      <c r="M511">
        <v>14.530900000000001</v>
      </c>
      <c r="N511">
        <v>0</v>
      </c>
      <c r="O511">
        <v>0</v>
      </c>
    </row>
    <row r="512" spans="1:15" x14ac:dyDescent="0.25">
      <c r="A512" t="s">
        <v>20</v>
      </c>
      <c r="B512" t="s">
        <v>17</v>
      </c>
      <c r="C512">
        <v>15</v>
      </c>
      <c r="D512">
        <v>100</v>
      </c>
      <c r="E512">
        <v>102400</v>
      </c>
      <c r="F512" t="str">
        <f t="shared" si="7"/>
        <v>text256_line_15_100_102400</v>
      </c>
      <c r="G512">
        <v>0</v>
      </c>
      <c r="H512">
        <v>0</v>
      </c>
      <c r="I512">
        <v>1.3487036000000001E-2</v>
      </c>
      <c r="J512">
        <v>1.4299E-5</v>
      </c>
      <c r="K512">
        <v>6.6997999999999998</v>
      </c>
      <c r="L512">
        <v>1.3428</v>
      </c>
      <c r="M512">
        <v>9.3033999999999999</v>
      </c>
      <c r="N512">
        <v>0</v>
      </c>
      <c r="O512">
        <v>0</v>
      </c>
    </row>
    <row r="513" spans="1:15" x14ac:dyDescent="0.25">
      <c r="A513" t="s">
        <v>20</v>
      </c>
      <c r="B513" t="s">
        <v>17</v>
      </c>
      <c r="C513">
        <v>31</v>
      </c>
      <c r="D513">
        <v>100</v>
      </c>
      <c r="E513">
        <v>200</v>
      </c>
      <c r="F513" t="str">
        <f t="shared" si="7"/>
        <v>text256_line_31_100_200</v>
      </c>
      <c r="G513">
        <v>0</v>
      </c>
      <c r="H513">
        <v>0</v>
      </c>
      <c r="I513">
        <v>1.6657999999999999E-5</v>
      </c>
      <c r="J513">
        <v>1.6419E-5</v>
      </c>
      <c r="K513">
        <v>35.681699999999999</v>
      </c>
      <c r="L513">
        <v>0.1767</v>
      </c>
      <c r="M513">
        <v>19.3903</v>
      </c>
      <c r="N513">
        <v>0</v>
      </c>
      <c r="O513">
        <v>0</v>
      </c>
    </row>
    <row r="514" spans="1:15" x14ac:dyDescent="0.25">
      <c r="A514" t="s">
        <v>20</v>
      </c>
      <c r="B514" t="s">
        <v>17</v>
      </c>
      <c r="C514">
        <v>31</v>
      </c>
      <c r="D514">
        <v>100</v>
      </c>
      <c r="E514">
        <v>400</v>
      </c>
      <c r="F514" t="str">
        <f t="shared" ref="F514:F577" si="8">A514&amp;"_"&amp;B514&amp;"_"&amp;C514&amp;"_"&amp;D514&amp;"_"&amp;E514</f>
        <v>text256_line_31_100_400</v>
      </c>
      <c r="G514">
        <v>0</v>
      </c>
      <c r="H514">
        <v>0</v>
      </c>
      <c r="I514">
        <v>3.4353000000000001E-5</v>
      </c>
      <c r="J514">
        <v>1.6419E-5</v>
      </c>
      <c r="K514">
        <v>32.526400000000002</v>
      </c>
      <c r="L514">
        <v>0.1767</v>
      </c>
      <c r="M514">
        <v>19.357199999999999</v>
      </c>
      <c r="N514">
        <v>0</v>
      </c>
      <c r="O514">
        <v>0</v>
      </c>
    </row>
    <row r="515" spans="1:15" x14ac:dyDescent="0.25">
      <c r="A515" t="s">
        <v>20</v>
      </c>
      <c r="B515" t="s">
        <v>17</v>
      </c>
      <c r="C515">
        <v>31</v>
      </c>
      <c r="D515">
        <v>100</v>
      </c>
      <c r="E515">
        <v>800</v>
      </c>
      <c r="F515" t="str">
        <f t="shared" si="8"/>
        <v>text256_line_31_100_800</v>
      </c>
      <c r="G515">
        <v>0</v>
      </c>
      <c r="H515">
        <v>0</v>
      </c>
      <c r="I515">
        <v>7.1184000000000002E-5</v>
      </c>
      <c r="J515">
        <v>1.6419E-5</v>
      </c>
      <c r="K515">
        <v>29.353400000000001</v>
      </c>
      <c r="L515">
        <v>0.1767</v>
      </c>
      <c r="M515">
        <v>19.257200000000001</v>
      </c>
      <c r="N515">
        <v>0</v>
      </c>
      <c r="O515">
        <v>0</v>
      </c>
    </row>
    <row r="516" spans="1:15" x14ac:dyDescent="0.25">
      <c r="A516" t="s">
        <v>20</v>
      </c>
      <c r="B516" t="s">
        <v>17</v>
      </c>
      <c r="C516">
        <v>31</v>
      </c>
      <c r="D516">
        <v>100</v>
      </c>
      <c r="E516">
        <v>1600</v>
      </c>
      <c r="F516" t="str">
        <f t="shared" si="8"/>
        <v>text256_line_31_100_1600</v>
      </c>
      <c r="G516">
        <v>0</v>
      </c>
      <c r="H516">
        <v>0</v>
      </c>
      <c r="I516">
        <v>1.4519399999999999E-4</v>
      </c>
      <c r="J516">
        <v>1.6419E-5</v>
      </c>
      <c r="K516">
        <v>26.237500000000001</v>
      </c>
      <c r="L516">
        <v>0.1767</v>
      </c>
      <c r="M516">
        <v>18.963000000000001</v>
      </c>
      <c r="N516">
        <v>0</v>
      </c>
      <c r="O516">
        <v>0</v>
      </c>
    </row>
    <row r="517" spans="1:15" x14ac:dyDescent="0.25">
      <c r="A517" t="s">
        <v>20</v>
      </c>
      <c r="B517" t="s">
        <v>17</v>
      </c>
      <c r="C517">
        <v>31</v>
      </c>
      <c r="D517">
        <v>100</v>
      </c>
      <c r="E517">
        <v>3200</v>
      </c>
      <c r="F517" t="str">
        <f t="shared" si="8"/>
        <v>text256_line_31_100_3200</v>
      </c>
      <c r="G517">
        <v>0</v>
      </c>
      <c r="H517">
        <v>0</v>
      </c>
      <c r="I517">
        <v>2.9015999999999997E-4</v>
      </c>
      <c r="J517">
        <v>1.6419E-5</v>
      </c>
      <c r="K517">
        <v>23.206399999999999</v>
      </c>
      <c r="L517">
        <v>0.1767</v>
      </c>
      <c r="M517">
        <v>18.528400000000001</v>
      </c>
      <c r="N517">
        <v>0</v>
      </c>
      <c r="O517">
        <v>0</v>
      </c>
    </row>
    <row r="518" spans="1:15" x14ac:dyDescent="0.25">
      <c r="A518" t="s">
        <v>20</v>
      </c>
      <c r="B518" t="s">
        <v>17</v>
      </c>
      <c r="C518">
        <v>31</v>
      </c>
      <c r="D518">
        <v>100</v>
      </c>
      <c r="E518">
        <v>6400</v>
      </c>
      <c r="F518" t="str">
        <f t="shared" si="8"/>
        <v>text256_line_31_100_6400</v>
      </c>
      <c r="G518">
        <v>0</v>
      </c>
      <c r="H518">
        <v>0</v>
      </c>
      <c r="I518">
        <v>5.8569899999999996E-4</v>
      </c>
      <c r="J518">
        <v>1.6419E-5</v>
      </c>
      <c r="K518">
        <v>20.130199999999999</v>
      </c>
      <c r="L518">
        <v>0.1767</v>
      </c>
      <c r="M518">
        <v>17.6892</v>
      </c>
      <c r="N518">
        <v>0</v>
      </c>
      <c r="O518">
        <v>0</v>
      </c>
    </row>
    <row r="519" spans="1:15" x14ac:dyDescent="0.25">
      <c r="A519" t="s">
        <v>20</v>
      </c>
      <c r="B519" t="s">
        <v>17</v>
      </c>
      <c r="C519">
        <v>31</v>
      </c>
      <c r="D519">
        <v>100</v>
      </c>
      <c r="E519">
        <v>12800</v>
      </c>
      <c r="F519" t="str">
        <f t="shared" si="8"/>
        <v>text256_line_31_100_12800</v>
      </c>
      <c r="G519">
        <v>0</v>
      </c>
      <c r="H519">
        <v>0</v>
      </c>
      <c r="I519">
        <v>1.2139539999999999E-3</v>
      </c>
      <c r="J519">
        <v>1.6419E-5</v>
      </c>
      <c r="K519">
        <v>16.933299999999999</v>
      </c>
      <c r="L519">
        <v>0.1767</v>
      </c>
      <c r="M519">
        <v>16.4176</v>
      </c>
      <c r="N519">
        <v>0</v>
      </c>
      <c r="O519">
        <v>0</v>
      </c>
    </row>
    <row r="520" spans="1:15" x14ac:dyDescent="0.25">
      <c r="A520" t="s">
        <v>20</v>
      </c>
      <c r="B520" t="s">
        <v>17</v>
      </c>
      <c r="C520">
        <v>31</v>
      </c>
      <c r="D520">
        <v>100</v>
      </c>
      <c r="E520">
        <v>25600</v>
      </c>
      <c r="F520" t="str">
        <f t="shared" si="8"/>
        <v>text256_line_31_100_25600</v>
      </c>
      <c r="G520">
        <v>0</v>
      </c>
      <c r="H520">
        <v>0</v>
      </c>
      <c r="I520">
        <v>2.5462480000000001E-3</v>
      </c>
      <c r="J520">
        <v>1.6419E-5</v>
      </c>
      <c r="K520">
        <v>13.6927</v>
      </c>
      <c r="L520">
        <v>0.1767</v>
      </c>
      <c r="M520">
        <v>14.5389</v>
      </c>
      <c r="N520">
        <v>0</v>
      </c>
      <c r="O520">
        <v>0</v>
      </c>
    </row>
    <row r="521" spans="1:15" x14ac:dyDescent="0.25">
      <c r="A521" t="s">
        <v>20</v>
      </c>
      <c r="B521" t="s">
        <v>17</v>
      </c>
      <c r="C521">
        <v>31</v>
      </c>
      <c r="D521">
        <v>100</v>
      </c>
      <c r="E521">
        <v>102400</v>
      </c>
      <c r="F521" t="str">
        <f t="shared" si="8"/>
        <v>text256_line_31_100_102400</v>
      </c>
      <c r="G521">
        <v>0</v>
      </c>
      <c r="H521">
        <v>0</v>
      </c>
      <c r="I521">
        <v>1.3445719E-2</v>
      </c>
      <c r="J521">
        <v>1.6160000000000001E-5</v>
      </c>
      <c r="K521">
        <v>6.7058999999999997</v>
      </c>
      <c r="L521">
        <v>0.1772</v>
      </c>
      <c r="M521">
        <v>9.4056999999999995</v>
      </c>
      <c r="N521">
        <v>0</v>
      </c>
      <c r="O521">
        <v>0</v>
      </c>
    </row>
    <row r="522" spans="1:15" x14ac:dyDescent="0.25">
      <c r="A522" t="s">
        <v>20</v>
      </c>
      <c r="B522" t="s">
        <v>17</v>
      </c>
      <c r="C522">
        <v>63</v>
      </c>
      <c r="D522">
        <v>100</v>
      </c>
      <c r="E522">
        <v>200</v>
      </c>
      <c r="F522" t="str">
        <f t="shared" si="8"/>
        <v>text256_line_63_100_200</v>
      </c>
      <c r="G522">
        <v>0</v>
      </c>
      <c r="H522">
        <v>0</v>
      </c>
      <c r="I522">
        <v>1.6633000000000002E-5</v>
      </c>
      <c r="J522">
        <v>1.7523000000000001E-5</v>
      </c>
      <c r="K522">
        <v>35.695799999999998</v>
      </c>
      <c r="L522">
        <v>0.35060000000000002</v>
      </c>
      <c r="M522">
        <v>19.7517</v>
      </c>
      <c r="N522">
        <v>0</v>
      </c>
      <c r="O522">
        <v>0</v>
      </c>
    </row>
    <row r="523" spans="1:15" x14ac:dyDescent="0.25">
      <c r="A523" t="s">
        <v>20</v>
      </c>
      <c r="B523" t="s">
        <v>17</v>
      </c>
      <c r="C523">
        <v>63</v>
      </c>
      <c r="D523">
        <v>100</v>
      </c>
      <c r="E523">
        <v>400</v>
      </c>
      <c r="F523" t="str">
        <f t="shared" si="8"/>
        <v>text256_line_63_100_400</v>
      </c>
      <c r="G523">
        <v>0</v>
      </c>
      <c r="H523">
        <v>0</v>
      </c>
      <c r="I523">
        <v>3.4949E-5</v>
      </c>
      <c r="J523">
        <v>1.7523000000000001E-5</v>
      </c>
      <c r="K523">
        <v>32.460500000000003</v>
      </c>
      <c r="L523">
        <v>0.35060000000000002</v>
      </c>
      <c r="M523">
        <v>19.6936</v>
      </c>
      <c r="N523">
        <v>0</v>
      </c>
      <c r="O523">
        <v>0</v>
      </c>
    </row>
    <row r="524" spans="1:15" x14ac:dyDescent="0.25">
      <c r="A524" t="s">
        <v>20</v>
      </c>
      <c r="B524" t="s">
        <v>17</v>
      </c>
      <c r="C524">
        <v>63</v>
      </c>
      <c r="D524">
        <v>100</v>
      </c>
      <c r="E524">
        <v>800</v>
      </c>
      <c r="F524" t="str">
        <f t="shared" si="8"/>
        <v>text256_line_63_100_800</v>
      </c>
      <c r="G524">
        <v>0</v>
      </c>
      <c r="H524">
        <v>0</v>
      </c>
      <c r="I524">
        <v>7.0869000000000002E-5</v>
      </c>
      <c r="J524">
        <v>1.7523000000000001E-5</v>
      </c>
      <c r="K524">
        <v>29.369199999999999</v>
      </c>
      <c r="L524">
        <v>0.35060000000000002</v>
      </c>
      <c r="M524">
        <v>19.5319</v>
      </c>
      <c r="N524">
        <v>0</v>
      </c>
      <c r="O524">
        <v>0</v>
      </c>
    </row>
    <row r="525" spans="1:15" x14ac:dyDescent="0.25">
      <c r="A525" t="s">
        <v>20</v>
      </c>
      <c r="B525" t="s">
        <v>17</v>
      </c>
      <c r="C525">
        <v>63</v>
      </c>
      <c r="D525">
        <v>100</v>
      </c>
      <c r="E525">
        <v>1600</v>
      </c>
      <c r="F525" t="str">
        <f t="shared" si="8"/>
        <v>text256_line_63_100_1600</v>
      </c>
      <c r="G525">
        <v>0</v>
      </c>
      <c r="H525">
        <v>0</v>
      </c>
      <c r="I525">
        <v>1.4448E-4</v>
      </c>
      <c r="J525">
        <v>1.7523000000000001E-5</v>
      </c>
      <c r="K525">
        <v>26.261099999999999</v>
      </c>
      <c r="L525">
        <v>0.35060000000000002</v>
      </c>
      <c r="M525">
        <v>19.2624</v>
      </c>
      <c r="N525">
        <v>0</v>
      </c>
      <c r="O525">
        <v>0</v>
      </c>
    </row>
    <row r="526" spans="1:15" x14ac:dyDescent="0.25">
      <c r="A526" t="s">
        <v>20</v>
      </c>
      <c r="B526" t="s">
        <v>17</v>
      </c>
      <c r="C526">
        <v>63</v>
      </c>
      <c r="D526">
        <v>100</v>
      </c>
      <c r="E526">
        <v>3200</v>
      </c>
      <c r="F526" t="str">
        <f t="shared" si="8"/>
        <v>text256_line_63_100_3200</v>
      </c>
      <c r="G526">
        <v>0</v>
      </c>
      <c r="H526">
        <v>0</v>
      </c>
      <c r="I526">
        <v>2.88984E-4</v>
      </c>
      <c r="J526">
        <v>1.7523000000000001E-5</v>
      </c>
      <c r="K526">
        <v>23.226600000000001</v>
      </c>
      <c r="L526">
        <v>0.35060000000000002</v>
      </c>
      <c r="M526">
        <v>18.806999999999999</v>
      </c>
      <c r="N526">
        <v>0</v>
      </c>
      <c r="O526">
        <v>0</v>
      </c>
    </row>
    <row r="527" spans="1:15" x14ac:dyDescent="0.25">
      <c r="A527" t="s">
        <v>20</v>
      </c>
      <c r="B527" t="s">
        <v>17</v>
      </c>
      <c r="C527">
        <v>63</v>
      </c>
      <c r="D527">
        <v>100</v>
      </c>
      <c r="E527">
        <v>6400</v>
      </c>
      <c r="F527" t="str">
        <f t="shared" si="8"/>
        <v>text256_line_63_100_6400</v>
      </c>
      <c r="G527">
        <v>0</v>
      </c>
      <c r="H527">
        <v>0</v>
      </c>
      <c r="I527">
        <v>5.8895599999999996E-4</v>
      </c>
      <c r="J527">
        <v>1.7523000000000001E-5</v>
      </c>
      <c r="K527">
        <v>20.104500000000002</v>
      </c>
      <c r="L527">
        <v>0.35060000000000002</v>
      </c>
      <c r="M527">
        <v>17.944900000000001</v>
      </c>
      <c r="N527">
        <v>0</v>
      </c>
      <c r="O527">
        <v>0</v>
      </c>
    </row>
    <row r="528" spans="1:15" x14ac:dyDescent="0.25">
      <c r="A528" t="s">
        <v>20</v>
      </c>
      <c r="B528" t="s">
        <v>17</v>
      </c>
      <c r="C528">
        <v>63</v>
      </c>
      <c r="D528">
        <v>100</v>
      </c>
      <c r="E528">
        <v>12800</v>
      </c>
      <c r="F528" t="str">
        <f t="shared" si="8"/>
        <v>text256_line_63_100_12800</v>
      </c>
      <c r="G528">
        <v>0</v>
      </c>
      <c r="H528">
        <v>0</v>
      </c>
      <c r="I528">
        <v>1.2027800000000001E-3</v>
      </c>
      <c r="J528">
        <v>1.7523000000000001E-5</v>
      </c>
      <c r="K528">
        <v>16.972300000000001</v>
      </c>
      <c r="L528">
        <v>0.35060000000000002</v>
      </c>
      <c r="M528">
        <v>16.506799999999998</v>
      </c>
      <c r="N528">
        <v>0</v>
      </c>
      <c r="O528">
        <v>0</v>
      </c>
    </row>
    <row r="529" spans="1:15" x14ac:dyDescent="0.25">
      <c r="A529" t="s">
        <v>20</v>
      </c>
      <c r="B529" t="s">
        <v>17</v>
      </c>
      <c r="C529">
        <v>63</v>
      </c>
      <c r="D529">
        <v>100</v>
      </c>
      <c r="E529">
        <v>25600</v>
      </c>
      <c r="F529" t="str">
        <f t="shared" si="8"/>
        <v>text256_line_63_100_25600</v>
      </c>
      <c r="G529">
        <v>0</v>
      </c>
      <c r="H529">
        <v>0</v>
      </c>
      <c r="I529">
        <v>2.5647230000000001E-3</v>
      </c>
      <c r="J529">
        <v>1.7523000000000001E-5</v>
      </c>
      <c r="K529">
        <v>13.6614</v>
      </c>
      <c r="L529">
        <v>0.35060000000000002</v>
      </c>
      <c r="M529">
        <v>14.587899999999999</v>
      </c>
      <c r="N529">
        <v>0</v>
      </c>
      <c r="O529">
        <v>0</v>
      </c>
    </row>
    <row r="530" spans="1:15" x14ac:dyDescent="0.25">
      <c r="A530" t="s">
        <v>19</v>
      </c>
      <c r="B530" t="s">
        <v>18</v>
      </c>
      <c r="C530">
        <v>3</v>
      </c>
      <c r="D530">
        <v>100</v>
      </c>
      <c r="E530">
        <v>200</v>
      </c>
      <c r="F530" t="str">
        <f t="shared" si="8"/>
        <v>tree256_blurkernel10_3_100_200</v>
      </c>
      <c r="G530">
        <v>0</v>
      </c>
      <c r="H530">
        <v>0</v>
      </c>
      <c r="I530">
        <v>1.9862000000000001E-5</v>
      </c>
      <c r="J530">
        <v>9.0310000000000004E-6</v>
      </c>
      <c r="K530">
        <v>32.601700000000001</v>
      </c>
      <c r="L530">
        <v>10.563700000000001</v>
      </c>
      <c r="M530">
        <v>11.957000000000001</v>
      </c>
      <c r="N530">
        <v>0</v>
      </c>
      <c r="O530">
        <v>0</v>
      </c>
    </row>
    <row r="531" spans="1:15" x14ac:dyDescent="0.25">
      <c r="A531" t="s">
        <v>19</v>
      </c>
      <c r="B531" t="s">
        <v>18</v>
      </c>
      <c r="C531">
        <v>3</v>
      </c>
      <c r="D531">
        <v>100</v>
      </c>
      <c r="E531">
        <v>400</v>
      </c>
      <c r="F531" t="str">
        <f t="shared" si="8"/>
        <v>tree256_blurkernel10_3_100_400</v>
      </c>
      <c r="G531">
        <v>0</v>
      </c>
      <c r="H531">
        <v>0</v>
      </c>
      <c r="I531">
        <v>4.1334000000000001E-5</v>
      </c>
      <c r="J531">
        <v>9.0310000000000004E-6</v>
      </c>
      <c r="K531">
        <v>29.4222</v>
      </c>
      <c r="L531">
        <v>10.563700000000001</v>
      </c>
      <c r="M531">
        <v>11.951599999999999</v>
      </c>
      <c r="N531">
        <v>0</v>
      </c>
      <c r="O531">
        <v>0</v>
      </c>
    </row>
    <row r="532" spans="1:15" x14ac:dyDescent="0.25">
      <c r="A532" t="s">
        <v>19</v>
      </c>
      <c r="B532" t="s">
        <v>18</v>
      </c>
      <c r="C532">
        <v>3</v>
      </c>
      <c r="D532">
        <v>100</v>
      </c>
      <c r="E532">
        <v>800</v>
      </c>
      <c r="F532" t="str">
        <f t="shared" si="8"/>
        <v>tree256_blurkernel10_3_100_800</v>
      </c>
      <c r="G532">
        <v>0</v>
      </c>
      <c r="H532">
        <v>0</v>
      </c>
      <c r="I532">
        <v>8.4334999999999998E-5</v>
      </c>
      <c r="J532">
        <v>9.0310000000000004E-6</v>
      </c>
      <c r="K532">
        <v>26.326699999999999</v>
      </c>
      <c r="L532">
        <v>10.563700000000001</v>
      </c>
      <c r="M532">
        <v>11.949400000000001</v>
      </c>
      <c r="N532">
        <v>0</v>
      </c>
      <c r="O532">
        <v>0</v>
      </c>
    </row>
    <row r="533" spans="1:15" x14ac:dyDescent="0.25">
      <c r="A533" t="s">
        <v>19</v>
      </c>
      <c r="B533" t="s">
        <v>18</v>
      </c>
      <c r="C533">
        <v>3</v>
      </c>
      <c r="D533">
        <v>100</v>
      </c>
      <c r="E533">
        <v>1600</v>
      </c>
      <c r="F533" t="str">
        <f t="shared" si="8"/>
        <v>tree256_blurkernel10_3_100_1600</v>
      </c>
      <c r="G533">
        <v>0</v>
      </c>
      <c r="H533">
        <v>0</v>
      </c>
      <c r="I533">
        <v>1.6923900000000001E-4</v>
      </c>
      <c r="J533">
        <v>9.0310000000000004E-6</v>
      </c>
      <c r="K533">
        <v>23.312999999999999</v>
      </c>
      <c r="L533">
        <v>10.563700000000001</v>
      </c>
      <c r="M533">
        <v>11.905099999999999</v>
      </c>
      <c r="N533">
        <v>0</v>
      </c>
      <c r="O533">
        <v>0</v>
      </c>
    </row>
    <row r="534" spans="1:15" x14ac:dyDescent="0.25">
      <c r="A534" t="s">
        <v>19</v>
      </c>
      <c r="B534" t="s">
        <v>18</v>
      </c>
      <c r="C534">
        <v>3</v>
      </c>
      <c r="D534">
        <v>100</v>
      </c>
      <c r="E534">
        <v>3200</v>
      </c>
      <c r="F534" t="str">
        <f t="shared" si="8"/>
        <v>tree256_blurkernel10_3_100_3200</v>
      </c>
      <c r="G534">
        <v>0</v>
      </c>
      <c r="H534">
        <v>0</v>
      </c>
      <c r="I534">
        <v>3.4713700000000002E-4</v>
      </c>
      <c r="J534">
        <v>9.0310000000000004E-6</v>
      </c>
      <c r="K534">
        <v>20.203800000000001</v>
      </c>
      <c r="L534">
        <v>10.563700000000001</v>
      </c>
      <c r="M534">
        <v>11.8751</v>
      </c>
      <c r="N534">
        <v>0</v>
      </c>
      <c r="O534">
        <v>0</v>
      </c>
    </row>
    <row r="535" spans="1:15" x14ac:dyDescent="0.25">
      <c r="A535" t="s">
        <v>19</v>
      </c>
      <c r="B535" t="s">
        <v>18</v>
      </c>
      <c r="C535">
        <v>3</v>
      </c>
      <c r="D535">
        <v>100</v>
      </c>
      <c r="E535">
        <v>6400</v>
      </c>
      <c r="F535" t="str">
        <f t="shared" si="8"/>
        <v>tree256_blurkernel10_3_100_6400</v>
      </c>
      <c r="G535">
        <v>0</v>
      </c>
      <c r="H535">
        <v>0</v>
      </c>
      <c r="I535">
        <v>7.1145699999999997E-4</v>
      </c>
      <c r="J535">
        <v>9.0310000000000004E-6</v>
      </c>
      <c r="K535">
        <v>17.122</v>
      </c>
      <c r="L535">
        <v>10.563700000000001</v>
      </c>
      <c r="M535">
        <v>11.8056</v>
      </c>
      <c r="N535">
        <v>0</v>
      </c>
      <c r="O535">
        <v>0</v>
      </c>
    </row>
    <row r="536" spans="1:15" x14ac:dyDescent="0.25">
      <c r="A536" t="s">
        <v>19</v>
      </c>
      <c r="B536" t="s">
        <v>18</v>
      </c>
      <c r="C536">
        <v>3</v>
      </c>
      <c r="D536">
        <v>100</v>
      </c>
      <c r="E536">
        <v>12800</v>
      </c>
      <c r="F536" t="str">
        <f t="shared" si="8"/>
        <v>tree256_blurkernel10_3_100_12800</v>
      </c>
      <c r="G536">
        <v>0</v>
      </c>
      <c r="H536">
        <v>0</v>
      </c>
      <c r="I536">
        <v>1.510237E-3</v>
      </c>
      <c r="J536">
        <v>9.0310000000000004E-6</v>
      </c>
      <c r="K536">
        <v>13.9389</v>
      </c>
      <c r="L536">
        <v>10.563700000000001</v>
      </c>
      <c r="M536">
        <v>11.687799999999999</v>
      </c>
      <c r="N536">
        <v>0</v>
      </c>
      <c r="O536">
        <v>0</v>
      </c>
    </row>
    <row r="537" spans="1:15" x14ac:dyDescent="0.25">
      <c r="A537" t="s">
        <v>19</v>
      </c>
      <c r="B537" t="s">
        <v>18</v>
      </c>
      <c r="C537">
        <v>3</v>
      </c>
      <c r="D537">
        <v>100</v>
      </c>
      <c r="E537">
        <v>25600</v>
      </c>
      <c r="F537" t="str">
        <f t="shared" si="8"/>
        <v>tree256_blurkernel10_3_100_25600</v>
      </c>
      <c r="G537">
        <v>0</v>
      </c>
      <c r="H537">
        <v>0</v>
      </c>
      <c r="I537">
        <v>3.3646259999999999E-3</v>
      </c>
      <c r="J537">
        <v>9.0310000000000004E-6</v>
      </c>
      <c r="K537">
        <v>10.6554</v>
      </c>
      <c r="L537">
        <v>10.563700000000001</v>
      </c>
      <c r="M537">
        <v>11.5069</v>
      </c>
      <c r="N537">
        <v>0</v>
      </c>
      <c r="O537">
        <v>0</v>
      </c>
    </row>
    <row r="538" spans="1:15" x14ac:dyDescent="0.25">
      <c r="A538" t="s">
        <v>19</v>
      </c>
      <c r="B538" t="s">
        <v>18</v>
      </c>
      <c r="C538">
        <v>3</v>
      </c>
      <c r="D538">
        <v>100</v>
      </c>
      <c r="E538">
        <v>102400</v>
      </c>
      <c r="F538" t="str">
        <f t="shared" si="8"/>
        <v>tree256_blurkernel10_3_100_102400</v>
      </c>
      <c r="G538">
        <v>0</v>
      </c>
      <c r="H538">
        <v>0</v>
      </c>
      <c r="I538">
        <v>2.0343402E-2</v>
      </c>
      <c r="J538">
        <v>8.9749999999999996E-6</v>
      </c>
      <c r="K538">
        <v>4.2643000000000004</v>
      </c>
      <c r="L538">
        <v>10.5624</v>
      </c>
      <c r="M538">
        <v>10.8154</v>
      </c>
      <c r="N538">
        <v>0</v>
      </c>
      <c r="O538">
        <v>0</v>
      </c>
    </row>
    <row r="539" spans="1:15" x14ac:dyDescent="0.25">
      <c r="A539" t="s">
        <v>19</v>
      </c>
      <c r="B539" t="s">
        <v>18</v>
      </c>
      <c r="C539">
        <v>7</v>
      </c>
      <c r="D539">
        <v>100</v>
      </c>
      <c r="E539">
        <v>200</v>
      </c>
      <c r="F539" t="str">
        <f t="shared" si="8"/>
        <v>tree256_blurkernel10_7_100_200</v>
      </c>
      <c r="G539">
        <v>0</v>
      </c>
      <c r="H539">
        <v>0</v>
      </c>
      <c r="I539">
        <v>1.965E-5</v>
      </c>
      <c r="J539">
        <v>9.0059999999999998E-6</v>
      </c>
      <c r="K539">
        <v>32.648600000000002</v>
      </c>
      <c r="L539">
        <v>5.9939999999999998</v>
      </c>
      <c r="M539">
        <v>12.8833</v>
      </c>
      <c r="N539">
        <v>0</v>
      </c>
      <c r="O539">
        <v>0</v>
      </c>
    </row>
    <row r="540" spans="1:15" x14ac:dyDescent="0.25">
      <c r="A540" t="s">
        <v>19</v>
      </c>
      <c r="B540" t="s">
        <v>18</v>
      </c>
      <c r="C540">
        <v>7</v>
      </c>
      <c r="D540">
        <v>100</v>
      </c>
      <c r="E540">
        <v>400</v>
      </c>
      <c r="F540" t="str">
        <f t="shared" si="8"/>
        <v>tree256_blurkernel10_7_100_400</v>
      </c>
      <c r="G540">
        <v>0</v>
      </c>
      <c r="H540">
        <v>0</v>
      </c>
      <c r="I540">
        <v>4.1103999999999998E-5</v>
      </c>
      <c r="J540">
        <v>9.0059999999999998E-6</v>
      </c>
      <c r="K540">
        <v>29.444900000000001</v>
      </c>
      <c r="L540">
        <v>5.9939999999999998</v>
      </c>
      <c r="M540">
        <v>12.849500000000001</v>
      </c>
      <c r="N540">
        <v>0</v>
      </c>
      <c r="O540">
        <v>0</v>
      </c>
    </row>
    <row r="541" spans="1:15" x14ac:dyDescent="0.25">
      <c r="A541" t="s">
        <v>19</v>
      </c>
      <c r="B541" t="s">
        <v>18</v>
      </c>
      <c r="C541">
        <v>7</v>
      </c>
      <c r="D541">
        <v>100</v>
      </c>
      <c r="E541">
        <v>800</v>
      </c>
      <c r="F541" t="str">
        <f t="shared" si="8"/>
        <v>tree256_blurkernel10_7_100_800</v>
      </c>
      <c r="G541">
        <v>0</v>
      </c>
      <c r="H541">
        <v>0</v>
      </c>
      <c r="I541">
        <v>8.3827999999999998E-5</v>
      </c>
      <c r="J541">
        <v>9.0059999999999998E-6</v>
      </c>
      <c r="K541">
        <v>26.357199999999999</v>
      </c>
      <c r="L541">
        <v>5.9939999999999998</v>
      </c>
      <c r="M541">
        <v>12.81</v>
      </c>
      <c r="N541">
        <v>0</v>
      </c>
      <c r="O541">
        <v>0</v>
      </c>
    </row>
    <row r="542" spans="1:15" x14ac:dyDescent="0.25">
      <c r="A542" t="s">
        <v>19</v>
      </c>
      <c r="B542" t="s">
        <v>18</v>
      </c>
      <c r="C542">
        <v>7</v>
      </c>
      <c r="D542">
        <v>100</v>
      </c>
      <c r="E542">
        <v>1600</v>
      </c>
      <c r="F542" t="str">
        <f t="shared" si="8"/>
        <v>tree256_blurkernel10_7_100_1600</v>
      </c>
      <c r="G542">
        <v>0</v>
      </c>
      <c r="H542">
        <v>0</v>
      </c>
      <c r="I542">
        <v>1.7198699999999999E-4</v>
      </c>
      <c r="J542">
        <v>9.0059999999999998E-6</v>
      </c>
      <c r="K542">
        <v>23.237200000000001</v>
      </c>
      <c r="L542">
        <v>5.9939999999999998</v>
      </c>
      <c r="M542">
        <v>12.7089</v>
      </c>
      <c r="N542">
        <v>0</v>
      </c>
      <c r="O542">
        <v>0</v>
      </c>
    </row>
    <row r="543" spans="1:15" x14ac:dyDescent="0.25">
      <c r="A543" t="s">
        <v>19</v>
      </c>
      <c r="B543" t="s">
        <v>18</v>
      </c>
      <c r="C543">
        <v>7</v>
      </c>
      <c r="D543">
        <v>100</v>
      </c>
      <c r="E543">
        <v>3200</v>
      </c>
      <c r="F543" t="str">
        <f t="shared" si="8"/>
        <v>tree256_blurkernel10_7_100_3200</v>
      </c>
      <c r="G543">
        <v>0</v>
      </c>
      <c r="H543">
        <v>0</v>
      </c>
      <c r="I543">
        <v>3.5161699999999998E-4</v>
      </c>
      <c r="J543">
        <v>9.0059999999999998E-6</v>
      </c>
      <c r="K543">
        <v>20.151</v>
      </c>
      <c r="L543">
        <v>5.9939999999999998</v>
      </c>
      <c r="M543">
        <v>12.523099999999999</v>
      </c>
      <c r="N543">
        <v>0</v>
      </c>
      <c r="O543">
        <v>0</v>
      </c>
    </row>
    <row r="544" spans="1:15" x14ac:dyDescent="0.25">
      <c r="A544" t="s">
        <v>19</v>
      </c>
      <c r="B544" t="s">
        <v>18</v>
      </c>
      <c r="C544">
        <v>7</v>
      </c>
      <c r="D544">
        <v>100</v>
      </c>
      <c r="E544">
        <v>6400</v>
      </c>
      <c r="F544" t="str">
        <f t="shared" si="8"/>
        <v>tree256_blurkernel10_7_100_6400</v>
      </c>
      <c r="G544">
        <v>0</v>
      </c>
      <c r="H544">
        <v>0</v>
      </c>
      <c r="I544">
        <v>7.1498600000000003E-4</v>
      </c>
      <c r="J544">
        <v>9.0059999999999998E-6</v>
      </c>
      <c r="K544">
        <v>17.107600000000001</v>
      </c>
      <c r="L544">
        <v>5.9939999999999998</v>
      </c>
      <c r="M544">
        <v>12.168699999999999</v>
      </c>
      <c r="N544">
        <v>0</v>
      </c>
      <c r="O544">
        <v>0</v>
      </c>
    </row>
    <row r="545" spans="1:15" x14ac:dyDescent="0.25">
      <c r="A545" t="s">
        <v>19</v>
      </c>
      <c r="B545" t="s">
        <v>18</v>
      </c>
      <c r="C545">
        <v>7</v>
      </c>
      <c r="D545">
        <v>100</v>
      </c>
      <c r="E545">
        <v>12800</v>
      </c>
      <c r="F545" t="str">
        <f t="shared" si="8"/>
        <v>tree256_blurkernel10_7_100_12800</v>
      </c>
      <c r="G545">
        <v>0</v>
      </c>
      <c r="H545">
        <v>0</v>
      </c>
      <c r="I545">
        <v>1.5157689999999999E-3</v>
      </c>
      <c r="J545">
        <v>9.0059999999999998E-6</v>
      </c>
      <c r="K545">
        <v>13.9353</v>
      </c>
      <c r="L545">
        <v>5.9939999999999998</v>
      </c>
      <c r="M545">
        <v>11.6379</v>
      </c>
      <c r="N545">
        <v>0</v>
      </c>
      <c r="O545">
        <v>0</v>
      </c>
    </row>
    <row r="546" spans="1:15" x14ac:dyDescent="0.25">
      <c r="A546" t="s">
        <v>19</v>
      </c>
      <c r="B546" t="s">
        <v>18</v>
      </c>
      <c r="C546">
        <v>7</v>
      </c>
      <c r="D546">
        <v>100</v>
      </c>
      <c r="E546">
        <v>25600</v>
      </c>
      <c r="F546" t="str">
        <f t="shared" si="8"/>
        <v>tree256_blurkernel10_7_100_25600</v>
      </c>
      <c r="G546">
        <v>0</v>
      </c>
      <c r="H546">
        <v>0</v>
      </c>
      <c r="I546">
        <v>3.3470629999999999E-3</v>
      </c>
      <c r="J546">
        <v>9.0059999999999998E-6</v>
      </c>
      <c r="K546">
        <v>10.6701</v>
      </c>
      <c r="L546">
        <v>5.9939999999999998</v>
      </c>
      <c r="M546">
        <v>10.821300000000001</v>
      </c>
      <c r="N546">
        <v>0</v>
      </c>
      <c r="O546">
        <v>0</v>
      </c>
    </row>
    <row r="547" spans="1:15" x14ac:dyDescent="0.25">
      <c r="A547" t="s">
        <v>19</v>
      </c>
      <c r="B547" t="s">
        <v>18</v>
      </c>
      <c r="C547">
        <v>7</v>
      </c>
      <c r="D547">
        <v>100</v>
      </c>
      <c r="E547">
        <v>102400</v>
      </c>
      <c r="F547" t="str">
        <f t="shared" si="8"/>
        <v>tree256_blurkernel10_7_100_102400</v>
      </c>
      <c r="G547">
        <v>0</v>
      </c>
      <c r="H547">
        <v>0</v>
      </c>
      <c r="I547">
        <v>2.0278319E-2</v>
      </c>
      <c r="J547">
        <v>9.0690000000000008E-6</v>
      </c>
      <c r="K547">
        <v>4.2539999999999996</v>
      </c>
      <c r="L547">
        <v>5.9922000000000004</v>
      </c>
      <c r="M547">
        <v>8.2640999999999991</v>
      </c>
      <c r="N547">
        <v>0</v>
      </c>
      <c r="O547">
        <v>0</v>
      </c>
    </row>
    <row r="548" spans="1:15" x14ac:dyDescent="0.25">
      <c r="A548" t="s">
        <v>19</v>
      </c>
      <c r="B548" t="s">
        <v>18</v>
      </c>
      <c r="C548">
        <v>15</v>
      </c>
      <c r="D548">
        <v>100</v>
      </c>
      <c r="E548">
        <v>200</v>
      </c>
      <c r="F548" t="str">
        <f t="shared" si="8"/>
        <v>tree256_blurkernel10_15_100_200</v>
      </c>
      <c r="G548">
        <v>0</v>
      </c>
      <c r="H548">
        <v>0</v>
      </c>
      <c r="I548">
        <v>1.9779000000000002E-5</v>
      </c>
      <c r="J548">
        <v>9.1179999999999998E-6</v>
      </c>
      <c r="K548">
        <v>32.620399999999997</v>
      </c>
      <c r="L548">
        <v>3.7448000000000001</v>
      </c>
      <c r="M548">
        <v>13.4399</v>
      </c>
      <c r="N548">
        <v>0</v>
      </c>
      <c r="O548">
        <v>0</v>
      </c>
    </row>
    <row r="549" spans="1:15" x14ac:dyDescent="0.25">
      <c r="A549" t="s">
        <v>19</v>
      </c>
      <c r="B549" t="s">
        <v>18</v>
      </c>
      <c r="C549">
        <v>15</v>
      </c>
      <c r="D549">
        <v>100</v>
      </c>
      <c r="E549">
        <v>400</v>
      </c>
      <c r="F549" t="str">
        <f t="shared" si="8"/>
        <v>tree256_blurkernel10_15_100_400</v>
      </c>
      <c r="G549">
        <v>0</v>
      </c>
      <c r="H549">
        <v>0</v>
      </c>
      <c r="I549">
        <v>4.121E-5</v>
      </c>
      <c r="J549">
        <v>9.1179999999999998E-6</v>
      </c>
      <c r="K549">
        <v>29.435300000000002</v>
      </c>
      <c r="L549">
        <v>3.7448000000000001</v>
      </c>
      <c r="M549">
        <v>13.4191</v>
      </c>
      <c r="N549">
        <v>0</v>
      </c>
      <c r="O549">
        <v>0</v>
      </c>
    </row>
    <row r="550" spans="1:15" x14ac:dyDescent="0.25">
      <c r="A550" t="s">
        <v>19</v>
      </c>
      <c r="B550" t="s">
        <v>18</v>
      </c>
      <c r="C550">
        <v>15</v>
      </c>
      <c r="D550">
        <v>100</v>
      </c>
      <c r="E550">
        <v>800</v>
      </c>
      <c r="F550" t="str">
        <f t="shared" si="8"/>
        <v>tree256_blurkernel10_15_100_800</v>
      </c>
      <c r="G550">
        <v>0</v>
      </c>
      <c r="H550">
        <v>0</v>
      </c>
      <c r="I550">
        <v>8.5117000000000005E-5</v>
      </c>
      <c r="J550">
        <v>9.1179999999999998E-6</v>
      </c>
      <c r="K550">
        <v>26.288900000000002</v>
      </c>
      <c r="L550">
        <v>3.7448000000000001</v>
      </c>
      <c r="M550">
        <v>13.3649</v>
      </c>
      <c r="N550">
        <v>0</v>
      </c>
      <c r="O550">
        <v>0</v>
      </c>
    </row>
    <row r="551" spans="1:15" x14ac:dyDescent="0.25">
      <c r="A551" t="s">
        <v>19</v>
      </c>
      <c r="B551" t="s">
        <v>18</v>
      </c>
      <c r="C551">
        <v>15</v>
      </c>
      <c r="D551">
        <v>100</v>
      </c>
      <c r="E551">
        <v>1600</v>
      </c>
      <c r="F551" t="str">
        <f t="shared" si="8"/>
        <v>tree256_blurkernel10_15_100_1600</v>
      </c>
      <c r="G551">
        <v>0</v>
      </c>
      <c r="H551">
        <v>0</v>
      </c>
      <c r="I551">
        <v>1.71695E-4</v>
      </c>
      <c r="J551">
        <v>9.1179999999999998E-6</v>
      </c>
      <c r="K551">
        <v>23.245799999999999</v>
      </c>
      <c r="L551">
        <v>3.7448000000000001</v>
      </c>
      <c r="M551">
        <v>13.216699999999999</v>
      </c>
      <c r="N551">
        <v>0</v>
      </c>
      <c r="O551">
        <v>0</v>
      </c>
    </row>
    <row r="552" spans="1:15" x14ac:dyDescent="0.25">
      <c r="A552" t="s">
        <v>19</v>
      </c>
      <c r="B552" t="s">
        <v>18</v>
      </c>
      <c r="C552">
        <v>15</v>
      </c>
      <c r="D552">
        <v>100</v>
      </c>
      <c r="E552">
        <v>3200</v>
      </c>
      <c r="F552" t="str">
        <f t="shared" si="8"/>
        <v>tree256_blurkernel10_15_100_3200</v>
      </c>
      <c r="G552">
        <v>0</v>
      </c>
      <c r="H552">
        <v>0</v>
      </c>
      <c r="I552">
        <v>3.4861000000000001E-4</v>
      </c>
      <c r="J552">
        <v>9.1179999999999998E-6</v>
      </c>
      <c r="K552">
        <v>20.193100000000001</v>
      </c>
      <c r="L552">
        <v>3.7448000000000001</v>
      </c>
      <c r="M552">
        <v>13.0062</v>
      </c>
      <c r="N552">
        <v>0</v>
      </c>
      <c r="O552">
        <v>0</v>
      </c>
    </row>
    <row r="553" spans="1:15" x14ac:dyDescent="0.25">
      <c r="A553" t="s">
        <v>19</v>
      </c>
      <c r="B553" t="s">
        <v>18</v>
      </c>
      <c r="C553">
        <v>15</v>
      </c>
      <c r="D553">
        <v>100</v>
      </c>
      <c r="E553">
        <v>6400</v>
      </c>
      <c r="F553" t="str">
        <f t="shared" si="8"/>
        <v>tree256_blurkernel10_15_100_6400</v>
      </c>
      <c r="G553">
        <v>0</v>
      </c>
      <c r="H553">
        <v>0</v>
      </c>
      <c r="I553">
        <v>7.2985599999999997E-4</v>
      </c>
      <c r="J553">
        <v>9.1179999999999998E-6</v>
      </c>
      <c r="K553">
        <v>17.013500000000001</v>
      </c>
      <c r="L553">
        <v>3.7448000000000001</v>
      </c>
      <c r="M553">
        <v>12.6744</v>
      </c>
      <c r="N553">
        <v>0</v>
      </c>
      <c r="O553">
        <v>0</v>
      </c>
    </row>
    <row r="554" spans="1:15" x14ac:dyDescent="0.25">
      <c r="A554" t="s">
        <v>19</v>
      </c>
      <c r="B554" t="s">
        <v>18</v>
      </c>
      <c r="C554">
        <v>15</v>
      </c>
      <c r="D554">
        <v>100</v>
      </c>
      <c r="E554">
        <v>12800</v>
      </c>
      <c r="F554" t="str">
        <f t="shared" si="8"/>
        <v>tree256_blurkernel10_15_100_12800</v>
      </c>
      <c r="G554">
        <v>0</v>
      </c>
      <c r="H554">
        <v>0</v>
      </c>
      <c r="I554">
        <v>1.50661E-3</v>
      </c>
      <c r="J554">
        <v>9.1179999999999998E-6</v>
      </c>
      <c r="K554">
        <v>13.952500000000001</v>
      </c>
      <c r="L554">
        <v>3.7448000000000001</v>
      </c>
      <c r="M554">
        <v>12.001200000000001</v>
      </c>
      <c r="N554">
        <v>0</v>
      </c>
      <c r="O554">
        <v>0</v>
      </c>
    </row>
    <row r="555" spans="1:15" x14ac:dyDescent="0.25">
      <c r="A555" t="s">
        <v>19</v>
      </c>
      <c r="B555" t="s">
        <v>18</v>
      </c>
      <c r="C555">
        <v>15</v>
      </c>
      <c r="D555">
        <v>100</v>
      </c>
      <c r="E555">
        <v>25600</v>
      </c>
      <c r="F555" t="str">
        <f t="shared" si="8"/>
        <v>tree256_blurkernel10_15_100_25600</v>
      </c>
      <c r="G555">
        <v>0</v>
      </c>
      <c r="H555">
        <v>0</v>
      </c>
      <c r="I555">
        <v>3.3276109999999999E-3</v>
      </c>
      <c r="J555">
        <v>9.1179999999999998E-6</v>
      </c>
      <c r="K555">
        <v>10.678000000000001</v>
      </c>
      <c r="L555">
        <v>3.7448000000000001</v>
      </c>
      <c r="M555">
        <v>11.040800000000001</v>
      </c>
      <c r="N555">
        <v>0</v>
      </c>
      <c r="O555">
        <v>0</v>
      </c>
    </row>
    <row r="556" spans="1:15" x14ac:dyDescent="0.25">
      <c r="A556" t="s">
        <v>19</v>
      </c>
      <c r="B556" t="s">
        <v>18</v>
      </c>
      <c r="C556">
        <v>15</v>
      </c>
      <c r="D556">
        <v>100</v>
      </c>
      <c r="E556">
        <v>102400</v>
      </c>
      <c r="F556" t="str">
        <f t="shared" si="8"/>
        <v>tree256_blurkernel10_15_100_102400</v>
      </c>
      <c r="G556">
        <v>0</v>
      </c>
      <c r="H556">
        <v>0</v>
      </c>
      <c r="I556">
        <v>2.0371528999999999E-2</v>
      </c>
      <c r="J556">
        <v>9.0929999999999992E-6</v>
      </c>
      <c r="K556">
        <v>4.2717000000000001</v>
      </c>
      <c r="L556">
        <v>3.7454000000000001</v>
      </c>
      <c r="M556">
        <v>7.8624999999999998</v>
      </c>
      <c r="N556">
        <v>0</v>
      </c>
      <c r="O556">
        <v>0</v>
      </c>
    </row>
    <row r="557" spans="1:15" x14ac:dyDescent="0.25">
      <c r="A557" t="s">
        <v>19</v>
      </c>
      <c r="B557" t="s">
        <v>18</v>
      </c>
      <c r="C557">
        <v>31</v>
      </c>
      <c r="D557">
        <v>100</v>
      </c>
      <c r="E557">
        <v>200</v>
      </c>
      <c r="F557" t="str">
        <f t="shared" si="8"/>
        <v>tree256_blurkernel10_31_100_200</v>
      </c>
      <c r="G557">
        <v>0</v>
      </c>
      <c r="H557">
        <v>0</v>
      </c>
      <c r="I557">
        <v>1.9868999999999999E-5</v>
      </c>
      <c r="J557">
        <v>9.1099999999999992E-6</v>
      </c>
      <c r="K557">
        <v>32.600299999999997</v>
      </c>
      <c r="L557">
        <v>2.5842999999999998</v>
      </c>
      <c r="M557">
        <v>13.5326</v>
      </c>
      <c r="N557">
        <v>0</v>
      </c>
      <c r="O557">
        <v>0</v>
      </c>
    </row>
    <row r="558" spans="1:15" x14ac:dyDescent="0.25">
      <c r="A558" t="s">
        <v>19</v>
      </c>
      <c r="B558" t="s">
        <v>18</v>
      </c>
      <c r="C558">
        <v>31</v>
      </c>
      <c r="D558">
        <v>100</v>
      </c>
      <c r="E558">
        <v>400</v>
      </c>
      <c r="F558" t="str">
        <f t="shared" si="8"/>
        <v>tree256_blurkernel10_31_100_400</v>
      </c>
      <c r="G558">
        <v>0</v>
      </c>
      <c r="H558">
        <v>0</v>
      </c>
      <c r="I558">
        <v>4.0983999999999999E-5</v>
      </c>
      <c r="J558">
        <v>9.1099999999999992E-6</v>
      </c>
      <c r="K558">
        <v>29.4575</v>
      </c>
      <c r="L558">
        <v>2.5842999999999998</v>
      </c>
      <c r="M558">
        <v>13.497199999999999</v>
      </c>
      <c r="N558">
        <v>0</v>
      </c>
      <c r="O558">
        <v>0</v>
      </c>
    </row>
    <row r="559" spans="1:15" x14ac:dyDescent="0.25">
      <c r="A559" t="s">
        <v>19</v>
      </c>
      <c r="B559" t="s">
        <v>18</v>
      </c>
      <c r="C559">
        <v>31</v>
      </c>
      <c r="D559">
        <v>100</v>
      </c>
      <c r="E559">
        <v>800</v>
      </c>
      <c r="F559" t="str">
        <f t="shared" si="8"/>
        <v>tree256_blurkernel10_31_100_800</v>
      </c>
      <c r="G559">
        <v>0</v>
      </c>
      <c r="H559">
        <v>0</v>
      </c>
      <c r="I559">
        <v>8.4498000000000003E-5</v>
      </c>
      <c r="J559">
        <v>9.1099999999999992E-6</v>
      </c>
      <c r="K559">
        <v>26.318100000000001</v>
      </c>
      <c r="L559">
        <v>2.5842999999999998</v>
      </c>
      <c r="M559">
        <v>13.443099999999999</v>
      </c>
      <c r="N559">
        <v>0</v>
      </c>
      <c r="O559">
        <v>0</v>
      </c>
    </row>
    <row r="560" spans="1:15" x14ac:dyDescent="0.25">
      <c r="A560" t="s">
        <v>19</v>
      </c>
      <c r="B560" t="s">
        <v>18</v>
      </c>
      <c r="C560">
        <v>31</v>
      </c>
      <c r="D560">
        <v>100</v>
      </c>
      <c r="E560">
        <v>1600</v>
      </c>
      <c r="F560" t="str">
        <f t="shared" si="8"/>
        <v>tree256_blurkernel10_31_100_1600</v>
      </c>
      <c r="G560">
        <v>0</v>
      </c>
      <c r="H560">
        <v>0</v>
      </c>
      <c r="I560">
        <v>1.7072300000000001E-4</v>
      </c>
      <c r="J560">
        <v>9.1099999999999992E-6</v>
      </c>
      <c r="K560">
        <v>23.270800000000001</v>
      </c>
      <c r="L560">
        <v>2.5842999999999998</v>
      </c>
      <c r="M560">
        <v>13.3004</v>
      </c>
      <c r="N560">
        <v>0</v>
      </c>
      <c r="O560">
        <v>0</v>
      </c>
    </row>
    <row r="561" spans="1:15" x14ac:dyDescent="0.25">
      <c r="A561" t="s">
        <v>19</v>
      </c>
      <c r="B561" t="s">
        <v>18</v>
      </c>
      <c r="C561">
        <v>31</v>
      </c>
      <c r="D561">
        <v>100</v>
      </c>
      <c r="E561">
        <v>3200</v>
      </c>
      <c r="F561" t="str">
        <f t="shared" si="8"/>
        <v>tree256_blurkernel10_31_100_3200</v>
      </c>
      <c r="G561">
        <v>0</v>
      </c>
      <c r="H561">
        <v>0</v>
      </c>
      <c r="I561">
        <v>3.45259E-4</v>
      </c>
      <c r="J561">
        <v>9.1099999999999992E-6</v>
      </c>
      <c r="K561">
        <v>20.226800000000001</v>
      </c>
      <c r="L561">
        <v>2.5842999999999998</v>
      </c>
      <c r="M561">
        <v>13.0983</v>
      </c>
      <c r="N561">
        <v>0</v>
      </c>
      <c r="O561">
        <v>0</v>
      </c>
    </row>
    <row r="562" spans="1:15" x14ac:dyDescent="0.25">
      <c r="A562" t="s">
        <v>19</v>
      </c>
      <c r="B562" t="s">
        <v>18</v>
      </c>
      <c r="C562">
        <v>31</v>
      </c>
      <c r="D562">
        <v>100</v>
      </c>
      <c r="E562">
        <v>6400</v>
      </c>
      <c r="F562" t="str">
        <f t="shared" si="8"/>
        <v>tree256_blurkernel10_31_100_6400</v>
      </c>
      <c r="G562">
        <v>0</v>
      </c>
      <c r="H562">
        <v>0</v>
      </c>
      <c r="I562">
        <v>7.0965199999999996E-4</v>
      </c>
      <c r="J562">
        <v>9.1099999999999992E-6</v>
      </c>
      <c r="K562">
        <v>17.145499999999998</v>
      </c>
      <c r="L562">
        <v>2.5842999999999998</v>
      </c>
      <c r="M562">
        <v>12.7104</v>
      </c>
      <c r="N562">
        <v>0</v>
      </c>
      <c r="O562">
        <v>0</v>
      </c>
    </row>
    <row r="563" spans="1:15" x14ac:dyDescent="0.25">
      <c r="A563" t="s">
        <v>19</v>
      </c>
      <c r="B563" t="s">
        <v>18</v>
      </c>
      <c r="C563">
        <v>31</v>
      </c>
      <c r="D563">
        <v>100</v>
      </c>
      <c r="E563">
        <v>12800</v>
      </c>
      <c r="F563" t="str">
        <f t="shared" si="8"/>
        <v>tree256_blurkernel10_31_100_12800</v>
      </c>
      <c r="G563">
        <v>0</v>
      </c>
      <c r="H563">
        <v>0</v>
      </c>
      <c r="I563">
        <v>1.4956609999999999E-3</v>
      </c>
      <c r="J563">
        <v>9.1099999999999992E-6</v>
      </c>
      <c r="K563">
        <v>13.9841</v>
      </c>
      <c r="L563">
        <v>2.5842999999999998</v>
      </c>
      <c r="M563">
        <v>12.0131</v>
      </c>
      <c r="N563">
        <v>0</v>
      </c>
      <c r="O563">
        <v>0</v>
      </c>
    </row>
    <row r="564" spans="1:15" x14ac:dyDescent="0.25">
      <c r="A564" t="s">
        <v>19</v>
      </c>
      <c r="B564" t="s">
        <v>18</v>
      </c>
      <c r="C564">
        <v>31</v>
      </c>
      <c r="D564">
        <v>100</v>
      </c>
      <c r="E564">
        <v>25600</v>
      </c>
      <c r="F564" t="str">
        <f t="shared" si="8"/>
        <v>tree256_blurkernel10_31_100_25600</v>
      </c>
      <c r="G564">
        <v>0</v>
      </c>
      <c r="H564">
        <v>0</v>
      </c>
      <c r="I564">
        <v>3.3320149999999998E-3</v>
      </c>
      <c r="J564">
        <v>9.1099999999999992E-6</v>
      </c>
      <c r="K564">
        <v>10.679399999999999</v>
      </c>
      <c r="L564">
        <v>2.5842999999999998</v>
      </c>
      <c r="M564">
        <v>10.959</v>
      </c>
      <c r="N564">
        <v>0</v>
      </c>
      <c r="O564">
        <v>0</v>
      </c>
    </row>
    <row r="565" spans="1:15" x14ac:dyDescent="0.25">
      <c r="A565" t="s">
        <v>19</v>
      </c>
      <c r="B565" t="s">
        <v>18</v>
      </c>
      <c r="C565">
        <v>31</v>
      </c>
      <c r="D565">
        <v>100</v>
      </c>
      <c r="E565">
        <v>102400</v>
      </c>
      <c r="F565" t="str">
        <f t="shared" si="8"/>
        <v>tree256_blurkernel10_31_100_102400</v>
      </c>
      <c r="G565">
        <v>0</v>
      </c>
      <c r="H565">
        <v>0</v>
      </c>
      <c r="I565">
        <v>2.0269841E-2</v>
      </c>
      <c r="J565">
        <v>9.0429999999999996E-6</v>
      </c>
      <c r="K565">
        <v>4.2747000000000002</v>
      </c>
      <c r="L565">
        <v>2.585</v>
      </c>
      <c r="M565">
        <v>7.7172999999999998</v>
      </c>
      <c r="N565">
        <v>0</v>
      </c>
      <c r="O565">
        <v>0</v>
      </c>
    </row>
    <row r="566" spans="1:15" x14ac:dyDescent="0.25">
      <c r="A566" t="s">
        <v>19</v>
      </c>
      <c r="B566" t="s">
        <v>18</v>
      </c>
      <c r="C566">
        <v>63</v>
      </c>
      <c r="D566">
        <v>100</v>
      </c>
      <c r="E566">
        <v>200</v>
      </c>
      <c r="F566" t="str">
        <f t="shared" si="8"/>
        <v>tree256_blurkernel10_63_100_200</v>
      </c>
      <c r="G566">
        <v>0</v>
      </c>
      <c r="H566">
        <v>0</v>
      </c>
      <c r="I566">
        <v>1.9751000000000001E-5</v>
      </c>
      <c r="J566">
        <v>9.1169999999999993E-6</v>
      </c>
      <c r="K566">
        <v>32.626399999999997</v>
      </c>
      <c r="L566">
        <v>2.0022000000000002</v>
      </c>
      <c r="M566">
        <v>13.754</v>
      </c>
      <c r="N566">
        <v>0</v>
      </c>
      <c r="O566">
        <v>0</v>
      </c>
    </row>
    <row r="567" spans="1:15" x14ac:dyDescent="0.25">
      <c r="A567" t="s">
        <v>19</v>
      </c>
      <c r="B567" t="s">
        <v>18</v>
      </c>
      <c r="C567">
        <v>63</v>
      </c>
      <c r="D567">
        <v>100</v>
      </c>
      <c r="E567">
        <v>400</v>
      </c>
      <c r="F567" t="str">
        <f t="shared" si="8"/>
        <v>tree256_blurkernel10_63_100_400</v>
      </c>
      <c r="G567">
        <v>0</v>
      </c>
      <c r="H567">
        <v>0</v>
      </c>
      <c r="I567">
        <v>4.104E-5</v>
      </c>
      <c r="J567">
        <v>9.1169999999999993E-6</v>
      </c>
      <c r="K567">
        <v>29.4513</v>
      </c>
      <c r="L567">
        <v>2.0022000000000002</v>
      </c>
      <c r="M567">
        <v>13.7056</v>
      </c>
      <c r="N567">
        <v>0</v>
      </c>
      <c r="O567">
        <v>0</v>
      </c>
    </row>
    <row r="568" spans="1:15" x14ac:dyDescent="0.25">
      <c r="A568" t="s">
        <v>19</v>
      </c>
      <c r="B568" t="s">
        <v>18</v>
      </c>
      <c r="C568">
        <v>63</v>
      </c>
      <c r="D568">
        <v>100</v>
      </c>
      <c r="E568">
        <v>800</v>
      </c>
      <c r="F568" t="str">
        <f t="shared" si="8"/>
        <v>tree256_blurkernel10_63_100_800</v>
      </c>
      <c r="G568">
        <v>0</v>
      </c>
      <c r="H568">
        <v>0</v>
      </c>
      <c r="I568">
        <v>8.4332999999999994E-5</v>
      </c>
      <c r="J568">
        <v>9.1169999999999993E-6</v>
      </c>
      <c r="K568">
        <v>26.329799999999999</v>
      </c>
      <c r="L568">
        <v>2.0022000000000002</v>
      </c>
      <c r="M568">
        <v>13.6553</v>
      </c>
      <c r="N568">
        <v>0</v>
      </c>
      <c r="O568">
        <v>0</v>
      </c>
    </row>
    <row r="569" spans="1:15" x14ac:dyDescent="0.25">
      <c r="A569" t="s">
        <v>19</v>
      </c>
      <c r="B569" t="s">
        <v>18</v>
      </c>
      <c r="C569">
        <v>63</v>
      </c>
      <c r="D569">
        <v>100</v>
      </c>
      <c r="E569">
        <v>1600</v>
      </c>
      <c r="F569" t="str">
        <f t="shared" si="8"/>
        <v>tree256_blurkernel10_63_100_1600</v>
      </c>
      <c r="G569">
        <v>0</v>
      </c>
      <c r="H569">
        <v>0</v>
      </c>
      <c r="I569">
        <v>1.7202299999999999E-4</v>
      </c>
      <c r="J569">
        <v>9.1169999999999993E-6</v>
      </c>
      <c r="K569">
        <v>23.240200000000002</v>
      </c>
      <c r="L569">
        <v>2.0022000000000002</v>
      </c>
      <c r="M569">
        <v>13.5184</v>
      </c>
      <c r="N569">
        <v>0</v>
      </c>
      <c r="O569">
        <v>0</v>
      </c>
    </row>
    <row r="570" spans="1:15" x14ac:dyDescent="0.25">
      <c r="A570" t="s">
        <v>19</v>
      </c>
      <c r="B570" t="s">
        <v>18</v>
      </c>
      <c r="C570">
        <v>63</v>
      </c>
      <c r="D570">
        <v>100</v>
      </c>
      <c r="E570">
        <v>3200</v>
      </c>
      <c r="F570" t="str">
        <f t="shared" si="8"/>
        <v>tree256_blurkernel10_63_100_3200</v>
      </c>
      <c r="G570">
        <v>0</v>
      </c>
      <c r="H570">
        <v>0</v>
      </c>
      <c r="I570">
        <v>3.4810700000000001E-4</v>
      </c>
      <c r="J570">
        <v>9.1169999999999993E-6</v>
      </c>
      <c r="K570">
        <v>20.197800000000001</v>
      </c>
      <c r="L570">
        <v>2.0022000000000002</v>
      </c>
      <c r="M570">
        <v>13.3408</v>
      </c>
      <c r="N570">
        <v>0</v>
      </c>
      <c r="O570">
        <v>0</v>
      </c>
    </row>
    <row r="571" spans="1:15" x14ac:dyDescent="0.25">
      <c r="A571" t="s">
        <v>19</v>
      </c>
      <c r="B571" t="s">
        <v>18</v>
      </c>
      <c r="C571">
        <v>63</v>
      </c>
      <c r="D571">
        <v>100</v>
      </c>
      <c r="E571">
        <v>6400</v>
      </c>
      <c r="F571" t="str">
        <f t="shared" si="8"/>
        <v>tree256_blurkernel10_63_100_6400</v>
      </c>
      <c r="G571">
        <v>0</v>
      </c>
      <c r="H571">
        <v>0</v>
      </c>
      <c r="I571">
        <v>7.1888799999999999E-4</v>
      </c>
      <c r="J571">
        <v>9.1169999999999993E-6</v>
      </c>
      <c r="K571">
        <v>17.082899999999999</v>
      </c>
      <c r="L571">
        <v>2.0022000000000002</v>
      </c>
      <c r="M571">
        <v>12.8546</v>
      </c>
      <c r="N571">
        <v>0</v>
      </c>
      <c r="O571">
        <v>0</v>
      </c>
    </row>
    <row r="572" spans="1:15" x14ac:dyDescent="0.25">
      <c r="A572" t="s">
        <v>19</v>
      </c>
      <c r="B572" t="s">
        <v>18</v>
      </c>
      <c r="C572">
        <v>63</v>
      </c>
      <c r="D572">
        <v>100</v>
      </c>
      <c r="E572">
        <v>12800</v>
      </c>
      <c r="F572" t="str">
        <f t="shared" si="8"/>
        <v>tree256_blurkernel10_63_100_12800</v>
      </c>
      <c r="G572">
        <v>0</v>
      </c>
      <c r="H572">
        <v>0</v>
      </c>
      <c r="I572">
        <v>1.530205E-3</v>
      </c>
      <c r="J572">
        <v>9.1169999999999993E-6</v>
      </c>
      <c r="K572">
        <v>13.894399999999999</v>
      </c>
      <c r="L572">
        <v>2.0022000000000002</v>
      </c>
      <c r="M572">
        <v>12.1791</v>
      </c>
      <c r="N572">
        <v>0</v>
      </c>
      <c r="O572">
        <v>0</v>
      </c>
    </row>
    <row r="573" spans="1:15" x14ac:dyDescent="0.25">
      <c r="A573" t="s">
        <v>19</v>
      </c>
      <c r="B573" t="s">
        <v>18</v>
      </c>
      <c r="C573">
        <v>63</v>
      </c>
      <c r="D573">
        <v>100</v>
      </c>
      <c r="E573">
        <v>25600</v>
      </c>
      <c r="F573" t="str">
        <f t="shared" si="8"/>
        <v>tree256_blurkernel10_63_100_25600</v>
      </c>
      <c r="G573">
        <v>0</v>
      </c>
      <c r="H573">
        <v>0</v>
      </c>
      <c r="I573">
        <v>3.3478650000000002E-3</v>
      </c>
      <c r="J573">
        <v>9.1169999999999993E-6</v>
      </c>
      <c r="K573">
        <v>10.6768</v>
      </c>
      <c r="L573">
        <v>2.0022000000000002</v>
      </c>
      <c r="M573">
        <v>11.1365</v>
      </c>
      <c r="N573">
        <v>0</v>
      </c>
      <c r="O573">
        <v>0</v>
      </c>
    </row>
    <row r="574" spans="1:15" x14ac:dyDescent="0.25">
      <c r="A574" t="s">
        <v>19</v>
      </c>
      <c r="B574" t="s">
        <v>15</v>
      </c>
      <c r="C574">
        <v>3</v>
      </c>
      <c r="D574">
        <v>100</v>
      </c>
      <c r="E574">
        <v>200</v>
      </c>
      <c r="F574" t="str">
        <f t="shared" si="8"/>
        <v>tree256_blurkernel7_3_100_200</v>
      </c>
      <c r="G574">
        <v>0</v>
      </c>
      <c r="H574">
        <v>0</v>
      </c>
      <c r="I574">
        <v>1.9976999999999999E-5</v>
      </c>
      <c r="J574">
        <v>9.0350000000000007E-6</v>
      </c>
      <c r="K574">
        <v>32.576300000000003</v>
      </c>
      <c r="L574">
        <v>12.266999999999999</v>
      </c>
      <c r="M574">
        <v>12.6503</v>
      </c>
      <c r="N574">
        <v>0</v>
      </c>
      <c r="O574">
        <v>0</v>
      </c>
    </row>
    <row r="575" spans="1:15" x14ac:dyDescent="0.25">
      <c r="A575" t="s">
        <v>19</v>
      </c>
      <c r="B575" t="s">
        <v>15</v>
      </c>
      <c r="C575">
        <v>3</v>
      </c>
      <c r="D575">
        <v>100</v>
      </c>
      <c r="E575">
        <v>400</v>
      </c>
      <c r="F575" t="str">
        <f t="shared" si="8"/>
        <v>tree256_blurkernel7_3_100_400</v>
      </c>
      <c r="G575">
        <v>0</v>
      </c>
      <c r="H575">
        <v>0</v>
      </c>
      <c r="I575">
        <v>4.1502999999999999E-5</v>
      </c>
      <c r="J575">
        <v>9.0350000000000007E-6</v>
      </c>
      <c r="K575">
        <v>29.4024</v>
      </c>
      <c r="L575">
        <v>12.266999999999999</v>
      </c>
      <c r="M575">
        <v>12.649800000000001</v>
      </c>
      <c r="N575">
        <v>0</v>
      </c>
      <c r="O575">
        <v>0</v>
      </c>
    </row>
    <row r="576" spans="1:15" x14ac:dyDescent="0.25">
      <c r="A576" t="s">
        <v>19</v>
      </c>
      <c r="B576" t="s">
        <v>15</v>
      </c>
      <c r="C576">
        <v>3</v>
      </c>
      <c r="D576">
        <v>100</v>
      </c>
      <c r="E576">
        <v>800</v>
      </c>
      <c r="F576" t="str">
        <f t="shared" si="8"/>
        <v>tree256_blurkernel7_3_100_800</v>
      </c>
      <c r="G576">
        <v>0</v>
      </c>
      <c r="H576">
        <v>0</v>
      </c>
      <c r="I576">
        <v>8.3954000000000003E-5</v>
      </c>
      <c r="J576">
        <v>9.0350000000000007E-6</v>
      </c>
      <c r="K576">
        <v>26.348400000000002</v>
      </c>
      <c r="L576">
        <v>12.266999999999999</v>
      </c>
      <c r="M576">
        <v>12.633599999999999</v>
      </c>
      <c r="N576">
        <v>0</v>
      </c>
      <c r="O576">
        <v>0</v>
      </c>
    </row>
    <row r="577" spans="1:15" x14ac:dyDescent="0.25">
      <c r="A577" t="s">
        <v>19</v>
      </c>
      <c r="B577" t="s">
        <v>15</v>
      </c>
      <c r="C577">
        <v>3</v>
      </c>
      <c r="D577">
        <v>100</v>
      </c>
      <c r="E577">
        <v>1600</v>
      </c>
      <c r="F577" t="str">
        <f t="shared" si="8"/>
        <v>tree256_blurkernel7_3_100_1600</v>
      </c>
      <c r="G577">
        <v>0</v>
      </c>
      <c r="H577">
        <v>0</v>
      </c>
      <c r="I577">
        <v>1.71337E-4</v>
      </c>
      <c r="J577">
        <v>9.0350000000000007E-6</v>
      </c>
      <c r="K577">
        <v>23.262599999999999</v>
      </c>
      <c r="L577">
        <v>12.266999999999999</v>
      </c>
      <c r="M577">
        <v>12.641500000000001</v>
      </c>
      <c r="N577">
        <v>0</v>
      </c>
      <c r="O577">
        <v>0</v>
      </c>
    </row>
    <row r="578" spans="1:15" x14ac:dyDescent="0.25">
      <c r="A578" t="s">
        <v>19</v>
      </c>
      <c r="B578" t="s">
        <v>15</v>
      </c>
      <c r="C578">
        <v>3</v>
      </c>
      <c r="D578">
        <v>100</v>
      </c>
      <c r="E578">
        <v>3200</v>
      </c>
      <c r="F578" t="str">
        <f t="shared" ref="F578:F641" si="9">A578&amp;"_"&amp;B578&amp;"_"&amp;C578&amp;"_"&amp;D578&amp;"_"&amp;E578</f>
        <v>tree256_blurkernel7_3_100_3200</v>
      </c>
      <c r="G578">
        <v>0</v>
      </c>
      <c r="H578">
        <v>0</v>
      </c>
      <c r="I578">
        <v>3.4606399999999999E-4</v>
      </c>
      <c r="J578">
        <v>9.0350000000000007E-6</v>
      </c>
      <c r="K578">
        <v>20.221800000000002</v>
      </c>
      <c r="L578">
        <v>12.266999999999999</v>
      </c>
      <c r="M578">
        <v>12.6356</v>
      </c>
      <c r="N578">
        <v>0</v>
      </c>
      <c r="O578">
        <v>0</v>
      </c>
    </row>
    <row r="579" spans="1:15" x14ac:dyDescent="0.25">
      <c r="A579" t="s">
        <v>19</v>
      </c>
      <c r="B579" t="s">
        <v>15</v>
      </c>
      <c r="C579">
        <v>3</v>
      </c>
      <c r="D579">
        <v>100</v>
      </c>
      <c r="E579">
        <v>6400</v>
      </c>
      <c r="F579" t="str">
        <f t="shared" si="9"/>
        <v>tree256_blurkernel7_3_100_6400</v>
      </c>
      <c r="G579">
        <v>0</v>
      </c>
      <c r="H579">
        <v>0</v>
      </c>
      <c r="I579">
        <v>7.0942200000000003E-4</v>
      </c>
      <c r="J579">
        <v>9.0350000000000007E-6</v>
      </c>
      <c r="K579">
        <v>17.140699999999999</v>
      </c>
      <c r="L579">
        <v>12.266999999999999</v>
      </c>
      <c r="M579">
        <v>12.612500000000001</v>
      </c>
      <c r="N579">
        <v>0</v>
      </c>
      <c r="O579">
        <v>0</v>
      </c>
    </row>
    <row r="580" spans="1:15" x14ac:dyDescent="0.25">
      <c r="A580" t="s">
        <v>19</v>
      </c>
      <c r="B580" t="s">
        <v>15</v>
      </c>
      <c r="C580">
        <v>3</v>
      </c>
      <c r="D580">
        <v>100</v>
      </c>
      <c r="E580">
        <v>12800</v>
      </c>
      <c r="F580" t="str">
        <f t="shared" si="9"/>
        <v>tree256_blurkernel7_3_100_12800</v>
      </c>
      <c r="G580">
        <v>0</v>
      </c>
      <c r="H580">
        <v>0</v>
      </c>
      <c r="I580">
        <v>1.515387E-3</v>
      </c>
      <c r="J580">
        <v>9.0350000000000007E-6</v>
      </c>
      <c r="K580">
        <v>13.9198</v>
      </c>
      <c r="L580">
        <v>12.266999999999999</v>
      </c>
      <c r="M580">
        <v>12.6006</v>
      </c>
      <c r="N580">
        <v>0</v>
      </c>
      <c r="O580">
        <v>0</v>
      </c>
    </row>
    <row r="581" spans="1:15" x14ac:dyDescent="0.25">
      <c r="A581" t="s">
        <v>19</v>
      </c>
      <c r="B581" t="s">
        <v>15</v>
      </c>
      <c r="C581">
        <v>3</v>
      </c>
      <c r="D581">
        <v>100</v>
      </c>
      <c r="E581">
        <v>25600</v>
      </c>
      <c r="F581" t="str">
        <f t="shared" si="9"/>
        <v>tree256_blurkernel7_3_100_25600</v>
      </c>
      <c r="G581">
        <v>0</v>
      </c>
      <c r="H581">
        <v>0</v>
      </c>
      <c r="I581">
        <v>3.3410699999999998E-3</v>
      </c>
      <c r="J581">
        <v>9.0350000000000007E-6</v>
      </c>
      <c r="K581">
        <v>10.6853</v>
      </c>
      <c r="L581">
        <v>12.266999999999999</v>
      </c>
      <c r="M581">
        <v>12.593299999999999</v>
      </c>
      <c r="N581">
        <v>0</v>
      </c>
      <c r="O581">
        <v>0</v>
      </c>
    </row>
    <row r="582" spans="1:15" x14ac:dyDescent="0.25">
      <c r="A582" t="s">
        <v>19</v>
      </c>
      <c r="B582" t="s">
        <v>15</v>
      </c>
      <c r="C582">
        <v>3</v>
      </c>
      <c r="D582">
        <v>100</v>
      </c>
      <c r="E582">
        <v>102400</v>
      </c>
      <c r="F582" t="str">
        <f t="shared" si="9"/>
        <v>tree256_blurkernel7_3_100_102400</v>
      </c>
      <c r="G582">
        <v>0</v>
      </c>
      <c r="H582">
        <v>0</v>
      </c>
      <c r="I582">
        <v>2.0250608E-2</v>
      </c>
      <c r="J582">
        <v>9.0299999999999999E-6</v>
      </c>
      <c r="K582">
        <v>4.2571000000000003</v>
      </c>
      <c r="L582">
        <v>12.27</v>
      </c>
      <c r="M582">
        <v>12.1829</v>
      </c>
      <c r="N582">
        <v>0</v>
      </c>
      <c r="O582">
        <v>0</v>
      </c>
    </row>
    <row r="583" spans="1:15" x14ac:dyDescent="0.25">
      <c r="A583" t="s">
        <v>19</v>
      </c>
      <c r="B583" t="s">
        <v>15</v>
      </c>
      <c r="C583">
        <v>7</v>
      </c>
      <c r="D583">
        <v>100</v>
      </c>
      <c r="E583">
        <v>200</v>
      </c>
      <c r="F583" t="str">
        <f t="shared" si="9"/>
        <v>tree256_blurkernel7_7_100_200</v>
      </c>
      <c r="G583">
        <v>0</v>
      </c>
      <c r="H583">
        <v>0</v>
      </c>
      <c r="I583">
        <v>1.9573999999999999E-5</v>
      </c>
      <c r="J583">
        <v>9.0499999999999997E-6</v>
      </c>
      <c r="K583">
        <v>32.666499999999999</v>
      </c>
      <c r="L583">
        <v>6.8845999999999998</v>
      </c>
      <c r="M583">
        <v>12.1646</v>
      </c>
      <c r="N583">
        <v>0</v>
      </c>
      <c r="O583">
        <v>0</v>
      </c>
    </row>
    <row r="584" spans="1:15" x14ac:dyDescent="0.25">
      <c r="A584" t="s">
        <v>19</v>
      </c>
      <c r="B584" t="s">
        <v>15</v>
      </c>
      <c r="C584">
        <v>7</v>
      </c>
      <c r="D584">
        <v>100</v>
      </c>
      <c r="E584">
        <v>400</v>
      </c>
      <c r="F584" t="str">
        <f t="shared" si="9"/>
        <v>tree256_blurkernel7_7_100_400</v>
      </c>
      <c r="G584">
        <v>0</v>
      </c>
      <c r="H584">
        <v>0</v>
      </c>
      <c r="I584">
        <v>4.1020999999999999E-5</v>
      </c>
      <c r="J584">
        <v>9.0499999999999997E-6</v>
      </c>
      <c r="K584">
        <v>29.454999999999998</v>
      </c>
      <c r="L584">
        <v>6.8845999999999998</v>
      </c>
      <c r="M584">
        <v>12.154</v>
      </c>
      <c r="N584">
        <v>0</v>
      </c>
      <c r="O584">
        <v>0</v>
      </c>
    </row>
    <row r="585" spans="1:15" x14ac:dyDescent="0.25">
      <c r="A585" t="s">
        <v>19</v>
      </c>
      <c r="B585" t="s">
        <v>15</v>
      </c>
      <c r="C585">
        <v>7</v>
      </c>
      <c r="D585">
        <v>100</v>
      </c>
      <c r="E585">
        <v>800</v>
      </c>
      <c r="F585" t="str">
        <f t="shared" si="9"/>
        <v>tree256_blurkernel7_7_100_800</v>
      </c>
      <c r="G585">
        <v>0</v>
      </c>
      <c r="H585">
        <v>0</v>
      </c>
      <c r="I585">
        <v>8.5611000000000004E-5</v>
      </c>
      <c r="J585">
        <v>9.0499999999999997E-6</v>
      </c>
      <c r="K585">
        <v>26.261500000000002</v>
      </c>
      <c r="L585">
        <v>6.8845999999999998</v>
      </c>
      <c r="M585">
        <v>12.0977</v>
      </c>
      <c r="N585">
        <v>0</v>
      </c>
      <c r="O585">
        <v>0</v>
      </c>
    </row>
    <row r="586" spans="1:15" x14ac:dyDescent="0.25">
      <c r="A586" t="s">
        <v>19</v>
      </c>
      <c r="B586" t="s">
        <v>15</v>
      </c>
      <c r="C586">
        <v>7</v>
      </c>
      <c r="D586">
        <v>100</v>
      </c>
      <c r="E586">
        <v>1600</v>
      </c>
      <c r="F586" t="str">
        <f t="shared" si="9"/>
        <v>tree256_blurkernel7_7_100_1600</v>
      </c>
      <c r="G586">
        <v>0</v>
      </c>
      <c r="H586">
        <v>0</v>
      </c>
      <c r="I586">
        <v>1.7223600000000001E-4</v>
      </c>
      <c r="J586">
        <v>9.0499999999999997E-6</v>
      </c>
      <c r="K586">
        <v>23.2362</v>
      </c>
      <c r="L586">
        <v>6.8845999999999998</v>
      </c>
      <c r="M586">
        <v>12.029400000000001</v>
      </c>
      <c r="N586">
        <v>0</v>
      </c>
      <c r="O586">
        <v>0</v>
      </c>
    </row>
    <row r="587" spans="1:15" x14ac:dyDescent="0.25">
      <c r="A587" t="s">
        <v>19</v>
      </c>
      <c r="B587" t="s">
        <v>15</v>
      </c>
      <c r="C587">
        <v>7</v>
      </c>
      <c r="D587">
        <v>100</v>
      </c>
      <c r="E587">
        <v>3200</v>
      </c>
      <c r="F587" t="str">
        <f t="shared" si="9"/>
        <v>tree256_blurkernel7_7_100_3200</v>
      </c>
      <c r="G587">
        <v>0</v>
      </c>
      <c r="H587">
        <v>0</v>
      </c>
      <c r="I587">
        <v>3.4797799999999998E-4</v>
      </c>
      <c r="J587">
        <v>9.0499999999999997E-6</v>
      </c>
      <c r="K587">
        <v>20.1937</v>
      </c>
      <c r="L587">
        <v>6.8845999999999998</v>
      </c>
      <c r="M587">
        <v>11.8164</v>
      </c>
      <c r="N587">
        <v>0</v>
      </c>
      <c r="O587">
        <v>0</v>
      </c>
    </row>
    <row r="588" spans="1:15" x14ac:dyDescent="0.25">
      <c r="A588" t="s">
        <v>19</v>
      </c>
      <c r="B588" t="s">
        <v>15</v>
      </c>
      <c r="C588">
        <v>7</v>
      </c>
      <c r="D588">
        <v>100</v>
      </c>
      <c r="E588">
        <v>6400</v>
      </c>
      <c r="F588" t="str">
        <f t="shared" si="9"/>
        <v>tree256_blurkernel7_7_100_6400</v>
      </c>
      <c r="G588">
        <v>0</v>
      </c>
      <c r="H588">
        <v>0</v>
      </c>
      <c r="I588">
        <v>7.1763399999999998E-4</v>
      </c>
      <c r="J588">
        <v>9.0499999999999997E-6</v>
      </c>
      <c r="K588">
        <v>17.099299999999999</v>
      </c>
      <c r="L588">
        <v>6.8845999999999998</v>
      </c>
      <c r="M588">
        <v>11.5509</v>
      </c>
      <c r="N588">
        <v>0</v>
      </c>
      <c r="O588">
        <v>0</v>
      </c>
    </row>
    <row r="589" spans="1:15" x14ac:dyDescent="0.25">
      <c r="A589" t="s">
        <v>19</v>
      </c>
      <c r="B589" t="s">
        <v>15</v>
      </c>
      <c r="C589">
        <v>7</v>
      </c>
      <c r="D589">
        <v>100</v>
      </c>
      <c r="E589">
        <v>12800</v>
      </c>
      <c r="F589" t="str">
        <f t="shared" si="9"/>
        <v>tree256_blurkernel7_7_100_12800</v>
      </c>
      <c r="G589">
        <v>0</v>
      </c>
      <c r="H589">
        <v>0</v>
      </c>
      <c r="I589">
        <v>1.524028E-3</v>
      </c>
      <c r="J589">
        <v>9.0499999999999997E-6</v>
      </c>
      <c r="K589">
        <v>13.903600000000001</v>
      </c>
      <c r="L589">
        <v>6.8845999999999998</v>
      </c>
      <c r="M589">
        <v>11.0764</v>
      </c>
      <c r="N589">
        <v>0</v>
      </c>
      <c r="O589">
        <v>0</v>
      </c>
    </row>
    <row r="590" spans="1:15" x14ac:dyDescent="0.25">
      <c r="A590" t="s">
        <v>19</v>
      </c>
      <c r="B590" t="s">
        <v>15</v>
      </c>
      <c r="C590">
        <v>7</v>
      </c>
      <c r="D590">
        <v>100</v>
      </c>
      <c r="E590">
        <v>25600</v>
      </c>
      <c r="F590" t="str">
        <f t="shared" si="9"/>
        <v>tree256_blurkernel7_7_100_25600</v>
      </c>
      <c r="G590">
        <v>0</v>
      </c>
      <c r="H590">
        <v>0</v>
      </c>
      <c r="I590">
        <v>3.2983359999999998E-3</v>
      </c>
      <c r="J590">
        <v>9.0499999999999997E-6</v>
      </c>
      <c r="K590">
        <v>10.720499999999999</v>
      </c>
      <c r="L590">
        <v>6.8845999999999998</v>
      </c>
      <c r="M590">
        <v>10.2966</v>
      </c>
      <c r="N590">
        <v>0</v>
      </c>
      <c r="O590">
        <v>0</v>
      </c>
    </row>
    <row r="591" spans="1:15" x14ac:dyDescent="0.25">
      <c r="A591" t="s">
        <v>19</v>
      </c>
      <c r="B591" t="s">
        <v>15</v>
      </c>
      <c r="C591">
        <v>7</v>
      </c>
      <c r="D591">
        <v>100</v>
      </c>
      <c r="E591">
        <v>102400</v>
      </c>
      <c r="F591" t="str">
        <f t="shared" si="9"/>
        <v>tree256_blurkernel7_7_100_102400</v>
      </c>
      <c r="G591">
        <v>0</v>
      </c>
      <c r="H591">
        <v>0</v>
      </c>
      <c r="I591">
        <v>2.0158777999999999E-2</v>
      </c>
      <c r="J591">
        <v>9.081E-6</v>
      </c>
      <c r="K591">
        <v>4.2942999999999998</v>
      </c>
      <c r="L591">
        <v>6.8842999999999996</v>
      </c>
      <c r="M591">
        <v>8.2741000000000007</v>
      </c>
      <c r="N591">
        <v>0</v>
      </c>
      <c r="O591">
        <v>0</v>
      </c>
    </row>
    <row r="592" spans="1:15" x14ac:dyDescent="0.25">
      <c r="A592" t="s">
        <v>19</v>
      </c>
      <c r="B592" t="s">
        <v>15</v>
      </c>
      <c r="C592">
        <v>15</v>
      </c>
      <c r="D592">
        <v>100</v>
      </c>
      <c r="E592">
        <v>200</v>
      </c>
      <c r="F592" t="str">
        <f t="shared" si="9"/>
        <v>tree256_blurkernel7_15_100_200</v>
      </c>
      <c r="G592">
        <v>0</v>
      </c>
      <c r="H592">
        <v>0</v>
      </c>
      <c r="I592">
        <v>1.9734000000000001E-5</v>
      </c>
      <c r="J592">
        <v>9.0259999999999996E-6</v>
      </c>
      <c r="K592">
        <v>32.629899999999999</v>
      </c>
      <c r="L592">
        <v>3.9230999999999998</v>
      </c>
      <c r="M592">
        <v>13.518700000000001</v>
      </c>
      <c r="N592">
        <v>0</v>
      </c>
      <c r="O592">
        <v>0</v>
      </c>
    </row>
    <row r="593" spans="1:15" x14ac:dyDescent="0.25">
      <c r="A593" t="s">
        <v>19</v>
      </c>
      <c r="B593" t="s">
        <v>15</v>
      </c>
      <c r="C593">
        <v>15</v>
      </c>
      <c r="D593">
        <v>100</v>
      </c>
      <c r="E593">
        <v>400</v>
      </c>
      <c r="F593" t="str">
        <f t="shared" si="9"/>
        <v>tree256_blurkernel7_15_100_400</v>
      </c>
      <c r="G593">
        <v>0</v>
      </c>
      <c r="H593">
        <v>0</v>
      </c>
      <c r="I593">
        <v>4.1303000000000001E-5</v>
      </c>
      <c r="J593">
        <v>9.0259999999999996E-6</v>
      </c>
      <c r="K593">
        <v>29.4237</v>
      </c>
      <c r="L593">
        <v>3.9230999999999998</v>
      </c>
      <c r="M593">
        <v>13.4734</v>
      </c>
      <c r="N593">
        <v>0</v>
      </c>
      <c r="O593">
        <v>0</v>
      </c>
    </row>
    <row r="594" spans="1:15" x14ac:dyDescent="0.25">
      <c r="A594" t="s">
        <v>19</v>
      </c>
      <c r="B594" t="s">
        <v>15</v>
      </c>
      <c r="C594">
        <v>15</v>
      </c>
      <c r="D594">
        <v>100</v>
      </c>
      <c r="E594">
        <v>800</v>
      </c>
      <c r="F594" t="str">
        <f t="shared" si="9"/>
        <v>tree256_blurkernel7_15_100_800</v>
      </c>
      <c r="G594">
        <v>0</v>
      </c>
      <c r="H594">
        <v>0</v>
      </c>
      <c r="I594">
        <v>8.3976999999999999E-5</v>
      </c>
      <c r="J594">
        <v>9.0259999999999996E-6</v>
      </c>
      <c r="K594">
        <v>26.347999999999999</v>
      </c>
      <c r="L594">
        <v>3.9230999999999998</v>
      </c>
      <c r="M594">
        <v>13.4048</v>
      </c>
      <c r="N594">
        <v>0</v>
      </c>
      <c r="O594">
        <v>0</v>
      </c>
    </row>
    <row r="595" spans="1:15" x14ac:dyDescent="0.25">
      <c r="A595" t="s">
        <v>19</v>
      </c>
      <c r="B595" t="s">
        <v>15</v>
      </c>
      <c r="C595">
        <v>15</v>
      </c>
      <c r="D595">
        <v>100</v>
      </c>
      <c r="E595">
        <v>1600</v>
      </c>
      <c r="F595" t="str">
        <f t="shared" si="9"/>
        <v>tree256_blurkernel7_15_100_1600</v>
      </c>
      <c r="G595">
        <v>0</v>
      </c>
      <c r="H595">
        <v>0</v>
      </c>
      <c r="I595">
        <v>1.7366899999999999E-4</v>
      </c>
      <c r="J595">
        <v>9.0259999999999996E-6</v>
      </c>
      <c r="K595">
        <v>23.1982</v>
      </c>
      <c r="L595">
        <v>3.9230999999999998</v>
      </c>
      <c r="M595">
        <v>13.2918</v>
      </c>
      <c r="N595">
        <v>0</v>
      </c>
      <c r="O595">
        <v>0</v>
      </c>
    </row>
    <row r="596" spans="1:15" x14ac:dyDescent="0.25">
      <c r="A596" t="s">
        <v>19</v>
      </c>
      <c r="B596" t="s">
        <v>15</v>
      </c>
      <c r="C596">
        <v>15</v>
      </c>
      <c r="D596">
        <v>100</v>
      </c>
      <c r="E596">
        <v>3200</v>
      </c>
      <c r="F596" t="str">
        <f t="shared" si="9"/>
        <v>tree256_blurkernel7_15_100_3200</v>
      </c>
      <c r="G596">
        <v>0</v>
      </c>
      <c r="H596">
        <v>0</v>
      </c>
      <c r="I596">
        <v>3.4453000000000001E-4</v>
      </c>
      <c r="J596">
        <v>9.0259999999999996E-6</v>
      </c>
      <c r="K596">
        <v>20.243400000000001</v>
      </c>
      <c r="L596">
        <v>3.9230999999999998</v>
      </c>
      <c r="M596">
        <v>13.065899999999999</v>
      </c>
      <c r="N596">
        <v>0</v>
      </c>
      <c r="O596">
        <v>0</v>
      </c>
    </row>
    <row r="597" spans="1:15" x14ac:dyDescent="0.25">
      <c r="A597" t="s">
        <v>19</v>
      </c>
      <c r="B597" t="s">
        <v>15</v>
      </c>
      <c r="C597">
        <v>15</v>
      </c>
      <c r="D597">
        <v>100</v>
      </c>
      <c r="E597">
        <v>6400</v>
      </c>
      <c r="F597" t="str">
        <f t="shared" si="9"/>
        <v>tree256_blurkernel7_15_100_6400</v>
      </c>
      <c r="G597">
        <v>0</v>
      </c>
      <c r="H597">
        <v>0</v>
      </c>
      <c r="I597">
        <v>7.2156900000000003E-4</v>
      </c>
      <c r="J597">
        <v>9.0259999999999996E-6</v>
      </c>
      <c r="K597">
        <v>17.0596</v>
      </c>
      <c r="L597">
        <v>3.9230999999999998</v>
      </c>
      <c r="M597">
        <v>12.6309</v>
      </c>
      <c r="N597">
        <v>0</v>
      </c>
      <c r="O597">
        <v>0</v>
      </c>
    </row>
    <row r="598" spans="1:15" x14ac:dyDescent="0.25">
      <c r="A598" t="s">
        <v>19</v>
      </c>
      <c r="B598" t="s">
        <v>15</v>
      </c>
      <c r="C598">
        <v>15</v>
      </c>
      <c r="D598">
        <v>100</v>
      </c>
      <c r="E598">
        <v>12800</v>
      </c>
      <c r="F598" t="str">
        <f t="shared" si="9"/>
        <v>tree256_blurkernel7_15_100_12800</v>
      </c>
      <c r="G598">
        <v>0</v>
      </c>
      <c r="H598">
        <v>0</v>
      </c>
      <c r="I598">
        <v>1.5272020000000001E-3</v>
      </c>
      <c r="J598">
        <v>9.0259999999999996E-6</v>
      </c>
      <c r="K598">
        <v>13.8887</v>
      </c>
      <c r="L598">
        <v>3.9230999999999998</v>
      </c>
      <c r="M598">
        <v>11.841799999999999</v>
      </c>
      <c r="N598">
        <v>0</v>
      </c>
      <c r="O598">
        <v>0</v>
      </c>
    </row>
    <row r="599" spans="1:15" x14ac:dyDescent="0.25">
      <c r="A599" t="s">
        <v>19</v>
      </c>
      <c r="B599" t="s">
        <v>15</v>
      </c>
      <c r="C599">
        <v>15</v>
      </c>
      <c r="D599">
        <v>100</v>
      </c>
      <c r="E599">
        <v>25600</v>
      </c>
      <c r="F599" t="str">
        <f t="shared" si="9"/>
        <v>tree256_blurkernel7_15_100_25600</v>
      </c>
      <c r="G599">
        <v>0</v>
      </c>
      <c r="H599">
        <v>0</v>
      </c>
      <c r="I599">
        <v>3.3219159999999998E-3</v>
      </c>
      <c r="J599">
        <v>9.0259999999999996E-6</v>
      </c>
      <c r="K599">
        <v>10.7026</v>
      </c>
      <c r="L599">
        <v>3.9230999999999998</v>
      </c>
      <c r="M599">
        <v>10.8348</v>
      </c>
      <c r="N599">
        <v>0</v>
      </c>
      <c r="O599">
        <v>0</v>
      </c>
    </row>
    <row r="600" spans="1:15" x14ac:dyDescent="0.25">
      <c r="A600" t="s">
        <v>19</v>
      </c>
      <c r="B600" t="s">
        <v>15</v>
      </c>
      <c r="C600">
        <v>15</v>
      </c>
      <c r="D600">
        <v>100</v>
      </c>
      <c r="E600">
        <v>102400</v>
      </c>
      <c r="F600" t="str">
        <f t="shared" si="9"/>
        <v>tree256_blurkernel7_15_100_102400</v>
      </c>
      <c r="G600">
        <v>0</v>
      </c>
      <c r="H600">
        <v>0</v>
      </c>
      <c r="I600">
        <v>2.0285948000000002E-2</v>
      </c>
      <c r="J600">
        <v>9.1099999999999992E-6</v>
      </c>
      <c r="K600">
        <v>4.2594000000000003</v>
      </c>
      <c r="L600">
        <v>3.9245000000000001</v>
      </c>
      <c r="M600">
        <v>7.5519999999999996</v>
      </c>
      <c r="N600">
        <v>0</v>
      </c>
      <c r="O600">
        <v>0</v>
      </c>
    </row>
    <row r="601" spans="1:15" x14ac:dyDescent="0.25">
      <c r="A601" t="s">
        <v>19</v>
      </c>
      <c r="B601" t="s">
        <v>15</v>
      </c>
      <c r="C601">
        <v>31</v>
      </c>
      <c r="D601">
        <v>100</v>
      </c>
      <c r="E601">
        <v>200</v>
      </c>
      <c r="F601" t="str">
        <f t="shared" si="9"/>
        <v>tree256_blurkernel7_31_100_200</v>
      </c>
      <c r="G601">
        <v>0</v>
      </c>
      <c r="H601">
        <v>0</v>
      </c>
      <c r="I601">
        <v>1.9981999999999999E-5</v>
      </c>
      <c r="J601">
        <v>9.1190000000000003E-6</v>
      </c>
      <c r="K601">
        <v>32.575099999999999</v>
      </c>
      <c r="L601">
        <v>2.4211999999999998</v>
      </c>
      <c r="M601">
        <v>13.8217</v>
      </c>
      <c r="N601">
        <v>0</v>
      </c>
      <c r="O601">
        <v>0</v>
      </c>
    </row>
    <row r="602" spans="1:15" x14ac:dyDescent="0.25">
      <c r="A602" t="s">
        <v>19</v>
      </c>
      <c r="B602" t="s">
        <v>15</v>
      </c>
      <c r="C602">
        <v>31</v>
      </c>
      <c r="D602">
        <v>100</v>
      </c>
      <c r="E602">
        <v>400</v>
      </c>
      <c r="F602" t="str">
        <f t="shared" si="9"/>
        <v>tree256_blurkernel7_31_100_400</v>
      </c>
      <c r="G602">
        <v>0</v>
      </c>
      <c r="H602">
        <v>0</v>
      </c>
      <c r="I602">
        <v>4.0828000000000003E-5</v>
      </c>
      <c r="J602">
        <v>9.1190000000000003E-6</v>
      </c>
      <c r="K602">
        <v>29.4739</v>
      </c>
      <c r="L602">
        <v>2.4211999999999998</v>
      </c>
      <c r="M602">
        <v>13.7784</v>
      </c>
      <c r="N602">
        <v>0</v>
      </c>
      <c r="O602">
        <v>0</v>
      </c>
    </row>
    <row r="603" spans="1:15" x14ac:dyDescent="0.25">
      <c r="A603" t="s">
        <v>19</v>
      </c>
      <c r="B603" t="s">
        <v>15</v>
      </c>
      <c r="C603">
        <v>31</v>
      </c>
      <c r="D603">
        <v>100</v>
      </c>
      <c r="E603">
        <v>800</v>
      </c>
      <c r="F603" t="str">
        <f t="shared" si="9"/>
        <v>tree256_blurkernel7_31_100_800</v>
      </c>
      <c r="G603">
        <v>0</v>
      </c>
      <c r="H603">
        <v>0</v>
      </c>
      <c r="I603">
        <v>8.4067999999999995E-5</v>
      </c>
      <c r="J603">
        <v>9.1190000000000003E-6</v>
      </c>
      <c r="K603">
        <v>26.340900000000001</v>
      </c>
      <c r="L603">
        <v>2.4211999999999998</v>
      </c>
      <c r="M603">
        <v>13.698600000000001</v>
      </c>
      <c r="N603">
        <v>0</v>
      </c>
      <c r="O603">
        <v>0</v>
      </c>
    </row>
    <row r="604" spans="1:15" x14ac:dyDescent="0.25">
      <c r="A604" t="s">
        <v>19</v>
      </c>
      <c r="B604" t="s">
        <v>15</v>
      </c>
      <c r="C604">
        <v>31</v>
      </c>
      <c r="D604">
        <v>100</v>
      </c>
      <c r="E604">
        <v>1600</v>
      </c>
      <c r="F604" t="str">
        <f t="shared" si="9"/>
        <v>tree256_blurkernel7_31_100_1600</v>
      </c>
      <c r="G604">
        <v>0</v>
      </c>
      <c r="H604">
        <v>0</v>
      </c>
      <c r="I604">
        <v>1.70161E-4</v>
      </c>
      <c r="J604">
        <v>9.1190000000000003E-6</v>
      </c>
      <c r="K604">
        <v>23.287700000000001</v>
      </c>
      <c r="L604">
        <v>2.4211999999999998</v>
      </c>
      <c r="M604">
        <v>13.5617</v>
      </c>
      <c r="N604">
        <v>0</v>
      </c>
      <c r="O604">
        <v>0</v>
      </c>
    </row>
    <row r="605" spans="1:15" x14ac:dyDescent="0.25">
      <c r="A605" t="s">
        <v>19</v>
      </c>
      <c r="B605" t="s">
        <v>15</v>
      </c>
      <c r="C605">
        <v>31</v>
      </c>
      <c r="D605">
        <v>100</v>
      </c>
      <c r="E605">
        <v>3200</v>
      </c>
      <c r="F605" t="str">
        <f t="shared" si="9"/>
        <v>tree256_blurkernel7_31_100_3200</v>
      </c>
      <c r="G605">
        <v>0</v>
      </c>
      <c r="H605">
        <v>0</v>
      </c>
      <c r="I605">
        <v>3.5085800000000001E-4</v>
      </c>
      <c r="J605">
        <v>9.1190000000000003E-6</v>
      </c>
      <c r="K605">
        <v>20.164400000000001</v>
      </c>
      <c r="L605">
        <v>2.4211999999999998</v>
      </c>
      <c r="M605">
        <v>13.363</v>
      </c>
      <c r="N605">
        <v>0</v>
      </c>
      <c r="O605">
        <v>0</v>
      </c>
    </row>
    <row r="606" spans="1:15" x14ac:dyDescent="0.25">
      <c r="A606" t="s">
        <v>19</v>
      </c>
      <c r="B606" t="s">
        <v>15</v>
      </c>
      <c r="C606">
        <v>31</v>
      </c>
      <c r="D606">
        <v>100</v>
      </c>
      <c r="E606">
        <v>6400</v>
      </c>
      <c r="F606" t="str">
        <f t="shared" si="9"/>
        <v>tree256_blurkernel7_31_100_6400</v>
      </c>
      <c r="G606">
        <v>0</v>
      </c>
      <c r="H606">
        <v>0</v>
      </c>
      <c r="I606">
        <v>7.1490699999999998E-4</v>
      </c>
      <c r="J606">
        <v>9.1190000000000003E-6</v>
      </c>
      <c r="K606">
        <v>17.100999999999999</v>
      </c>
      <c r="L606">
        <v>2.4211999999999998</v>
      </c>
      <c r="M606">
        <v>12.9275</v>
      </c>
      <c r="N606">
        <v>0</v>
      </c>
      <c r="O606">
        <v>0</v>
      </c>
    </row>
    <row r="607" spans="1:15" x14ac:dyDescent="0.25">
      <c r="A607" t="s">
        <v>19</v>
      </c>
      <c r="B607" t="s">
        <v>15</v>
      </c>
      <c r="C607">
        <v>31</v>
      </c>
      <c r="D607">
        <v>100</v>
      </c>
      <c r="E607">
        <v>12800</v>
      </c>
      <c r="F607" t="str">
        <f t="shared" si="9"/>
        <v>tree256_blurkernel7_31_100_12800</v>
      </c>
      <c r="G607">
        <v>0</v>
      </c>
      <c r="H607">
        <v>0</v>
      </c>
      <c r="I607">
        <v>1.525148E-3</v>
      </c>
      <c r="J607">
        <v>9.1190000000000003E-6</v>
      </c>
      <c r="K607">
        <v>13.907400000000001</v>
      </c>
      <c r="L607">
        <v>2.4211999999999998</v>
      </c>
      <c r="M607">
        <v>12.157299999999999</v>
      </c>
      <c r="N607">
        <v>0</v>
      </c>
      <c r="O607">
        <v>0</v>
      </c>
    </row>
    <row r="608" spans="1:15" x14ac:dyDescent="0.25">
      <c r="A608" t="s">
        <v>19</v>
      </c>
      <c r="B608" t="s">
        <v>15</v>
      </c>
      <c r="C608">
        <v>31</v>
      </c>
      <c r="D608">
        <v>100</v>
      </c>
      <c r="E608">
        <v>25600</v>
      </c>
      <c r="F608" t="str">
        <f t="shared" si="9"/>
        <v>tree256_blurkernel7_31_100_25600</v>
      </c>
      <c r="G608">
        <v>0</v>
      </c>
      <c r="H608">
        <v>0</v>
      </c>
      <c r="I608">
        <v>3.3311999999999999E-3</v>
      </c>
      <c r="J608">
        <v>9.1190000000000003E-6</v>
      </c>
      <c r="K608">
        <v>10.680199999999999</v>
      </c>
      <c r="L608">
        <v>2.4211999999999998</v>
      </c>
      <c r="M608">
        <v>11.023899999999999</v>
      </c>
      <c r="N608">
        <v>0</v>
      </c>
      <c r="O608">
        <v>0</v>
      </c>
    </row>
    <row r="609" spans="1:15" x14ac:dyDescent="0.25">
      <c r="A609" t="s">
        <v>19</v>
      </c>
      <c r="B609" t="s">
        <v>15</v>
      </c>
      <c r="C609">
        <v>31</v>
      </c>
      <c r="D609">
        <v>100</v>
      </c>
      <c r="E609">
        <v>102400</v>
      </c>
      <c r="F609" t="str">
        <f t="shared" si="9"/>
        <v>tree256_blurkernel7_31_100_102400</v>
      </c>
      <c r="G609">
        <v>0</v>
      </c>
      <c r="H609">
        <v>0</v>
      </c>
      <c r="I609">
        <v>2.0310564999999999E-2</v>
      </c>
      <c r="J609">
        <v>9.1300000000000007E-6</v>
      </c>
      <c r="K609">
        <v>4.2725999999999997</v>
      </c>
      <c r="L609">
        <v>2.4213</v>
      </c>
      <c r="M609">
        <v>7.5362999999999998</v>
      </c>
      <c r="N609">
        <v>0</v>
      </c>
      <c r="O609">
        <v>0</v>
      </c>
    </row>
    <row r="610" spans="1:15" x14ac:dyDescent="0.25">
      <c r="A610" t="s">
        <v>19</v>
      </c>
      <c r="B610" t="s">
        <v>15</v>
      </c>
      <c r="C610">
        <v>63</v>
      </c>
      <c r="D610">
        <v>100</v>
      </c>
      <c r="E610">
        <v>200</v>
      </c>
      <c r="F610" t="str">
        <f t="shared" si="9"/>
        <v>tree256_blurkernel7_63_100_200</v>
      </c>
      <c r="G610">
        <v>0</v>
      </c>
      <c r="H610">
        <v>0</v>
      </c>
      <c r="I610">
        <v>1.9612000000000001E-5</v>
      </c>
      <c r="J610">
        <v>9.0869999999999996E-6</v>
      </c>
      <c r="K610">
        <v>32.657899999999998</v>
      </c>
      <c r="L610">
        <v>1.6888000000000001</v>
      </c>
      <c r="M610">
        <v>13.906700000000001</v>
      </c>
      <c r="N610">
        <v>0</v>
      </c>
      <c r="O610">
        <v>0</v>
      </c>
    </row>
    <row r="611" spans="1:15" x14ac:dyDescent="0.25">
      <c r="A611" t="s">
        <v>19</v>
      </c>
      <c r="B611" t="s">
        <v>15</v>
      </c>
      <c r="C611">
        <v>63</v>
      </c>
      <c r="D611">
        <v>100</v>
      </c>
      <c r="E611">
        <v>400</v>
      </c>
      <c r="F611" t="str">
        <f t="shared" si="9"/>
        <v>tree256_blurkernel7_63_100_400</v>
      </c>
      <c r="G611">
        <v>0</v>
      </c>
      <c r="H611">
        <v>0</v>
      </c>
      <c r="I611">
        <v>4.0741999999999997E-5</v>
      </c>
      <c r="J611">
        <v>9.0869999999999996E-6</v>
      </c>
      <c r="K611">
        <v>29.4818</v>
      </c>
      <c r="L611">
        <v>1.6888000000000001</v>
      </c>
      <c r="M611">
        <v>13.8497</v>
      </c>
      <c r="N611">
        <v>0</v>
      </c>
      <c r="O611">
        <v>0</v>
      </c>
    </row>
    <row r="612" spans="1:15" x14ac:dyDescent="0.25">
      <c r="A612" t="s">
        <v>19</v>
      </c>
      <c r="B612" t="s">
        <v>15</v>
      </c>
      <c r="C612">
        <v>63</v>
      </c>
      <c r="D612">
        <v>100</v>
      </c>
      <c r="E612">
        <v>800</v>
      </c>
      <c r="F612" t="str">
        <f t="shared" si="9"/>
        <v>tree256_blurkernel7_63_100_800</v>
      </c>
      <c r="G612">
        <v>0</v>
      </c>
      <c r="H612">
        <v>0</v>
      </c>
      <c r="I612">
        <v>8.4481999999999995E-5</v>
      </c>
      <c r="J612">
        <v>9.0869999999999996E-6</v>
      </c>
      <c r="K612">
        <v>26.321000000000002</v>
      </c>
      <c r="L612">
        <v>1.6888000000000001</v>
      </c>
      <c r="M612">
        <v>13.7951</v>
      </c>
      <c r="N612">
        <v>0</v>
      </c>
      <c r="O612">
        <v>0</v>
      </c>
    </row>
    <row r="613" spans="1:15" x14ac:dyDescent="0.25">
      <c r="A613" t="s">
        <v>19</v>
      </c>
      <c r="B613" t="s">
        <v>15</v>
      </c>
      <c r="C613">
        <v>63</v>
      </c>
      <c r="D613">
        <v>100</v>
      </c>
      <c r="E613">
        <v>1600</v>
      </c>
      <c r="F613" t="str">
        <f t="shared" si="9"/>
        <v>tree256_blurkernel7_63_100_1600</v>
      </c>
      <c r="G613">
        <v>0</v>
      </c>
      <c r="H613">
        <v>0</v>
      </c>
      <c r="I613">
        <v>1.6992999999999999E-4</v>
      </c>
      <c r="J613">
        <v>9.0869999999999996E-6</v>
      </c>
      <c r="K613">
        <v>23.292100000000001</v>
      </c>
      <c r="L613">
        <v>1.6888000000000001</v>
      </c>
      <c r="M613">
        <v>13.6709</v>
      </c>
      <c r="N613">
        <v>0</v>
      </c>
      <c r="O613">
        <v>0</v>
      </c>
    </row>
    <row r="614" spans="1:15" x14ac:dyDescent="0.25">
      <c r="A614" t="s">
        <v>19</v>
      </c>
      <c r="B614" t="s">
        <v>15</v>
      </c>
      <c r="C614">
        <v>63</v>
      </c>
      <c r="D614">
        <v>100</v>
      </c>
      <c r="E614">
        <v>3200</v>
      </c>
      <c r="F614" t="str">
        <f t="shared" si="9"/>
        <v>tree256_blurkernel7_63_100_3200</v>
      </c>
      <c r="G614">
        <v>0</v>
      </c>
      <c r="H614">
        <v>0</v>
      </c>
      <c r="I614">
        <v>3.4612800000000002E-4</v>
      </c>
      <c r="J614">
        <v>9.0869999999999996E-6</v>
      </c>
      <c r="K614">
        <v>20.220199999999998</v>
      </c>
      <c r="L614">
        <v>1.6888000000000001</v>
      </c>
      <c r="M614">
        <v>13.4876</v>
      </c>
      <c r="N614">
        <v>0</v>
      </c>
      <c r="O614">
        <v>0</v>
      </c>
    </row>
    <row r="615" spans="1:15" x14ac:dyDescent="0.25">
      <c r="A615" t="s">
        <v>19</v>
      </c>
      <c r="B615" t="s">
        <v>15</v>
      </c>
      <c r="C615">
        <v>63</v>
      </c>
      <c r="D615">
        <v>100</v>
      </c>
      <c r="E615">
        <v>6400</v>
      </c>
      <c r="F615" t="str">
        <f t="shared" si="9"/>
        <v>tree256_blurkernel7_63_100_6400</v>
      </c>
      <c r="G615">
        <v>0</v>
      </c>
      <c r="H615">
        <v>0</v>
      </c>
      <c r="I615">
        <v>7.17842E-4</v>
      </c>
      <c r="J615">
        <v>9.0869999999999996E-6</v>
      </c>
      <c r="K615">
        <v>17.0901</v>
      </c>
      <c r="L615">
        <v>1.6888000000000001</v>
      </c>
      <c r="M615">
        <v>13.019299999999999</v>
      </c>
      <c r="N615">
        <v>0</v>
      </c>
      <c r="O615">
        <v>0</v>
      </c>
    </row>
    <row r="616" spans="1:15" x14ac:dyDescent="0.25">
      <c r="A616" t="s">
        <v>19</v>
      </c>
      <c r="B616" t="s">
        <v>15</v>
      </c>
      <c r="C616">
        <v>63</v>
      </c>
      <c r="D616">
        <v>100</v>
      </c>
      <c r="E616">
        <v>12800</v>
      </c>
      <c r="F616" t="str">
        <f t="shared" si="9"/>
        <v>tree256_blurkernel7_63_100_12800</v>
      </c>
      <c r="G616">
        <v>0</v>
      </c>
      <c r="H616">
        <v>0</v>
      </c>
      <c r="I616">
        <v>1.5074870000000001E-3</v>
      </c>
      <c r="J616">
        <v>9.0869999999999996E-6</v>
      </c>
      <c r="K616">
        <v>13.954599999999999</v>
      </c>
      <c r="L616">
        <v>1.6888000000000001</v>
      </c>
      <c r="M616">
        <v>12.273899999999999</v>
      </c>
      <c r="N616">
        <v>0</v>
      </c>
      <c r="O616">
        <v>0</v>
      </c>
    </row>
    <row r="617" spans="1:15" x14ac:dyDescent="0.25">
      <c r="A617" t="s">
        <v>19</v>
      </c>
      <c r="B617" t="s">
        <v>15</v>
      </c>
      <c r="C617">
        <v>63</v>
      </c>
      <c r="D617">
        <v>100</v>
      </c>
      <c r="E617">
        <v>25600</v>
      </c>
      <c r="F617" t="str">
        <f t="shared" si="9"/>
        <v>tree256_blurkernel7_63_100_25600</v>
      </c>
      <c r="G617">
        <v>0</v>
      </c>
      <c r="H617">
        <v>0</v>
      </c>
      <c r="I617">
        <v>3.3808829999999999E-3</v>
      </c>
      <c r="J617">
        <v>9.0869999999999996E-6</v>
      </c>
      <c r="K617">
        <v>10.647</v>
      </c>
      <c r="L617">
        <v>1.6888000000000001</v>
      </c>
      <c r="M617">
        <v>11.126200000000001</v>
      </c>
      <c r="N617">
        <v>0</v>
      </c>
      <c r="O617">
        <v>0</v>
      </c>
    </row>
    <row r="618" spans="1:15" x14ac:dyDescent="0.25">
      <c r="A618" t="s">
        <v>19</v>
      </c>
      <c r="B618" t="s">
        <v>16</v>
      </c>
      <c r="C618">
        <v>3</v>
      </c>
      <c r="D618">
        <v>100</v>
      </c>
      <c r="E618">
        <v>200</v>
      </c>
      <c r="F618" t="str">
        <f t="shared" si="9"/>
        <v>tree256_blurkernel8_3_100_200</v>
      </c>
      <c r="G618">
        <v>0</v>
      </c>
      <c r="H618">
        <v>0</v>
      </c>
      <c r="I618">
        <v>1.9641999999999999E-5</v>
      </c>
      <c r="J618">
        <v>9.0289999999999994E-6</v>
      </c>
      <c r="K618">
        <v>32.650599999999997</v>
      </c>
      <c r="L618">
        <v>12.275</v>
      </c>
      <c r="M618">
        <v>12.719900000000001</v>
      </c>
      <c r="N618">
        <v>0</v>
      </c>
      <c r="O618">
        <v>0</v>
      </c>
    </row>
    <row r="619" spans="1:15" x14ac:dyDescent="0.25">
      <c r="A619" t="s">
        <v>19</v>
      </c>
      <c r="B619" t="s">
        <v>16</v>
      </c>
      <c r="C619">
        <v>3</v>
      </c>
      <c r="D619">
        <v>100</v>
      </c>
      <c r="E619">
        <v>400</v>
      </c>
      <c r="F619" t="str">
        <f t="shared" si="9"/>
        <v>tree256_blurkernel8_3_100_400</v>
      </c>
      <c r="G619">
        <v>0</v>
      </c>
      <c r="H619">
        <v>0</v>
      </c>
      <c r="I619">
        <v>4.1477000000000003E-5</v>
      </c>
      <c r="J619">
        <v>9.0289999999999994E-6</v>
      </c>
      <c r="K619">
        <v>29.405999999999999</v>
      </c>
      <c r="L619">
        <v>12.275</v>
      </c>
      <c r="M619">
        <v>12.7211</v>
      </c>
      <c r="N619">
        <v>0</v>
      </c>
      <c r="O619">
        <v>0</v>
      </c>
    </row>
    <row r="620" spans="1:15" x14ac:dyDescent="0.25">
      <c r="A620" t="s">
        <v>19</v>
      </c>
      <c r="B620" t="s">
        <v>16</v>
      </c>
      <c r="C620">
        <v>3</v>
      </c>
      <c r="D620">
        <v>100</v>
      </c>
      <c r="E620">
        <v>800</v>
      </c>
      <c r="F620" t="str">
        <f t="shared" si="9"/>
        <v>tree256_blurkernel8_3_100_800</v>
      </c>
      <c r="G620">
        <v>0</v>
      </c>
      <c r="H620">
        <v>0</v>
      </c>
      <c r="I620">
        <v>8.4240999999999995E-5</v>
      </c>
      <c r="J620">
        <v>9.0289999999999994E-6</v>
      </c>
      <c r="K620">
        <v>26.3325</v>
      </c>
      <c r="L620">
        <v>12.275</v>
      </c>
      <c r="M620">
        <v>12.708</v>
      </c>
      <c r="N620">
        <v>0</v>
      </c>
      <c r="O620">
        <v>0</v>
      </c>
    </row>
    <row r="621" spans="1:15" x14ac:dyDescent="0.25">
      <c r="A621" t="s">
        <v>19</v>
      </c>
      <c r="B621" t="s">
        <v>16</v>
      </c>
      <c r="C621">
        <v>3</v>
      </c>
      <c r="D621">
        <v>100</v>
      </c>
      <c r="E621">
        <v>1600</v>
      </c>
      <c r="F621" t="str">
        <f t="shared" si="9"/>
        <v>tree256_blurkernel8_3_100_1600</v>
      </c>
      <c r="G621">
        <v>0</v>
      </c>
      <c r="H621">
        <v>0</v>
      </c>
      <c r="I621">
        <v>1.7055099999999999E-4</v>
      </c>
      <c r="J621">
        <v>9.0289999999999994E-6</v>
      </c>
      <c r="K621">
        <v>23.280100000000001</v>
      </c>
      <c r="L621">
        <v>12.275</v>
      </c>
      <c r="M621">
        <v>12.7014</v>
      </c>
      <c r="N621">
        <v>0</v>
      </c>
      <c r="O621">
        <v>0</v>
      </c>
    </row>
    <row r="622" spans="1:15" x14ac:dyDescent="0.25">
      <c r="A622" t="s">
        <v>19</v>
      </c>
      <c r="B622" t="s">
        <v>16</v>
      </c>
      <c r="C622">
        <v>3</v>
      </c>
      <c r="D622">
        <v>100</v>
      </c>
      <c r="E622">
        <v>3200</v>
      </c>
      <c r="F622" t="str">
        <f t="shared" si="9"/>
        <v>tree256_blurkernel8_3_100_3200</v>
      </c>
      <c r="G622">
        <v>0</v>
      </c>
      <c r="H622">
        <v>0</v>
      </c>
      <c r="I622">
        <v>3.4882799999999997E-4</v>
      </c>
      <c r="J622">
        <v>9.0289999999999994E-6</v>
      </c>
      <c r="K622">
        <v>20.183599999999998</v>
      </c>
      <c r="L622">
        <v>12.275</v>
      </c>
      <c r="M622">
        <v>12.684100000000001</v>
      </c>
      <c r="N622">
        <v>0</v>
      </c>
      <c r="O622">
        <v>0</v>
      </c>
    </row>
    <row r="623" spans="1:15" x14ac:dyDescent="0.25">
      <c r="A623" t="s">
        <v>19</v>
      </c>
      <c r="B623" t="s">
        <v>16</v>
      </c>
      <c r="C623">
        <v>3</v>
      </c>
      <c r="D623">
        <v>100</v>
      </c>
      <c r="E623">
        <v>6400</v>
      </c>
      <c r="F623" t="str">
        <f t="shared" si="9"/>
        <v>tree256_blurkernel8_3_100_6400</v>
      </c>
      <c r="G623">
        <v>0</v>
      </c>
      <c r="H623">
        <v>0</v>
      </c>
      <c r="I623">
        <v>7.18978E-4</v>
      </c>
      <c r="J623">
        <v>9.0289999999999994E-6</v>
      </c>
      <c r="K623">
        <v>17.087</v>
      </c>
      <c r="L623">
        <v>12.275</v>
      </c>
      <c r="M623">
        <v>12.681699999999999</v>
      </c>
      <c r="N623">
        <v>0</v>
      </c>
      <c r="O623">
        <v>0</v>
      </c>
    </row>
    <row r="624" spans="1:15" x14ac:dyDescent="0.25">
      <c r="A624" t="s">
        <v>19</v>
      </c>
      <c r="B624" t="s">
        <v>16</v>
      </c>
      <c r="C624">
        <v>3</v>
      </c>
      <c r="D624">
        <v>100</v>
      </c>
      <c r="E624">
        <v>12800</v>
      </c>
      <c r="F624" t="str">
        <f t="shared" si="9"/>
        <v>tree256_blurkernel8_3_100_12800</v>
      </c>
      <c r="G624">
        <v>0</v>
      </c>
      <c r="H624">
        <v>0</v>
      </c>
      <c r="I624">
        <v>1.5132920000000001E-3</v>
      </c>
      <c r="J624">
        <v>9.0289999999999994E-6</v>
      </c>
      <c r="K624">
        <v>13.917899999999999</v>
      </c>
      <c r="L624">
        <v>12.275</v>
      </c>
      <c r="M624">
        <v>12.662599999999999</v>
      </c>
      <c r="N624">
        <v>0</v>
      </c>
      <c r="O624">
        <v>0</v>
      </c>
    </row>
    <row r="625" spans="1:15" x14ac:dyDescent="0.25">
      <c r="A625" t="s">
        <v>19</v>
      </c>
      <c r="B625" t="s">
        <v>16</v>
      </c>
      <c r="C625">
        <v>3</v>
      </c>
      <c r="D625">
        <v>100</v>
      </c>
      <c r="E625">
        <v>25600</v>
      </c>
      <c r="F625" t="str">
        <f t="shared" si="9"/>
        <v>tree256_blurkernel8_3_100_25600</v>
      </c>
      <c r="G625">
        <v>0</v>
      </c>
      <c r="H625">
        <v>0</v>
      </c>
      <c r="I625">
        <v>3.373806E-3</v>
      </c>
      <c r="J625">
        <v>9.0289999999999994E-6</v>
      </c>
      <c r="K625">
        <v>10.6332</v>
      </c>
      <c r="L625">
        <v>12.275</v>
      </c>
      <c r="M625">
        <v>12.6267</v>
      </c>
      <c r="N625">
        <v>0</v>
      </c>
      <c r="O625">
        <v>0</v>
      </c>
    </row>
    <row r="626" spans="1:15" x14ac:dyDescent="0.25">
      <c r="A626" t="s">
        <v>19</v>
      </c>
      <c r="B626" t="s">
        <v>16</v>
      </c>
      <c r="C626">
        <v>3</v>
      </c>
      <c r="D626">
        <v>100</v>
      </c>
      <c r="E626">
        <v>102400</v>
      </c>
      <c r="F626" t="str">
        <f t="shared" si="9"/>
        <v>tree256_blurkernel8_3_100_102400</v>
      </c>
      <c r="G626">
        <v>0</v>
      </c>
      <c r="H626">
        <v>0</v>
      </c>
      <c r="I626">
        <v>2.0387842999999999E-2</v>
      </c>
      <c r="J626">
        <v>9.1419999999999999E-6</v>
      </c>
      <c r="K626">
        <v>4.2355</v>
      </c>
      <c r="L626">
        <v>12.273999999999999</v>
      </c>
      <c r="M626">
        <v>12.1975</v>
      </c>
      <c r="N626">
        <v>0</v>
      </c>
      <c r="O626">
        <v>0</v>
      </c>
    </row>
    <row r="627" spans="1:15" x14ac:dyDescent="0.25">
      <c r="A627" t="s">
        <v>19</v>
      </c>
      <c r="B627" t="s">
        <v>16</v>
      </c>
      <c r="C627">
        <v>7</v>
      </c>
      <c r="D627">
        <v>100</v>
      </c>
      <c r="E627">
        <v>200</v>
      </c>
      <c r="F627" t="str">
        <f t="shared" si="9"/>
        <v>tree256_blurkernel8_7_100_200</v>
      </c>
      <c r="G627">
        <v>0</v>
      </c>
      <c r="H627">
        <v>0</v>
      </c>
      <c r="I627">
        <v>1.9720000000000001E-5</v>
      </c>
      <c r="J627">
        <v>9.1220000000000001E-6</v>
      </c>
      <c r="K627">
        <v>32.634099999999997</v>
      </c>
      <c r="L627">
        <v>6.9595000000000002</v>
      </c>
      <c r="M627">
        <v>12.1112</v>
      </c>
      <c r="N627">
        <v>0</v>
      </c>
      <c r="O627">
        <v>0</v>
      </c>
    </row>
    <row r="628" spans="1:15" x14ac:dyDescent="0.25">
      <c r="A628" t="s">
        <v>19</v>
      </c>
      <c r="B628" t="s">
        <v>16</v>
      </c>
      <c r="C628">
        <v>7</v>
      </c>
      <c r="D628">
        <v>100</v>
      </c>
      <c r="E628">
        <v>400</v>
      </c>
      <c r="F628" t="str">
        <f t="shared" si="9"/>
        <v>tree256_blurkernel8_7_100_400</v>
      </c>
      <c r="G628">
        <v>0</v>
      </c>
      <c r="H628">
        <v>0</v>
      </c>
      <c r="I628">
        <v>4.0896999999999998E-5</v>
      </c>
      <c r="J628">
        <v>9.1220000000000001E-6</v>
      </c>
      <c r="K628">
        <v>29.466699999999999</v>
      </c>
      <c r="L628">
        <v>6.9595000000000002</v>
      </c>
      <c r="M628">
        <v>12.0768</v>
      </c>
      <c r="N628">
        <v>0</v>
      </c>
      <c r="O628">
        <v>0</v>
      </c>
    </row>
    <row r="629" spans="1:15" x14ac:dyDescent="0.25">
      <c r="A629" t="s">
        <v>19</v>
      </c>
      <c r="B629" t="s">
        <v>16</v>
      </c>
      <c r="C629">
        <v>7</v>
      </c>
      <c r="D629">
        <v>100</v>
      </c>
      <c r="E629">
        <v>800</v>
      </c>
      <c r="F629" t="str">
        <f t="shared" si="9"/>
        <v>tree256_blurkernel8_7_100_800</v>
      </c>
      <c r="G629">
        <v>0</v>
      </c>
      <c r="H629">
        <v>0</v>
      </c>
      <c r="I629">
        <v>8.4183000000000004E-5</v>
      </c>
      <c r="J629">
        <v>9.1220000000000001E-6</v>
      </c>
      <c r="K629">
        <v>26.3385</v>
      </c>
      <c r="L629">
        <v>6.9595000000000002</v>
      </c>
      <c r="M629">
        <v>12.043100000000001</v>
      </c>
      <c r="N629">
        <v>0</v>
      </c>
      <c r="O629">
        <v>0</v>
      </c>
    </row>
    <row r="630" spans="1:15" x14ac:dyDescent="0.25">
      <c r="A630" t="s">
        <v>19</v>
      </c>
      <c r="B630" t="s">
        <v>16</v>
      </c>
      <c r="C630">
        <v>7</v>
      </c>
      <c r="D630">
        <v>100</v>
      </c>
      <c r="E630">
        <v>1600</v>
      </c>
      <c r="F630" t="str">
        <f t="shared" si="9"/>
        <v>tree256_blurkernel8_7_100_1600</v>
      </c>
      <c r="G630">
        <v>0</v>
      </c>
      <c r="H630">
        <v>0</v>
      </c>
      <c r="I630">
        <v>1.71645E-4</v>
      </c>
      <c r="J630">
        <v>9.1220000000000001E-6</v>
      </c>
      <c r="K630">
        <v>23.2469</v>
      </c>
      <c r="L630">
        <v>6.9595000000000002</v>
      </c>
      <c r="M630">
        <v>11.961600000000001</v>
      </c>
      <c r="N630">
        <v>0</v>
      </c>
      <c r="O630">
        <v>0</v>
      </c>
    </row>
    <row r="631" spans="1:15" x14ac:dyDescent="0.25">
      <c r="A631" t="s">
        <v>19</v>
      </c>
      <c r="B631" t="s">
        <v>16</v>
      </c>
      <c r="C631">
        <v>7</v>
      </c>
      <c r="D631">
        <v>100</v>
      </c>
      <c r="E631">
        <v>3200</v>
      </c>
      <c r="F631" t="str">
        <f t="shared" si="9"/>
        <v>tree256_blurkernel8_7_100_3200</v>
      </c>
      <c r="G631">
        <v>0</v>
      </c>
      <c r="H631">
        <v>0</v>
      </c>
      <c r="I631">
        <v>3.4633899999999998E-4</v>
      </c>
      <c r="J631">
        <v>9.1220000000000001E-6</v>
      </c>
      <c r="K631">
        <v>20.2164</v>
      </c>
      <c r="L631">
        <v>6.9595000000000002</v>
      </c>
      <c r="M631">
        <v>11.831899999999999</v>
      </c>
      <c r="N631">
        <v>0</v>
      </c>
      <c r="O631">
        <v>0</v>
      </c>
    </row>
    <row r="632" spans="1:15" x14ac:dyDescent="0.25">
      <c r="A632" t="s">
        <v>19</v>
      </c>
      <c r="B632" t="s">
        <v>16</v>
      </c>
      <c r="C632">
        <v>7</v>
      </c>
      <c r="D632">
        <v>100</v>
      </c>
      <c r="E632">
        <v>6400</v>
      </c>
      <c r="F632" t="str">
        <f t="shared" si="9"/>
        <v>tree256_blurkernel8_7_100_6400</v>
      </c>
      <c r="G632">
        <v>0</v>
      </c>
      <c r="H632">
        <v>0</v>
      </c>
      <c r="I632">
        <v>7.1763199999999995E-4</v>
      </c>
      <c r="J632">
        <v>9.1220000000000001E-6</v>
      </c>
      <c r="K632">
        <v>17.092400000000001</v>
      </c>
      <c r="L632">
        <v>6.9595000000000002</v>
      </c>
      <c r="M632">
        <v>11.494</v>
      </c>
      <c r="N632">
        <v>0</v>
      </c>
      <c r="O632">
        <v>0</v>
      </c>
    </row>
    <row r="633" spans="1:15" x14ac:dyDescent="0.25">
      <c r="A633" t="s">
        <v>19</v>
      </c>
      <c r="B633" t="s">
        <v>16</v>
      </c>
      <c r="C633">
        <v>7</v>
      </c>
      <c r="D633">
        <v>100</v>
      </c>
      <c r="E633">
        <v>12800</v>
      </c>
      <c r="F633" t="str">
        <f t="shared" si="9"/>
        <v>tree256_blurkernel8_7_100_12800</v>
      </c>
      <c r="G633">
        <v>0</v>
      </c>
      <c r="H633">
        <v>0</v>
      </c>
      <c r="I633">
        <v>1.5255760000000001E-3</v>
      </c>
      <c r="J633">
        <v>9.1220000000000001E-6</v>
      </c>
      <c r="K633">
        <v>13.9047</v>
      </c>
      <c r="L633">
        <v>6.9595000000000002</v>
      </c>
      <c r="M633">
        <v>11.077</v>
      </c>
      <c r="N633">
        <v>0</v>
      </c>
      <c r="O633">
        <v>0</v>
      </c>
    </row>
    <row r="634" spans="1:15" x14ac:dyDescent="0.25">
      <c r="A634" t="s">
        <v>19</v>
      </c>
      <c r="B634" t="s">
        <v>16</v>
      </c>
      <c r="C634">
        <v>7</v>
      </c>
      <c r="D634">
        <v>100</v>
      </c>
      <c r="E634">
        <v>25600</v>
      </c>
      <c r="F634" t="str">
        <f t="shared" si="9"/>
        <v>tree256_blurkernel8_7_100_25600</v>
      </c>
      <c r="G634">
        <v>0</v>
      </c>
      <c r="H634">
        <v>0</v>
      </c>
      <c r="I634">
        <v>3.3578689999999999E-3</v>
      </c>
      <c r="J634">
        <v>9.1220000000000001E-6</v>
      </c>
      <c r="K634">
        <v>10.665800000000001</v>
      </c>
      <c r="L634">
        <v>6.9595000000000002</v>
      </c>
      <c r="M634">
        <v>10.3338</v>
      </c>
      <c r="N634">
        <v>0</v>
      </c>
      <c r="O634">
        <v>0</v>
      </c>
    </row>
    <row r="635" spans="1:15" x14ac:dyDescent="0.25">
      <c r="A635" t="s">
        <v>19</v>
      </c>
      <c r="B635" t="s">
        <v>16</v>
      </c>
      <c r="C635">
        <v>7</v>
      </c>
      <c r="D635">
        <v>100</v>
      </c>
      <c r="E635">
        <v>102400</v>
      </c>
      <c r="F635" t="str">
        <f t="shared" si="9"/>
        <v>tree256_blurkernel8_7_100_102400</v>
      </c>
      <c r="G635">
        <v>0</v>
      </c>
      <c r="H635">
        <v>0</v>
      </c>
      <c r="I635">
        <v>2.0392144000000001E-2</v>
      </c>
      <c r="J635">
        <v>9.0599999999999997E-6</v>
      </c>
      <c r="K635">
        <v>4.2480000000000002</v>
      </c>
      <c r="L635">
        <v>6.9641000000000002</v>
      </c>
      <c r="M635">
        <v>8.2623999999999995</v>
      </c>
      <c r="N635">
        <v>0</v>
      </c>
      <c r="O635">
        <v>0</v>
      </c>
    </row>
    <row r="636" spans="1:15" x14ac:dyDescent="0.25">
      <c r="A636" t="s">
        <v>19</v>
      </c>
      <c r="B636" t="s">
        <v>16</v>
      </c>
      <c r="C636">
        <v>15</v>
      </c>
      <c r="D636">
        <v>100</v>
      </c>
      <c r="E636">
        <v>200</v>
      </c>
      <c r="F636" t="str">
        <f t="shared" si="9"/>
        <v>tree256_blurkernel8_15_100_200</v>
      </c>
      <c r="G636">
        <v>0</v>
      </c>
      <c r="H636">
        <v>0</v>
      </c>
      <c r="I636">
        <v>1.9766E-5</v>
      </c>
      <c r="J636">
        <v>9.1689999999999998E-6</v>
      </c>
      <c r="K636">
        <v>32.622799999999998</v>
      </c>
      <c r="L636">
        <v>4.1387</v>
      </c>
      <c r="M636">
        <v>13.3863</v>
      </c>
      <c r="N636">
        <v>0</v>
      </c>
      <c r="O636">
        <v>0</v>
      </c>
    </row>
    <row r="637" spans="1:15" x14ac:dyDescent="0.25">
      <c r="A637" t="s">
        <v>19</v>
      </c>
      <c r="B637" t="s">
        <v>16</v>
      </c>
      <c r="C637">
        <v>15</v>
      </c>
      <c r="D637">
        <v>100</v>
      </c>
      <c r="E637">
        <v>400</v>
      </c>
      <c r="F637" t="str">
        <f t="shared" si="9"/>
        <v>tree256_blurkernel8_15_100_400</v>
      </c>
      <c r="G637">
        <v>0</v>
      </c>
      <c r="H637">
        <v>0</v>
      </c>
      <c r="I637">
        <v>4.1696999999999997E-5</v>
      </c>
      <c r="J637">
        <v>9.1689999999999998E-6</v>
      </c>
      <c r="K637">
        <v>29.383700000000001</v>
      </c>
      <c r="L637">
        <v>4.1387</v>
      </c>
      <c r="M637">
        <v>13.359299999999999</v>
      </c>
      <c r="N637">
        <v>0</v>
      </c>
      <c r="O637">
        <v>0</v>
      </c>
    </row>
    <row r="638" spans="1:15" x14ac:dyDescent="0.25">
      <c r="A638" t="s">
        <v>19</v>
      </c>
      <c r="B638" t="s">
        <v>16</v>
      </c>
      <c r="C638">
        <v>15</v>
      </c>
      <c r="D638">
        <v>100</v>
      </c>
      <c r="E638">
        <v>800</v>
      </c>
      <c r="F638" t="str">
        <f t="shared" si="9"/>
        <v>tree256_blurkernel8_15_100_800</v>
      </c>
      <c r="G638">
        <v>0</v>
      </c>
      <c r="H638">
        <v>0</v>
      </c>
      <c r="I638">
        <v>8.4421999999999999E-5</v>
      </c>
      <c r="J638">
        <v>9.1689999999999998E-6</v>
      </c>
      <c r="K638">
        <v>26.3233</v>
      </c>
      <c r="L638">
        <v>4.1387</v>
      </c>
      <c r="M638">
        <v>13.308999999999999</v>
      </c>
      <c r="N638">
        <v>0</v>
      </c>
      <c r="O638">
        <v>0</v>
      </c>
    </row>
    <row r="639" spans="1:15" x14ac:dyDescent="0.25">
      <c r="A639" t="s">
        <v>19</v>
      </c>
      <c r="B639" t="s">
        <v>16</v>
      </c>
      <c r="C639">
        <v>15</v>
      </c>
      <c r="D639">
        <v>100</v>
      </c>
      <c r="E639">
        <v>1600</v>
      </c>
      <c r="F639" t="str">
        <f t="shared" si="9"/>
        <v>tree256_blurkernel8_15_100_1600</v>
      </c>
      <c r="G639">
        <v>0</v>
      </c>
      <c r="H639">
        <v>0</v>
      </c>
      <c r="I639">
        <v>1.70922E-4</v>
      </c>
      <c r="J639">
        <v>9.1689999999999998E-6</v>
      </c>
      <c r="K639">
        <v>23.2684</v>
      </c>
      <c r="L639">
        <v>4.1387</v>
      </c>
      <c r="M639">
        <v>13.1707</v>
      </c>
      <c r="N639">
        <v>0</v>
      </c>
      <c r="O639">
        <v>0</v>
      </c>
    </row>
    <row r="640" spans="1:15" x14ac:dyDescent="0.25">
      <c r="A640" t="s">
        <v>19</v>
      </c>
      <c r="B640" t="s">
        <v>16</v>
      </c>
      <c r="C640">
        <v>15</v>
      </c>
      <c r="D640">
        <v>100</v>
      </c>
      <c r="E640">
        <v>3200</v>
      </c>
      <c r="F640" t="str">
        <f t="shared" si="9"/>
        <v>tree256_blurkernel8_15_100_3200</v>
      </c>
      <c r="G640">
        <v>0</v>
      </c>
      <c r="H640">
        <v>0</v>
      </c>
      <c r="I640">
        <v>3.4859000000000002E-4</v>
      </c>
      <c r="J640">
        <v>9.1689999999999998E-6</v>
      </c>
      <c r="K640">
        <v>20.1889</v>
      </c>
      <c r="L640">
        <v>4.1387</v>
      </c>
      <c r="M640">
        <v>12.9673</v>
      </c>
      <c r="N640">
        <v>0</v>
      </c>
      <c r="O640">
        <v>0</v>
      </c>
    </row>
    <row r="641" spans="1:15" x14ac:dyDescent="0.25">
      <c r="A641" t="s">
        <v>19</v>
      </c>
      <c r="B641" t="s">
        <v>16</v>
      </c>
      <c r="C641">
        <v>15</v>
      </c>
      <c r="D641">
        <v>100</v>
      </c>
      <c r="E641">
        <v>6400</v>
      </c>
      <c r="F641" t="str">
        <f t="shared" si="9"/>
        <v>tree256_blurkernel8_15_100_6400</v>
      </c>
      <c r="G641">
        <v>0</v>
      </c>
      <c r="H641">
        <v>0</v>
      </c>
      <c r="I641">
        <v>7.1056199999999998E-4</v>
      </c>
      <c r="J641">
        <v>9.1689999999999998E-6</v>
      </c>
      <c r="K641">
        <v>17.130500000000001</v>
      </c>
      <c r="L641">
        <v>4.1387</v>
      </c>
      <c r="M641">
        <v>12.5337</v>
      </c>
      <c r="N641">
        <v>0</v>
      </c>
      <c r="O641">
        <v>0</v>
      </c>
    </row>
    <row r="642" spans="1:15" x14ac:dyDescent="0.25">
      <c r="A642" t="s">
        <v>19</v>
      </c>
      <c r="B642" t="s">
        <v>16</v>
      </c>
      <c r="C642">
        <v>15</v>
      </c>
      <c r="D642">
        <v>100</v>
      </c>
      <c r="E642">
        <v>12800</v>
      </c>
      <c r="F642" t="str">
        <f t="shared" ref="F642:F705" si="10">A642&amp;"_"&amp;B642&amp;"_"&amp;C642&amp;"_"&amp;D642&amp;"_"&amp;E642</f>
        <v>tree256_blurkernel8_15_100_12800</v>
      </c>
      <c r="G642">
        <v>0</v>
      </c>
      <c r="H642">
        <v>0</v>
      </c>
      <c r="I642">
        <v>1.5077140000000001E-3</v>
      </c>
      <c r="J642">
        <v>9.1689999999999998E-6</v>
      </c>
      <c r="K642">
        <v>13.9413</v>
      </c>
      <c r="L642">
        <v>4.1387</v>
      </c>
      <c r="M642">
        <v>11.7966</v>
      </c>
      <c r="N642">
        <v>0</v>
      </c>
      <c r="O642">
        <v>0</v>
      </c>
    </row>
    <row r="643" spans="1:15" x14ac:dyDescent="0.25">
      <c r="A643" t="s">
        <v>19</v>
      </c>
      <c r="B643" t="s">
        <v>16</v>
      </c>
      <c r="C643">
        <v>15</v>
      </c>
      <c r="D643">
        <v>100</v>
      </c>
      <c r="E643">
        <v>25600</v>
      </c>
      <c r="F643" t="str">
        <f t="shared" si="10"/>
        <v>tree256_blurkernel8_15_100_25600</v>
      </c>
      <c r="G643">
        <v>0</v>
      </c>
      <c r="H643">
        <v>0</v>
      </c>
      <c r="I643">
        <v>3.3274870000000001E-3</v>
      </c>
      <c r="J643">
        <v>9.1689999999999998E-6</v>
      </c>
      <c r="K643">
        <v>10.6922</v>
      </c>
      <c r="L643">
        <v>4.1387</v>
      </c>
      <c r="M643">
        <v>10.7524</v>
      </c>
      <c r="N643">
        <v>0</v>
      </c>
      <c r="O643">
        <v>0</v>
      </c>
    </row>
    <row r="644" spans="1:15" x14ac:dyDescent="0.25">
      <c r="A644" t="s">
        <v>19</v>
      </c>
      <c r="B644" t="s">
        <v>16</v>
      </c>
      <c r="C644">
        <v>15</v>
      </c>
      <c r="D644">
        <v>100</v>
      </c>
      <c r="E644">
        <v>102400</v>
      </c>
      <c r="F644" t="str">
        <f t="shared" si="10"/>
        <v>tree256_blurkernel8_15_100_102400</v>
      </c>
      <c r="G644">
        <v>0</v>
      </c>
      <c r="H644">
        <v>0</v>
      </c>
      <c r="I644">
        <v>2.0328381E-2</v>
      </c>
      <c r="J644">
        <v>9.1759999999999999E-6</v>
      </c>
      <c r="K644">
        <v>4.2534999999999998</v>
      </c>
      <c r="L644">
        <v>4.1375000000000002</v>
      </c>
      <c r="M644">
        <v>7.4333</v>
      </c>
      <c r="N644">
        <v>0</v>
      </c>
      <c r="O644">
        <v>0</v>
      </c>
    </row>
    <row r="645" spans="1:15" x14ac:dyDescent="0.25">
      <c r="A645" t="s">
        <v>19</v>
      </c>
      <c r="B645" t="s">
        <v>16</v>
      </c>
      <c r="C645">
        <v>31</v>
      </c>
      <c r="D645">
        <v>100</v>
      </c>
      <c r="E645">
        <v>200</v>
      </c>
      <c r="F645" t="str">
        <f t="shared" si="10"/>
        <v>tree256_blurkernel8_31_100_200</v>
      </c>
      <c r="G645">
        <v>0</v>
      </c>
      <c r="H645">
        <v>0</v>
      </c>
      <c r="I645">
        <v>1.9734000000000001E-5</v>
      </c>
      <c r="J645">
        <v>9.1730000000000001E-6</v>
      </c>
      <c r="K645">
        <v>32.629399999999997</v>
      </c>
      <c r="L645">
        <v>2.5022000000000002</v>
      </c>
      <c r="M645">
        <v>13.798400000000001</v>
      </c>
      <c r="N645">
        <v>0</v>
      </c>
      <c r="O645">
        <v>0</v>
      </c>
    </row>
    <row r="646" spans="1:15" x14ac:dyDescent="0.25">
      <c r="A646" t="s">
        <v>19</v>
      </c>
      <c r="B646" t="s">
        <v>16</v>
      </c>
      <c r="C646">
        <v>31</v>
      </c>
      <c r="D646">
        <v>100</v>
      </c>
      <c r="E646">
        <v>400</v>
      </c>
      <c r="F646" t="str">
        <f t="shared" si="10"/>
        <v>tree256_blurkernel8_31_100_400</v>
      </c>
      <c r="G646">
        <v>0</v>
      </c>
      <c r="H646">
        <v>0</v>
      </c>
      <c r="I646">
        <v>4.1097000000000003E-5</v>
      </c>
      <c r="J646">
        <v>9.1730000000000001E-6</v>
      </c>
      <c r="K646">
        <v>29.445</v>
      </c>
      <c r="L646">
        <v>2.5022000000000002</v>
      </c>
      <c r="M646">
        <v>13.7722</v>
      </c>
      <c r="N646">
        <v>0</v>
      </c>
      <c r="O646">
        <v>0</v>
      </c>
    </row>
    <row r="647" spans="1:15" x14ac:dyDescent="0.25">
      <c r="A647" t="s">
        <v>19</v>
      </c>
      <c r="B647" t="s">
        <v>16</v>
      </c>
      <c r="C647">
        <v>31</v>
      </c>
      <c r="D647">
        <v>100</v>
      </c>
      <c r="E647">
        <v>800</v>
      </c>
      <c r="F647" t="str">
        <f t="shared" si="10"/>
        <v>tree256_blurkernel8_31_100_800</v>
      </c>
      <c r="G647">
        <v>0</v>
      </c>
      <c r="H647">
        <v>0</v>
      </c>
      <c r="I647">
        <v>8.4091000000000005E-5</v>
      </c>
      <c r="J647">
        <v>9.1730000000000001E-6</v>
      </c>
      <c r="K647">
        <v>26.3415</v>
      </c>
      <c r="L647">
        <v>2.5022000000000002</v>
      </c>
      <c r="M647">
        <v>13.6866</v>
      </c>
      <c r="N647">
        <v>0</v>
      </c>
      <c r="O647">
        <v>0</v>
      </c>
    </row>
    <row r="648" spans="1:15" x14ac:dyDescent="0.25">
      <c r="A648" t="s">
        <v>19</v>
      </c>
      <c r="B648" t="s">
        <v>16</v>
      </c>
      <c r="C648">
        <v>31</v>
      </c>
      <c r="D648">
        <v>100</v>
      </c>
      <c r="E648">
        <v>1600</v>
      </c>
      <c r="F648" t="str">
        <f t="shared" si="10"/>
        <v>tree256_blurkernel8_31_100_1600</v>
      </c>
      <c r="G648">
        <v>0</v>
      </c>
      <c r="H648">
        <v>0</v>
      </c>
      <c r="I648">
        <v>1.7211400000000001E-4</v>
      </c>
      <c r="J648">
        <v>9.1730000000000001E-6</v>
      </c>
      <c r="K648">
        <v>23.237500000000001</v>
      </c>
      <c r="L648">
        <v>2.5022000000000002</v>
      </c>
      <c r="M648">
        <v>13.5814</v>
      </c>
      <c r="N648">
        <v>0</v>
      </c>
      <c r="O648">
        <v>0</v>
      </c>
    </row>
    <row r="649" spans="1:15" x14ac:dyDescent="0.25">
      <c r="A649" t="s">
        <v>19</v>
      </c>
      <c r="B649" t="s">
        <v>16</v>
      </c>
      <c r="C649">
        <v>31</v>
      </c>
      <c r="D649">
        <v>100</v>
      </c>
      <c r="E649">
        <v>3200</v>
      </c>
      <c r="F649" t="str">
        <f t="shared" si="10"/>
        <v>tree256_blurkernel8_31_100_3200</v>
      </c>
      <c r="G649">
        <v>0</v>
      </c>
      <c r="H649">
        <v>0</v>
      </c>
      <c r="I649">
        <v>3.4476299999999999E-4</v>
      </c>
      <c r="J649">
        <v>9.1730000000000001E-6</v>
      </c>
      <c r="K649">
        <v>20.238800000000001</v>
      </c>
      <c r="L649">
        <v>2.5022000000000002</v>
      </c>
      <c r="M649">
        <v>13.346399999999999</v>
      </c>
      <c r="N649">
        <v>0</v>
      </c>
      <c r="O649">
        <v>0</v>
      </c>
    </row>
    <row r="650" spans="1:15" x14ac:dyDescent="0.25">
      <c r="A650" t="s">
        <v>19</v>
      </c>
      <c r="B650" t="s">
        <v>16</v>
      </c>
      <c r="C650">
        <v>31</v>
      </c>
      <c r="D650">
        <v>100</v>
      </c>
      <c r="E650">
        <v>6400</v>
      </c>
      <c r="F650" t="str">
        <f t="shared" si="10"/>
        <v>tree256_blurkernel8_31_100_6400</v>
      </c>
      <c r="G650">
        <v>0</v>
      </c>
      <c r="H650">
        <v>0</v>
      </c>
      <c r="I650">
        <v>7.1287399999999995E-4</v>
      </c>
      <c r="J650">
        <v>9.1730000000000001E-6</v>
      </c>
      <c r="K650">
        <v>17.1143</v>
      </c>
      <c r="L650">
        <v>2.5022000000000002</v>
      </c>
      <c r="M650">
        <v>12.8934</v>
      </c>
      <c r="N650">
        <v>0</v>
      </c>
      <c r="O650">
        <v>0</v>
      </c>
    </row>
    <row r="651" spans="1:15" x14ac:dyDescent="0.25">
      <c r="A651" t="s">
        <v>19</v>
      </c>
      <c r="B651" t="s">
        <v>16</v>
      </c>
      <c r="C651">
        <v>31</v>
      </c>
      <c r="D651">
        <v>100</v>
      </c>
      <c r="E651">
        <v>12800</v>
      </c>
      <c r="F651" t="str">
        <f t="shared" si="10"/>
        <v>tree256_blurkernel8_31_100_12800</v>
      </c>
      <c r="G651">
        <v>0</v>
      </c>
      <c r="H651">
        <v>0</v>
      </c>
      <c r="I651">
        <v>1.5107230000000001E-3</v>
      </c>
      <c r="J651">
        <v>9.1730000000000001E-6</v>
      </c>
      <c r="K651">
        <v>13.9398</v>
      </c>
      <c r="L651">
        <v>2.5022000000000002</v>
      </c>
      <c r="M651">
        <v>12.1761</v>
      </c>
      <c r="N651">
        <v>0</v>
      </c>
      <c r="O651">
        <v>0</v>
      </c>
    </row>
    <row r="652" spans="1:15" x14ac:dyDescent="0.25">
      <c r="A652" t="s">
        <v>19</v>
      </c>
      <c r="B652" t="s">
        <v>16</v>
      </c>
      <c r="C652">
        <v>31</v>
      </c>
      <c r="D652">
        <v>100</v>
      </c>
      <c r="E652">
        <v>25600</v>
      </c>
      <c r="F652" t="str">
        <f t="shared" si="10"/>
        <v>tree256_blurkernel8_31_100_25600</v>
      </c>
      <c r="G652">
        <v>0</v>
      </c>
      <c r="H652">
        <v>0</v>
      </c>
      <c r="I652">
        <v>3.361387E-3</v>
      </c>
      <c r="J652">
        <v>9.1730000000000001E-6</v>
      </c>
      <c r="K652">
        <v>10.667400000000001</v>
      </c>
      <c r="L652">
        <v>2.5022000000000002</v>
      </c>
      <c r="M652">
        <v>11.0106</v>
      </c>
      <c r="N652">
        <v>0</v>
      </c>
      <c r="O652">
        <v>0</v>
      </c>
    </row>
    <row r="653" spans="1:15" x14ac:dyDescent="0.25">
      <c r="A653" t="s">
        <v>19</v>
      </c>
      <c r="B653" t="s">
        <v>16</v>
      </c>
      <c r="C653">
        <v>31</v>
      </c>
      <c r="D653">
        <v>100</v>
      </c>
      <c r="E653">
        <v>102400</v>
      </c>
      <c r="F653" t="str">
        <f t="shared" si="10"/>
        <v>tree256_blurkernel8_31_100_102400</v>
      </c>
      <c r="G653">
        <v>0</v>
      </c>
      <c r="H653">
        <v>0</v>
      </c>
      <c r="I653">
        <v>2.0372845000000001E-2</v>
      </c>
      <c r="J653">
        <v>9.0599999999999997E-6</v>
      </c>
      <c r="K653">
        <v>4.2445000000000004</v>
      </c>
      <c r="L653">
        <v>2.5003000000000002</v>
      </c>
      <c r="M653">
        <v>7.4889999999999999</v>
      </c>
      <c r="N653">
        <v>0</v>
      </c>
      <c r="O653">
        <v>0</v>
      </c>
    </row>
    <row r="654" spans="1:15" x14ac:dyDescent="0.25">
      <c r="A654" t="s">
        <v>19</v>
      </c>
      <c r="B654" t="s">
        <v>16</v>
      </c>
      <c r="C654">
        <v>63</v>
      </c>
      <c r="D654">
        <v>100</v>
      </c>
      <c r="E654">
        <v>200</v>
      </c>
      <c r="F654" t="str">
        <f t="shared" si="10"/>
        <v>tree256_blurkernel8_63_100_200</v>
      </c>
      <c r="G654">
        <v>0</v>
      </c>
      <c r="H654">
        <v>0</v>
      </c>
      <c r="I654">
        <v>1.9925E-5</v>
      </c>
      <c r="J654">
        <v>8.9479999999999997E-6</v>
      </c>
      <c r="K654">
        <v>32.589100000000002</v>
      </c>
      <c r="L654">
        <v>1.7065999999999999</v>
      </c>
      <c r="M654">
        <v>13.900499999999999</v>
      </c>
      <c r="N654">
        <v>0</v>
      </c>
      <c r="O654">
        <v>0</v>
      </c>
    </row>
    <row r="655" spans="1:15" x14ac:dyDescent="0.25">
      <c r="A655" t="s">
        <v>19</v>
      </c>
      <c r="B655" t="s">
        <v>16</v>
      </c>
      <c r="C655">
        <v>63</v>
      </c>
      <c r="D655">
        <v>100</v>
      </c>
      <c r="E655">
        <v>400</v>
      </c>
      <c r="F655" t="str">
        <f t="shared" si="10"/>
        <v>tree256_blurkernel8_63_100_400</v>
      </c>
      <c r="G655">
        <v>0</v>
      </c>
      <c r="H655">
        <v>0</v>
      </c>
      <c r="I655">
        <v>4.0834999999999998E-5</v>
      </c>
      <c r="J655">
        <v>8.9479999999999997E-6</v>
      </c>
      <c r="K655">
        <v>29.472899999999999</v>
      </c>
      <c r="L655">
        <v>1.7065999999999999</v>
      </c>
      <c r="M655">
        <v>13.8604</v>
      </c>
      <c r="N655">
        <v>0</v>
      </c>
      <c r="O655">
        <v>0</v>
      </c>
    </row>
    <row r="656" spans="1:15" x14ac:dyDescent="0.25">
      <c r="A656" t="s">
        <v>19</v>
      </c>
      <c r="B656" t="s">
        <v>16</v>
      </c>
      <c r="C656">
        <v>63</v>
      </c>
      <c r="D656">
        <v>100</v>
      </c>
      <c r="E656">
        <v>800</v>
      </c>
      <c r="F656" t="str">
        <f t="shared" si="10"/>
        <v>tree256_blurkernel8_63_100_800</v>
      </c>
      <c r="G656">
        <v>0</v>
      </c>
      <c r="H656">
        <v>0</v>
      </c>
      <c r="I656">
        <v>8.5309999999999995E-5</v>
      </c>
      <c r="J656">
        <v>8.9479999999999997E-6</v>
      </c>
      <c r="K656">
        <v>26.276800000000001</v>
      </c>
      <c r="L656">
        <v>1.7065999999999999</v>
      </c>
      <c r="M656">
        <v>13.792999999999999</v>
      </c>
      <c r="N656">
        <v>0</v>
      </c>
      <c r="O656">
        <v>0</v>
      </c>
    </row>
    <row r="657" spans="1:15" x14ac:dyDescent="0.25">
      <c r="A657" t="s">
        <v>19</v>
      </c>
      <c r="B657" t="s">
        <v>16</v>
      </c>
      <c r="C657">
        <v>63</v>
      </c>
      <c r="D657">
        <v>100</v>
      </c>
      <c r="E657">
        <v>1600</v>
      </c>
      <c r="F657" t="str">
        <f t="shared" si="10"/>
        <v>tree256_blurkernel8_63_100_1600</v>
      </c>
      <c r="G657">
        <v>0</v>
      </c>
      <c r="H657">
        <v>0</v>
      </c>
      <c r="I657">
        <v>1.69772E-4</v>
      </c>
      <c r="J657">
        <v>8.9479999999999997E-6</v>
      </c>
      <c r="K657">
        <v>23.2942</v>
      </c>
      <c r="L657">
        <v>1.7065999999999999</v>
      </c>
      <c r="M657">
        <v>13.6472</v>
      </c>
      <c r="N657">
        <v>0</v>
      </c>
      <c r="O657">
        <v>0</v>
      </c>
    </row>
    <row r="658" spans="1:15" x14ac:dyDescent="0.25">
      <c r="A658" t="s">
        <v>19</v>
      </c>
      <c r="B658" t="s">
        <v>16</v>
      </c>
      <c r="C658">
        <v>63</v>
      </c>
      <c r="D658">
        <v>100</v>
      </c>
      <c r="E658">
        <v>3200</v>
      </c>
      <c r="F658" t="str">
        <f t="shared" si="10"/>
        <v>tree256_blurkernel8_63_100_3200</v>
      </c>
      <c r="G658">
        <v>0</v>
      </c>
      <c r="H658">
        <v>0</v>
      </c>
      <c r="I658">
        <v>3.4923300000000001E-4</v>
      </c>
      <c r="J658">
        <v>8.9479999999999997E-6</v>
      </c>
      <c r="K658">
        <v>20.181699999999999</v>
      </c>
      <c r="L658">
        <v>1.7065999999999999</v>
      </c>
      <c r="M658">
        <v>13.409599999999999</v>
      </c>
      <c r="N658">
        <v>0</v>
      </c>
      <c r="O658">
        <v>0</v>
      </c>
    </row>
    <row r="659" spans="1:15" x14ac:dyDescent="0.25">
      <c r="A659" t="s">
        <v>19</v>
      </c>
      <c r="B659" t="s">
        <v>16</v>
      </c>
      <c r="C659">
        <v>63</v>
      </c>
      <c r="D659">
        <v>100</v>
      </c>
      <c r="E659">
        <v>6400</v>
      </c>
      <c r="F659" t="str">
        <f t="shared" si="10"/>
        <v>tree256_blurkernel8_63_100_6400</v>
      </c>
      <c r="G659">
        <v>0</v>
      </c>
      <c r="H659">
        <v>0</v>
      </c>
      <c r="I659">
        <v>7.1844900000000002E-4</v>
      </c>
      <c r="J659">
        <v>8.9479999999999997E-6</v>
      </c>
      <c r="K659">
        <v>17.079699999999999</v>
      </c>
      <c r="L659">
        <v>1.7065999999999999</v>
      </c>
      <c r="M659">
        <v>13.000400000000001</v>
      </c>
      <c r="N659">
        <v>0</v>
      </c>
      <c r="O659">
        <v>0</v>
      </c>
    </row>
    <row r="660" spans="1:15" x14ac:dyDescent="0.25">
      <c r="A660" t="s">
        <v>19</v>
      </c>
      <c r="B660" t="s">
        <v>16</v>
      </c>
      <c r="C660">
        <v>63</v>
      </c>
      <c r="D660">
        <v>100</v>
      </c>
      <c r="E660">
        <v>12800</v>
      </c>
      <c r="F660" t="str">
        <f t="shared" si="10"/>
        <v>tree256_blurkernel8_63_100_12800</v>
      </c>
      <c r="G660">
        <v>0</v>
      </c>
      <c r="H660">
        <v>0</v>
      </c>
      <c r="I660">
        <v>1.514963E-3</v>
      </c>
      <c r="J660">
        <v>8.9479999999999997E-6</v>
      </c>
      <c r="K660">
        <v>13.937799999999999</v>
      </c>
      <c r="L660">
        <v>1.7065999999999999</v>
      </c>
      <c r="M660">
        <v>12.333500000000001</v>
      </c>
      <c r="N660">
        <v>0</v>
      </c>
      <c r="O660">
        <v>0</v>
      </c>
    </row>
    <row r="661" spans="1:15" x14ac:dyDescent="0.25">
      <c r="A661" t="s">
        <v>19</v>
      </c>
      <c r="B661" t="s">
        <v>16</v>
      </c>
      <c r="C661">
        <v>63</v>
      </c>
      <c r="D661">
        <v>100</v>
      </c>
      <c r="E661">
        <v>25600</v>
      </c>
      <c r="F661" t="str">
        <f t="shared" si="10"/>
        <v>tree256_blurkernel8_63_100_25600</v>
      </c>
      <c r="G661">
        <v>0</v>
      </c>
      <c r="H661">
        <v>0</v>
      </c>
      <c r="I661">
        <v>3.3392539999999998E-3</v>
      </c>
      <c r="J661">
        <v>8.9479999999999997E-6</v>
      </c>
      <c r="K661">
        <v>10.671200000000001</v>
      </c>
      <c r="L661">
        <v>1.7065999999999999</v>
      </c>
      <c r="M661">
        <v>11.1084</v>
      </c>
      <c r="N661">
        <v>0</v>
      </c>
      <c r="O661">
        <v>0</v>
      </c>
    </row>
    <row r="662" spans="1:15" x14ac:dyDescent="0.25">
      <c r="A662" t="s">
        <v>19</v>
      </c>
      <c r="B662" t="s">
        <v>17</v>
      </c>
      <c r="C662">
        <v>3</v>
      </c>
      <c r="D662">
        <v>100</v>
      </c>
      <c r="E662">
        <v>200</v>
      </c>
      <c r="F662" t="str">
        <f t="shared" si="10"/>
        <v>tree256_line_3_100_200</v>
      </c>
      <c r="G662">
        <v>0</v>
      </c>
      <c r="H662">
        <v>0</v>
      </c>
      <c r="I662">
        <v>1.9709999999999999E-5</v>
      </c>
      <c r="J662">
        <v>8.9600000000000006E-6</v>
      </c>
      <c r="K662">
        <v>32.635800000000003</v>
      </c>
      <c r="L662">
        <v>9.3489000000000004</v>
      </c>
      <c r="M662">
        <v>11.923999999999999</v>
      </c>
      <c r="N662">
        <v>0</v>
      </c>
      <c r="O662">
        <v>0</v>
      </c>
    </row>
    <row r="663" spans="1:15" x14ac:dyDescent="0.25">
      <c r="A663" t="s">
        <v>19</v>
      </c>
      <c r="B663" t="s">
        <v>17</v>
      </c>
      <c r="C663">
        <v>3</v>
      </c>
      <c r="D663">
        <v>100</v>
      </c>
      <c r="E663">
        <v>400</v>
      </c>
      <c r="F663" t="str">
        <f t="shared" si="10"/>
        <v>tree256_line_3_100_400</v>
      </c>
      <c r="G663">
        <v>0</v>
      </c>
      <c r="H663">
        <v>0</v>
      </c>
      <c r="I663">
        <v>4.0918999999999999E-5</v>
      </c>
      <c r="J663">
        <v>8.9600000000000006E-6</v>
      </c>
      <c r="K663">
        <v>29.464200000000002</v>
      </c>
      <c r="L663">
        <v>9.3489000000000004</v>
      </c>
      <c r="M663">
        <v>11.910399999999999</v>
      </c>
      <c r="N663">
        <v>0</v>
      </c>
      <c r="O663">
        <v>0</v>
      </c>
    </row>
    <row r="664" spans="1:15" x14ac:dyDescent="0.25">
      <c r="A664" t="s">
        <v>19</v>
      </c>
      <c r="B664" t="s">
        <v>17</v>
      </c>
      <c r="C664">
        <v>3</v>
      </c>
      <c r="D664">
        <v>100</v>
      </c>
      <c r="E664">
        <v>800</v>
      </c>
      <c r="F664" t="str">
        <f t="shared" si="10"/>
        <v>tree256_line_3_100_800</v>
      </c>
      <c r="G664">
        <v>0</v>
      </c>
      <c r="H664">
        <v>0</v>
      </c>
      <c r="I664">
        <v>8.4660999999999995E-5</v>
      </c>
      <c r="J664">
        <v>8.9600000000000006E-6</v>
      </c>
      <c r="K664">
        <v>26.312200000000001</v>
      </c>
      <c r="L664">
        <v>9.3489000000000004</v>
      </c>
      <c r="M664">
        <v>11.8955</v>
      </c>
      <c r="N664">
        <v>0</v>
      </c>
      <c r="O664">
        <v>0</v>
      </c>
    </row>
    <row r="665" spans="1:15" x14ac:dyDescent="0.25">
      <c r="A665" t="s">
        <v>19</v>
      </c>
      <c r="B665" t="s">
        <v>17</v>
      </c>
      <c r="C665">
        <v>3</v>
      </c>
      <c r="D665">
        <v>100</v>
      </c>
      <c r="E665">
        <v>1600</v>
      </c>
      <c r="F665" t="str">
        <f t="shared" si="10"/>
        <v>tree256_line_3_100_1600</v>
      </c>
      <c r="G665">
        <v>0</v>
      </c>
      <c r="H665">
        <v>0</v>
      </c>
      <c r="I665">
        <v>1.7102600000000001E-4</v>
      </c>
      <c r="J665">
        <v>8.9600000000000006E-6</v>
      </c>
      <c r="K665">
        <v>23.264800000000001</v>
      </c>
      <c r="L665">
        <v>9.3489000000000004</v>
      </c>
      <c r="M665">
        <v>11.8223</v>
      </c>
      <c r="N665">
        <v>0</v>
      </c>
      <c r="O665">
        <v>0</v>
      </c>
    </row>
    <row r="666" spans="1:15" x14ac:dyDescent="0.25">
      <c r="A666" t="s">
        <v>19</v>
      </c>
      <c r="B666" t="s">
        <v>17</v>
      </c>
      <c r="C666">
        <v>3</v>
      </c>
      <c r="D666">
        <v>100</v>
      </c>
      <c r="E666">
        <v>3200</v>
      </c>
      <c r="F666" t="str">
        <f t="shared" si="10"/>
        <v>tree256_line_3_100_3200</v>
      </c>
      <c r="G666">
        <v>0</v>
      </c>
      <c r="H666">
        <v>0</v>
      </c>
      <c r="I666">
        <v>3.5074299999999999E-4</v>
      </c>
      <c r="J666">
        <v>8.9600000000000006E-6</v>
      </c>
      <c r="K666">
        <v>20.165900000000001</v>
      </c>
      <c r="L666">
        <v>9.3489000000000004</v>
      </c>
      <c r="M666">
        <v>11.7614</v>
      </c>
      <c r="N666">
        <v>0</v>
      </c>
      <c r="O666">
        <v>0</v>
      </c>
    </row>
    <row r="667" spans="1:15" x14ac:dyDescent="0.25">
      <c r="A667" t="s">
        <v>19</v>
      </c>
      <c r="B667" t="s">
        <v>17</v>
      </c>
      <c r="C667">
        <v>3</v>
      </c>
      <c r="D667">
        <v>100</v>
      </c>
      <c r="E667">
        <v>6400</v>
      </c>
      <c r="F667" t="str">
        <f t="shared" si="10"/>
        <v>tree256_line_3_100_6400</v>
      </c>
      <c r="G667">
        <v>0</v>
      </c>
      <c r="H667">
        <v>0</v>
      </c>
      <c r="I667">
        <v>7.2477299999999995E-4</v>
      </c>
      <c r="J667">
        <v>8.9600000000000006E-6</v>
      </c>
      <c r="K667">
        <v>17.043399999999998</v>
      </c>
      <c r="L667">
        <v>9.3489000000000004</v>
      </c>
      <c r="M667">
        <v>11.6067</v>
      </c>
      <c r="N667">
        <v>0</v>
      </c>
      <c r="O667">
        <v>0</v>
      </c>
    </row>
    <row r="668" spans="1:15" x14ac:dyDescent="0.25">
      <c r="A668" t="s">
        <v>19</v>
      </c>
      <c r="B668" t="s">
        <v>17</v>
      </c>
      <c r="C668">
        <v>3</v>
      </c>
      <c r="D668">
        <v>100</v>
      </c>
      <c r="E668">
        <v>12800</v>
      </c>
      <c r="F668" t="str">
        <f t="shared" si="10"/>
        <v>tree256_line_3_100_12800</v>
      </c>
      <c r="G668">
        <v>0</v>
      </c>
      <c r="H668">
        <v>0</v>
      </c>
      <c r="I668">
        <v>1.529765E-3</v>
      </c>
      <c r="J668">
        <v>8.9600000000000006E-6</v>
      </c>
      <c r="K668">
        <v>13.882300000000001</v>
      </c>
      <c r="L668">
        <v>9.3489000000000004</v>
      </c>
      <c r="M668">
        <v>11.3736</v>
      </c>
      <c r="N668">
        <v>0</v>
      </c>
      <c r="O668">
        <v>0</v>
      </c>
    </row>
    <row r="669" spans="1:15" x14ac:dyDescent="0.25">
      <c r="A669" t="s">
        <v>19</v>
      </c>
      <c r="B669" t="s">
        <v>17</v>
      </c>
      <c r="C669">
        <v>3</v>
      </c>
      <c r="D669">
        <v>100</v>
      </c>
      <c r="E669">
        <v>25600</v>
      </c>
      <c r="F669" t="str">
        <f t="shared" si="10"/>
        <v>tree256_line_3_100_25600</v>
      </c>
      <c r="G669">
        <v>0</v>
      </c>
      <c r="H669">
        <v>0</v>
      </c>
      <c r="I669">
        <v>3.3820009999999999E-3</v>
      </c>
      <c r="J669">
        <v>8.9600000000000006E-6</v>
      </c>
      <c r="K669">
        <v>10.6157</v>
      </c>
      <c r="L669">
        <v>9.3489000000000004</v>
      </c>
      <c r="M669">
        <v>10.9718</v>
      </c>
      <c r="N669">
        <v>0</v>
      </c>
      <c r="O669">
        <v>0</v>
      </c>
    </row>
    <row r="670" spans="1:15" x14ac:dyDescent="0.25">
      <c r="A670" t="s">
        <v>19</v>
      </c>
      <c r="B670" t="s">
        <v>17</v>
      </c>
      <c r="C670">
        <v>3</v>
      </c>
      <c r="D670">
        <v>100</v>
      </c>
      <c r="E670">
        <v>102400</v>
      </c>
      <c r="F670" t="str">
        <f t="shared" si="10"/>
        <v>tree256_line_3_100_102400</v>
      </c>
      <c r="G670">
        <v>0</v>
      </c>
      <c r="H670">
        <v>0</v>
      </c>
      <c r="I670">
        <v>2.0510687E-2</v>
      </c>
      <c r="J670">
        <v>9.0380000000000005E-6</v>
      </c>
      <c r="K670">
        <v>4.2363</v>
      </c>
      <c r="L670">
        <v>9.3491</v>
      </c>
      <c r="M670">
        <v>9.9131</v>
      </c>
      <c r="N670">
        <v>0</v>
      </c>
      <c r="O670">
        <v>0</v>
      </c>
    </row>
    <row r="671" spans="1:15" x14ac:dyDescent="0.25">
      <c r="A671" t="s">
        <v>19</v>
      </c>
      <c r="B671" t="s">
        <v>17</v>
      </c>
      <c r="C671">
        <v>7</v>
      </c>
      <c r="D671">
        <v>100</v>
      </c>
      <c r="E671">
        <v>200</v>
      </c>
      <c r="F671" t="str">
        <f t="shared" si="10"/>
        <v>tree256_line_7_100_200</v>
      </c>
      <c r="G671">
        <v>0</v>
      </c>
      <c r="H671">
        <v>0</v>
      </c>
      <c r="I671">
        <v>1.9805000000000001E-5</v>
      </c>
      <c r="J671">
        <v>9.0089999999999996E-6</v>
      </c>
      <c r="K671">
        <v>32.6143</v>
      </c>
      <c r="L671">
        <v>5.2521000000000004</v>
      </c>
      <c r="M671">
        <v>13.2148</v>
      </c>
      <c r="N671">
        <v>0</v>
      </c>
      <c r="O671">
        <v>0</v>
      </c>
    </row>
    <row r="672" spans="1:15" x14ac:dyDescent="0.25">
      <c r="A672" t="s">
        <v>19</v>
      </c>
      <c r="B672" t="s">
        <v>17</v>
      </c>
      <c r="C672">
        <v>7</v>
      </c>
      <c r="D672">
        <v>100</v>
      </c>
      <c r="E672">
        <v>400</v>
      </c>
      <c r="F672" t="str">
        <f t="shared" si="10"/>
        <v>tree256_line_7_100_400</v>
      </c>
      <c r="G672">
        <v>0</v>
      </c>
      <c r="H672">
        <v>0</v>
      </c>
      <c r="I672">
        <v>4.1318E-5</v>
      </c>
      <c r="J672">
        <v>9.0089999999999996E-6</v>
      </c>
      <c r="K672">
        <v>29.423400000000001</v>
      </c>
      <c r="L672">
        <v>5.2521000000000004</v>
      </c>
      <c r="M672">
        <v>13.1891</v>
      </c>
      <c r="N672">
        <v>0</v>
      </c>
      <c r="O672">
        <v>0</v>
      </c>
    </row>
    <row r="673" spans="1:15" x14ac:dyDescent="0.25">
      <c r="A673" t="s">
        <v>19</v>
      </c>
      <c r="B673" t="s">
        <v>17</v>
      </c>
      <c r="C673">
        <v>7</v>
      </c>
      <c r="D673">
        <v>100</v>
      </c>
      <c r="E673">
        <v>800</v>
      </c>
      <c r="F673" t="str">
        <f t="shared" si="10"/>
        <v>tree256_line_7_100_800</v>
      </c>
      <c r="G673">
        <v>0</v>
      </c>
      <c r="H673">
        <v>0</v>
      </c>
      <c r="I673">
        <v>8.3935000000000002E-5</v>
      </c>
      <c r="J673">
        <v>9.0089999999999996E-6</v>
      </c>
      <c r="K673">
        <v>26.347300000000001</v>
      </c>
      <c r="L673">
        <v>5.2521000000000004</v>
      </c>
      <c r="M673">
        <v>13.1248</v>
      </c>
      <c r="N673">
        <v>0</v>
      </c>
      <c r="O673">
        <v>0</v>
      </c>
    </row>
    <row r="674" spans="1:15" x14ac:dyDescent="0.25">
      <c r="A674" t="s">
        <v>19</v>
      </c>
      <c r="B674" t="s">
        <v>17</v>
      </c>
      <c r="C674">
        <v>7</v>
      </c>
      <c r="D674">
        <v>100</v>
      </c>
      <c r="E674">
        <v>1600</v>
      </c>
      <c r="F674" t="str">
        <f t="shared" si="10"/>
        <v>tree256_line_7_100_1600</v>
      </c>
      <c r="G674">
        <v>0</v>
      </c>
      <c r="H674">
        <v>0</v>
      </c>
      <c r="I674">
        <v>1.7075599999999999E-4</v>
      </c>
      <c r="J674">
        <v>9.0089999999999996E-6</v>
      </c>
      <c r="K674">
        <v>23.271100000000001</v>
      </c>
      <c r="L674">
        <v>5.2521000000000004</v>
      </c>
      <c r="M674">
        <v>13.025</v>
      </c>
      <c r="N674">
        <v>0</v>
      </c>
      <c r="O674">
        <v>0</v>
      </c>
    </row>
    <row r="675" spans="1:15" x14ac:dyDescent="0.25">
      <c r="A675" t="s">
        <v>19</v>
      </c>
      <c r="B675" t="s">
        <v>17</v>
      </c>
      <c r="C675">
        <v>7</v>
      </c>
      <c r="D675">
        <v>100</v>
      </c>
      <c r="E675">
        <v>3200</v>
      </c>
      <c r="F675" t="str">
        <f t="shared" si="10"/>
        <v>tree256_line_7_100_3200</v>
      </c>
      <c r="G675">
        <v>0</v>
      </c>
      <c r="H675">
        <v>0</v>
      </c>
      <c r="I675">
        <v>3.4756099999999997E-4</v>
      </c>
      <c r="J675">
        <v>9.0089999999999996E-6</v>
      </c>
      <c r="K675">
        <v>20.204799999999999</v>
      </c>
      <c r="L675">
        <v>5.2521000000000004</v>
      </c>
      <c r="M675">
        <v>12.825900000000001</v>
      </c>
      <c r="N675">
        <v>0</v>
      </c>
      <c r="O675">
        <v>0</v>
      </c>
    </row>
    <row r="676" spans="1:15" x14ac:dyDescent="0.25">
      <c r="A676" t="s">
        <v>19</v>
      </c>
      <c r="B676" t="s">
        <v>17</v>
      </c>
      <c r="C676">
        <v>7</v>
      </c>
      <c r="D676">
        <v>100</v>
      </c>
      <c r="E676">
        <v>6400</v>
      </c>
      <c r="F676" t="str">
        <f t="shared" si="10"/>
        <v>tree256_line_7_100_6400</v>
      </c>
      <c r="G676">
        <v>0</v>
      </c>
      <c r="H676">
        <v>0</v>
      </c>
      <c r="I676">
        <v>7.2283799999999995E-4</v>
      </c>
      <c r="J676">
        <v>9.0089999999999996E-6</v>
      </c>
      <c r="K676">
        <v>17.058800000000002</v>
      </c>
      <c r="L676">
        <v>5.2521000000000004</v>
      </c>
      <c r="M676">
        <v>12.462199999999999</v>
      </c>
      <c r="N676">
        <v>0</v>
      </c>
      <c r="O676">
        <v>0</v>
      </c>
    </row>
    <row r="677" spans="1:15" x14ac:dyDescent="0.25">
      <c r="A677" t="s">
        <v>19</v>
      </c>
      <c r="B677" t="s">
        <v>17</v>
      </c>
      <c r="C677">
        <v>7</v>
      </c>
      <c r="D677">
        <v>100</v>
      </c>
      <c r="E677">
        <v>12800</v>
      </c>
      <c r="F677" t="str">
        <f t="shared" si="10"/>
        <v>tree256_line_7_100_12800</v>
      </c>
      <c r="G677">
        <v>0</v>
      </c>
      <c r="H677">
        <v>0</v>
      </c>
      <c r="I677">
        <v>1.521218E-3</v>
      </c>
      <c r="J677">
        <v>9.0089999999999996E-6</v>
      </c>
      <c r="K677">
        <v>13.901</v>
      </c>
      <c r="L677">
        <v>5.2521000000000004</v>
      </c>
      <c r="M677">
        <v>11.866</v>
      </c>
      <c r="N677">
        <v>0</v>
      </c>
      <c r="O677">
        <v>0</v>
      </c>
    </row>
    <row r="678" spans="1:15" x14ac:dyDescent="0.25">
      <c r="A678" t="s">
        <v>19</v>
      </c>
      <c r="B678" t="s">
        <v>17</v>
      </c>
      <c r="C678">
        <v>7</v>
      </c>
      <c r="D678">
        <v>100</v>
      </c>
      <c r="E678">
        <v>25600</v>
      </c>
      <c r="F678" t="str">
        <f t="shared" si="10"/>
        <v>tree256_line_7_100_25600</v>
      </c>
      <c r="G678">
        <v>0</v>
      </c>
      <c r="H678">
        <v>0</v>
      </c>
      <c r="I678">
        <v>3.3577049999999999E-3</v>
      </c>
      <c r="J678">
        <v>9.0089999999999996E-6</v>
      </c>
      <c r="K678">
        <v>10.6487</v>
      </c>
      <c r="L678">
        <v>5.2521000000000004</v>
      </c>
      <c r="M678">
        <v>10.912800000000001</v>
      </c>
      <c r="N678">
        <v>0</v>
      </c>
      <c r="O678">
        <v>0</v>
      </c>
    </row>
    <row r="679" spans="1:15" x14ac:dyDescent="0.25">
      <c r="A679" t="s">
        <v>19</v>
      </c>
      <c r="B679" t="s">
        <v>17</v>
      </c>
      <c r="C679">
        <v>7</v>
      </c>
      <c r="D679">
        <v>100</v>
      </c>
      <c r="E679">
        <v>102400</v>
      </c>
      <c r="F679" t="str">
        <f t="shared" si="10"/>
        <v>tree256_line_7_100_102400</v>
      </c>
      <c r="G679">
        <v>0</v>
      </c>
      <c r="H679">
        <v>0</v>
      </c>
      <c r="I679">
        <v>2.0536347999999999E-2</v>
      </c>
      <c r="J679">
        <v>9.0620000000000007E-6</v>
      </c>
      <c r="K679">
        <v>4.2161999999999997</v>
      </c>
      <c r="L679">
        <v>5.2488000000000001</v>
      </c>
      <c r="M679">
        <v>8.0099</v>
      </c>
      <c r="N679">
        <v>0</v>
      </c>
      <c r="O679">
        <v>0</v>
      </c>
    </row>
    <row r="680" spans="1:15" x14ac:dyDescent="0.25">
      <c r="A680" t="s">
        <v>19</v>
      </c>
      <c r="B680" t="s">
        <v>17</v>
      </c>
      <c r="C680">
        <v>15</v>
      </c>
      <c r="D680">
        <v>100</v>
      </c>
      <c r="E680">
        <v>200</v>
      </c>
      <c r="F680" t="str">
        <f t="shared" si="10"/>
        <v>tree256_line_15_100_200</v>
      </c>
      <c r="G680">
        <v>0</v>
      </c>
      <c r="H680">
        <v>0</v>
      </c>
      <c r="I680">
        <v>1.9913000000000001E-5</v>
      </c>
      <c r="J680">
        <v>9.0739999999999999E-6</v>
      </c>
      <c r="K680">
        <v>32.591200000000001</v>
      </c>
      <c r="L680">
        <v>3.2827999999999999</v>
      </c>
      <c r="M680">
        <v>13.5124</v>
      </c>
      <c r="N680">
        <v>0</v>
      </c>
      <c r="O680">
        <v>0</v>
      </c>
    </row>
    <row r="681" spans="1:15" x14ac:dyDescent="0.25">
      <c r="A681" t="s">
        <v>19</v>
      </c>
      <c r="B681" t="s">
        <v>17</v>
      </c>
      <c r="C681">
        <v>15</v>
      </c>
      <c r="D681">
        <v>100</v>
      </c>
      <c r="E681">
        <v>400</v>
      </c>
      <c r="F681" t="str">
        <f t="shared" si="10"/>
        <v>tree256_line_15_100_400</v>
      </c>
      <c r="G681">
        <v>0</v>
      </c>
      <c r="H681">
        <v>0</v>
      </c>
      <c r="I681">
        <v>4.1054999999999999E-5</v>
      </c>
      <c r="J681">
        <v>9.0739999999999999E-6</v>
      </c>
      <c r="K681">
        <v>29.4496</v>
      </c>
      <c r="L681">
        <v>3.2827999999999999</v>
      </c>
      <c r="M681">
        <v>13.491899999999999</v>
      </c>
      <c r="N681">
        <v>0</v>
      </c>
      <c r="O681">
        <v>0</v>
      </c>
    </row>
    <row r="682" spans="1:15" x14ac:dyDescent="0.25">
      <c r="A682" t="s">
        <v>19</v>
      </c>
      <c r="B682" t="s">
        <v>17</v>
      </c>
      <c r="C682">
        <v>15</v>
      </c>
      <c r="D682">
        <v>100</v>
      </c>
      <c r="E682">
        <v>800</v>
      </c>
      <c r="F682" t="str">
        <f t="shared" si="10"/>
        <v>tree256_line_15_100_800</v>
      </c>
      <c r="G682">
        <v>0</v>
      </c>
      <c r="H682">
        <v>0</v>
      </c>
      <c r="I682">
        <v>8.5017000000000003E-5</v>
      </c>
      <c r="J682">
        <v>9.0739999999999999E-6</v>
      </c>
      <c r="K682">
        <v>26.292899999999999</v>
      </c>
      <c r="L682">
        <v>3.2827999999999999</v>
      </c>
      <c r="M682">
        <v>13.440200000000001</v>
      </c>
      <c r="N682">
        <v>0</v>
      </c>
      <c r="O682">
        <v>0</v>
      </c>
    </row>
    <row r="683" spans="1:15" x14ac:dyDescent="0.25">
      <c r="A683" t="s">
        <v>19</v>
      </c>
      <c r="B683" t="s">
        <v>17</v>
      </c>
      <c r="C683">
        <v>15</v>
      </c>
      <c r="D683">
        <v>100</v>
      </c>
      <c r="E683">
        <v>1600</v>
      </c>
      <c r="F683" t="str">
        <f t="shared" si="10"/>
        <v>tree256_line_15_100_1600</v>
      </c>
      <c r="G683">
        <v>0</v>
      </c>
      <c r="H683">
        <v>0</v>
      </c>
      <c r="I683">
        <v>1.7106000000000001E-4</v>
      </c>
      <c r="J683">
        <v>9.0739999999999999E-6</v>
      </c>
      <c r="K683">
        <v>23.2654</v>
      </c>
      <c r="L683">
        <v>3.2827999999999999</v>
      </c>
      <c r="M683">
        <v>13.3156</v>
      </c>
      <c r="N683">
        <v>0</v>
      </c>
      <c r="O683">
        <v>0</v>
      </c>
    </row>
    <row r="684" spans="1:15" x14ac:dyDescent="0.25">
      <c r="A684" t="s">
        <v>19</v>
      </c>
      <c r="B684" t="s">
        <v>17</v>
      </c>
      <c r="C684">
        <v>15</v>
      </c>
      <c r="D684">
        <v>100</v>
      </c>
      <c r="E684">
        <v>3200</v>
      </c>
      <c r="F684" t="str">
        <f t="shared" si="10"/>
        <v>tree256_line_15_100_3200</v>
      </c>
      <c r="G684">
        <v>0</v>
      </c>
      <c r="H684">
        <v>0</v>
      </c>
      <c r="I684">
        <v>3.4851800000000003E-4</v>
      </c>
      <c r="J684">
        <v>9.0739999999999999E-6</v>
      </c>
      <c r="K684">
        <v>20.1938</v>
      </c>
      <c r="L684">
        <v>3.2827999999999999</v>
      </c>
      <c r="M684">
        <v>13.106999999999999</v>
      </c>
      <c r="N684">
        <v>0</v>
      </c>
      <c r="O684">
        <v>0</v>
      </c>
    </row>
    <row r="685" spans="1:15" x14ac:dyDescent="0.25">
      <c r="A685" t="s">
        <v>19</v>
      </c>
      <c r="B685" t="s">
        <v>17</v>
      </c>
      <c r="C685">
        <v>15</v>
      </c>
      <c r="D685">
        <v>100</v>
      </c>
      <c r="E685">
        <v>6400</v>
      </c>
      <c r="F685" t="str">
        <f t="shared" si="10"/>
        <v>tree256_line_15_100_6400</v>
      </c>
      <c r="G685">
        <v>0</v>
      </c>
      <c r="H685">
        <v>0</v>
      </c>
      <c r="I685">
        <v>7.1658099999999999E-4</v>
      </c>
      <c r="J685">
        <v>9.0739999999999999E-6</v>
      </c>
      <c r="K685">
        <v>17.100300000000001</v>
      </c>
      <c r="L685">
        <v>3.2827999999999999</v>
      </c>
      <c r="M685">
        <v>12.6778</v>
      </c>
      <c r="N685">
        <v>0</v>
      </c>
      <c r="O685">
        <v>0</v>
      </c>
    </row>
    <row r="686" spans="1:15" x14ac:dyDescent="0.25">
      <c r="A686" t="s">
        <v>19</v>
      </c>
      <c r="B686" t="s">
        <v>17</v>
      </c>
      <c r="C686">
        <v>15</v>
      </c>
      <c r="D686">
        <v>100</v>
      </c>
      <c r="E686">
        <v>12800</v>
      </c>
      <c r="F686" t="str">
        <f t="shared" si="10"/>
        <v>tree256_line_15_100_12800</v>
      </c>
      <c r="G686">
        <v>0</v>
      </c>
      <c r="H686">
        <v>0</v>
      </c>
      <c r="I686">
        <v>1.5179740000000001E-3</v>
      </c>
      <c r="J686">
        <v>9.0739999999999999E-6</v>
      </c>
      <c r="K686">
        <v>13.9259</v>
      </c>
      <c r="L686">
        <v>3.2827999999999999</v>
      </c>
      <c r="M686">
        <v>12.0426</v>
      </c>
      <c r="N686">
        <v>0</v>
      </c>
      <c r="O686">
        <v>0</v>
      </c>
    </row>
    <row r="687" spans="1:15" x14ac:dyDescent="0.25">
      <c r="A687" t="s">
        <v>19</v>
      </c>
      <c r="B687" t="s">
        <v>17</v>
      </c>
      <c r="C687">
        <v>15</v>
      </c>
      <c r="D687">
        <v>100</v>
      </c>
      <c r="E687">
        <v>25600</v>
      </c>
      <c r="F687" t="str">
        <f t="shared" si="10"/>
        <v>tree256_line_15_100_25600</v>
      </c>
      <c r="G687">
        <v>0</v>
      </c>
      <c r="H687">
        <v>0</v>
      </c>
      <c r="I687">
        <v>3.3433249999999999E-3</v>
      </c>
      <c r="J687">
        <v>9.0739999999999999E-6</v>
      </c>
      <c r="K687">
        <v>10.6806</v>
      </c>
      <c r="L687">
        <v>3.2827999999999999</v>
      </c>
      <c r="M687">
        <v>10.9711</v>
      </c>
      <c r="N687">
        <v>0</v>
      </c>
      <c r="O687">
        <v>0</v>
      </c>
    </row>
    <row r="688" spans="1:15" x14ac:dyDescent="0.25">
      <c r="A688" t="s">
        <v>19</v>
      </c>
      <c r="B688" t="s">
        <v>17</v>
      </c>
      <c r="C688">
        <v>15</v>
      </c>
      <c r="D688">
        <v>100</v>
      </c>
      <c r="E688">
        <v>102400</v>
      </c>
      <c r="F688" t="str">
        <f t="shared" si="10"/>
        <v>tree256_line_15_100_102400</v>
      </c>
      <c r="G688">
        <v>0</v>
      </c>
      <c r="H688">
        <v>0</v>
      </c>
      <c r="I688">
        <v>2.0380619999999999E-2</v>
      </c>
      <c r="J688">
        <v>9.0450000000000006E-6</v>
      </c>
      <c r="K688">
        <v>4.2538999999999998</v>
      </c>
      <c r="L688">
        <v>3.2848000000000002</v>
      </c>
      <c r="M688">
        <v>7.7567000000000004</v>
      </c>
      <c r="N688">
        <v>0</v>
      </c>
      <c r="O688">
        <v>0</v>
      </c>
    </row>
    <row r="689" spans="1:15" x14ac:dyDescent="0.25">
      <c r="A689" t="s">
        <v>19</v>
      </c>
      <c r="B689" t="s">
        <v>17</v>
      </c>
      <c r="C689">
        <v>31</v>
      </c>
      <c r="D689">
        <v>100</v>
      </c>
      <c r="E689">
        <v>200</v>
      </c>
      <c r="F689" t="str">
        <f t="shared" si="10"/>
        <v>tree256_line_31_100_200</v>
      </c>
      <c r="G689">
        <v>0</v>
      </c>
      <c r="H689">
        <v>0</v>
      </c>
      <c r="I689">
        <v>1.9590999999999999E-5</v>
      </c>
      <c r="J689">
        <v>9.0880000000000001E-6</v>
      </c>
      <c r="K689">
        <v>32.661900000000003</v>
      </c>
      <c r="L689">
        <v>2.3256999999999999</v>
      </c>
      <c r="M689">
        <v>13.6311</v>
      </c>
      <c r="N689">
        <v>0</v>
      </c>
      <c r="O689">
        <v>0</v>
      </c>
    </row>
    <row r="690" spans="1:15" x14ac:dyDescent="0.25">
      <c r="A690" t="s">
        <v>19</v>
      </c>
      <c r="B690" t="s">
        <v>17</v>
      </c>
      <c r="C690">
        <v>31</v>
      </c>
      <c r="D690">
        <v>100</v>
      </c>
      <c r="E690">
        <v>400</v>
      </c>
      <c r="F690" t="str">
        <f t="shared" si="10"/>
        <v>tree256_line_31_100_400</v>
      </c>
      <c r="G690">
        <v>0</v>
      </c>
      <c r="H690">
        <v>0</v>
      </c>
      <c r="I690">
        <v>4.1412000000000003E-5</v>
      </c>
      <c r="J690">
        <v>9.0880000000000001E-6</v>
      </c>
      <c r="K690">
        <v>29.412700000000001</v>
      </c>
      <c r="L690">
        <v>2.3256999999999999</v>
      </c>
      <c r="M690">
        <v>13.5999</v>
      </c>
      <c r="N690">
        <v>0</v>
      </c>
      <c r="O690">
        <v>0</v>
      </c>
    </row>
    <row r="691" spans="1:15" x14ac:dyDescent="0.25">
      <c r="A691" t="s">
        <v>19</v>
      </c>
      <c r="B691" t="s">
        <v>17</v>
      </c>
      <c r="C691">
        <v>31</v>
      </c>
      <c r="D691">
        <v>100</v>
      </c>
      <c r="E691">
        <v>800</v>
      </c>
      <c r="F691" t="str">
        <f t="shared" si="10"/>
        <v>tree256_line_31_100_800</v>
      </c>
      <c r="G691">
        <v>0</v>
      </c>
      <c r="H691">
        <v>0</v>
      </c>
      <c r="I691">
        <v>8.3955999999999994E-5</v>
      </c>
      <c r="J691">
        <v>9.0880000000000001E-6</v>
      </c>
      <c r="K691">
        <v>26.347000000000001</v>
      </c>
      <c r="L691">
        <v>2.3256999999999999</v>
      </c>
      <c r="M691">
        <v>13.5349</v>
      </c>
      <c r="N691">
        <v>0</v>
      </c>
      <c r="O691">
        <v>0</v>
      </c>
    </row>
    <row r="692" spans="1:15" x14ac:dyDescent="0.25">
      <c r="A692" t="s">
        <v>19</v>
      </c>
      <c r="B692" t="s">
        <v>17</v>
      </c>
      <c r="C692">
        <v>31</v>
      </c>
      <c r="D692">
        <v>100</v>
      </c>
      <c r="E692">
        <v>1600</v>
      </c>
      <c r="F692" t="str">
        <f t="shared" si="10"/>
        <v>tree256_line_31_100_1600</v>
      </c>
      <c r="G692">
        <v>0</v>
      </c>
      <c r="H692">
        <v>0</v>
      </c>
      <c r="I692">
        <v>1.7083300000000001E-4</v>
      </c>
      <c r="J692">
        <v>9.0880000000000001E-6</v>
      </c>
      <c r="K692">
        <v>23.270800000000001</v>
      </c>
      <c r="L692">
        <v>2.3256999999999999</v>
      </c>
      <c r="M692">
        <v>13.403499999999999</v>
      </c>
      <c r="N692">
        <v>0</v>
      </c>
      <c r="O692">
        <v>0</v>
      </c>
    </row>
    <row r="693" spans="1:15" x14ac:dyDescent="0.25">
      <c r="A693" t="s">
        <v>19</v>
      </c>
      <c r="B693" t="s">
        <v>17</v>
      </c>
      <c r="C693">
        <v>31</v>
      </c>
      <c r="D693">
        <v>100</v>
      </c>
      <c r="E693">
        <v>3200</v>
      </c>
      <c r="F693" t="str">
        <f t="shared" si="10"/>
        <v>tree256_line_31_100_3200</v>
      </c>
      <c r="G693">
        <v>0</v>
      </c>
      <c r="H693">
        <v>0</v>
      </c>
      <c r="I693">
        <v>3.4943700000000002E-4</v>
      </c>
      <c r="J693">
        <v>9.0880000000000001E-6</v>
      </c>
      <c r="K693">
        <v>20.174600000000002</v>
      </c>
      <c r="L693">
        <v>2.3256999999999999</v>
      </c>
      <c r="M693">
        <v>13.216200000000001</v>
      </c>
      <c r="N693">
        <v>0</v>
      </c>
      <c r="O693">
        <v>0</v>
      </c>
    </row>
    <row r="694" spans="1:15" x14ac:dyDescent="0.25">
      <c r="A694" t="s">
        <v>19</v>
      </c>
      <c r="B694" t="s">
        <v>17</v>
      </c>
      <c r="C694">
        <v>31</v>
      </c>
      <c r="D694">
        <v>100</v>
      </c>
      <c r="E694">
        <v>6400</v>
      </c>
      <c r="F694" t="str">
        <f t="shared" si="10"/>
        <v>tree256_line_31_100_6400</v>
      </c>
      <c r="G694">
        <v>0</v>
      </c>
      <c r="H694">
        <v>0</v>
      </c>
      <c r="I694">
        <v>7.1643399999999995E-4</v>
      </c>
      <c r="J694">
        <v>9.0880000000000001E-6</v>
      </c>
      <c r="K694">
        <v>17.092400000000001</v>
      </c>
      <c r="L694">
        <v>2.3256999999999999</v>
      </c>
      <c r="M694">
        <v>12.8017</v>
      </c>
      <c r="N694">
        <v>0</v>
      </c>
      <c r="O694">
        <v>0</v>
      </c>
    </row>
    <row r="695" spans="1:15" x14ac:dyDescent="0.25">
      <c r="A695" t="s">
        <v>19</v>
      </c>
      <c r="B695" t="s">
        <v>17</v>
      </c>
      <c r="C695">
        <v>31</v>
      </c>
      <c r="D695">
        <v>100</v>
      </c>
      <c r="E695">
        <v>12800</v>
      </c>
      <c r="F695" t="str">
        <f t="shared" si="10"/>
        <v>tree256_line_31_100_12800</v>
      </c>
      <c r="G695">
        <v>0</v>
      </c>
      <c r="H695">
        <v>0</v>
      </c>
      <c r="I695">
        <v>1.516068E-3</v>
      </c>
      <c r="J695">
        <v>9.0880000000000001E-6</v>
      </c>
      <c r="K695">
        <v>13.9176</v>
      </c>
      <c r="L695">
        <v>2.3256999999999999</v>
      </c>
      <c r="M695">
        <v>12.106999999999999</v>
      </c>
      <c r="N695">
        <v>0</v>
      </c>
      <c r="O695">
        <v>0</v>
      </c>
    </row>
    <row r="696" spans="1:15" x14ac:dyDescent="0.25">
      <c r="A696" t="s">
        <v>19</v>
      </c>
      <c r="B696" t="s">
        <v>17</v>
      </c>
      <c r="C696">
        <v>31</v>
      </c>
      <c r="D696">
        <v>100</v>
      </c>
      <c r="E696">
        <v>25600</v>
      </c>
      <c r="F696" t="str">
        <f t="shared" si="10"/>
        <v>tree256_line_31_100_25600</v>
      </c>
      <c r="G696">
        <v>0</v>
      </c>
      <c r="H696">
        <v>0</v>
      </c>
      <c r="I696">
        <v>3.3404419999999999E-3</v>
      </c>
      <c r="J696">
        <v>9.0880000000000001E-6</v>
      </c>
      <c r="K696">
        <v>10.6858</v>
      </c>
      <c r="L696">
        <v>2.3256999999999999</v>
      </c>
      <c r="M696">
        <v>11.0268</v>
      </c>
      <c r="N696">
        <v>0</v>
      </c>
      <c r="O696">
        <v>0</v>
      </c>
    </row>
    <row r="697" spans="1:15" x14ac:dyDescent="0.25">
      <c r="A697" t="s">
        <v>19</v>
      </c>
      <c r="B697" t="s">
        <v>17</v>
      </c>
      <c r="C697">
        <v>31</v>
      </c>
      <c r="D697">
        <v>100</v>
      </c>
      <c r="E697">
        <v>102400</v>
      </c>
      <c r="F697" t="str">
        <f t="shared" si="10"/>
        <v>tree256_line_31_100_102400</v>
      </c>
      <c r="G697">
        <v>0</v>
      </c>
      <c r="H697">
        <v>0</v>
      </c>
      <c r="I697">
        <v>2.0512079999999999E-2</v>
      </c>
      <c r="J697">
        <v>9.1209999999999996E-6</v>
      </c>
      <c r="K697">
        <v>4.2355</v>
      </c>
      <c r="L697">
        <v>2.3273999999999999</v>
      </c>
      <c r="M697">
        <v>7.6714000000000002</v>
      </c>
      <c r="N697">
        <v>0</v>
      </c>
      <c r="O697">
        <v>0</v>
      </c>
    </row>
    <row r="698" spans="1:15" x14ac:dyDescent="0.25">
      <c r="A698" t="s">
        <v>19</v>
      </c>
      <c r="B698" t="s">
        <v>17</v>
      </c>
      <c r="C698">
        <v>63</v>
      </c>
      <c r="D698">
        <v>100</v>
      </c>
      <c r="E698">
        <v>200</v>
      </c>
      <c r="F698" t="str">
        <f t="shared" si="10"/>
        <v>tree256_line_63_100_200</v>
      </c>
      <c r="G698">
        <v>0</v>
      </c>
      <c r="H698">
        <v>0</v>
      </c>
      <c r="I698">
        <v>1.9792999999999998E-5</v>
      </c>
      <c r="J698">
        <v>9.1679999999999993E-6</v>
      </c>
      <c r="K698">
        <v>32.617600000000003</v>
      </c>
      <c r="L698">
        <v>1.7271000000000001</v>
      </c>
      <c r="M698">
        <v>13.7866</v>
      </c>
      <c r="N698">
        <v>0</v>
      </c>
      <c r="O698">
        <v>0</v>
      </c>
    </row>
    <row r="699" spans="1:15" x14ac:dyDescent="0.25">
      <c r="A699" t="s">
        <v>19</v>
      </c>
      <c r="B699" t="s">
        <v>17</v>
      </c>
      <c r="C699">
        <v>63</v>
      </c>
      <c r="D699">
        <v>100</v>
      </c>
      <c r="E699">
        <v>400</v>
      </c>
      <c r="F699" t="str">
        <f t="shared" si="10"/>
        <v>tree256_line_63_100_400</v>
      </c>
      <c r="G699">
        <v>0</v>
      </c>
      <c r="H699">
        <v>0</v>
      </c>
      <c r="I699">
        <v>4.0884999999999999E-5</v>
      </c>
      <c r="J699">
        <v>9.1679999999999993E-6</v>
      </c>
      <c r="K699">
        <v>29.468900000000001</v>
      </c>
      <c r="L699">
        <v>1.7271000000000001</v>
      </c>
      <c r="M699">
        <v>13.742900000000001</v>
      </c>
      <c r="N699">
        <v>0</v>
      </c>
      <c r="O699">
        <v>0</v>
      </c>
    </row>
    <row r="700" spans="1:15" x14ac:dyDescent="0.25">
      <c r="A700" t="s">
        <v>19</v>
      </c>
      <c r="B700" t="s">
        <v>17</v>
      </c>
      <c r="C700">
        <v>63</v>
      </c>
      <c r="D700">
        <v>100</v>
      </c>
      <c r="E700">
        <v>800</v>
      </c>
      <c r="F700" t="str">
        <f t="shared" si="10"/>
        <v>tree256_line_63_100_800</v>
      </c>
      <c r="G700">
        <v>0</v>
      </c>
      <c r="H700">
        <v>0</v>
      </c>
      <c r="I700">
        <v>8.4086999999999996E-5</v>
      </c>
      <c r="J700">
        <v>9.1679999999999993E-6</v>
      </c>
      <c r="K700">
        <v>26.3401</v>
      </c>
      <c r="L700">
        <v>1.7271000000000001</v>
      </c>
      <c r="M700">
        <v>13.693899999999999</v>
      </c>
      <c r="N700">
        <v>0</v>
      </c>
      <c r="O700">
        <v>0</v>
      </c>
    </row>
    <row r="701" spans="1:15" x14ac:dyDescent="0.25">
      <c r="A701" t="s">
        <v>19</v>
      </c>
      <c r="B701" t="s">
        <v>17</v>
      </c>
      <c r="C701">
        <v>63</v>
      </c>
      <c r="D701">
        <v>100</v>
      </c>
      <c r="E701">
        <v>1600</v>
      </c>
      <c r="F701" t="str">
        <f t="shared" si="10"/>
        <v>tree256_line_63_100_1600</v>
      </c>
      <c r="G701">
        <v>0</v>
      </c>
      <c r="H701">
        <v>0</v>
      </c>
      <c r="I701">
        <v>1.71533E-4</v>
      </c>
      <c r="J701">
        <v>9.1679999999999993E-6</v>
      </c>
      <c r="K701">
        <v>23.249700000000001</v>
      </c>
      <c r="L701">
        <v>1.7271000000000001</v>
      </c>
      <c r="M701">
        <v>13.567399999999999</v>
      </c>
      <c r="N701">
        <v>0</v>
      </c>
      <c r="O701">
        <v>0</v>
      </c>
    </row>
    <row r="702" spans="1:15" x14ac:dyDescent="0.25">
      <c r="A702" t="s">
        <v>19</v>
      </c>
      <c r="B702" t="s">
        <v>17</v>
      </c>
      <c r="C702">
        <v>63</v>
      </c>
      <c r="D702">
        <v>100</v>
      </c>
      <c r="E702">
        <v>3200</v>
      </c>
      <c r="F702" t="str">
        <f t="shared" si="10"/>
        <v>tree256_line_63_100_3200</v>
      </c>
      <c r="G702">
        <v>0</v>
      </c>
      <c r="H702">
        <v>0</v>
      </c>
      <c r="I702">
        <v>3.4380599999999999E-4</v>
      </c>
      <c r="J702">
        <v>9.1679999999999993E-6</v>
      </c>
      <c r="K702">
        <v>20.246600000000001</v>
      </c>
      <c r="L702">
        <v>1.7271000000000001</v>
      </c>
      <c r="M702">
        <v>13.335000000000001</v>
      </c>
      <c r="N702">
        <v>0</v>
      </c>
      <c r="O702">
        <v>0</v>
      </c>
    </row>
    <row r="703" spans="1:15" x14ac:dyDescent="0.25">
      <c r="A703" t="s">
        <v>19</v>
      </c>
      <c r="B703" t="s">
        <v>17</v>
      </c>
      <c r="C703">
        <v>63</v>
      </c>
      <c r="D703">
        <v>100</v>
      </c>
      <c r="E703">
        <v>6400</v>
      </c>
      <c r="F703" t="str">
        <f t="shared" si="10"/>
        <v>tree256_line_63_100_6400</v>
      </c>
      <c r="G703">
        <v>0</v>
      </c>
      <c r="H703">
        <v>0</v>
      </c>
      <c r="I703">
        <v>7.1290100000000005E-4</v>
      </c>
      <c r="J703">
        <v>9.1679999999999993E-6</v>
      </c>
      <c r="K703">
        <v>17.116700000000002</v>
      </c>
      <c r="L703">
        <v>1.7271000000000001</v>
      </c>
      <c r="M703">
        <v>12.9671</v>
      </c>
      <c r="N703">
        <v>0</v>
      </c>
      <c r="O703">
        <v>0</v>
      </c>
    </row>
    <row r="704" spans="1:15" x14ac:dyDescent="0.25">
      <c r="A704" t="s">
        <v>19</v>
      </c>
      <c r="B704" t="s">
        <v>17</v>
      </c>
      <c r="C704">
        <v>63</v>
      </c>
      <c r="D704">
        <v>100</v>
      </c>
      <c r="E704">
        <v>12800</v>
      </c>
      <c r="F704" t="str">
        <f t="shared" si="10"/>
        <v>tree256_line_63_100_12800</v>
      </c>
      <c r="G704">
        <v>0</v>
      </c>
      <c r="H704">
        <v>0</v>
      </c>
      <c r="I704">
        <v>1.5152259999999999E-3</v>
      </c>
      <c r="J704">
        <v>9.1679999999999993E-6</v>
      </c>
      <c r="K704">
        <v>13.916600000000001</v>
      </c>
      <c r="L704">
        <v>1.7271000000000001</v>
      </c>
      <c r="M704">
        <v>12.219900000000001</v>
      </c>
      <c r="N704">
        <v>0</v>
      </c>
      <c r="O704">
        <v>0</v>
      </c>
    </row>
    <row r="705" spans="1:15" x14ac:dyDescent="0.25">
      <c r="A705" t="s">
        <v>19</v>
      </c>
      <c r="B705" t="s">
        <v>17</v>
      </c>
      <c r="C705">
        <v>63</v>
      </c>
      <c r="D705">
        <v>100</v>
      </c>
      <c r="E705">
        <v>25600</v>
      </c>
      <c r="F705" t="str">
        <f t="shared" si="10"/>
        <v>tree256_line_63_100_25600</v>
      </c>
      <c r="G705">
        <v>0</v>
      </c>
      <c r="H705">
        <v>0</v>
      </c>
      <c r="I705">
        <v>3.3848989999999998E-3</v>
      </c>
      <c r="J705">
        <v>9.1679999999999993E-6</v>
      </c>
      <c r="K705">
        <v>10.6305</v>
      </c>
      <c r="L705">
        <v>1.7271000000000001</v>
      </c>
      <c r="M705">
        <v>11.121700000000001</v>
      </c>
      <c r="N705">
        <v>0</v>
      </c>
      <c r="O705">
        <v>0</v>
      </c>
    </row>
  </sheetData>
  <autoFilter ref="A1:O701"/>
  <sortState ref="A2:O705">
    <sortCondition ref="A2:A705"/>
    <sortCondition ref="B2:B705"/>
    <sortCondition ref="C2:C705"/>
    <sortCondition ref="E2:E70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F14"/>
  <sheetViews>
    <sheetView workbookViewId="0">
      <selection activeCell="G40" sqref="G40"/>
    </sheetView>
  </sheetViews>
  <sheetFormatPr defaultRowHeight="15" x14ac:dyDescent="0.25"/>
  <cols>
    <col min="1" max="1" width="16.42578125" bestFit="1" customWidth="1"/>
    <col min="2" max="2" width="16.28515625" bestFit="1" customWidth="1"/>
    <col min="3" max="6" width="12" customWidth="1"/>
    <col min="7" max="7" width="12.85546875" bestFit="1" customWidth="1"/>
    <col min="8" max="8" width="16.42578125" bestFit="1" customWidth="1"/>
    <col min="9" max="9" width="12.85546875" bestFit="1" customWidth="1"/>
    <col min="10" max="10" width="21.5703125" bestFit="1" customWidth="1"/>
    <col min="11" max="11" width="18" bestFit="1" customWidth="1"/>
  </cols>
  <sheetData>
    <row r="3" spans="1:6" x14ac:dyDescent="0.25">
      <c r="A3" s="2" t="s">
        <v>33</v>
      </c>
      <c r="B3" s="2" t="s">
        <v>30</v>
      </c>
    </row>
    <row r="4" spans="1:6" x14ac:dyDescent="0.25">
      <c r="A4" s="2" t="s">
        <v>32</v>
      </c>
      <c r="B4" t="s">
        <v>21</v>
      </c>
      <c r="C4" t="s">
        <v>14</v>
      </c>
      <c r="D4" t="s">
        <v>20</v>
      </c>
      <c r="E4" t="s">
        <v>19</v>
      </c>
      <c r="F4" t="s">
        <v>31</v>
      </c>
    </row>
    <row r="5" spans="1:6" x14ac:dyDescent="0.25">
      <c r="A5" s="3">
        <v>200</v>
      </c>
      <c r="B5" s="4">
        <v>34.483731249999991</v>
      </c>
      <c r="C5" s="4">
        <v>34.85145</v>
      </c>
      <c r="D5" s="4">
        <v>39.775468749999995</v>
      </c>
      <c r="E5" s="4">
        <v>32.635987499999999</v>
      </c>
      <c r="F5" s="4">
        <v>35.436659374999998</v>
      </c>
    </row>
    <row r="6" spans="1:6" x14ac:dyDescent="0.25">
      <c r="A6" s="3">
        <v>400</v>
      </c>
      <c r="B6" s="4">
        <v>31.828681249999995</v>
      </c>
      <c r="C6" s="4">
        <v>32.256018749999996</v>
      </c>
      <c r="D6" s="4">
        <v>36.675718750000009</v>
      </c>
      <c r="E6" s="4">
        <v>29.4720625</v>
      </c>
      <c r="F6" s="4">
        <v>32.558120312500002</v>
      </c>
    </row>
    <row r="7" spans="1:6" x14ac:dyDescent="0.25">
      <c r="A7" s="3">
        <v>800</v>
      </c>
      <c r="B7" s="4">
        <v>29.191168750000006</v>
      </c>
      <c r="C7" s="4">
        <v>29.82978125</v>
      </c>
      <c r="D7" s="4">
        <v>33.632281249999998</v>
      </c>
      <c r="E7" s="4">
        <v>26.408418749999996</v>
      </c>
      <c r="F7" s="4">
        <v>29.765412500000004</v>
      </c>
    </row>
    <row r="8" spans="1:6" x14ac:dyDescent="0.25">
      <c r="A8" s="3">
        <v>1600</v>
      </c>
      <c r="B8" s="4">
        <v>26.585050000000003</v>
      </c>
      <c r="C8" s="4">
        <v>27.487743749999996</v>
      </c>
      <c r="D8" s="4">
        <v>30.685162499999997</v>
      </c>
      <c r="E8" s="4">
        <v>23.431368750000001</v>
      </c>
      <c r="F8" s="4">
        <v>27.047331250000003</v>
      </c>
    </row>
    <row r="9" spans="1:6" x14ac:dyDescent="0.25">
      <c r="A9" s="3">
        <v>3200</v>
      </c>
      <c r="B9" s="4">
        <v>24.003187500000003</v>
      </c>
      <c r="C9" s="4">
        <v>25.22189375</v>
      </c>
      <c r="D9" s="4">
        <v>27.761556249999998</v>
      </c>
      <c r="E9" s="4">
        <v>20.55545</v>
      </c>
      <c r="F9" s="4">
        <v>24.385521875000006</v>
      </c>
    </row>
    <row r="10" spans="1:6" x14ac:dyDescent="0.25">
      <c r="A10" s="3">
        <v>6400</v>
      </c>
      <c r="B10" s="4">
        <v>21.431412500000004</v>
      </c>
      <c r="C10" s="4">
        <v>22.98978125</v>
      </c>
      <c r="D10" s="4">
        <v>24.879593749999994</v>
      </c>
      <c r="E10" s="4">
        <v>17.744781249999999</v>
      </c>
      <c r="F10" s="4">
        <v>21.7613921875</v>
      </c>
    </row>
    <row r="11" spans="1:6" x14ac:dyDescent="0.25">
      <c r="A11" s="3">
        <v>12800</v>
      </c>
      <c r="B11" s="4">
        <v>18.9976375</v>
      </c>
      <c r="C11" s="4">
        <v>20.760456250000004</v>
      </c>
      <c r="D11" s="4">
        <v>21.965518750000001</v>
      </c>
      <c r="E11" s="4">
        <v>15.093775000000001</v>
      </c>
      <c r="F11" s="4">
        <v>19.204346874999995</v>
      </c>
    </row>
    <row r="12" spans="1:6" x14ac:dyDescent="0.25">
      <c r="A12" s="3">
        <v>25600</v>
      </c>
      <c r="B12" s="4">
        <v>16.70505</v>
      </c>
      <c r="C12" s="4">
        <v>18.472468750000004</v>
      </c>
      <c r="D12" s="4">
        <v>18.928062499999999</v>
      </c>
      <c r="E12" s="4">
        <v>12.57754375</v>
      </c>
      <c r="F12" s="4">
        <v>16.670781250000001</v>
      </c>
    </row>
    <row r="13" spans="1:6" x14ac:dyDescent="0.25">
      <c r="A13" s="3">
        <v>102400</v>
      </c>
      <c r="B13" s="4">
        <v>12.460118750000001</v>
      </c>
      <c r="C13" s="4">
        <v>13.780525000000001</v>
      </c>
      <c r="D13" s="4">
        <v>12.17261875</v>
      </c>
      <c r="E13" s="4">
        <v>7.9592874999999994</v>
      </c>
      <c r="F13" s="4">
        <v>11.593137499999996</v>
      </c>
    </row>
    <row r="14" spans="1:6" x14ac:dyDescent="0.25">
      <c r="A14" s="3" t="s">
        <v>31</v>
      </c>
      <c r="B14" s="4">
        <v>23.965115277777791</v>
      </c>
      <c r="C14" s="4">
        <v>25.072235416666679</v>
      </c>
      <c r="D14" s="4">
        <v>27.386220138888888</v>
      </c>
      <c r="E14" s="4">
        <v>20.653186111111108</v>
      </c>
      <c r="F14" s="4">
        <v>24.26918923611111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16"/>
  <sheetViews>
    <sheetView workbookViewId="0">
      <selection activeCell="G5" sqref="G5"/>
    </sheetView>
  </sheetViews>
  <sheetFormatPr defaultRowHeight="15" x14ac:dyDescent="0.25"/>
  <cols>
    <col min="1" max="1" width="13.140625" bestFit="1" customWidth="1"/>
    <col min="2" max="2" width="17.42578125" bestFit="1" customWidth="1"/>
    <col min="3" max="3" width="18.28515625" bestFit="1" customWidth="1"/>
    <col min="4" max="4" width="16.42578125" bestFit="1" customWidth="1"/>
  </cols>
  <sheetData>
    <row r="3" spans="1:7" x14ac:dyDescent="0.25">
      <c r="B3" s="2" t="s">
        <v>35</v>
      </c>
    </row>
    <row r="4" spans="1:7" x14ac:dyDescent="0.25">
      <c r="A4" s="2" t="s">
        <v>32</v>
      </c>
      <c r="B4" t="s">
        <v>34</v>
      </c>
      <c r="C4" t="s">
        <v>36</v>
      </c>
      <c r="D4" t="s">
        <v>33</v>
      </c>
      <c r="E4" t="s">
        <v>54</v>
      </c>
    </row>
    <row r="5" spans="1:7" x14ac:dyDescent="0.25">
      <c r="A5" s="3">
        <v>200</v>
      </c>
      <c r="B5" s="4">
        <v>18.308012499999997</v>
      </c>
      <c r="C5" s="4">
        <v>33.266634374999995</v>
      </c>
      <c r="D5" s="4">
        <v>35.436659374999998</v>
      </c>
      <c r="E5" t="str">
        <f>Range2MatlabVector(B5:B13)</f>
        <v>[18,3080125 18,2322875 18,096303125 17,8517578125 17,4529921875 16,8127515625 15,8750375 14,5626109375 10,8863796875]</v>
      </c>
      <c r="F5" t="str">
        <f>Range2MatlabVector(C5:C13)</f>
        <v>[33,266634375 30,6626 28,045846875 25,7609671875 23,4863671875 21,4278859375 19,571753125 17,97715 14,4541625]</v>
      </c>
      <c r="G5" t="str">
        <f>Range2MatlabVector(D5:D13)</f>
        <v>[35,436659375 32,5581203125 29,7654125 27,04733125 24,385521875 21,7613921875 19,204346875 16,67078125 11,5931375]</v>
      </c>
    </row>
    <row r="6" spans="1:7" x14ac:dyDescent="0.25">
      <c r="A6" s="3">
        <v>400</v>
      </c>
      <c r="B6" s="4">
        <v>18.232287499999998</v>
      </c>
      <c r="C6" s="4">
        <v>30.662600000000008</v>
      </c>
      <c r="D6" s="4">
        <v>32.558120312500002</v>
      </c>
    </row>
    <row r="7" spans="1:7" x14ac:dyDescent="0.25">
      <c r="A7" s="3">
        <v>800</v>
      </c>
      <c r="B7" s="4">
        <v>18.096303125000002</v>
      </c>
      <c r="C7" s="4">
        <v>28.045846875000002</v>
      </c>
      <c r="D7" s="4">
        <v>29.7654125</v>
      </c>
    </row>
    <row r="8" spans="1:7" x14ac:dyDescent="0.25">
      <c r="A8" s="3">
        <v>1600</v>
      </c>
      <c r="B8" s="4">
        <v>17.851757812500001</v>
      </c>
      <c r="C8" s="4">
        <v>25.760967187499997</v>
      </c>
      <c r="D8" s="4">
        <v>27.047331249999996</v>
      </c>
    </row>
    <row r="9" spans="1:7" x14ac:dyDescent="0.25">
      <c r="A9" s="3">
        <v>3200</v>
      </c>
      <c r="B9" s="4">
        <v>17.452992187499998</v>
      </c>
      <c r="C9" s="4">
        <v>23.486367187499997</v>
      </c>
      <c r="D9" s="4">
        <v>24.385521874999995</v>
      </c>
    </row>
    <row r="10" spans="1:7" x14ac:dyDescent="0.25">
      <c r="A10" s="3">
        <v>6400</v>
      </c>
      <c r="B10" s="4">
        <v>16.812751562500001</v>
      </c>
      <c r="C10" s="4">
        <v>21.427885937499997</v>
      </c>
      <c r="D10" s="4">
        <v>21.761392187499997</v>
      </c>
    </row>
    <row r="11" spans="1:7" x14ac:dyDescent="0.25">
      <c r="A11" s="3">
        <v>12800</v>
      </c>
      <c r="B11" s="4">
        <v>15.875037499999999</v>
      </c>
      <c r="C11" s="4">
        <v>19.571753124999997</v>
      </c>
      <c r="D11" s="4">
        <v>19.204346874999995</v>
      </c>
    </row>
    <row r="12" spans="1:7" x14ac:dyDescent="0.25">
      <c r="A12" s="3">
        <v>25600</v>
      </c>
      <c r="B12" s="4">
        <v>14.562610937499999</v>
      </c>
      <c r="C12" s="4">
        <v>17.977150000000005</v>
      </c>
      <c r="D12" s="4">
        <v>16.670781250000005</v>
      </c>
    </row>
    <row r="13" spans="1:7" x14ac:dyDescent="0.25">
      <c r="A13" s="3">
        <v>102400</v>
      </c>
      <c r="B13" s="4">
        <v>10.8863796875</v>
      </c>
      <c r="C13" s="4">
        <v>14.454162500000001</v>
      </c>
      <c r="D13" s="4">
        <v>11.593137499999996</v>
      </c>
    </row>
    <row r="14" spans="1:7" x14ac:dyDescent="0.25">
      <c r="A14" s="3" t="s">
        <v>31</v>
      </c>
      <c r="B14" s="4">
        <v>16.453125868055544</v>
      </c>
      <c r="C14" s="4">
        <v>23.850374131944452</v>
      </c>
      <c r="D14" s="4">
        <v>24.269189236111092</v>
      </c>
    </row>
    <row r="16" spans="1:7" x14ac:dyDescent="0.25">
      <c r="A16" t="str">
        <f>"SABO12_ISOTriplePlot("&amp;E5&amp;", "&amp;F5&amp;", "&amp;G5&amp;", '"&amp;E4&amp;"');"</f>
        <v>SABO12_ISOTriplePlot([18,3080125 18,2322875 18,096303125 17,8517578125 17,4529921875 16,8127515625 15,8750375 14,5626109375 10,8863796875], [33,266634375 30,6626 28,045846875 25,7609671875 23,4863671875 21,4278859375 19,571753125 17,97715 14,4541625], [35,436659375 32,5581203125 29,7654125 27,04733125 24,385521875 21,7613921875 19,204346875 16,67078125 11,5931375], 'avg_methods_vs_ISO.eps');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11"/>
  <sheetViews>
    <sheetView workbookViewId="0">
      <selection activeCell="J35" sqref="J35"/>
    </sheetView>
  </sheetViews>
  <sheetFormatPr defaultRowHeight="15" x14ac:dyDescent="0.25"/>
  <cols>
    <col min="1" max="1" width="13.140625" bestFit="1" customWidth="1"/>
    <col min="2" max="2" width="17.42578125" customWidth="1"/>
    <col min="3" max="3" width="18.28515625" customWidth="1"/>
    <col min="4" max="4" width="16.42578125" bestFit="1" customWidth="1"/>
  </cols>
  <sheetData>
    <row r="3" spans="1:7" x14ac:dyDescent="0.25">
      <c r="B3" s="2" t="s">
        <v>35</v>
      </c>
    </row>
    <row r="4" spans="1:7" x14ac:dyDescent="0.25">
      <c r="A4" s="2" t="s">
        <v>32</v>
      </c>
      <c r="B4" t="s">
        <v>34</v>
      </c>
      <c r="C4" t="s">
        <v>36</v>
      </c>
      <c r="D4" t="s">
        <v>33</v>
      </c>
      <c r="E4" t="s">
        <v>55</v>
      </c>
    </row>
    <row r="5" spans="1:7" x14ac:dyDescent="0.25">
      <c r="A5" s="3">
        <v>3</v>
      </c>
      <c r="B5" s="4">
        <v>16.37002291666667</v>
      </c>
      <c r="C5" s="4">
        <v>26.29123819444445</v>
      </c>
      <c r="D5" s="4">
        <v>24.268086111111113</v>
      </c>
      <c r="E5" t="str">
        <f>Range2MatlabVector(B5:B8)</f>
        <v>[16,3700229166667 16,2850541666667 16,5673458333333 16,5900805555556]</v>
      </c>
      <c r="F5" t="str">
        <f>Range2MatlabVector(C5:C8)</f>
        <v>[26,2912381944445 23,764375 23,1409305555555 22,2049527777778]</v>
      </c>
      <c r="G5" t="str">
        <f>Range2MatlabVector(D5:D8)</f>
        <v>[24,2680861111111 24,2710152777778 24,2652173611111 24,2724381944445]</v>
      </c>
    </row>
    <row r="6" spans="1:7" x14ac:dyDescent="0.25">
      <c r="A6" s="3">
        <v>7</v>
      </c>
      <c r="B6" s="4">
        <v>16.285054166666665</v>
      </c>
      <c r="C6" s="4">
        <v>23.764374999999998</v>
      </c>
      <c r="D6" s="4">
        <v>24.271015277777781</v>
      </c>
    </row>
    <row r="7" spans="1:7" x14ac:dyDescent="0.25">
      <c r="A7" s="3">
        <v>15</v>
      </c>
      <c r="B7" s="4">
        <v>16.567345833333331</v>
      </c>
      <c r="C7" s="4">
        <v>23.140930555555549</v>
      </c>
      <c r="D7" s="4">
        <v>24.265217361111109</v>
      </c>
    </row>
    <row r="8" spans="1:7" x14ac:dyDescent="0.25">
      <c r="A8" s="3">
        <v>31</v>
      </c>
      <c r="B8" s="4">
        <v>16.590080555555559</v>
      </c>
      <c r="C8" s="4">
        <v>22.204952777777791</v>
      </c>
      <c r="D8" s="4">
        <v>24.272438194444451</v>
      </c>
    </row>
    <row r="9" spans="1:7" x14ac:dyDescent="0.25">
      <c r="A9" s="3" t="s">
        <v>31</v>
      </c>
      <c r="B9" s="4">
        <v>16.453125868055544</v>
      </c>
      <c r="C9" s="4">
        <v>23.850374131944463</v>
      </c>
      <c r="D9" s="4">
        <v>24.269189236111124</v>
      </c>
    </row>
    <row r="11" spans="1:7" x14ac:dyDescent="0.25">
      <c r="A11" t="str">
        <f>"SABO12_PSFTriplePlot("&amp;E5&amp;", "&amp;F5&amp;", "&amp;G5&amp;", '"&amp;E4&amp;"');"</f>
        <v>SABO12_PSFTriplePlot([16,3700229166667 16,2850541666667 16,5673458333333 16,5900805555556], [26,2912381944445 23,764375 23,1409305555555 22,2049527777778], [24,2680861111111 24,2710152777778 24,2652173611111 24,2724381944445], 'avg_methods_vs_ISO_psf_size.eps');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9"/>
  <sheetViews>
    <sheetView workbookViewId="0">
      <selection activeCell="B29" sqref="B29"/>
    </sheetView>
  </sheetViews>
  <sheetFormatPr defaultRowHeight="15" x14ac:dyDescent="0.25"/>
  <cols>
    <col min="1" max="1" width="17.42578125" bestFit="1" customWidth="1"/>
    <col min="2" max="2" width="16.28515625" customWidth="1"/>
    <col min="3" max="3" width="10" customWidth="1"/>
    <col min="4" max="4" width="9" customWidth="1"/>
    <col min="5" max="5" width="8" customWidth="1"/>
    <col min="6" max="6" width="10" customWidth="1"/>
    <col min="7" max="8" width="8" customWidth="1"/>
    <col min="9" max="9" width="10" customWidth="1"/>
    <col min="10" max="10" width="9" customWidth="1"/>
    <col min="11" max="11" width="12" bestFit="1" customWidth="1"/>
  </cols>
  <sheetData>
    <row r="1" spans="1:11" x14ac:dyDescent="0.25">
      <c r="A1" s="2" t="s">
        <v>0</v>
      </c>
      <c r="B1" t="s">
        <v>19</v>
      </c>
    </row>
    <row r="2" spans="1:11" x14ac:dyDescent="0.25">
      <c r="A2" s="2" t="s">
        <v>1</v>
      </c>
      <c r="B2" t="s">
        <v>17</v>
      </c>
    </row>
    <row r="4" spans="1:11" x14ac:dyDescent="0.25">
      <c r="A4" s="2" t="s">
        <v>34</v>
      </c>
      <c r="B4" s="2" t="s">
        <v>30</v>
      </c>
    </row>
    <row r="5" spans="1:11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 x14ac:dyDescent="0.25">
      <c r="A6" s="3">
        <v>3</v>
      </c>
      <c r="B6" s="4">
        <v>11.923999999999999</v>
      </c>
      <c r="C6" s="4">
        <v>11.910399999999999</v>
      </c>
      <c r="D6" s="4">
        <v>11.8955</v>
      </c>
      <c r="E6" s="4">
        <v>11.8223</v>
      </c>
      <c r="F6" s="4">
        <v>11.7614</v>
      </c>
      <c r="G6" s="4">
        <v>11.6067</v>
      </c>
      <c r="H6" s="4">
        <v>11.3736</v>
      </c>
      <c r="I6" s="4">
        <v>10.9718</v>
      </c>
      <c r="J6" s="4">
        <v>9.9131</v>
      </c>
      <c r="K6" s="4">
        <v>11.46431111111111</v>
      </c>
    </row>
    <row r="7" spans="1:11" x14ac:dyDescent="0.25">
      <c r="A7" s="3">
        <v>7</v>
      </c>
      <c r="B7" s="4">
        <v>13.2148</v>
      </c>
      <c r="C7" s="4">
        <v>13.1891</v>
      </c>
      <c r="D7" s="4">
        <v>13.1248</v>
      </c>
      <c r="E7" s="4">
        <v>13.025</v>
      </c>
      <c r="F7" s="4">
        <v>12.825900000000001</v>
      </c>
      <c r="G7" s="4">
        <v>12.462199999999999</v>
      </c>
      <c r="H7" s="4">
        <v>11.866</v>
      </c>
      <c r="I7" s="4">
        <v>10.912800000000001</v>
      </c>
      <c r="J7" s="4">
        <v>8.0099</v>
      </c>
      <c r="K7" s="4">
        <v>12.070055555555555</v>
      </c>
    </row>
    <row r="8" spans="1:11" x14ac:dyDescent="0.25">
      <c r="A8" s="3">
        <v>15</v>
      </c>
      <c r="B8" s="4">
        <v>13.5124</v>
      </c>
      <c r="C8" s="4">
        <v>13.491899999999999</v>
      </c>
      <c r="D8" s="4">
        <v>13.440200000000001</v>
      </c>
      <c r="E8" s="4">
        <v>13.3156</v>
      </c>
      <c r="F8" s="4">
        <v>13.106999999999999</v>
      </c>
      <c r="G8" s="4">
        <v>12.6778</v>
      </c>
      <c r="H8" s="4">
        <v>12.0426</v>
      </c>
      <c r="I8" s="4">
        <v>10.9711</v>
      </c>
      <c r="J8" s="4">
        <v>7.7567000000000004</v>
      </c>
      <c r="K8" s="4">
        <v>12.257255555555556</v>
      </c>
    </row>
    <row r="9" spans="1:11" x14ac:dyDescent="0.25">
      <c r="A9" s="3">
        <v>31</v>
      </c>
      <c r="B9" s="4">
        <v>13.6311</v>
      </c>
      <c r="C9" s="4">
        <v>13.5999</v>
      </c>
      <c r="D9" s="4">
        <v>13.5349</v>
      </c>
      <c r="E9" s="4">
        <v>13.403499999999999</v>
      </c>
      <c r="F9" s="4">
        <v>13.216200000000001</v>
      </c>
      <c r="G9" s="4">
        <v>12.8017</v>
      </c>
      <c r="H9" s="4">
        <v>12.106999999999999</v>
      </c>
      <c r="I9" s="4">
        <v>11.0268</v>
      </c>
      <c r="J9" s="4">
        <v>7.6714000000000002</v>
      </c>
      <c r="K9" s="4">
        <v>12.332500000000001</v>
      </c>
    </row>
    <row r="10" spans="1:11" x14ac:dyDescent="0.25">
      <c r="A10" s="3" t="s">
        <v>31</v>
      </c>
      <c r="B10" s="4">
        <v>13.070575000000002</v>
      </c>
      <c r="C10" s="4">
        <v>13.047825</v>
      </c>
      <c r="D10" s="4">
        <v>12.998849999999999</v>
      </c>
      <c r="E10" s="4">
        <v>12.8916</v>
      </c>
      <c r="F10" s="4">
        <v>12.727625</v>
      </c>
      <c r="G10" s="4">
        <v>12.3871</v>
      </c>
      <c r="H10" s="4">
        <v>11.847300000000001</v>
      </c>
      <c r="I10" s="4">
        <v>10.970625</v>
      </c>
      <c r="J10" s="4">
        <v>8.3377750000000006</v>
      </c>
      <c r="K10" s="4">
        <v>12.031030555555555</v>
      </c>
    </row>
    <row r="27" spans="1:2" x14ac:dyDescent="0.25">
      <c r="A27" s="5" t="s">
        <v>37</v>
      </c>
      <c r="B27" t="str">
        <f>"iso_tico09_"&amp;B1&amp;"_"&amp;B2</f>
        <v>iso_tico09_tree256_line</v>
      </c>
    </row>
    <row r="28" spans="1:2" x14ac:dyDescent="0.25">
      <c r="A28" s="5" t="s">
        <v>39</v>
      </c>
      <c r="B28" t="str">
        <f>Range2MatlabMatrix(B6:J9)</f>
        <v>[11,924 11,9104 11,8955 11,8223 11,7614 11,6067 11,3736 10,9718 9,9131; 13,2148 13,1891 13,1248 13,025 12,8259 12,4622 11,866 10,9128 8,0099; 13,5124 13,4919 13,4402 13,3156 13,107 12,6778 12,0426 10,9711 7,7567; 13,6311 13,5999 13,5349 13,4035 13,2162 12,8017 12,107 11,0268 7,6714]</v>
      </c>
    </row>
    <row r="29" spans="1:2" x14ac:dyDescent="0.25">
      <c r="A29" s="5" t="s">
        <v>38</v>
      </c>
      <c r="B29" t="str">
        <f>B27&amp;" = "&amp;B28&amp;";"</f>
        <v>iso_tico09_tree256_line = [11,924 11,9104 11,8955 11,8223 11,7614 11,6067 11,3736 10,9718 9,9131; 13,2148 13,1891 13,1248 13,025 12,8259 12,4622 11,866 10,9128 8,0099; 13,5124 13,4919 13,4402 13,3156 13,107 12,6778 12,0426 10,9711 7,7567; 13,6311 13,5999 13,5349 13,4035 13,2162 12,8017 12,107 11,0268 7,6714];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9"/>
  <sheetViews>
    <sheetView workbookViewId="0">
      <selection activeCell="K18" sqref="K18"/>
    </sheetView>
  </sheetViews>
  <sheetFormatPr defaultRowHeight="15" x14ac:dyDescent="0.25"/>
  <cols>
    <col min="1" max="1" width="18.28515625" bestFit="1" customWidth="1"/>
    <col min="2" max="2" width="16.28515625" bestFit="1" customWidth="1"/>
    <col min="3" max="3" width="8" customWidth="1"/>
    <col min="4" max="4" width="10" customWidth="1"/>
    <col min="5" max="6" width="8" customWidth="1"/>
    <col min="7" max="7" width="10" customWidth="1"/>
    <col min="8" max="8" width="8" customWidth="1"/>
    <col min="9" max="9" width="10" customWidth="1"/>
    <col min="10" max="10" width="9" customWidth="1"/>
    <col min="11" max="11" width="12" bestFit="1" customWidth="1"/>
  </cols>
  <sheetData>
    <row r="1" spans="1:11" x14ac:dyDescent="0.25">
      <c r="A1" s="2" t="s">
        <v>0</v>
      </c>
      <c r="B1" t="s">
        <v>19</v>
      </c>
    </row>
    <row r="2" spans="1:11" x14ac:dyDescent="0.25">
      <c r="A2" s="2" t="s">
        <v>1</v>
      </c>
      <c r="B2" t="s">
        <v>17</v>
      </c>
    </row>
    <row r="4" spans="1:11" x14ac:dyDescent="0.25">
      <c r="A4" s="2" t="s">
        <v>36</v>
      </c>
      <c r="B4" s="2" t="s">
        <v>30</v>
      </c>
    </row>
    <row r="5" spans="1:11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 x14ac:dyDescent="0.25">
      <c r="A6" s="3">
        <v>3</v>
      </c>
      <c r="B6" s="4">
        <v>32.575699999999998</v>
      </c>
      <c r="C6" s="4">
        <v>29.715</v>
      </c>
      <c r="D6" s="4">
        <v>27.0106</v>
      </c>
      <c r="E6" s="4">
        <v>24.4023</v>
      </c>
      <c r="F6" s="4">
        <v>22.102900000000002</v>
      </c>
      <c r="G6" s="4">
        <v>20.381699999999999</v>
      </c>
      <c r="H6" s="4">
        <v>19.117699999999999</v>
      </c>
      <c r="I6" s="4">
        <v>18.2163</v>
      </c>
      <c r="J6" s="4">
        <v>15.9277</v>
      </c>
      <c r="K6" s="4">
        <v>23.272211111111108</v>
      </c>
    </row>
    <row r="7" spans="1:11" x14ac:dyDescent="0.25">
      <c r="A7" s="3">
        <v>7</v>
      </c>
      <c r="B7" s="4">
        <v>31.773700000000002</v>
      </c>
      <c r="C7" s="4">
        <v>28.716799999999999</v>
      </c>
      <c r="D7" s="4">
        <v>25.688700000000001</v>
      </c>
      <c r="E7" s="4">
        <v>22.731100000000001</v>
      </c>
      <c r="F7" s="4">
        <v>19.977</v>
      </c>
      <c r="G7" s="4">
        <v>17.395800000000001</v>
      </c>
      <c r="H7" s="4">
        <v>15.879799999999999</v>
      </c>
      <c r="I7" s="4">
        <v>14.5021</v>
      </c>
      <c r="J7" s="4">
        <v>10.021599999999999</v>
      </c>
      <c r="K7" s="4">
        <v>20.742955555555554</v>
      </c>
    </row>
    <row r="8" spans="1:11" x14ac:dyDescent="0.25">
      <c r="A8" s="3">
        <v>15</v>
      </c>
      <c r="B8" s="4">
        <v>31.477499999999999</v>
      </c>
      <c r="C8" s="4">
        <v>28.410699999999999</v>
      </c>
      <c r="D8" s="4">
        <v>25.314699999999998</v>
      </c>
      <c r="E8" s="4">
        <v>22.375699999999998</v>
      </c>
      <c r="F8" s="4">
        <v>19.372499999999999</v>
      </c>
      <c r="G8" s="4">
        <v>16.563500000000001</v>
      </c>
      <c r="H8" s="4">
        <v>14.2349</v>
      </c>
      <c r="I8" s="4">
        <v>11.3231</v>
      </c>
      <c r="J8" s="4">
        <v>7.8962000000000003</v>
      </c>
      <c r="K8" s="4">
        <v>19.663200000000003</v>
      </c>
    </row>
    <row r="9" spans="1:11" x14ac:dyDescent="0.25">
      <c r="A9" s="3">
        <v>31</v>
      </c>
      <c r="B9" s="4">
        <v>31.342300000000002</v>
      </c>
      <c r="C9" s="4">
        <v>28.327500000000001</v>
      </c>
      <c r="D9" s="4">
        <v>25.361699999999999</v>
      </c>
      <c r="E9" s="4">
        <v>22.383700000000001</v>
      </c>
      <c r="F9" s="4">
        <v>19.4312</v>
      </c>
      <c r="G9" s="4">
        <v>16.549099999999999</v>
      </c>
      <c r="H9" s="4">
        <v>13.698</v>
      </c>
      <c r="I9" s="4">
        <v>10.8316</v>
      </c>
      <c r="J9" s="4">
        <v>6.5934999999999997</v>
      </c>
      <c r="K9" s="4">
        <v>19.390955555555557</v>
      </c>
    </row>
    <row r="10" spans="1:11" x14ac:dyDescent="0.25">
      <c r="A10" s="3" t="s">
        <v>31</v>
      </c>
      <c r="B10" s="4">
        <v>31.792299999999997</v>
      </c>
      <c r="C10" s="4">
        <v>28.7925</v>
      </c>
      <c r="D10" s="4">
        <v>25.843924999999999</v>
      </c>
      <c r="E10" s="4">
        <v>22.973200000000002</v>
      </c>
      <c r="F10" s="4">
        <v>20.2209</v>
      </c>
      <c r="G10" s="4">
        <v>17.722525000000001</v>
      </c>
      <c r="H10" s="4">
        <v>15.7326</v>
      </c>
      <c r="I10" s="4">
        <v>13.718275</v>
      </c>
      <c r="J10" s="4">
        <v>10.10975</v>
      </c>
      <c r="K10" s="4">
        <v>20.767330555555553</v>
      </c>
    </row>
    <row r="27" spans="1:2" x14ac:dyDescent="0.25">
      <c r="A27" s="5" t="s">
        <v>37</v>
      </c>
      <c r="B27" t="str">
        <f>"iso_srou03_"&amp;B1&amp;"_"&amp;B2</f>
        <v>iso_srou03_tree256_line</v>
      </c>
    </row>
    <row r="28" spans="1:2" x14ac:dyDescent="0.25">
      <c r="A28" s="5" t="s">
        <v>39</v>
      </c>
      <c r="B28" t="str">
        <f>Range2MatlabMatrix(B6:J9)</f>
        <v>[32,5757 29,715 27,0106 24,4023 22,1029 20,3817 19,1177 18,2163 15,9277; 31,7737 28,7168 25,6887 22,7311 19,977 17,3958 15,8798 14,5021 10,0216; 31,4775 28,4107 25,3147 22,3757 19,3725 16,5635 14,2349 11,3231 7,8962; 31,3423 28,3275 25,3617 22,3837 19,4312 16,5491 13,698 10,8316 6,5935]</v>
      </c>
    </row>
    <row r="29" spans="1:2" x14ac:dyDescent="0.25">
      <c r="A29" s="5" t="s">
        <v>38</v>
      </c>
      <c r="B29" t="str">
        <f>B27&amp;" = "&amp;B28&amp;";"</f>
        <v>iso_srou03_tree256_line = [32,5757 29,715 27,0106 24,4023 22,1029 20,3817 19,1177 18,2163 15,9277; 31,7737 28,7168 25,6887 22,7311 19,977 17,3958 15,8798 14,5021 10,0216; 31,4775 28,4107 25,3147 22,3757 19,3725 16,5635 14,2349 11,3231 7,8962; 31,3423 28,3275 25,3617 22,3837 19,4312 16,5491 13,698 10,8316 6,5935];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9"/>
  <sheetViews>
    <sheetView workbookViewId="0">
      <selection activeCell="K10" sqref="A1:K10"/>
    </sheetView>
  </sheetViews>
  <sheetFormatPr defaultRowHeight="15" x14ac:dyDescent="0.25"/>
  <cols>
    <col min="1" max="1" width="13.140625" customWidth="1"/>
    <col min="2" max="2" width="16.28515625" bestFit="1" customWidth="1"/>
    <col min="3" max="9" width="8" customWidth="1"/>
    <col min="10" max="10" width="7" customWidth="1"/>
    <col min="11" max="11" width="11.28515625" customWidth="1"/>
  </cols>
  <sheetData>
    <row r="1" spans="1:11" x14ac:dyDescent="0.25">
      <c r="A1" s="2" t="s">
        <v>0</v>
      </c>
      <c r="B1" t="s">
        <v>19</v>
      </c>
    </row>
    <row r="2" spans="1:11" x14ac:dyDescent="0.25">
      <c r="A2" s="2" t="s">
        <v>1</v>
      </c>
      <c r="B2" t="s">
        <v>17</v>
      </c>
    </row>
    <row r="4" spans="1:11" x14ac:dyDescent="0.25">
      <c r="A4" s="2" t="s">
        <v>41</v>
      </c>
      <c r="B4" s="2" t="s">
        <v>30</v>
      </c>
    </row>
    <row r="5" spans="1:11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</row>
    <row r="6" spans="1:11" x14ac:dyDescent="0.25">
      <c r="A6" s="3">
        <v>3</v>
      </c>
      <c r="B6" s="4">
        <v>32.65</v>
      </c>
      <c r="C6" s="4">
        <v>29.472100000000001</v>
      </c>
      <c r="D6" s="4">
        <v>26.383600000000001</v>
      </c>
      <c r="E6" s="4">
        <v>23.409800000000001</v>
      </c>
      <c r="F6" s="4">
        <v>20.555499999999999</v>
      </c>
      <c r="G6" s="4">
        <v>17.7319</v>
      </c>
      <c r="H6" s="4">
        <v>15.079000000000001</v>
      </c>
      <c r="I6" s="4">
        <v>12.555199999999999</v>
      </c>
      <c r="J6" s="4">
        <v>7.9866000000000001</v>
      </c>
      <c r="K6" s="4">
        <v>32.65</v>
      </c>
    </row>
    <row r="7" spans="1:11" x14ac:dyDescent="0.25">
      <c r="A7" s="3">
        <v>7</v>
      </c>
      <c r="B7" s="4">
        <v>32.620100000000001</v>
      </c>
      <c r="C7" s="4">
        <v>29.4343</v>
      </c>
      <c r="D7" s="4">
        <v>26.445499999999999</v>
      </c>
      <c r="E7" s="4">
        <v>23.4268</v>
      </c>
      <c r="F7" s="4">
        <v>20.570399999999999</v>
      </c>
      <c r="G7" s="4">
        <v>17.740400000000001</v>
      </c>
      <c r="H7" s="4">
        <v>15.038</v>
      </c>
      <c r="I7" s="4">
        <v>12.583</v>
      </c>
      <c r="J7" s="4">
        <v>7.9120999999999997</v>
      </c>
      <c r="K7" s="4">
        <v>32.620100000000001</v>
      </c>
    </row>
    <row r="8" spans="1:11" x14ac:dyDescent="0.25">
      <c r="A8" s="3">
        <v>15</v>
      </c>
      <c r="B8" s="4">
        <v>32.6967</v>
      </c>
      <c r="C8" s="4">
        <v>29.472200000000001</v>
      </c>
      <c r="D8" s="4">
        <v>26.406400000000001</v>
      </c>
      <c r="E8" s="4">
        <v>23.4556</v>
      </c>
      <c r="F8" s="4">
        <v>20.539100000000001</v>
      </c>
      <c r="G8" s="4">
        <v>17.7455</v>
      </c>
      <c r="H8" s="4">
        <v>15.0471</v>
      </c>
      <c r="I8" s="4">
        <v>12.609400000000001</v>
      </c>
      <c r="J8" s="4">
        <v>7.9333</v>
      </c>
      <c r="K8" s="4">
        <v>32.6967</v>
      </c>
    </row>
    <row r="9" spans="1:11" x14ac:dyDescent="0.25">
      <c r="A9" s="3">
        <v>31</v>
      </c>
      <c r="B9" s="4">
        <v>32.614199999999997</v>
      </c>
      <c r="C9" s="4">
        <v>29.485900000000001</v>
      </c>
      <c r="D9" s="4">
        <v>26.405899999999999</v>
      </c>
      <c r="E9" s="4">
        <v>23.448399999999999</v>
      </c>
      <c r="F9" s="4">
        <v>20.504799999999999</v>
      </c>
      <c r="G9" s="4">
        <v>17.7544</v>
      </c>
      <c r="H9" s="4">
        <v>15.1066</v>
      </c>
      <c r="I9" s="4">
        <v>12.5563</v>
      </c>
      <c r="J9" s="4">
        <v>7.9249000000000001</v>
      </c>
      <c r="K9" s="4">
        <v>32.614199999999997</v>
      </c>
    </row>
    <row r="10" spans="1:11" x14ac:dyDescent="0.25">
      <c r="A10" s="3" t="s">
        <v>31</v>
      </c>
      <c r="B10" s="4">
        <v>32.6967</v>
      </c>
      <c r="C10" s="4">
        <v>29.485900000000001</v>
      </c>
      <c r="D10" s="4">
        <v>26.445499999999999</v>
      </c>
      <c r="E10" s="4">
        <v>23.4556</v>
      </c>
      <c r="F10" s="4">
        <v>20.570399999999999</v>
      </c>
      <c r="G10" s="4">
        <v>17.7544</v>
      </c>
      <c r="H10" s="4">
        <v>15.1066</v>
      </c>
      <c r="I10" s="4">
        <v>12.609400000000001</v>
      </c>
      <c r="J10" s="4">
        <v>7.9866000000000001</v>
      </c>
      <c r="K10" s="4">
        <v>32.6967</v>
      </c>
    </row>
    <row r="27" spans="1:2" x14ac:dyDescent="0.25">
      <c r="A27" s="5" t="s">
        <v>37</v>
      </c>
      <c r="B27" t="str">
        <f>"iso_bm3d_"&amp;B1&amp;"_"&amp;B2</f>
        <v>iso_bm3d_tree256_line</v>
      </c>
    </row>
    <row r="28" spans="1:2" x14ac:dyDescent="0.25">
      <c r="A28" s="5" t="s">
        <v>39</v>
      </c>
      <c r="B28" t="str">
        <f>Range2MatlabMatrix(B6:J9)</f>
        <v>[32,65 29,4721 26,3836 23,4098 20,5555 17,7319 15,079 12,5552 7,9866; 32,6201 29,4343 26,4455 23,4268 20,5704 17,7404 15,038 12,583 7,9121; 32,6967 29,4722 26,4064 23,4556 20,5391 17,7455 15,0471 12,6094 7,9333; 32,6142 29,4859 26,4059 23,4484 20,5048 17,7544 15,1066 12,5563 7,9249]</v>
      </c>
    </row>
    <row r="29" spans="1:2" x14ac:dyDescent="0.25">
      <c r="A29" s="5" t="s">
        <v>38</v>
      </c>
      <c r="B29" t="str">
        <f>B27&amp;" = "&amp;B28&amp;";"</f>
        <v>iso_bm3d_tree256_line = [32,65 29,4721 26,3836 23,4098 20,5555 17,7319 15,079 12,5552 7,9866; 32,6201 29,4343 26,4455 23,4268 20,5704 17,7404 15,038 12,583 7,9121; 32,6967 29,4722 26,4064 23,4556 20,5391 17,7455 15,0471 12,6094 7,9333; 32,6142 29,4859 26,4059 23,4484 20,5048 17,7544 15,1066 12,5563 7,9249];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34"/>
  <sheetViews>
    <sheetView workbookViewId="0">
      <selection activeCell="H36" sqref="H36"/>
    </sheetView>
  </sheetViews>
  <sheetFormatPr defaultRowHeight="15" x14ac:dyDescent="0.25"/>
  <cols>
    <col min="1" max="1" width="13.140625" customWidth="1"/>
    <col min="2" max="2" width="23.7109375" customWidth="1"/>
    <col min="3" max="3" width="4" bestFit="1" customWidth="1"/>
    <col min="4" max="4" width="4" customWidth="1"/>
    <col min="5" max="5" width="5" customWidth="1"/>
    <col min="6" max="6" width="5" bestFit="1" customWidth="1"/>
    <col min="7" max="7" width="5" customWidth="1"/>
    <col min="8" max="9" width="6" bestFit="1" customWidth="1"/>
    <col min="10" max="10" width="7" customWidth="1"/>
    <col min="11" max="11" width="11.28515625" customWidth="1"/>
    <col min="14" max="14" width="18" customWidth="1"/>
    <col min="15" max="15" width="24.28515625" customWidth="1"/>
    <col min="16" max="17" width="4" customWidth="1"/>
    <col min="18" max="20" width="5" customWidth="1"/>
    <col min="21" max="22" width="6" customWidth="1"/>
    <col min="23" max="23" width="7" customWidth="1"/>
    <col min="24" max="24" width="11.28515625" customWidth="1"/>
  </cols>
  <sheetData>
    <row r="1" spans="1:24" x14ac:dyDescent="0.25">
      <c r="A1" s="2" t="s">
        <v>0</v>
      </c>
      <c r="B1" t="s">
        <v>14</v>
      </c>
      <c r="N1" s="2" t="s">
        <v>0</v>
      </c>
      <c r="O1" t="s">
        <v>14</v>
      </c>
    </row>
    <row r="2" spans="1:24" x14ac:dyDescent="0.25">
      <c r="A2" s="2" t="s">
        <v>1</v>
      </c>
      <c r="B2" t="s">
        <v>17</v>
      </c>
      <c r="N2" s="2" t="s">
        <v>1</v>
      </c>
      <c r="O2" t="s">
        <v>17</v>
      </c>
    </row>
    <row r="4" spans="1:24" x14ac:dyDescent="0.25">
      <c r="A4" s="2" t="s">
        <v>49</v>
      </c>
      <c r="B4" s="2" t="s">
        <v>30</v>
      </c>
      <c r="N4" s="2" t="s">
        <v>50</v>
      </c>
      <c r="O4" s="2" t="s">
        <v>30</v>
      </c>
    </row>
    <row r="5" spans="1:24" x14ac:dyDescent="0.25">
      <c r="A5" s="2" t="s">
        <v>32</v>
      </c>
      <c r="B5">
        <v>200</v>
      </c>
      <c r="C5">
        <v>400</v>
      </c>
      <c r="D5">
        <v>800</v>
      </c>
      <c r="E5">
        <v>1600</v>
      </c>
      <c r="F5">
        <v>3200</v>
      </c>
      <c r="G5">
        <v>6400</v>
      </c>
      <c r="H5">
        <v>12800</v>
      </c>
      <c r="I5">
        <v>25600</v>
      </c>
      <c r="J5">
        <v>102400</v>
      </c>
      <c r="K5" t="s">
        <v>31</v>
      </c>
      <c r="N5" s="2" t="s">
        <v>32</v>
      </c>
      <c r="O5">
        <v>200</v>
      </c>
      <c r="P5">
        <v>400</v>
      </c>
      <c r="Q5">
        <v>800</v>
      </c>
      <c r="R5">
        <v>1600</v>
      </c>
      <c r="S5">
        <v>3200</v>
      </c>
      <c r="T5">
        <v>6400</v>
      </c>
      <c r="U5">
        <v>12800</v>
      </c>
      <c r="V5">
        <v>25600</v>
      </c>
      <c r="W5">
        <v>102400</v>
      </c>
      <c r="X5" t="s">
        <v>31</v>
      </c>
    </row>
    <row r="6" spans="1:24" x14ac:dyDescent="0.25">
      <c r="A6" s="3">
        <v>3</v>
      </c>
      <c r="B6" s="4">
        <v>230</v>
      </c>
      <c r="C6" s="4">
        <v>217</v>
      </c>
      <c r="D6" s="4">
        <v>86</v>
      </c>
      <c r="E6" s="4">
        <v>83</v>
      </c>
      <c r="F6" s="4">
        <v>79</v>
      </c>
      <c r="G6" s="4">
        <v>75</v>
      </c>
      <c r="H6" s="4">
        <v>73</v>
      </c>
      <c r="I6" s="4">
        <v>72</v>
      </c>
      <c r="J6" s="4">
        <v>110</v>
      </c>
      <c r="K6" s="4">
        <v>230</v>
      </c>
      <c r="N6" s="3">
        <v>3</v>
      </c>
      <c r="O6" s="4">
        <v>96</v>
      </c>
      <c r="P6" s="4">
        <v>91</v>
      </c>
      <c r="Q6" s="4">
        <v>143</v>
      </c>
      <c r="R6" s="4">
        <v>137</v>
      </c>
      <c r="S6" s="4">
        <v>130</v>
      </c>
      <c r="T6" s="4">
        <v>123</v>
      </c>
      <c r="U6" s="4">
        <v>121</v>
      </c>
      <c r="V6" s="4">
        <v>119</v>
      </c>
      <c r="W6" s="4">
        <v>131</v>
      </c>
      <c r="X6" s="4">
        <v>143</v>
      </c>
    </row>
    <row r="7" spans="1:24" x14ac:dyDescent="0.25">
      <c r="A7" s="3">
        <v>7</v>
      </c>
      <c r="B7" s="4">
        <v>230</v>
      </c>
      <c r="C7" s="4">
        <v>218</v>
      </c>
      <c r="D7" s="4">
        <v>206</v>
      </c>
      <c r="E7" s="4">
        <v>195</v>
      </c>
      <c r="F7" s="4">
        <v>184</v>
      </c>
      <c r="G7" s="4">
        <v>173</v>
      </c>
      <c r="H7" s="4">
        <v>162</v>
      </c>
      <c r="I7" s="4">
        <v>65</v>
      </c>
      <c r="J7" s="4">
        <v>129</v>
      </c>
      <c r="K7" s="4">
        <v>230</v>
      </c>
      <c r="N7" s="3">
        <v>7</v>
      </c>
      <c r="O7" s="4">
        <v>96</v>
      </c>
      <c r="P7" s="4">
        <v>91</v>
      </c>
      <c r="Q7" s="4">
        <v>86</v>
      </c>
      <c r="R7" s="4">
        <v>82</v>
      </c>
      <c r="S7" s="4">
        <v>77</v>
      </c>
      <c r="T7" s="4">
        <v>72</v>
      </c>
      <c r="U7" s="4">
        <v>68</v>
      </c>
      <c r="V7" s="4">
        <v>107</v>
      </c>
      <c r="W7" s="4">
        <v>54</v>
      </c>
      <c r="X7" s="4">
        <v>107</v>
      </c>
    </row>
    <row r="8" spans="1:24" x14ac:dyDescent="0.25">
      <c r="A8" s="3">
        <v>15</v>
      </c>
      <c r="B8" s="4">
        <v>230</v>
      </c>
      <c r="C8" s="4">
        <v>218</v>
      </c>
      <c r="D8" s="4">
        <v>206</v>
      </c>
      <c r="E8" s="4">
        <v>195</v>
      </c>
      <c r="F8" s="4">
        <v>184</v>
      </c>
      <c r="G8" s="4">
        <v>173</v>
      </c>
      <c r="H8" s="4">
        <v>162</v>
      </c>
      <c r="I8" s="4">
        <v>152</v>
      </c>
      <c r="J8" s="4">
        <v>129</v>
      </c>
      <c r="K8" s="4">
        <v>230</v>
      </c>
      <c r="N8" s="3">
        <v>15</v>
      </c>
      <c r="O8" s="4">
        <v>96</v>
      </c>
      <c r="P8" s="4">
        <v>91</v>
      </c>
      <c r="Q8" s="4">
        <v>86</v>
      </c>
      <c r="R8" s="4">
        <v>81</v>
      </c>
      <c r="S8" s="4">
        <v>77</v>
      </c>
      <c r="T8" s="4">
        <v>72</v>
      </c>
      <c r="U8" s="4">
        <v>68</v>
      </c>
      <c r="V8" s="4">
        <v>63</v>
      </c>
      <c r="W8" s="4">
        <v>54</v>
      </c>
      <c r="X8" s="4">
        <v>96</v>
      </c>
    </row>
    <row r="9" spans="1:24" x14ac:dyDescent="0.25">
      <c r="A9" s="3">
        <v>31</v>
      </c>
      <c r="B9" s="4">
        <v>230</v>
      </c>
      <c r="C9" s="4">
        <v>218</v>
      </c>
      <c r="D9" s="4">
        <v>206</v>
      </c>
      <c r="E9" s="4">
        <v>195</v>
      </c>
      <c r="F9" s="4">
        <v>184</v>
      </c>
      <c r="G9" s="4">
        <v>173</v>
      </c>
      <c r="H9" s="4">
        <v>162</v>
      </c>
      <c r="I9" s="4">
        <v>152</v>
      </c>
      <c r="J9" s="4">
        <v>129</v>
      </c>
      <c r="K9" s="4">
        <v>230</v>
      </c>
      <c r="N9" s="3">
        <v>31</v>
      </c>
      <c r="O9" s="4">
        <v>96</v>
      </c>
      <c r="P9" s="4">
        <v>91</v>
      </c>
      <c r="Q9" s="4">
        <v>86</v>
      </c>
      <c r="R9" s="4">
        <v>81</v>
      </c>
      <c r="S9" s="4">
        <v>77</v>
      </c>
      <c r="T9" s="4">
        <v>72</v>
      </c>
      <c r="U9" s="4">
        <v>68</v>
      </c>
      <c r="V9" s="4">
        <v>63</v>
      </c>
      <c r="W9" s="4">
        <v>54</v>
      </c>
      <c r="X9" s="4">
        <v>96</v>
      </c>
    </row>
    <row r="10" spans="1:24" x14ac:dyDescent="0.25">
      <c r="A10" s="3" t="s">
        <v>31</v>
      </c>
      <c r="B10" s="4">
        <v>230</v>
      </c>
      <c r="C10" s="4">
        <v>218</v>
      </c>
      <c r="D10" s="4">
        <v>206</v>
      </c>
      <c r="E10" s="4">
        <v>195</v>
      </c>
      <c r="F10" s="4">
        <v>184</v>
      </c>
      <c r="G10" s="4">
        <v>173</v>
      </c>
      <c r="H10" s="4">
        <v>162</v>
      </c>
      <c r="I10" s="4">
        <v>152</v>
      </c>
      <c r="J10" s="4">
        <v>129</v>
      </c>
      <c r="K10" s="4">
        <v>230</v>
      </c>
      <c r="N10" s="3" t="s">
        <v>31</v>
      </c>
      <c r="O10" s="4">
        <v>96</v>
      </c>
      <c r="P10" s="4">
        <v>91</v>
      </c>
      <c r="Q10" s="4">
        <v>143</v>
      </c>
      <c r="R10" s="4">
        <v>137</v>
      </c>
      <c r="S10" s="4">
        <v>130</v>
      </c>
      <c r="T10" s="4">
        <v>123</v>
      </c>
      <c r="U10" s="4">
        <v>121</v>
      </c>
      <c r="V10" s="4">
        <v>119</v>
      </c>
      <c r="W10" s="4">
        <v>131</v>
      </c>
      <c r="X10" s="4">
        <v>143</v>
      </c>
    </row>
    <row r="12" spans="1:24" x14ac:dyDescent="0.25">
      <c r="A12" s="5" t="s">
        <v>37</v>
      </c>
      <c r="B12" t="str">
        <f>"iso_"&amp; B1 &amp;"_"&amp;B2 &amp; "_r"</f>
        <v>iso_lena256_line_r</v>
      </c>
      <c r="N12" s="5" t="s">
        <v>37</v>
      </c>
      <c r="O12" t="str">
        <f>"iso_"&amp; O1 &amp;"_"&amp;O2 &amp; "_g"</f>
        <v>iso_lena256_line_g</v>
      </c>
    </row>
    <row r="13" spans="1:24" x14ac:dyDescent="0.25">
      <c r="A13" s="5" t="s">
        <v>39</v>
      </c>
      <c r="B13" t="str">
        <f>Range2MatlabMatrix(B6:J9)</f>
        <v>[230 217 86 83 79 75 73 72 110; 230 218 206 195 184 173 162 65 129; 230 218 206 195 184 173 162 152 129; 230 218 206 195 184 173 162 152 129]</v>
      </c>
      <c r="C13" t="s">
        <v>51</v>
      </c>
      <c r="N13" s="5" t="s">
        <v>39</v>
      </c>
      <c r="O13" t="str">
        <f>Range2MatlabMatrix(O6:W9)</f>
        <v>[96 91 143 137 130 123 121 119 131; 96 91 86 82 77 72 68 107 54; 96 91 86 81 77 72 68 63 54; 96 91 86 81 77 72 68 63 54]</v>
      </c>
      <c r="P13" t="s">
        <v>51</v>
      </c>
    </row>
    <row r="14" spans="1:24" x14ac:dyDescent="0.25">
      <c r="A14" s="5" t="s">
        <v>38</v>
      </c>
      <c r="B14" t="str">
        <f>B12&amp;" = "&amp;B13&amp;";"</f>
        <v>iso_lena256_line_r = [230 217 86 83 79 75 73 72 110; 230 218 206 195 184 173 162 65 129; 230 218 206 195 184 173 162 152 129; 230 218 206 195 184 173 162 152 129];</v>
      </c>
      <c r="C14" t="s">
        <v>51</v>
      </c>
      <c r="N14" s="5" t="s">
        <v>38</v>
      </c>
      <c r="O14" t="str">
        <f>O12&amp;" = "&amp;O13&amp;";"</f>
        <v>iso_lena256_line_g = [96 91 143 137 130 123 121 119 131; 96 91 86 82 77 72 68 107 54; 96 91 86 81 77 72 68 63 54; 96 91 86 81 77 72 68 63 54];</v>
      </c>
      <c r="P14" t="s">
        <v>51</v>
      </c>
    </row>
    <row r="17" spans="1:24" x14ac:dyDescent="0.25">
      <c r="A17" s="2" t="s">
        <v>0</v>
      </c>
      <c r="B17" t="s">
        <v>14</v>
      </c>
      <c r="N17" s="2" t="s">
        <v>0</v>
      </c>
      <c r="O17" t="s">
        <v>14</v>
      </c>
    </row>
    <row r="18" spans="1:24" x14ac:dyDescent="0.25">
      <c r="A18" s="2" t="s">
        <v>1</v>
      </c>
      <c r="B18" t="s">
        <v>17</v>
      </c>
      <c r="N18" s="2" t="s">
        <v>1</v>
      </c>
      <c r="O18" t="s">
        <v>17</v>
      </c>
    </row>
    <row r="20" spans="1:24" x14ac:dyDescent="0.25">
      <c r="A20" s="2" t="s">
        <v>48</v>
      </c>
      <c r="B20" s="2" t="s">
        <v>30</v>
      </c>
      <c r="N20" s="2" t="s">
        <v>53</v>
      </c>
      <c r="O20" s="2" t="s">
        <v>30</v>
      </c>
    </row>
    <row r="21" spans="1:24" x14ac:dyDescent="0.25">
      <c r="A21" s="2" t="s">
        <v>32</v>
      </c>
      <c r="B21">
        <v>200</v>
      </c>
      <c r="C21">
        <v>400</v>
      </c>
      <c r="D21">
        <v>800</v>
      </c>
      <c r="E21">
        <v>1600</v>
      </c>
      <c r="F21">
        <v>3200</v>
      </c>
      <c r="G21">
        <v>6400</v>
      </c>
      <c r="H21">
        <v>12800</v>
      </c>
      <c r="I21">
        <v>25600</v>
      </c>
      <c r="J21">
        <v>102400</v>
      </c>
      <c r="K21" t="s">
        <v>31</v>
      </c>
      <c r="N21" s="2" t="s">
        <v>32</v>
      </c>
      <c r="O21">
        <v>200</v>
      </c>
      <c r="P21">
        <v>400</v>
      </c>
      <c r="Q21">
        <v>800</v>
      </c>
      <c r="R21">
        <v>1600</v>
      </c>
      <c r="S21">
        <v>3200</v>
      </c>
      <c r="T21">
        <v>6400</v>
      </c>
      <c r="U21">
        <v>12800</v>
      </c>
      <c r="V21">
        <v>25600</v>
      </c>
      <c r="W21">
        <v>102400</v>
      </c>
      <c r="X21" t="s">
        <v>31</v>
      </c>
    </row>
    <row r="22" spans="1:24" x14ac:dyDescent="0.25">
      <c r="A22" s="3">
        <v>3</v>
      </c>
      <c r="B22" s="4">
        <v>93</v>
      </c>
      <c r="C22" s="4">
        <v>88</v>
      </c>
      <c r="D22" s="4">
        <v>207</v>
      </c>
      <c r="E22" s="4">
        <v>199</v>
      </c>
      <c r="F22" s="4">
        <v>189</v>
      </c>
      <c r="G22" s="4">
        <v>179</v>
      </c>
      <c r="H22" s="4">
        <v>176</v>
      </c>
      <c r="I22" s="4">
        <v>172</v>
      </c>
      <c r="J22" s="4">
        <v>63</v>
      </c>
      <c r="K22" s="4">
        <v>207</v>
      </c>
      <c r="N22" s="3">
        <v>3</v>
      </c>
      <c r="O22" s="4">
        <v>1</v>
      </c>
      <c r="P22" s="4">
        <v>1</v>
      </c>
      <c r="Q22" s="4">
        <v>3</v>
      </c>
      <c r="R22" s="4">
        <v>3</v>
      </c>
      <c r="S22" s="4">
        <v>3</v>
      </c>
      <c r="T22" s="4">
        <v>3</v>
      </c>
      <c r="U22" s="4">
        <v>3</v>
      </c>
      <c r="V22" s="4">
        <v>3</v>
      </c>
      <c r="W22" s="4">
        <v>2</v>
      </c>
      <c r="X22" s="4">
        <v>3</v>
      </c>
    </row>
    <row r="23" spans="1:24" x14ac:dyDescent="0.25">
      <c r="A23" s="3">
        <v>7</v>
      </c>
      <c r="B23" s="4">
        <v>94</v>
      </c>
      <c r="C23" s="4">
        <v>88</v>
      </c>
      <c r="D23" s="4">
        <v>84</v>
      </c>
      <c r="E23" s="4">
        <v>79</v>
      </c>
      <c r="F23" s="4">
        <v>75</v>
      </c>
      <c r="G23" s="4">
        <v>70</v>
      </c>
      <c r="H23" s="4">
        <v>66</v>
      </c>
      <c r="I23" s="4">
        <v>155</v>
      </c>
      <c r="J23" s="4">
        <v>52</v>
      </c>
      <c r="K23" s="4">
        <v>155</v>
      </c>
      <c r="N23" s="3">
        <v>7</v>
      </c>
      <c r="O23" s="4">
        <v>1</v>
      </c>
      <c r="P23" s="4">
        <v>1</v>
      </c>
      <c r="Q23" s="4">
        <v>1</v>
      </c>
      <c r="R23" s="4">
        <v>1</v>
      </c>
      <c r="S23" s="4">
        <v>1</v>
      </c>
      <c r="T23" s="4">
        <v>1</v>
      </c>
      <c r="U23" s="4">
        <v>1</v>
      </c>
      <c r="V23" s="4">
        <v>3</v>
      </c>
      <c r="W23" s="4">
        <v>1</v>
      </c>
      <c r="X23" s="4">
        <v>3</v>
      </c>
    </row>
    <row r="24" spans="1:24" x14ac:dyDescent="0.25">
      <c r="A24" s="3">
        <v>15</v>
      </c>
      <c r="B24" s="4">
        <v>93</v>
      </c>
      <c r="C24" s="4">
        <v>88</v>
      </c>
      <c r="D24" s="4">
        <v>84</v>
      </c>
      <c r="E24" s="4">
        <v>79</v>
      </c>
      <c r="F24" s="4">
        <v>75</v>
      </c>
      <c r="G24" s="4">
        <v>70</v>
      </c>
      <c r="H24" s="4">
        <v>66</v>
      </c>
      <c r="I24" s="4">
        <v>62</v>
      </c>
      <c r="J24" s="4">
        <v>52</v>
      </c>
      <c r="K24" s="4">
        <v>93</v>
      </c>
      <c r="N24" s="3">
        <v>15</v>
      </c>
      <c r="O24" s="4">
        <v>1</v>
      </c>
      <c r="P24" s="4">
        <v>1</v>
      </c>
      <c r="Q24" s="4">
        <v>1</v>
      </c>
      <c r="R24" s="4">
        <v>1</v>
      </c>
      <c r="S24" s="4">
        <v>1</v>
      </c>
      <c r="T24" s="4">
        <v>1</v>
      </c>
      <c r="U24" s="4">
        <v>1</v>
      </c>
      <c r="V24" s="4">
        <v>1</v>
      </c>
      <c r="W24" s="4">
        <v>1</v>
      </c>
      <c r="X24" s="4">
        <v>1</v>
      </c>
    </row>
    <row r="25" spans="1:24" x14ac:dyDescent="0.25">
      <c r="A25" s="3">
        <v>31</v>
      </c>
      <c r="B25" s="4">
        <v>93</v>
      </c>
      <c r="C25" s="4">
        <v>88</v>
      </c>
      <c r="D25" s="4">
        <v>84</v>
      </c>
      <c r="E25" s="4">
        <v>79</v>
      </c>
      <c r="F25" s="4">
        <v>75</v>
      </c>
      <c r="G25" s="4">
        <v>70</v>
      </c>
      <c r="H25" s="4">
        <v>66</v>
      </c>
      <c r="I25" s="4">
        <v>62</v>
      </c>
      <c r="J25" s="4">
        <v>52</v>
      </c>
      <c r="K25" s="4">
        <v>93</v>
      </c>
      <c r="N25" s="3">
        <v>31</v>
      </c>
      <c r="O25" s="4">
        <v>1</v>
      </c>
      <c r="P25" s="4">
        <v>1</v>
      </c>
      <c r="Q25" s="4">
        <v>1</v>
      </c>
      <c r="R25" s="4">
        <v>1</v>
      </c>
      <c r="S25" s="4">
        <v>1</v>
      </c>
      <c r="T25" s="4">
        <v>1</v>
      </c>
      <c r="U25" s="4">
        <v>1</v>
      </c>
      <c r="V25" s="4">
        <v>1</v>
      </c>
      <c r="W25" s="4">
        <v>1</v>
      </c>
      <c r="X25" s="4">
        <v>1</v>
      </c>
    </row>
    <row r="26" spans="1:24" x14ac:dyDescent="0.25">
      <c r="A26" s="3" t="s">
        <v>31</v>
      </c>
      <c r="B26" s="4">
        <v>94</v>
      </c>
      <c r="C26" s="4">
        <v>88</v>
      </c>
      <c r="D26" s="4">
        <v>207</v>
      </c>
      <c r="E26" s="4">
        <v>199</v>
      </c>
      <c r="F26" s="4">
        <v>189</v>
      </c>
      <c r="G26" s="4">
        <v>179</v>
      </c>
      <c r="H26" s="4">
        <v>176</v>
      </c>
      <c r="I26" s="4">
        <v>172</v>
      </c>
      <c r="J26" s="4">
        <v>63</v>
      </c>
      <c r="K26" s="4">
        <v>207</v>
      </c>
      <c r="N26" s="3" t="s">
        <v>31</v>
      </c>
      <c r="O26" s="4">
        <v>1</v>
      </c>
      <c r="P26" s="4">
        <v>1</v>
      </c>
      <c r="Q26" s="4">
        <v>3</v>
      </c>
      <c r="R26" s="4">
        <v>3</v>
      </c>
      <c r="S26" s="4">
        <v>3</v>
      </c>
      <c r="T26" s="4">
        <v>3</v>
      </c>
      <c r="U26" s="4">
        <v>3</v>
      </c>
      <c r="V26" s="4">
        <v>3</v>
      </c>
      <c r="W26" s="4">
        <v>2</v>
      </c>
      <c r="X26" s="4">
        <v>3</v>
      </c>
    </row>
    <row r="28" spans="1:24" x14ac:dyDescent="0.25">
      <c r="A28" s="5" t="s">
        <v>37</v>
      </c>
      <c r="B28" t="str">
        <f>"iso_"&amp; B17 &amp;"_"&amp;B18&amp;"_b"</f>
        <v>iso_lena256_line_b</v>
      </c>
      <c r="N28" s="5" t="s">
        <v>37</v>
      </c>
      <c r="O28" t="str">
        <f>"iso_"&amp; O17 &amp;"_"&amp;O18</f>
        <v>iso_lena256_line</v>
      </c>
    </row>
    <row r="29" spans="1:24" x14ac:dyDescent="0.25">
      <c r="A29" s="5" t="s">
        <v>39</v>
      </c>
      <c r="B29" t="str">
        <f>Range2MatlabMatrix(B22:J25)</f>
        <v>[93 88 207 199 189 179 176 172 63; 94 88 84 79 75 70 66 155 52; 93 88 84 79 75 70 66 62 52; 93 88 84 79 75 70 66 62 52]</v>
      </c>
      <c r="C29" t="s">
        <v>51</v>
      </c>
      <c r="N29" s="5" t="s">
        <v>39</v>
      </c>
      <c r="O29" t="str">
        <f>Range2MatlabMatrix(O22:W25)</f>
        <v>[1 1 3 3 3 3 3 3 2; 1 1 1 1 1 1 1 3 1; 1 1 1 1 1 1 1 1 1; 1 1 1 1 1 1 1 1 1]</v>
      </c>
      <c r="P29" t="s">
        <v>51</v>
      </c>
    </row>
    <row r="30" spans="1:24" x14ac:dyDescent="0.25">
      <c r="A30" s="5" t="s">
        <v>38</v>
      </c>
      <c r="B30" t="str">
        <f>B28&amp;" = "&amp;B29&amp;";"</f>
        <v>iso_lena256_line_b = [93 88 207 199 189 179 176 172 63; 94 88 84 79 75 70 66 155 52; 93 88 84 79 75 70 66 62 52; 93 88 84 79 75 70 66 62 52];</v>
      </c>
      <c r="C30" t="s">
        <v>51</v>
      </c>
      <c r="N30" s="6" t="s">
        <v>38</v>
      </c>
      <c r="O30" t="str">
        <f>O28&amp;" = "&amp;O29&amp;";"</f>
        <v>iso_lena256_line = [1 1 3 3 3 3 3 3 2; 1 1 1 1 1 1 1 3 1; 1 1 1 1 1 1 1 1 1; 1 1 1 1 1 1 1 1 1];</v>
      </c>
    </row>
    <row r="32" spans="1:24" x14ac:dyDescent="0.25">
      <c r="C32" t="s">
        <v>51</v>
      </c>
    </row>
    <row r="34" spans="1:2" x14ac:dyDescent="0.25">
      <c r="A34" s="1" t="s">
        <v>52</v>
      </c>
      <c r="B34" t="str">
        <f>B14&amp;" "&amp;O14&amp;" "&amp;B30</f>
        <v>iso_lena256_line_r = [230 217 86 83 79 75 73 72 110; 230 218 206 195 184 173 162 65 129; 230 218 206 195 184 173 162 152 129; 230 218 206 195 184 173 162 152 129]; iso_lena256_line_g = [96 91 143 137 130 123 121 119 131; 96 91 86 82 77 72 68 107 54; 96 91 86 81 77 72 68 63 54; 96 91 86 81 77 72 68 63 54]; iso_lena256_line_b = [93 88 207 199 189 179 176 172 63; 94 88 84 79 75 70 66 155 52; 93 88 84 79 75 70 66 62 52; 93 88 84 79 75 70 66 62 52];</v>
      </c>
    </row>
  </sheetData>
  <pageMargins left="0.7" right="0.7" top="0.75" bottom="0.75" header="0.3" footer="0.3"/>
  <pageSetup orientation="portrait" horizontalDpi="180" verticalDpi="180"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2"/>
  <sheetViews>
    <sheetView workbookViewId="0">
      <selection activeCell="G27" sqref="G27"/>
    </sheetView>
  </sheetViews>
  <sheetFormatPr defaultRowHeight="15" x14ac:dyDescent="0.25"/>
  <sheetData>
    <row r="1" spans="1:10" x14ac:dyDescent="0.25">
      <c r="A1" s="8"/>
      <c r="B1" s="9">
        <v>3</v>
      </c>
      <c r="C1" s="9">
        <v>7</v>
      </c>
      <c r="D1" s="9">
        <v>15</v>
      </c>
      <c r="E1" s="9">
        <v>31</v>
      </c>
      <c r="F1" s="8"/>
      <c r="G1" s="8"/>
      <c r="H1" s="8"/>
      <c r="I1" s="8"/>
      <c r="J1" s="8"/>
    </row>
    <row r="2" spans="1:10" x14ac:dyDescent="0.25">
      <c r="A2" s="9">
        <v>200</v>
      </c>
      <c r="B2" t="str">
        <f>COUNTIFS('report COMPLETE ISO DATA'!$E:$E,$A2,'report COMPLETE ISO DATA'!$C:$C,B$1,'report COMPLETE ISO DATA'!$P:$P,"TICO09") &amp; " - " &amp; COUNTIFS('report COMPLETE ISO DATA'!$E:$E,$A2,'report COMPLETE ISO DATA'!$C:$C,B$1,'report COMPLETE ISO DATA'!$P:$P,"SROU03") &amp; " - " &amp; COUNTIFS('report COMPLETE ISO DATA'!$E:$E,$A2,'report COMPLETE ISO DATA'!$C:$C,B$1,'report COMPLETE ISO DATA'!$P:$P,"BM3D")</f>
        <v>0 - 0 - 16</v>
      </c>
      <c r="C2" t="str">
        <f>COUNTIFS('report COMPLETE ISO DATA'!$E:$E,$A2,'report COMPLETE ISO DATA'!$C:$C,C$1,'report COMPLETE ISO DATA'!$P:$P,"TICO09") &amp; " - " &amp; COUNTIFS('report COMPLETE ISO DATA'!$E:$E,$A2,'report COMPLETE ISO DATA'!$C:$C,C$1,'report COMPLETE ISO DATA'!$P:$P,"SROU03") &amp; " - " &amp; COUNTIFS('report COMPLETE ISO DATA'!$E:$E,$A2,'report COMPLETE ISO DATA'!$C:$C,C$1,'report COMPLETE ISO DATA'!$P:$P,"BM3D")</f>
        <v>0 - 0 - 16</v>
      </c>
      <c r="D2" t="str">
        <f>COUNTIFS('report COMPLETE ISO DATA'!$E:$E,$A2,'report COMPLETE ISO DATA'!$C:$C,D$1,'report COMPLETE ISO DATA'!$P:$P,"TICO09") &amp; " - " &amp; COUNTIFS('report COMPLETE ISO DATA'!$E:$E,$A2,'report COMPLETE ISO DATA'!$C:$C,D$1,'report COMPLETE ISO DATA'!$P:$P,"SROU03") &amp; " - " &amp; COUNTIFS('report COMPLETE ISO DATA'!$E:$E,$A2,'report COMPLETE ISO DATA'!$C:$C,D$1,'report COMPLETE ISO DATA'!$P:$P,"BM3D")</f>
        <v>0 - 0 - 16</v>
      </c>
      <c r="E2" t="str">
        <f>COUNTIFS('report COMPLETE ISO DATA'!$E:$E,$A2,'report COMPLETE ISO DATA'!$C:$C,E$1,'report COMPLETE ISO DATA'!$P:$P,"TICO09") &amp; " - " &amp; COUNTIFS('report COMPLETE ISO DATA'!$E:$E,$A2,'report COMPLETE ISO DATA'!$C:$C,E$1,'report COMPLETE ISO DATA'!$P:$P,"SROU03") &amp; " - " &amp; COUNTIFS('report COMPLETE ISO DATA'!$E:$E,$A2,'report COMPLETE ISO DATA'!$C:$C,E$1,'report COMPLETE ISO DATA'!$P:$P,"BM3D")</f>
        <v>0 - 0 - 16</v>
      </c>
    </row>
    <row r="3" spans="1:10" x14ac:dyDescent="0.25">
      <c r="A3" s="9">
        <v>400</v>
      </c>
      <c r="B3" t="str">
        <f>COUNTIFS('report COMPLETE ISO DATA'!$E:$E,$A3,'report COMPLETE ISO DATA'!$C:$C,B$1,'report COMPLETE ISO DATA'!$P:$P,"TICO09") &amp; " - " &amp; COUNTIFS('report COMPLETE ISO DATA'!$E:$E,$A3,'report COMPLETE ISO DATA'!$C:$C,B$1,'report COMPLETE ISO DATA'!$P:$P,"SROU03") &amp; " - " &amp; COUNTIFS('report COMPLETE ISO DATA'!$E:$E,$A3,'report COMPLETE ISO DATA'!$C:$C,B$1,'report COMPLETE ISO DATA'!$P:$P,"BM3D")</f>
        <v>0 - 3 - 13</v>
      </c>
      <c r="C3" t="str">
        <f>COUNTIFS('report COMPLETE ISO DATA'!$E:$E,$A3,'report COMPLETE ISO DATA'!$C:$C,C$1,'report COMPLETE ISO DATA'!$P:$P,"TICO09") &amp; " - " &amp; COUNTIFS('report COMPLETE ISO DATA'!$E:$E,$A3,'report COMPLETE ISO DATA'!$C:$C,C$1,'report COMPLETE ISO DATA'!$P:$P,"SROU03") &amp; " - " &amp; COUNTIFS('report COMPLETE ISO DATA'!$E:$E,$A3,'report COMPLETE ISO DATA'!$C:$C,C$1,'report COMPLETE ISO DATA'!$P:$P,"BM3D")</f>
        <v>0 - 0 - 16</v>
      </c>
      <c r="D3" t="str">
        <f>COUNTIFS('report COMPLETE ISO DATA'!$E:$E,$A3,'report COMPLETE ISO DATA'!$C:$C,D$1,'report COMPLETE ISO DATA'!$P:$P,"TICO09") &amp; " - " &amp; COUNTIFS('report COMPLETE ISO DATA'!$E:$E,$A3,'report COMPLETE ISO DATA'!$C:$C,D$1,'report COMPLETE ISO DATA'!$P:$P,"SROU03") &amp; " - " &amp; COUNTIFS('report COMPLETE ISO DATA'!$E:$E,$A3,'report COMPLETE ISO DATA'!$C:$C,D$1,'report COMPLETE ISO DATA'!$P:$P,"BM3D")</f>
        <v>0 - 0 - 16</v>
      </c>
      <c r="E3" t="str">
        <f>COUNTIFS('report COMPLETE ISO DATA'!$E:$E,$A3,'report COMPLETE ISO DATA'!$C:$C,E$1,'report COMPLETE ISO DATA'!$P:$P,"TICO09") &amp; " - " &amp; COUNTIFS('report COMPLETE ISO DATA'!$E:$E,$A3,'report COMPLETE ISO DATA'!$C:$C,E$1,'report COMPLETE ISO DATA'!$P:$P,"SROU03") &amp; " - " &amp; COUNTIFS('report COMPLETE ISO DATA'!$E:$E,$A3,'report COMPLETE ISO DATA'!$C:$C,E$1,'report COMPLETE ISO DATA'!$P:$P,"BM3D")</f>
        <v>0 - 0 - 16</v>
      </c>
    </row>
    <row r="4" spans="1:10" x14ac:dyDescent="0.25">
      <c r="A4" s="9">
        <v>800</v>
      </c>
      <c r="B4" t="str">
        <f>COUNTIFS('report COMPLETE ISO DATA'!$E:$E,$A4,'report COMPLETE ISO DATA'!$C:$C,B$1,'report COMPLETE ISO DATA'!$P:$P,"TICO09") &amp; " - " &amp; COUNTIFS('report COMPLETE ISO DATA'!$E:$E,$A4,'report COMPLETE ISO DATA'!$C:$C,B$1,'report COMPLETE ISO DATA'!$P:$P,"SROU03") &amp; " - " &amp; COUNTIFS('report COMPLETE ISO DATA'!$E:$E,$A4,'report COMPLETE ISO DATA'!$C:$C,B$1,'report COMPLETE ISO DATA'!$P:$P,"BM3D")</f>
        <v>0 - 8 - 8</v>
      </c>
      <c r="C4" t="str">
        <f>COUNTIFS('report COMPLETE ISO DATA'!$E:$E,$A4,'report COMPLETE ISO DATA'!$C:$C,C$1,'report COMPLETE ISO DATA'!$P:$P,"TICO09") &amp; " - " &amp; COUNTIFS('report COMPLETE ISO DATA'!$E:$E,$A4,'report COMPLETE ISO DATA'!$C:$C,C$1,'report COMPLETE ISO DATA'!$P:$P,"SROU03") &amp; " - " &amp; COUNTIFS('report COMPLETE ISO DATA'!$E:$E,$A4,'report COMPLETE ISO DATA'!$C:$C,C$1,'report COMPLETE ISO DATA'!$P:$P,"BM3D")</f>
        <v>0 - 0 - 16</v>
      </c>
      <c r="D4" t="str">
        <f>COUNTIFS('report COMPLETE ISO DATA'!$E:$E,$A4,'report COMPLETE ISO DATA'!$C:$C,D$1,'report COMPLETE ISO DATA'!$P:$P,"TICO09") &amp; " - " &amp; COUNTIFS('report COMPLETE ISO DATA'!$E:$E,$A4,'report COMPLETE ISO DATA'!$C:$C,D$1,'report COMPLETE ISO DATA'!$P:$P,"SROU03") &amp; " - " &amp; COUNTIFS('report COMPLETE ISO DATA'!$E:$E,$A4,'report COMPLETE ISO DATA'!$C:$C,D$1,'report COMPLETE ISO DATA'!$P:$P,"BM3D")</f>
        <v>0 - 0 - 16</v>
      </c>
      <c r="E4" t="str">
        <f>COUNTIFS('report COMPLETE ISO DATA'!$E:$E,$A4,'report COMPLETE ISO DATA'!$C:$C,E$1,'report COMPLETE ISO DATA'!$P:$P,"TICO09") &amp; " - " &amp; COUNTIFS('report COMPLETE ISO DATA'!$E:$E,$A4,'report COMPLETE ISO DATA'!$C:$C,E$1,'report COMPLETE ISO DATA'!$P:$P,"SROU03") &amp; " - " &amp; COUNTIFS('report COMPLETE ISO DATA'!$E:$E,$A4,'report COMPLETE ISO DATA'!$C:$C,E$1,'report COMPLETE ISO DATA'!$P:$P,"BM3D")</f>
        <v>0 - 0 - 16</v>
      </c>
    </row>
    <row r="5" spans="1:10" x14ac:dyDescent="0.25">
      <c r="A5" s="9">
        <v>1600</v>
      </c>
      <c r="B5" t="str">
        <f>COUNTIFS('report COMPLETE ISO DATA'!$E:$E,$A5,'report COMPLETE ISO DATA'!$C:$C,B$1,'report COMPLETE ISO DATA'!$P:$P,"TICO09") &amp; " - " &amp; COUNTIFS('report COMPLETE ISO DATA'!$E:$E,$A5,'report COMPLETE ISO DATA'!$C:$C,B$1,'report COMPLETE ISO DATA'!$P:$P,"SROU03") &amp; " - " &amp; COUNTIFS('report COMPLETE ISO DATA'!$E:$E,$A5,'report COMPLETE ISO DATA'!$C:$C,B$1,'report COMPLETE ISO DATA'!$P:$P,"BM3D")</f>
        <v>0 - 15 - 1</v>
      </c>
      <c r="C5" t="str">
        <f>COUNTIFS('report COMPLETE ISO DATA'!$E:$E,$A5,'report COMPLETE ISO DATA'!$C:$C,C$1,'report COMPLETE ISO DATA'!$P:$P,"TICO09") &amp; " - " &amp; COUNTIFS('report COMPLETE ISO DATA'!$E:$E,$A5,'report COMPLETE ISO DATA'!$C:$C,C$1,'report COMPLETE ISO DATA'!$P:$P,"SROU03") &amp; " - " &amp; COUNTIFS('report COMPLETE ISO DATA'!$E:$E,$A5,'report COMPLETE ISO DATA'!$C:$C,C$1,'report COMPLETE ISO DATA'!$P:$P,"BM3D")</f>
        <v>0 - 0 - 16</v>
      </c>
      <c r="D5" t="str">
        <f>COUNTIFS('report COMPLETE ISO DATA'!$E:$E,$A5,'report COMPLETE ISO DATA'!$C:$C,D$1,'report COMPLETE ISO DATA'!$P:$P,"TICO09") &amp; " - " &amp; COUNTIFS('report COMPLETE ISO DATA'!$E:$E,$A5,'report COMPLETE ISO DATA'!$C:$C,D$1,'report COMPLETE ISO DATA'!$P:$P,"SROU03") &amp; " - " &amp; COUNTIFS('report COMPLETE ISO DATA'!$E:$E,$A5,'report COMPLETE ISO DATA'!$C:$C,D$1,'report COMPLETE ISO DATA'!$P:$P,"BM3D")</f>
        <v>0 - 0 - 16</v>
      </c>
      <c r="E5" t="str">
        <f>COUNTIFS('report COMPLETE ISO DATA'!$E:$E,$A5,'report COMPLETE ISO DATA'!$C:$C,E$1,'report COMPLETE ISO DATA'!$P:$P,"TICO09") &amp; " - " &amp; COUNTIFS('report COMPLETE ISO DATA'!$E:$E,$A5,'report COMPLETE ISO DATA'!$C:$C,E$1,'report COMPLETE ISO DATA'!$P:$P,"SROU03") &amp; " - " &amp; COUNTIFS('report COMPLETE ISO DATA'!$E:$E,$A5,'report COMPLETE ISO DATA'!$C:$C,E$1,'report COMPLETE ISO DATA'!$P:$P,"BM3D")</f>
        <v>0 - 0 - 16</v>
      </c>
    </row>
    <row r="6" spans="1:10" x14ac:dyDescent="0.25">
      <c r="A6" s="9">
        <v>3200</v>
      </c>
      <c r="B6" t="str">
        <f>COUNTIFS('report COMPLETE ISO DATA'!$E:$E,$A6,'report COMPLETE ISO DATA'!$C:$C,B$1,'report COMPLETE ISO DATA'!$P:$P,"TICO09") &amp; " - " &amp; COUNTIFS('report COMPLETE ISO DATA'!$E:$E,$A6,'report COMPLETE ISO DATA'!$C:$C,B$1,'report COMPLETE ISO DATA'!$P:$P,"SROU03") &amp; " - " &amp; COUNTIFS('report COMPLETE ISO DATA'!$E:$E,$A6,'report COMPLETE ISO DATA'!$C:$C,B$1,'report COMPLETE ISO DATA'!$P:$P,"BM3D")</f>
        <v>0 - 15 - 1</v>
      </c>
      <c r="C6" t="str">
        <f>COUNTIFS('report COMPLETE ISO DATA'!$E:$E,$A6,'report COMPLETE ISO DATA'!$C:$C,C$1,'report COMPLETE ISO DATA'!$P:$P,"TICO09") &amp; " - " &amp; COUNTIFS('report COMPLETE ISO DATA'!$E:$E,$A6,'report COMPLETE ISO DATA'!$C:$C,C$1,'report COMPLETE ISO DATA'!$P:$P,"SROU03") &amp; " - " &amp; COUNTIFS('report COMPLETE ISO DATA'!$E:$E,$A6,'report COMPLETE ISO DATA'!$C:$C,C$1,'report COMPLETE ISO DATA'!$P:$P,"BM3D")</f>
        <v>0 - 0 - 16</v>
      </c>
      <c r="D6" t="str">
        <f>COUNTIFS('report COMPLETE ISO DATA'!$E:$E,$A6,'report COMPLETE ISO DATA'!$C:$C,D$1,'report COMPLETE ISO DATA'!$P:$P,"TICO09") &amp; " - " &amp; COUNTIFS('report COMPLETE ISO DATA'!$E:$E,$A6,'report COMPLETE ISO DATA'!$C:$C,D$1,'report COMPLETE ISO DATA'!$P:$P,"SROU03") &amp; " - " &amp; COUNTIFS('report COMPLETE ISO DATA'!$E:$E,$A6,'report COMPLETE ISO DATA'!$C:$C,D$1,'report COMPLETE ISO DATA'!$P:$P,"BM3D")</f>
        <v>0 - 0 - 16</v>
      </c>
      <c r="E6" t="str">
        <f>COUNTIFS('report COMPLETE ISO DATA'!$E:$E,$A6,'report COMPLETE ISO DATA'!$C:$C,E$1,'report COMPLETE ISO DATA'!$P:$P,"TICO09") &amp; " - " &amp; COUNTIFS('report COMPLETE ISO DATA'!$E:$E,$A6,'report COMPLETE ISO DATA'!$C:$C,E$1,'report COMPLETE ISO DATA'!$P:$P,"SROU03") &amp; " - " &amp; COUNTIFS('report COMPLETE ISO DATA'!$E:$E,$A6,'report COMPLETE ISO DATA'!$C:$C,E$1,'report COMPLETE ISO DATA'!$P:$P,"BM3D")</f>
        <v>0 - 0 - 16</v>
      </c>
    </row>
    <row r="7" spans="1:10" x14ac:dyDescent="0.25">
      <c r="A7" s="9">
        <v>6400</v>
      </c>
      <c r="B7" t="str">
        <f>COUNTIFS('report COMPLETE ISO DATA'!$E:$E,$A7,'report COMPLETE ISO DATA'!$C:$C,B$1,'report COMPLETE ISO DATA'!$P:$P,"TICO09") &amp; " - " &amp; COUNTIFS('report COMPLETE ISO DATA'!$E:$E,$A7,'report COMPLETE ISO DATA'!$C:$C,B$1,'report COMPLETE ISO DATA'!$P:$P,"SROU03") &amp; " - " &amp; COUNTIFS('report COMPLETE ISO DATA'!$E:$E,$A7,'report COMPLETE ISO DATA'!$C:$C,B$1,'report COMPLETE ISO DATA'!$P:$P,"BM3D")</f>
        <v>0 - 16 - 0</v>
      </c>
      <c r="C7" t="str">
        <f>COUNTIFS('report COMPLETE ISO DATA'!$E:$E,$A7,'report COMPLETE ISO DATA'!$C:$C,C$1,'report COMPLETE ISO DATA'!$P:$P,"TICO09") &amp; " - " &amp; COUNTIFS('report COMPLETE ISO DATA'!$E:$E,$A7,'report COMPLETE ISO DATA'!$C:$C,C$1,'report COMPLETE ISO DATA'!$P:$P,"SROU03") &amp; " - " &amp; COUNTIFS('report COMPLETE ISO DATA'!$E:$E,$A7,'report COMPLETE ISO DATA'!$C:$C,C$1,'report COMPLETE ISO DATA'!$P:$P,"BM3D")</f>
        <v>0 - 2 - 14</v>
      </c>
      <c r="D7" t="str">
        <f>COUNTIFS('report COMPLETE ISO DATA'!$E:$E,$A7,'report COMPLETE ISO DATA'!$C:$C,D$1,'report COMPLETE ISO DATA'!$P:$P,"TICO09") &amp; " - " &amp; COUNTIFS('report COMPLETE ISO DATA'!$E:$E,$A7,'report COMPLETE ISO DATA'!$C:$C,D$1,'report COMPLETE ISO DATA'!$P:$P,"SROU03") &amp; " - " &amp; COUNTIFS('report COMPLETE ISO DATA'!$E:$E,$A7,'report COMPLETE ISO DATA'!$C:$C,D$1,'report COMPLETE ISO DATA'!$P:$P,"BM3D")</f>
        <v>0 - 0 - 16</v>
      </c>
      <c r="E7" t="str">
        <f>COUNTIFS('report COMPLETE ISO DATA'!$E:$E,$A7,'report COMPLETE ISO DATA'!$C:$C,E$1,'report COMPLETE ISO DATA'!$P:$P,"TICO09") &amp; " - " &amp; COUNTIFS('report COMPLETE ISO DATA'!$E:$E,$A7,'report COMPLETE ISO DATA'!$C:$C,E$1,'report COMPLETE ISO DATA'!$P:$P,"SROU03") &amp; " - " &amp; COUNTIFS('report COMPLETE ISO DATA'!$E:$E,$A7,'report COMPLETE ISO DATA'!$C:$C,E$1,'report COMPLETE ISO DATA'!$P:$P,"BM3D")</f>
        <v>0 - 0 - 16</v>
      </c>
    </row>
    <row r="8" spans="1:10" x14ac:dyDescent="0.25">
      <c r="A8" s="9">
        <v>12800</v>
      </c>
      <c r="B8" t="str">
        <f>COUNTIFS('report COMPLETE ISO DATA'!$E:$E,$A8,'report COMPLETE ISO DATA'!$C:$C,B$1,'report COMPLETE ISO DATA'!$P:$P,"TICO09") &amp; " - " &amp; COUNTIFS('report COMPLETE ISO DATA'!$E:$E,$A8,'report COMPLETE ISO DATA'!$C:$C,B$1,'report COMPLETE ISO DATA'!$P:$P,"SROU03") &amp; " - " &amp; COUNTIFS('report COMPLETE ISO DATA'!$E:$E,$A8,'report COMPLETE ISO DATA'!$C:$C,B$1,'report COMPLETE ISO DATA'!$P:$P,"BM3D")</f>
        <v>0 - 16 - 0</v>
      </c>
      <c r="C8" t="str">
        <f>COUNTIFS('report COMPLETE ISO DATA'!$E:$E,$A8,'report COMPLETE ISO DATA'!$C:$C,C$1,'report COMPLETE ISO DATA'!$P:$P,"TICO09") &amp; " - " &amp; COUNTIFS('report COMPLETE ISO DATA'!$E:$E,$A8,'report COMPLETE ISO DATA'!$C:$C,C$1,'report COMPLETE ISO DATA'!$P:$P,"SROU03") &amp; " - " &amp; COUNTIFS('report COMPLETE ISO DATA'!$E:$E,$A8,'report COMPLETE ISO DATA'!$C:$C,C$1,'report COMPLETE ISO DATA'!$P:$P,"BM3D")</f>
        <v>0 - 10 - 6</v>
      </c>
      <c r="D8" t="str">
        <f>COUNTIFS('report COMPLETE ISO DATA'!$E:$E,$A8,'report COMPLETE ISO DATA'!$C:$C,D$1,'report COMPLETE ISO DATA'!$P:$P,"TICO09") &amp; " - " &amp; COUNTIFS('report COMPLETE ISO DATA'!$E:$E,$A8,'report COMPLETE ISO DATA'!$C:$C,D$1,'report COMPLETE ISO DATA'!$P:$P,"SROU03") &amp; " - " &amp; COUNTIFS('report COMPLETE ISO DATA'!$E:$E,$A8,'report COMPLETE ISO DATA'!$C:$C,D$1,'report COMPLETE ISO DATA'!$P:$P,"BM3D")</f>
        <v>0 - 4 - 12</v>
      </c>
      <c r="E8" t="str">
        <f>COUNTIFS('report COMPLETE ISO DATA'!$E:$E,$A8,'report COMPLETE ISO DATA'!$C:$C,E$1,'report COMPLETE ISO DATA'!$P:$P,"TICO09") &amp; " - " &amp; COUNTIFS('report COMPLETE ISO DATA'!$E:$E,$A8,'report COMPLETE ISO DATA'!$C:$C,E$1,'report COMPLETE ISO DATA'!$P:$P,"SROU03") &amp; " - " &amp; COUNTIFS('report COMPLETE ISO DATA'!$E:$E,$A8,'report COMPLETE ISO DATA'!$C:$C,E$1,'report COMPLETE ISO DATA'!$P:$P,"BM3D")</f>
        <v>0 - 0 - 16</v>
      </c>
    </row>
    <row r="9" spans="1:10" x14ac:dyDescent="0.25">
      <c r="A9" s="9">
        <v>25600</v>
      </c>
      <c r="B9" t="str">
        <f>COUNTIFS('report COMPLETE ISO DATA'!$E:$E,$A9,'report COMPLETE ISO DATA'!$C:$C,B$1,'report COMPLETE ISO DATA'!$P:$P,"TICO09") &amp; " - " &amp; COUNTIFS('report COMPLETE ISO DATA'!$E:$E,$A9,'report COMPLETE ISO DATA'!$C:$C,B$1,'report COMPLETE ISO DATA'!$P:$P,"SROU03") &amp; " - " &amp; COUNTIFS('report COMPLETE ISO DATA'!$E:$E,$A9,'report COMPLETE ISO DATA'!$C:$C,B$1,'report COMPLETE ISO DATA'!$P:$P,"BM3D")</f>
        <v>0 - 16 - 0</v>
      </c>
      <c r="C9" t="str">
        <f>COUNTIFS('report COMPLETE ISO DATA'!$E:$E,$A9,'report COMPLETE ISO DATA'!$C:$C,C$1,'report COMPLETE ISO DATA'!$P:$P,"TICO09") &amp; " - " &amp; COUNTIFS('report COMPLETE ISO DATA'!$E:$E,$A9,'report COMPLETE ISO DATA'!$C:$C,C$1,'report COMPLETE ISO DATA'!$P:$P,"SROU03") &amp; " - " &amp; COUNTIFS('report COMPLETE ISO DATA'!$E:$E,$A9,'report COMPLETE ISO DATA'!$C:$C,C$1,'report COMPLETE ISO DATA'!$P:$P,"BM3D")</f>
        <v>0 - 15 - 1</v>
      </c>
      <c r="D9" t="str">
        <f>COUNTIFS('report COMPLETE ISO DATA'!$E:$E,$A9,'report COMPLETE ISO DATA'!$C:$C,D$1,'report COMPLETE ISO DATA'!$P:$P,"TICO09") &amp; " - " &amp; COUNTIFS('report COMPLETE ISO DATA'!$E:$E,$A9,'report COMPLETE ISO DATA'!$C:$C,D$1,'report COMPLETE ISO DATA'!$P:$P,"SROU03") &amp; " - " &amp; COUNTIFS('report COMPLETE ISO DATA'!$E:$E,$A9,'report COMPLETE ISO DATA'!$C:$C,D$1,'report COMPLETE ISO DATA'!$P:$P,"BM3D")</f>
        <v>0 - 10 - 6</v>
      </c>
      <c r="E9" t="str">
        <f>COUNTIFS('report COMPLETE ISO DATA'!$E:$E,$A9,'report COMPLETE ISO DATA'!$C:$C,E$1,'report COMPLETE ISO DATA'!$P:$P,"TICO09") &amp; " - " &amp; COUNTIFS('report COMPLETE ISO DATA'!$E:$E,$A9,'report COMPLETE ISO DATA'!$C:$C,E$1,'report COMPLETE ISO DATA'!$P:$P,"SROU03") &amp; " - " &amp; COUNTIFS('report COMPLETE ISO DATA'!$E:$E,$A9,'report COMPLETE ISO DATA'!$C:$C,E$1,'report COMPLETE ISO DATA'!$P:$P,"BM3D")</f>
        <v>0 - 4 - 12</v>
      </c>
    </row>
    <row r="10" spans="1:10" x14ac:dyDescent="0.25">
      <c r="A10" s="9">
        <v>102400</v>
      </c>
      <c r="B10" t="str">
        <f>COUNTIFS('report COMPLETE ISO DATA'!$E:$E,$A10,'report COMPLETE ISO DATA'!$C:$C,B$1,'report COMPLETE ISO DATA'!$P:$P,"TICO09") &amp; " - " &amp; COUNTIFS('report COMPLETE ISO DATA'!$E:$E,$A10,'report COMPLETE ISO DATA'!$C:$C,B$1,'report COMPLETE ISO DATA'!$P:$P,"SROU03") &amp; " - " &amp; COUNTIFS('report COMPLETE ISO DATA'!$E:$E,$A10,'report COMPLETE ISO DATA'!$C:$C,B$1,'report COMPLETE ISO DATA'!$P:$P,"BM3D")</f>
        <v>1 - 15 - 0</v>
      </c>
      <c r="C10" t="str">
        <f>COUNTIFS('report COMPLETE ISO DATA'!$E:$E,$A10,'report COMPLETE ISO DATA'!$C:$C,C$1,'report COMPLETE ISO DATA'!$P:$P,"TICO09") &amp; " - " &amp; COUNTIFS('report COMPLETE ISO DATA'!$E:$E,$A10,'report COMPLETE ISO DATA'!$C:$C,C$1,'report COMPLETE ISO DATA'!$P:$P,"SROU03") &amp; " - " &amp; COUNTIFS('report COMPLETE ISO DATA'!$E:$E,$A10,'report COMPLETE ISO DATA'!$C:$C,C$1,'report COMPLETE ISO DATA'!$P:$P,"BM3D")</f>
        <v>0 - 13 - 3</v>
      </c>
      <c r="D10" t="str">
        <f>COUNTIFS('report COMPLETE ISO DATA'!$E:$E,$A10,'report COMPLETE ISO DATA'!$C:$C,D$1,'report COMPLETE ISO DATA'!$P:$P,"TICO09") &amp; " - " &amp; COUNTIFS('report COMPLETE ISO DATA'!$E:$E,$A10,'report COMPLETE ISO DATA'!$C:$C,D$1,'report COMPLETE ISO DATA'!$P:$P,"SROU03") &amp; " - " &amp; COUNTIFS('report COMPLETE ISO DATA'!$E:$E,$A10,'report COMPLETE ISO DATA'!$C:$C,D$1,'report COMPLETE ISO DATA'!$P:$P,"BM3D")</f>
        <v>0 - 12 - 4</v>
      </c>
      <c r="E10" t="str">
        <f>COUNTIFS('report COMPLETE ISO DATA'!$E:$E,$A10,'report COMPLETE ISO DATA'!$C:$C,E$1,'report COMPLETE ISO DATA'!$P:$P,"TICO09") &amp; " - " &amp; COUNTIFS('report COMPLETE ISO DATA'!$E:$E,$A10,'report COMPLETE ISO DATA'!$C:$C,E$1,'report COMPLETE ISO DATA'!$P:$P,"SROU03") &amp; " - " &amp; COUNTIFS('report COMPLETE ISO DATA'!$E:$E,$A10,'report COMPLETE ISO DATA'!$C:$C,E$1,'report COMPLETE ISO DATA'!$P:$P,"BM3D")</f>
        <v>0 - 8 - 8</v>
      </c>
    </row>
    <row r="12" spans="1:10" x14ac:dyDescent="0.25">
      <c r="A12" s="7" t="s">
        <v>56</v>
      </c>
      <c r="B12" t="str">
        <f>Range2TeXTabular(A1:E10)</f>
        <v xml:space="preserve"> &amp; 3 &amp; 7 &amp; 15 &amp; 31 \\ \hline_x000D_
200 &amp; 0 - 0 - 16 &amp; 0 - 0 - 16 &amp; 0 - 0 - 16 &amp; 0 - 0 - 16 \\ \hline_x000D_
400 &amp; 0 - 3 - 13 &amp; 0 - 0 - 16 &amp; 0 - 0 - 16 &amp; 0 - 0 - 16 \\ \hline_x000D_
800 &amp; 0 - 8 - 8 &amp; 0 - 0 - 16 &amp; 0 - 0 - 16 &amp; 0 - 0 - 16 \\ \hline_x000D_
1600 &amp; 0 - 15 - 1 &amp; 0 - 0 - 16 &amp; 0 - 0 - 16 &amp; 0 - 0 - 16 \\ \hline_x000D_
3200 &amp; 0 - 15 - 1 &amp; 0 - 0 - 16 &amp; 0 - 0 - 16 &amp; 0 - 0 - 16 \\ \hline_x000D_
6400 &amp; 0 - 16 - 0 &amp; 0 - 2 - 14 &amp; 0 - 0 - 16 &amp; 0 - 0 - 16 \\ \hline_x000D_
12800 &amp; 0 - 16 - 0 &amp; 0 - 10 - 6 &amp; 0 - 4 - 12 &amp; 0 - 0 - 16 \\ \hline_x000D_
25600 &amp; 0 - 16 - 0 &amp; 0 - 15 - 1 &amp; 0 - 10 - 6 &amp; 0 - 4 - 12 \\ \hline_x000D_
102400 &amp; 1 - 15 - 0 &amp; 0 - 13 - 3 &amp; 0 - 12 - 4 &amp; 0 - 8 - 8 \\ \hline_x000D_
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4"/>
  <sheetViews>
    <sheetView workbookViewId="0">
      <pane ySplit="1" topLeftCell="A7" activePane="bottomLeft" state="frozen"/>
      <selection pane="bottomLeft" activeCell="M47" sqref="M47:M51"/>
    </sheetView>
  </sheetViews>
  <sheetFormatPr defaultRowHeight="15" x14ac:dyDescent="0.25"/>
  <sheetData>
    <row r="1" spans="1:5" x14ac:dyDescent="0.25">
      <c r="A1" s="6" t="s">
        <v>42</v>
      </c>
      <c r="B1" s="6" t="s">
        <v>43</v>
      </c>
      <c r="C1" s="6" t="s">
        <v>44</v>
      </c>
      <c r="D1" s="6" t="s">
        <v>45</v>
      </c>
      <c r="E1" s="6" t="s">
        <v>46</v>
      </c>
    </row>
    <row r="2" spans="1:5" x14ac:dyDescent="0.25">
      <c r="A2" t="s">
        <v>26</v>
      </c>
      <c r="B2">
        <v>1</v>
      </c>
      <c r="C2">
        <v>255</v>
      </c>
      <c r="D2">
        <v>107</v>
      </c>
      <c r="E2">
        <v>104</v>
      </c>
    </row>
    <row r="3" spans="1:5" x14ac:dyDescent="0.25">
      <c r="A3" t="s">
        <v>24</v>
      </c>
      <c r="B3">
        <v>2</v>
      </c>
      <c r="C3">
        <v>213</v>
      </c>
      <c r="D3">
        <v>255</v>
      </c>
      <c r="E3">
        <v>122</v>
      </c>
    </row>
    <row r="4" spans="1:5" x14ac:dyDescent="0.25">
      <c r="A4" t="s">
        <v>25</v>
      </c>
      <c r="B4">
        <v>3</v>
      </c>
      <c r="C4">
        <v>107</v>
      </c>
      <c r="D4">
        <v>176</v>
      </c>
      <c r="E4">
        <v>255</v>
      </c>
    </row>
  </sheetData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report COMPLETE ISO DATA</vt:lpstr>
      <vt:lpstr>BM3D</vt:lpstr>
      <vt:lpstr>SROU03</vt:lpstr>
      <vt:lpstr>TICO09</vt:lpstr>
      <vt:lpstr>BM3D - average SNR vs ISO</vt:lpstr>
      <vt:lpstr>AVG methods vs ISO</vt:lpstr>
      <vt:lpstr>AVG methods vs PSF size</vt:lpstr>
      <vt:lpstr>Surface TICO09</vt:lpstr>
      <vt:lpstr>Surface SROU03</vt:lpstr>
      <vt:lpstr>Surface BM3D</vt:lpstr>
      <vt:lpstr>Winners</vt:lpstr>
      <vt:lpstr>Winning counts</vt:lpstr>
      <vt:lpstr>Color codes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Jozef Sabo</cp:lastModifiedBy>
  <dcterms:created xsi:type="dcterms:W3CDTF">2011-12-09T09:07:23Z</dcterms:created>
  <dcterms:modified xsi:type="dcterms:W3CDTF">2012-04-12T21:06:04Z</dcterms:modified>
</cp:coreProperties>
</file>
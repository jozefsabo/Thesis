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480" yWindow="255" windowWidth="24480" windowHeight="12150" tabRatio="601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Winning counts" sheetId="14" r:id="rId12"/>
    <sheet name="Color codes" sheetId="12" r:id="rId13"/>
  </sheets>
  <functionGroups builtInGroupCount="17"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O28" i="11" l="1"/>
  <c r="G5" i="7"/>
  <c r="F5" i="7"/>
  <c r="E5" i="7"/>
  <c r="G5" i="6"/>
  <c r="F5" i="6"/>
  <c r="E5" i="6"/>
  <c r="O29" i="11"/>
  <c r="B12" i="14"/>
  <c r="A16" i="6" l="1"/>
  <c r="A11" i="7"/>
  <c r="O30" i="11"/>
  <c r="B28" i="11" l="1"/>
  <c r="O12" i="11"/>
  <c r="B12" i="11"/>
  <c r="B29" i="11"/>
  <c r="O13" i="11"/>
  <c r="B30" i="11" l="1"/>
  <c r="O14" i="1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301" i="4"/>
  <c r="F257" i="4"/>
  <c r="F345" i="4"/>
  <c r="F213" i="4"/>
  <c r="F289" i="3"/>
  <c r="F181" i="3"/>
  <c r="F253" i="3"/>
  <c r="F217" i="3"/>
  <c r="F433" i="4"/>
  <c r="F424" i="4"/>
  <c r="F415" i="4"/>
  <c r="F406" i="4"/>
  <c r="F477" i="4"/>
  <c r="F468" i="4"/>
  <c r="F459" i="4"/>
  <c r="F450" i="4"/>
  <c r="F521" i="4"/>
  <c r="F512" i="4"/>
  <c r="F503" i="4"/>
  <c r="F494" i="4"/>
  <c r="F389" i="4"/>
  <c r="F380" i="4"/>
  <c r="F371" i="4"/>
  <c r="F362" i="4"/>
  <c r="F81" i="4"/>
  <c r="F72" i="4"/>
  <c r="F63" i="4"/>
  <c r="F54" i="4"/>
  <c r="F125" i="4"/>
  <c r="F116" i="4"/>
  <c r="F107" i="4"/>
  <c r="F98" i="4"/>
  <c r="F169" i="4"/>
  <c r="F160" i="4"/>
  <c r="F151" i="4"/>
  <c r="F142" i="4"/>
  <c r="F37" i="4"/>
  <c r="F28" i="4"/>
  <c r="F19" i="4"/>
  <c r="F10" i="4"/>
  <c r="F609" i="4"/>
  <c r="F600" i="4"/>
  <c r="F591" i="4"/>
  <c r="F582" i="4"/>
  <c r="F653" i="4"/>
  <c r="F644" i="4"/>
  <c r="F635" i="4"/>
  <c r="F626" i="4"/>
  <c r="F697" i="4"/>
  <c r="F688" i="4"/>
  <c r="F679" i="4"/>
  <c r="F670" i="4"/>
  <c r="F565" i="4"/>
  <c r="F556" i="4"/>
  <c r="F547" i="4"/>
  <c r="F538" i="4"/>
  <c r="F361" i="3"/>
  <c r="F352" i="3"/>
  <c r="F334" i="3"/>
  <c r="F343" i="3"/>
  <c r="F397" i="3"/>
  <c r="F388" i="3"/>
  <c r="F370" i="3"/>
  <c r="F379" i="3"/>
  <c r="F433" i="3"/>
  <c r="F424" i="3"/>
  <c r="F406" i="3"/>
  <c r="F415" i="3"/>
  <c r="F325" i="3"/>
  <c r="F316" i="3"/>
  <c r="F298" i="3"/>
  <c r="F307" i="3"/>
  <c r="F505" i="3"/>
  <c r="F496" i="3"/>
  <c r="F487" i="3"/>
  <c r="F478" i="3"/>
  <c r="F541" i="3"/>
  <c r="F532" i="3"/>
  <c r="F523" i="3"/>
  <c r="F514" i="3"/>
  <c r="F577" i="3"/>
  <c r="F568" i="3"/>
  <c r="F559" i="3"/>
  <c r="F550" i="3"/>
  <c r="F469" i="3"/>
  <c r="F460" i="3"/>
  <c r="F451" i="3"/>
  <c r="F442" i="3"/>
  <c r="F73" i="3"/>
  <c r="F64" i="3"/>
  <c r="F55" i="3"/>
  <c r="F46" i="3"/>
  <c r="F109" i="3"/>
  <c r="F100" i="3"/>
  <c r="F91" i="3"/>
  <c r="F82" i="3"/>
  <c r="F145" i="3"/>
  <c r="F136" i="3"/>
  <c r="F127" i="3"/>
  <c r="F118" i="3"/>
  <c r="F37" i="3"/>
  <c r="F28" i="3"/>
  <c r="F19" i="3"/>
  <c r="F10" i="3"/>
  <c r="B28" i="8"/>
  <c r="B13" i="11"/>
  <c r="B28" i="10"/>
  <c r="B28" i="9"/>
  <c r="B14" i="11" l="1"/>
  <c r="B34" i="11" s="1"/>
  <c r="B27" i="10"/>
  <c r="B27" i="9"/>
  <c r="B27" i="8"/>
  <c r="B29" i="10" l="1"/>
  <c r="B29" i="9"/>
  <c r="F219" i="2"/>
  <c r="F220" i="2"/>
  <c r="F221" i="2"/>
  <c r="F222" i="2"/>
  <c r="F225" i="2"/>
  <c r="F226" i="2"/>
  <c r="F227" i="2"/>
  <c r="F228" i="2"/>
  <c r="F229" i="2"/>
  <c r="F230" i="2"/>
  <c r="F231" i="2"/>
  <c r="F232" i="2"/>
  <c r="F234" i="2"/>
  <c r="F235" i="2"/>
  <c r="F236" i="2"/>
  <c r="F237" i="2"/>
  <c r="F238" i="2"/>
  <c r="F239" i="2"/>
  <c r="F240" i="2"/>
  <c r="F241" i="2"/>
  <c r="F627" i="2"/>
  <c r="F628" i="2"/>
  <c r="F629" i="2"/>
  <c r="F630" i="2"/>
  <c r="F631" i="2"/>
  <c r="F632" i="2"/>
  <c r="F633" i="2"/>
  <c r="F634" i="2"/>
  <c r="F637" i="2"/>
  <c r="F638" i="2"/>
  <c r="F639" i="2"/>
  <c r="F640" i="2"/>
  <c r="F641" i="2"/>
  <c r="F642" i="2"/>
  <c r="F643" i="2"/>
  <c r="F644" i="2"/>
  <c r="F647" i="2"/>
  <c r="F648" i="2"/>
  <c r="F649" i="2"/>
  <c r="F650" i="2"/>
  <c r="F651" i="2"/>
  <c r="F652" i="2"/>
  <c r="F653" i="2"/>
  <c r="F654" i="2"/>
  <c r="F657" i="2"/>
  <c r="F658" i="2"/>
  <c r="F659" i="2"/>
  <c r="F660" i="2"/>
  <c r="F661" i="2"/>
  <c r="F662" i="2"/>
  <c r="F663" i="2"/>
  <c r="F664" i="2"/>
  <c r="F666" i="2"/>
  <c r="F667" i="2"/>
  <c r="F668" i="2"/>
  <c r="F669" i="2"/>
  <c r="F670" i="2"/>
  <c r="F671" i="2"/>
  <c r="F672" i="2"/>
  <c r="F673" i="2"/>
  <c r="F675" i="2"/>
  <c r="F676" i="2"/>
  <c r="F677" i="2"/>
  <c r="F678" i="2"/>
  <c r="F679" i="2"/>
  <c r="F680" i="2"/>
  <c r="F681" i="2"/>
  <c r="F682" i="2"/>
  <c r="F685" i="2"/>
  <c r="F686" i="2"/>
  <c r="F687" i="2"/>
  <c r="F688" i="2"/>
  <c r="F689" i="2"/>
  <c r="F690" i="2"/>
  <c r="F691" i="2"/>
  <c r="F692" i="2"/>
  <c r="F695" i="2"/>
  <c r="F696" i="2"/>
  <c r="F697" i="2"/>
  <c r="F698" i="2"/>
  <c r="F699" i="2"/>
  <c r="F700" i="2"/>
  <c r="F701" i="2"/>
  <c r="F702" i="2"/>
  <c r="F705" i="2"/>
  <c r="F706" i="2"/>
  <c r="F707" i="2"/>
  <c r="F708" i="2"/>
  <c r="F709" i="2"/>
  <c r="F710" i="2"/>
  <c r="F711" i="2"/>
  <c r="F712" i="2"/>
  <c r="F714" i="2"/>
  <c r="F715" i="2"/>
  <c r="F716" i="2"/>
  <c r="F717" i="2"/>
  <c r="F718" i="2"/>
  <c r="F719" i="2"/>
  <c r="F720" i="2"/>
  <c r="F721" i="2"/>
  <c r="F723" i="2"/>
  <c r="F724" i="2"/>
  <c r="F725" i="2"/>
  <c r="F726" i="2"/>
  <c r="F727" i="2"/>
  <c r="F728" i="2"/>
  <c r="F729" i="2"/>
  <c r="F730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3" i="2"/>
  <c r="F754" i="2"/>
  <c r="F755" i="2"/>
  <c r="F756" i="2"/>
  <c r="F757" i="2"/>
  <c r="F758" i="2"/>
  <c r="F759" i="2"/>
  <c r="F760" i="2"/>
  <c r="F762" i="2"/>
  <c r="F763" i="2"/>
  <c r="F764" i="2"/>
  <c r="F765" i="2"/>
  <c r="F766" i="2"/>
  <c r="F767" i="2"/>
  <c r="F768" i="2"/>
  <c r="F769" i="2"/>
  <c r="F579" i="2"/>
  <c r="F580" i="2"/>
  <c r="F581" i="2"/>
  <c r="F582" i="2"/>
  <c r="F583" i="2"/>
  <c r="F584" i="2"/>
  <c r="F585" i="2"/>
  <c r="F586" i="2"/>
  <c r="F589" i="2"/>
  <c r="F590" i="2"/>
  <c r="F591" i="2"/>
  <c r="F592" i="2"/>
  <c r="F593" i="2"/>
  <c r="F594" i="2"/>
  <c r="F595" i="2"/>
  <c r="F596" i="2"/>
  <c r="F599" i="2"/>
  <c r="F600" i="2"/>
  <c r="F601" i="2"/>
  <c r="F602" i="2"/>
  <c r="F603" i="2"/>
  <c r="F604" i="2"/>
  <c r="F605" i="2"/>
  <c r="F606" i="2"/>
  <c r="F609" i="2"/>
  <c r="F610" i="2"/>
  <c r="F611" i="2"/>
  <c r="F612" i="2"/>
  <c r="F613" i="2"/>
  <c r="F614" i="2"/>
  <c r="F615" i="2"/>
  <c r="F616" i="2"/>
  <c r="F618" i="2"/>
  <c r="F619" i="2"/>
  <c r="F620" i="2"/>
  <c r="F621" i="2"/>
  <c r="F622" i="2"/>
  <c r="F623" i="2"/>
  <c r="F624" i="2"/>
  <c r="F625" i="2"/>
  <c r="F435" i="2"/>
  <c r="F436" i="2"/>
  <c r="F437" i="2"/>
  <c r="F438" i="2"/>
  <c r="F439" i="2"/>
  <c r="F440" i="2"/>
  <c r="F441" i="2"/>
  <c r="F442" i="2"/>
  <c r="F445" i="2"/>
  <c r="F446" i="2"/>
  <c r="F447" i="2"/>
  <c r="F448" i="2"/>
  <c r="F449" i="2"/>
  <c r="F450" i="2"/>
  <c r="F451" i="2"/>
  <c r="F452" i="2"/>
  <c r="F455" i="2"/>
  <c r="F456" i="2"/>
  <c r="F457" i="2"/>
  <c r="F458" i="2"/>
  <c r="F459" i="2"/>
  <c r="F460" i="2"/>
  <c r="F461" i="2"/>
  <c r="F462" i="2"/>
  <c r="F465" i="2"/>
  <c r="F466" i="2"/>
  <c r="F467" i="2"/>
  <c r="F468" i="2"/>
  <c r="F469" i="2"/>
  <c r="F470" i="2"/>
  <c r="F471" i="2"/>
  <c r="F472" i="2"/>
  <c r="F474" i="2"/>
  <c r="F475" i="2"/>
  <c r="F476" i="2"/>
  <c r="F477" i="2"/>
  <c r="F478" i="2"/>
  <c r="F479" i="2"/>
  <c r="F480" i="2"/>
  <c r="F481" i="2"/>
  <c r="F483" i="2"/>
  <c r="F484" i="2"/>
  <c r="F485" i="2"/>
  <c r="F486" i="2"/>
  <c r="F487" i="2"/>
  <c r="F488" i="2"/>
  <c r="F489" i="2"/>
  <c r="F490" i="2"/>
  <c r="F493" i="2"/>
  <c r="F494" i="2"/>
  <c r="F495" i="2"/>
  <c r="F496" i="2"/>
  <c r="F497" i="2"/>
  <c r="F498" i="2"/>
  <c r="F499" i="2"/>
  <c r="F500" i="2"/>
  <c r="F503" i="2"/>
  <c r="F504" i="2"/>
  <c r="F505" i="2"/>
  <c r="F506" i="2"/>
  <c r="F507" i="2"/>
  <c r="F508" i="2"/>
  <c r="F509" i="2"/>
  <c r="F510" i="2"/>
  <c r="F513" i="2"/>
  <c r="F514" i="2"/>
  <c r="F515" i="2"/>
  <c r="F516" i="2"/>
  <c r="F517" i="2"/>
  <c r="F518" i="2"/>
  <c r="F519" i="2"/>
  <c r="F520" i="2"/>
  <c r="F522" i="2"/>
  <c r="F523" i="2"/>
  <c r="F524" i="2"/>
  <c r="F525" i="2"/>
  <c r="F526" i="2"/>
  <c r="F527" i="2"/>
  <c r="F528" i="2"/>
  <c r="F529" i="2"/>
  <c r="F531" i="2"/>
  <c r="F532" i="2"/>
  <c r="F533" i="2"/>
  <c r="F534" i="2"/>
  <c r="F535" i="2"/>
  <c r="F536" i="2"/>
  <c r="F537" i="2"/>
  <c r="F538" i="2"/>
  <c r="F541" i="2"/>
  <c r="F542" i="2"/>
  <c r="F543" i="2"/>
  <c r="F544" i="2"/>
  <c r="F545" i="2"/>
  <c r="F546" i="2"/>
  <c r="F547" i="2"/>
  <c r="F548" i="2"/>
  <c r="F551" i="2"/>
  <c r="F552" i="2"/>
  <c r="F553" i="2"/>
  <c r="F554" i="2"/>
  <c r="F555" i="2"/>
  <c r="F556" i="2"/>
  <c r="F557" i="2"/>
  <c r="F558" i="2"/>
  <c r="F561" i="2"/>
  <c r="F562" i="2"/>
  <c r="F563" i="2"/>
  <c r="F564" i="2"/>
  <c r="F565" i="2"/>
  <c r="F566" i="2"/>
  <c r="F567" i="2"/>
  <c r="F568" i="2"/>
  <c r="F570" i="2"/>
  <c r="F571" i="2"/>
  <c r="F572" i="2"/>
  <c r="F573" i="2"/>
  <c r="F574" i="2"/>
  <c r="F575" i="2"/>
  <c r="F576" i="2"/>
  <c r="F577" i="2"/>
  <c r="F387" i="2"/>
  <c r="F388" i="2"/>
  <c r="F389" i="2"/>
  <c r="F390" i="2"/>
  <c r="F391" i="2"/>
  <c r="F392" i="2"/>
  <c r="F393" i="2"/>
  <c r="F394" i="2"/>
  <c r="F397" i="2"/>
  <c r="F398" i="2"/>
  <c r="F399" i="2"/>
  <c r="F400" i="2"/>
  <c r="F401" i="2"/>
  <c r="F402" i="2"/>
  <c r="F403" i="2"/>
  <c r="F404" i="2"/>
  <c r="F407" i="2"/>
  <c r="F408" i="2"/>
  <c r="F409" i="2"/>
  <c r="F410" i="2"/>
  <c r="F411" i="2"/>
  <c r="F412" i="2"/>
  <c r="F413" i="2"/>
  <c r="F414" i="2"/>
  <c r="F417" i="2"/>
  <c r="F418" i="2"/>
  <c r="F419" i="2"/>
  <c r="F420" i="2"/>
  <c r="F421" i="2"/>
  <c r="F422" i="2"/>
  <c r="F423" i="2"/>
  <c r="F424" i="2"/>
  <c r="F426" i="2"/>
  <c r="F427" i="2"/>
  <c r="F428" i="2"/>
  <c r="F429" i="2"/>
  <c r="F430" i="2"/>
  <c r="F431" i="2"/>
  <c r="F432" i="2"/>
  <c r="F433" i="2"/>
  <c r="F51" i="2"/>
  <c r="F52" i="2"/>
  <c r="F53" i="2"/>
  <c r="F54" i="2"/>
  <c r="F55" i="2"/>
  <c r="F56" i="2"/>
  <c r="F57" i="2"/>
  <c r="F58" i="2"/>
  <c r="F61" i="2"/>
  <c r="F62" i="2"/>
  <c r="F63" i="2"/>
  <c r="F64" i="2"/>
  <c r="F65" i="2"/>
  <c r="F66" i="2"/>
  <c r="F67" i="2"/>
  <c r="F68" i="2"/>
  <c r="F71" i="2"/>
  <c r="F72" i="2"/>
  <c r="F73" i="2"/>
  <c r="F74" i="2"/>
  <c r="F75" i="2"/>
  <c r="F76" i="2"/>
  <c r="F77" i="2"/>
  <c r="F78" i="2"/>
  <c r="F81" i="2"/>
  <c r="F82" i="2"/>
  <c r="F83" i="2"/>
  <c r="F84" i="2"/>
  <c r="F85" i="2"/>
  <c r="F86" i="2"/>
  <c r="F87" i="2"/>
  <c r="F88" i="2"/>
  <c r="F90" i="2"/>
  <c r="F91" i="2"/>
  <c r="F92" i="2"/>
  <c r="F93" i="2"/>
  <c r="F94" i="2"/>
  <c r="F95" i="2"/>
  <c r="F96" i="2"/>
  <c r="F97" i="2"/>
  <c r="F99" i="2"/>
  <c r="F100" i="2"/>
  <c r="F101" i="2"/>
  <c r="F102" i="2"/>
  <c r="F103" i="2"/>
  <c r="F104" i="2"/>
  <c r="F105" i="2"/>
  <c r="F106" i="2"/>
  <c r="F109" i="2"/>
  <c r="F110" i="2"/>
  <c r="F111" i="2"/>
  <c r="F112" i="2"/>
  <c r="F113" i="2"/>
  <c r="F114" i="2"/>
  <c r="F115" i="2"/>
  <c r="F116" i="2"/>
  <c r="F119" i="2"/>
  <c r="F120" i="2"/>
  <c r="F121" i="2"/>
  <c r="F122" i="2"/>
  <c r="F123" i="2"/>
  <c r="F124" i="2"/>
  <c r="F125" i="2"/>
  <c r="F126" i="2"/>
  <c r="F129" i="2"/>
  <c r="F130" i="2"/>
  <c r="F131" i="2"/>
  <c r="F132" i="2"/>
  <c r="F133" i="2"/>
  <c r="F134" i="2"/>
  <c r="F135" i="2"/>
  <c r="F136" i="2"/>
  <c r="F138" i="2"/>
  <c r="F139" i="2"/>
  <c r="F140" i="2"/>
  <c r="F141" i="2"/>
  <c r="F142" i="2"/>
  <c r="F143" i="2"/>
  <c r="F144" i="2"/>
  <c r="F145" i="2"/>
  <c r="F147" i="2"/>
  <c r="F148" i="2"/>
  <c r="F149" i="2"/>
  <c r="F150" i="2"/>
  <c r="F151" i="2"/>
  <c r="F152" i="2"/>
  <c r="F153" i="2"/>
  <c r="F154" i="2"/>
  <c r="F157" i="2"/>
  <c r="F158" i="2"/>
  <c r="F159" i="2"/>
  <c r="F160" i="2"/>
  <c r="F161" i="2"/>
  <c r="F162" i="2"/>
  <c r="F163" i="2"/>
  <c r="F164" i="2"/>
  <c r="F167" i="2"/>
  <c r="F168" i="2"/>
  <c r="F169" i="2"/>
  <c r="F170" i="2"/>
  <c r="F171" i="2"/>
  <c r="F172" i="2"/>
  <c r="F173" i="2"/>
  <c r="F174" i="2"/>
  <c r="F177" i="2"/>
  <c r="F178" i="2"/>
  <c r="F179" i="2"/>
  <c r="F180" i="2"/>
  <c r="F181" i="2"/>
  <c r="F182" i="2"/>
  <c r="F183" i="2"/>
  <c r="F184" i="2"/>
  <c r="F186" i="2"/>
  <c r="F187" i="2"/>
  <c r="F188" i="2"/>
  <c r="F189" i="2"/>
  <c r="F190" i="2"/>
  <c r="F191" i="2"/>
  <c r="F192" i="2"/>
  <c r="F193" i="2"/>
  <c r="F3" i="2"/>
  <c r="F4" i="2"/>
  <c r="F5" i="2"/>
  <c r="F6" i="2"/>
  <c r="F7" i="2"/>
  <c r="F8" i="2"/>
  <c r="F9" i="2"/>
  <c r="F10" i="2"/>
  <c r="F13" i="2"/>
  <c r="F14" i="2"/>
  <c r="F15" i="2"/>
  <c r="F16" i="2"/>
  <c r="F17" i="2"/>
  <c r="F18" i="2"/>
  <c r="F19" i="2"/>
  <c r="F20" i="2"/>
  <c r="F23" i="2"/>
  <c r="F24" i="2"/>
  <c r="F25" i="2"/>
  <c r="F26" i="2"/>
  <c r="F27" i="2"/>
  <c r="F28" i="2"/>
  <c r="F29" i="2"/>
  <c r="F30" i="2"/>
  <c r="F33" i="2"/>
  <c r="F34" i="2"/>
  <c r="F35" i="2"/>
  <c r="F36" i="2"/>
  <c r="F37" i="2"/>
  <c r="F38" i="2"/>
  <c r="F39" i="2"/>
  <c r="F40" i="2"/>
  <c r="F42" i="2"/>
  <c r="F43" i="2"/>
  <c r="F44" i="2"/>
  <c r="F45" i="2"/>
  <c r="F46" i="2"/>
  <c r="F47" i="2"/>
  <c r="F48" i="2"/>
  <c r="F49" i="2"/>
  <c r="F242" i="2"/>
  <c r="F252" i="2"/>
  <c r="F262" i="2"/>
  <c r="F272" i="2"/>
  <c r="F290" i="2"/>
  <c r="F300" i="2"/>
  <c r="F310" i="2"/>
  <c r="F320" i="2"/>
  <c r="F338" i="2"/>
  <c r="F348" i="2"/>
  <c r="F358" i="2"/>
  <c r="F368" i="2"/>
  <c r="F194" i="2"/>
  <c r="F204" i="2"/>
  <c r="F214" i="2"/>
  <c r="F224" i="2"/>
  <c r="F626" i="2"/>
  <c r="F636" i="2"/>
  <c r="F646" i="2"/>
  <c r="F656" i="2"/>
  <c r="F674" i="2"/>
  <c r="F684" i="2"/>
  <c r="F694" i="2"/>
  <c r="F704" i="2"/>
  <c r="F722" i="2"/>
  <c r="F732" i="2"/>
  <c r="F742" i="2"/>
  <c r="F752" i="2"/>
  <c r="F578" i="2"/>
  <c r="F588" i="2"/>
  <c r="F598" i="2"/>
  <c r="F608" i="2"/>
  <c r="F434" i="2"/>
  <c r="F444" i="2"/>
  <c r="F454" i="2"/>
  <c r="F464" i="2"/>
  <c r="F482" i="2"/>
  <c r="F492" i="2"/>
  <c r="F502" i="2"/>
  <c r="F512" i="2"/>
  <c r="F530" i="2"/>
  <c r="F540" i="2"/>
  <c r="F550" i="2"/>
  <c r="F560" i="2"/>
  <c r="F386" i="2"/>
  <c r="F396" i="2"/>
  <c r="F406" i="2"/>
  <c r="F416" i="2"/>
  <c r="F50" i="2"/>
  <c r="F60" i="2"/>
  <c r="F70" i="2"/>
  <c r="F80" i="2"/>
  <c r="F98" i="2"/>
  <c r="F108" i="2"/>
  <c r="F118" i="2"/>
  <c r="F128" i="2"/>
  <c r="F146" i="2"/>
  <c r="F156" i="2"/>
  <c r="F166" i="2"/>
  <c r="F176" i="2"/>
  <c r="F2" i="2"/>
  <c r="F12" i="2"/>
  <c r="F22" i="2"/>
  <c r="F32" i="2"/>
  <c r="F251" i="2"/>
  <c r="F261" i="2"/>
  <c r="F271" i="2"/>
  <c r="F299" i="2"/>
  <c r="F309" i="2"/>
  <c r="F319" i="2"/>
  <c r="F347" i="2"/>
  <c r="F357" i="2"/>
  <c r="F367" i="2"/>
  <c r="F203" i="2"/>
  <c r="F213" i="2"/>
  <c r="F223" i="2"/>
  <c r="F635" i="2"/>
  <c r="F645" i="2"/>
  <c r="F655" i="2"/>
  <c r="F665" i="2"/>
  <c r="F683" i="2"/>
  <c r="F693" i="2"/>
  <c r="F703" i="2"/>
  <c r="F713" i="2"/>
  <c r="F731" i="2"/>
  <c r="F741" i="2"/>
  <c r="F751" i="2"/>
  <c r="F761" i="2"/>
  <c r="F587" i="2"/>
  <c r="F597" i="2"/>
  <c r="F607" i="2"/>
  <c r="F617" i="2"/>
  <c r="F443" i="2"/>
  <c r="F453" i="2"/>
  <c r="F463" i="2"/>
  <c r="F473" i="2"/>
  <c r="F491" i="2"/>
  <c r="F501" i="2"/>
  <c r="F511" i="2"/>
  <c r="F521" i="2"/>
  <c r="F539" i="2"/>
  <c r="F549" i="2"/>
  <c r="F559" i="2"/>
  <c r="F569" i="2"/>
  <c r="F395" i="2"/>
  <c r="F405" i="2"/>
  <c r="F415" i="2"/>
  <c r="F425" i="2"/>
  <c r="F59" i="2"/>
  <c r="F69" i="2"/>
  <c r="F79" i="2"/>
  <c r="F89" i="2"/>
  <c r="F107" i="2"/>
  <c r="F117" i="2"/>
  <c r="F127" i="2"/>
  <c r="F137" i="2"/>
  <c r="F155" i="2"/>
  <c r="F165" i="2"/>
  <c r="F175" i="2"/>
  <c r="F185" i="2"/>
  <c r="F11" i="2"/>
  <c r="F21" i="2"/>
  <c r="F31" i="2"/>
  <c r="F41" i="2"/>
  <c r="F281" i="2"/>
  <c r="F329" i="2"/>
  <c r="F377" i="2"/>
  <c r="F233" i="2"/>
  <c r="F244" i="2"/>
  <c r="F245" i="2"/>
  <c r="F246" i="2"/>
  <c r="F247" i="2"/>
  <c r="F248" i="2"/>
  <c r="F249" i="2"/>
  <c r="F250" i="2"/>
  <c r="F253" i="2"/>
  <c r="F254" i="2"/>
  <c r="F255" i="2"/>
  <c r="F256" i="2"/>
  <c r="F257" i="2"/>
  <c r="F258" i="2"/>
  <c r="F259" i="2"/>
  <c r="F260" i="2"/>
  <c r="F263" i="2"/>
  <c r="F264" i="2"/>
  <c r="F265" i="2"/>
  <c r="F266" i="2"/>
  <c r="F267" i="2"/>
  <c r="F268" i="2"/>
  <c r="F269" i="2"/>
  <c r="F270" i="2"/>
  <c r="F273" i="2"/>
  <c r="F274" i="2"/>
  <c r="F275" i="2"/>
  <c r="F276" i="2"/>
  <c r="F277" i="2"/>
  <c r="F278" i="2"/>
  <c r="F279" i="2"/>
  <c r="F280" i="2"/>
  <c r="F282" i="2"/>
  <c r="F283" i="2"/>
  <c r="F284" i="2"/>
  <c r="F285" i="2"/>
  <c r="F286" i="2"/>
  <c r="F287" i="2"/>
  <c r="F288" i="2"/>
  <c r="F289" i="2"/>
  <c r="F291" i="2"/>
  <c r="F292" i="2"/>
  <c r="F293" i="2"/>
  <c r="F294" i="2"/>
  <c r="F295" i="2"/>
  <c r="F296" i="2"/>
  <c r="F297" i="2"/>
  <c r="F298" i="2"/>
  <c r="F301" i="2"/>
  <c r="F302" i="2"/>
  <c r="F303" i="2"/>
  <c r="F304" i="2"/>
  <c r="F305" i="2"/>
  <c r="F306" i="2"/>
  <c r="F307" i="2"/>
  <c r="F308" i="2"/>
  <c r="F311" i="2"/>
  <c r="F312" i="2"/>
  <c r="F313" i="2"/>
  <c r="F314" i="2"/>
  <c r="F315" i="2"/>
  <c r="F316" i="2"/>
  <c r="F317" i="2"/>
  <c r="F318" i="2"/>
  <c r="F321" i="2"/>
  <c r="F322" i="2"/>
  <c r="F323" i="2"/>
  <c r="F324" i="2"/>
  <c r="F325" i="2"/>
  <c r="F326" i="2"/>
  <c r="F327" i="2"/>
  <c r="F328" i="2"/>
  <c r="F330" i="2"/>
  <c r="F331" i="2"/>
  <c r="F332" i="2"/>
  <c r="F333" i="2"/>
  <c r="F334" i="2"/>
  <c r="F335" i="2"/>
  <c r="F336" i="2"/>
  <c r="F337" i="2"/>
  <c r="F339" i="2"/>
  <c r="F340" i="2"/>
  <c r="F341" i="2"/>
  <c r="F342" i="2"/>
  <c r="F343" i="2"/>
  <c r="F344" i="2"/>
  <c r="F345" i="2"/>
  <c r="F346" i="2"/>
  <c r="F349" i="2"/>
  <c r="F350" i="2"/>
  <c r="F351" i="2"/>
  <c r="F352" i="2"/>
  <c r="F353" i="2"/>
  <c r="F354" i="2"/>
  <c r="F355" i="2"/>
  <c r="F356" i="2"/>
  <c r="F359" i="2"/>
  <c r="F360" i="2"/>
  <c r="F361" i="2"/>
  <c r="F362" i="2"/>
  <c r="F363" i="2"/>
  <c r="F364" i="2"/>
  <c r="F365" i="2"/>
  <c r="F366" i="2"/>
  <c r="F369" i="2"/>
  <c r="F370" i="2"/>
  <c r="F371" i="2"/>
  <c r="F372" i="2"/>
  <c r="F373" i="2"/>
  <c r="F374" i="2"/>
  <c r="F375" i="2"/>
  <c r="F376" i="2"/>
  <c r="F378" i="2"/>
  <c r="F379" i="2"/>
  <c r="F380" i="2"/>
  <c r="F381" i="2"/>
  <c r="F382" i="2"/>
  <c r="F383" i="2"/>
  <c r="F384" i="2"/>
  <c r="F385" i="2"/>
  <c r="F195" i="2"/>
  <c r="F196" i="2"/>
  <c r="F197" i="2"/>
  <c r="F198" i="2"/>
  <c r="F199" i="2"/>
  <c r="F200" i="2"/>
  <c r="F201" i="2"/>
  <c r="F202" i="2"/>
  <c r="F205" i="2"/>
  <c r="F206" i="2"/>
  <c r="F207" i="2"/>
  <c r="F208" i="2"/>
  <c r="F209" i="2"/>
  <c r="F210" i="2"/>
  <c r="F211" i="2"/>
  <c r="F212" i="2"/>
  <c r="F215" i="2"/>
  <c r="F216" i="2"/>
  <c r="F217" i="2"/>
  <c r="F218" i="2"/>
  <c r="F354" i="3"/>
  <c r="F356" i="3"/>
  <c r="F358" i="3"/>
  <c r="F360" i="3"/>
  <c r="F390" i="3"/>
  <c r="F392" i="3"/>
  <c r="F394" i="3"/>
  <c r="F396" i="3"/>
  <c r="F426" i="3"/>
  <c r="F428" i="3"/>
  <c r="F430" i="3"/>
  <c r="F432" i="3"/>
  <c r="F318" i="3"/>
  <c r="F320" i="3"/>
  <c r="F322" i="3"/>
  <c r="F324" i="3"/>
  <c r="F66" i="3"/>
  <c r="F68" i="3"/>
  <c r="F70" i="3"/>
  <c r="F72" i="3"/>
  <c r="F102" i="3"/>
  <c r="F104" i="3"/>
  <c r="F106" i="3"/>
  <c r="F108" i="3"/>
  <c r="F138" i="3"/>
  <c r="F140" i="3"/>
  <c r="F142" i="3"/>
  <c r="F144" i="3"/>
  <c r="F30" i="3"/>
  <c r="F32" i="3"/>
  <c r="F34" i="3"/>
  <c r="F36" i="3"/>
  <c r="F210" i="3"/>
  <c r="F212" i="3"/>
  <c r="F214" i="3"/>
  <c r="F216" i="3"/>
  <c r="F246" i="3"/>
  <c r="F248" i="3"/>
  <c r="F250" i="3"/>
  <c r="F252" i="3"/>
  <c r="F282" i="3"/>
  <c r="F284" i="3"/>
  <c r="F286" i="3"/>
  <c r="F288" i="3"/>
  <c r="F174" i="3"/>
  <c r="F176" i="3"/>
  <c r="F178" i="3"/>
  <c r="F180" i="3"/>
  <c r="F498" i="3"/>
  <c r="F500" i="3"/>
  <c r="F502" i="3"/>
  <c r="F504" i="3"/>
  <c r="F534" i="3"/>
  <c r="F536" i="3"/>
  <c r="F538" i="3"/>
  <c r="F540" i="3"/>
  <c r="F570" i="3"/>
  <c r="F572" i="3"/>
  <c r="F574" i="3"/>
  <c r="F576" i="3"/>
  <c r="F462" i="3"/>
  <c r="F464" i="3"/>
  <c r="F466" i="3"/>
  <c r="F468" i="3"/>
  <c r="B29" i="8" l="1"/>
  <c r="F230" i="4"/>
  <c r="F239" i="4"/>
  <c r="F248" i="4"/>
  <c r="F274" i="4"/>
  <c r="F283" i="4"/>
  <c r="F292" i="4"/>
  <c r="F318" i="4"/>
  <c r="F327" i="4"/>
  <c r="F336" i="4"/>
  <c r="F186" i="4"/>
  <c r="F195" i="4"/>
  <c r="F204" i="4"/>
  <c r="F243" i="2"/>
  <c r="F223" i="4" l="1"/>
  <c r="F224" i="4"/>
  <c r="F225" i="4"/>
  <c r="F226" i="4"/>
  <c r="F227" i="4"/>
  <c r="F228" i="4"/>
  <c r="F229" i="4"/>
  <c r="F231" i="4"/>
  <c r="F232" i="4"/>
  <c r="F233" i="4"/>
  <c r="F234" i="4"/>
  <c r="F235" i="4"/>
  <c r="F236" i="4"/>
  <c r="F237" i="4"/>
  <c r="F238" i="4"/>
  <c r="F240" i="4"/>
  <c r="F241" i="4"/>
  <c r="F242" i="4"/>
  <c r="F243" i="4"/>
  <c r="F244" i="4"/>
  <c r="F245" i="4"/>
  <c r="F246" i="4"/>
  <c r="F247" i="4"/>
  <c r="F249" i="4"/>
  <c r="F250" i="4"/>
  <c r="F251" i="4"/>
  <c r="F252" i="4"/>
  <c r="F253" i="4"/>
  <c r="F254" i="4"/>
  <c r="F255" i="4"/>
  <c r="F256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5" i="4"/>
  <c r="F276" i="4"/>
  <c r="F277" i="4"/>
  <c r="F278" i="4"/>
  <c r="F279" i="4"/>
  <c r="F280" i="4"/>
  <c r="F281" i="4"/>
  <c r="F282" i="4"/>
  <c r="F284" i="4"/>
  <c r="F285" i="4"/>
  <c r="F286" i="4"/>
  <c r="F287" i="4"/>
  <c r="F288" i="4"/>
  <c r="F289" i="4"/>
  <c r="F290" i="4"/>
  <c r="F291" i="4"/>
  <c r="F293" i="4"/>
  <c r="F294" i="4"/>
  <c r="F295" i="4"/>
  <c r="F296" i="4"/>
  <c r="F297" i="4"/>
  <c r="F298" i="4"/>
  <c r="F299" i="4"/>
  <c r="F300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9" i="4"/>
  <c r="F320" i="4"/>
  <c r="F321" i="4"/>
  <c r="F322" i="4"/>
  <c r="F323" i="4"/>
  <c r="F324" i="4"/>
  <c r="F325" i="4"/>
  <c r="F326" i="4"/>
  <c r="F328" i="4"/>
  <c r="F329" i="4"/>
  <c r="F330" i="4"/>
  <c r="F331" i="4"/>
  <c r="F332" i="4"/>
  <c r="F333" i="4"/>
  <c r="F334" i="4"/>
  <c r="F335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1" i="4"/>
  <c r="F352" i="4"/>
  <c r="F353" i="4"/>
  <c r="F178" i="4"/>
  <c r="F179" i="4"/>
  <c r="F180" i="4"/>
  <c r="F181" i="4"/>
  <c r="F182" i="4"/>
  <c r="F183" i="4"/>
  <c r="F184" i="4"/>
  <c r="F185" i="4"/>
  <c r="F187" i="4"/>
  <c r="F188" i="4"/>
  <c r="F189" i="4"/>
  <c r="F190" i="4"/>
  <c r="F191" i="4"/>
  <c r="F192" i="4"/>
  <c r="F193" i="4"/>
  <c r="F194" i="4"/>
  <c r="F196" i="4"/>
  <c r="F197" i="4"/>
  <c r="F198" i="4"/>
  <c r="F199" i="4"/>
  <c r="F200" i="4"/>
  <c r="F201" i="4"/>
  <c r="F202" i="4"/>
  <c r="F203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574" i="4"/>
  <c r="F575" i="4"/>
  <c r="F576" i="4"/>
  <c r="F577" i="4"/>
  <c r="F578" i="4"/>
  <c r="F579" i="4"/>
  <c r="F580" i="4"/>
  <c r="F581" i="4"/>
  <c r="F583" i="4"/>
  <c r="F584" i="4"/>
  <c r="F585" i="4"/>
  <c r="F586" i="4"/>
  <c r="F587" i="4"/>
  <c r="F588" i="4"/>
  <c r="F589" i="4"/>
  <c r="F590" i="4"/>
  <c r="F592" i="4"/>
  <c r="F593" i="4"/>
  <c r="F594" i="4"/>
  <c r="F595" i="4"/>
  <c r="F596" i="4"/>
  <c r="F597" i="4"/>
  <c r="F598" i="4"/>
  <c r="F599" i="4"/>
  <c r="F601" i="4"/>
  <c r="F602" i="4"/>
  <c r="F603" i="4"/>
  <c r="F604" i="4"/>
  <c r="F605" i="4"/>
  <c r="F606" i="4"/>
  <c r="F607" i="4"/>
  <c r="F608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7" i="4"/>
  <c r="F628" i="4"/>
  <c r="F629" i="4"/>
  <c r="F630" i="4"/>
  <c r="F631" i="4"/>
  <c r="F632" i="4"/>
  <c r="F633" i="4"/>
  <c r="F634" i="4"/>
  <c r="F636" i="4"/>
  <c r="F637" i="4"/>
  <c r="F638" i="4"/>
  <c r="F639" i="4"/>
  <c r="F640" i="4"/>
  <c r="F641" i="4"/>
  <c r="F642" i="4"/>
  <c r="F643" i="4"/>
  <c r="F645" i="4"/>
  <c r="F646" i="4"/>
  <c r="F647" i="4"/>
  <c r="F648" i="4"/>
  <c r="F649" i="4"/>
  <c r="F650" i="4"/>
  <c r="F651" i="4"/>
  <c r="F652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1" i="4"/>
  <c r="F672" i="4"/>
  <c r="F673" i="4"/>
  <c r="F674" i="4"/>
  <c r="F675" i="4"/>
  <c r="F676" i="4"/>
  <c r="F677" i="4"/>
  <c r="F678" i="4"/>
  <c r="F680" i="4"/>
  <c r="F681" i="4"/>
  <c r="F682" i="4"/>
  <c r="F683" i="4"/>
  <c r="F684" i="4"/>
  <c r="F685" i="4"/>
  <c r="F686" i="4"/>
  <c r="F687" i="4"/>
  <c r="F689" i="4"/>
  <c r="F690" i="4"/>
  <c r="F691" i="4"/>
  <c r="F692" i="4"/>
  <c r="F693" i="4"/>
  <c r="F694" i="4"/>
  <c r="F695" i="4"/>
  <c r="F696" i="4"/>
  <c r="F698" i="4"/>
  <c r="F699" i="4"/>
  <c r="F700" i="4"/>
  <c r="F701" i="4"/>
  <c r="F702" i="4"/>
  <c r="F703" i="4"/>
  <c r="F704" i="4"/>
  <c r="F705" i="4"/>
  <c r="F530" i="4"/>
  <c r="F531" i="4"/>
  <c r="F532" i="4"/>
  <c r="F533" i="4"/>
  <c r="F534" i="4"/>
  <c r="F535" i="4"/>
  <c r="F536" i="4"/>
  <c r="F537" i="4"/>
  <c r="F539" i="4"/>
  <c r="F540" i="4"/>
  <c r="F541" i="4"/>
  <c r="F542" i="4"/>
  <c r="F543" i="4"/>
  <c r="F544" i="4"/>
  <c r="F545" i="4"/>
  <c r="F546" i="4"/>
  <c r="F548" i="4"/>
  <c r="F549" i="4"/>
  <c r="F550" i="4"/>
  <c r="F551" i="4"/>
  <c r="F552" i="4"/>
  <c r="F553" i="4"/>
  <c r="F554" i="4"/>
  <c r="F555" i="4"/>
  <c r="F557" i="4"/>
  <c r="F558" i="4"/>
  <c r="F559" i="4"/>
  <c r="F560" i="4"/>
  <c r="F561" i="4"/>
  <c r="F562" i="4"/>
  <c r="F563" i="4"/>
  <c r="F564" i="4"/>
  <c r="F566" i="4"/>
  <c r="F567" i="4"/>
  <c r="F568" i="4"/>
  <c r="F569" i="4"/>
  <c r="F570" i="4"/>
  <c r="F571" i="4"/>
  <c r="F572" i="4"/>
  <c r="F573" i="4"/>
  <c r="F398" i="4"/>
  <c r="F399" i="4"/>
  <c r="F400" i="4"/>
  <c r="F401" i="4"/>
  <c r="F402" i="4"/>
  <c r="F403" i="4"/>
  <c r="F404" i="4"/>
  <c r="F405" i="4"/>
  <c r="F407" i="4"/>
  <c r="F408" i="4"/>
  <c r="F409" i="4"/>
  <c r="F410" i="4"/>
  <c r="F411" i="4"/>
  <c r="F412" i="4"/>
  <c r="F413" i="4"/>
  <c r="F414" i="4"/>
  <c r="F416" i="4"/>
  <c r="F417" i="4"/>
  <c r="F418" i="4"/>
  <c r="F419" i="4"/>
  <c r="F420" i="4"/>
  <c r="F421" i="4"/>
  <c r="F422" i="4"/>
  <c r="F423" i="4"/>
  <c r="F425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1" i="4"/>
  <c r="F452" i="4"/>
  <c r="F453" i="4"/>
  <c r="F454" i="4"/>
  <c r="F455" i="4"/>
  <c r="F456" i="4"/>
  <c r="F457" i="4"/>
  <c r="F458" i="4"/>
  <c r="F460" i="4"/>
  <c r="F461" i="4"/>
  <c r="F462" i="4"/>
  <c r="F463" i="4"/>
  <c r="F464" i="4"/>
  <c r="F465" i="4"/>
  <c r="F466" i="4"/>
  <c r="F467" i="4"/>
  <c r="F469" i="4"/>
  <c r="F470" i="4"/>
  <c r="F471" i="4"/>
  <c r="F472" i="4"/>
  <c r="F473" i="4"/>
  <c r="F474" i="4"/>
  <c r="F475" i="4"/>
  <c r="F476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5" i="4"/>
  <c r="F496" i="4"/>
  <c r="F497" i="4"/>
  <c r="F498" i="4"/>
  <c r="F499" i="4"/>
  <c r="F500" i="4"/>
  <c r="F501" i="4"/>
  <c r="F502" i="4"/>
  <c r="F504" i="4"/>
  <c r="F505" i="4"/>
  <c r="F506" i="4"/>
  <c r="F507" i="4"/>
  <c r="F508" i="4"/>
  <c r="F509" i="4"/>
  <c r="F510" i="4"/>
  <c r="F511" i="4"/>
  <c r="F513" i="4"/>
  <c r="F514" i="4"/>
  <c r="F515" i="4"/>
  <c r="F516" i="4"/>
  <c r="F517" i="4"/>
  <c r="F518" i="4"/>
  <c r="F519" i="4"/>
  <c r="F520" i="4"/>
  <c r="F522" i="4"/>
  <c r="F523" i="4"/>
  <c r="F524" i="4"/>
  <c r="F525" i="4"/>
  <c r="F526" i="4"/>
  <c r="F527" i="4"/>
  <c r="F528" i="4"/>
  <c r="F529" i="4"/>
  <c r="F354" i="4"/>
  <c r="F355" i="4"/>
  <c r="F356" i="4"/>
  <c r="F357" i="4"/>
  <c r="F358" i="4"/>
  <c r="F359" i="4"/>
  <c r="F360" i="4"/>
  <c r="F361" i="4"/>
  <c r="F363" i="4"/>
  <c r="F364" i="4"/>
  <c r="F365" i="4"/>
  <c r="F366" i="4"/>
  <c r="F367" i="4"/>
  <c r="F368" i="4"/>
  <c r="F369" i="4"/>
  <c r="F370" i="4"/>
  <c r="F372" i="4"/>
  <c r="F373" i="4"/>
  <c r="F374" i="4"/>
  <c r="F375" i="4"/>
  <c r="F376" i="4"/>
  <c r="F377" i="4"/>
  <c r="F378" i="4"/>
  <c r="F379" i="4"/>
  <c r="F381" i="4"/>
  <c r="F382" i="4"/>
  <c r="F383" i="4"/>
  <c r="F384" i="4"/>
  <c r="F385" i="4"/>
  <c r="F386" i="4"/>
  <c r="F387" i="4"/>
  <c r="F388" i="4"/>
  <c r="F390" i="4"/>
  <c r="F391" i="4"/>
  <c r="F392" i="4"/>
  <c r="F393" i="4"/>
  <c r="F394" i="4"/>
  <c r="F395" i="4"/>
  <c r="F396" i="4"/>
  <c r="F397" i="4"/>
  <c r="F46" i="4"/>
  <c r="F47" i="4"/>
  <c r="F48" i="4"/>
  <c r="F49" i="4"/>
  <c r="F50" i="4"/>
  <c r="F51" i="4"/>
  <c r="F52" i="4"/>
  <c r="F53" i="4"/>
  <c r="F55" i="4"/>
  <c r="F56" i="4"/>
  <c r="F57" i="4"/>
  <c r="F58" i="4"/>
  <c r="F59" i="4"/>
  <c r="F60" i="4"/>
  <c r="F61" i="4"/>
  <c r="F62" i="4"/>
  <c r="F64" i="4"/>
  <c r="F65" i="4"/>
  <c r="F66" i="4"/>
  <c r="F67" i="4"/>
  <c r="F68" i="4"/>
  <c r="F69" i="4"/>
  <c r="F70" i="4"/>
  <c r="F71" i="4"/>
  <c r="F73" i="4"/>
  <c r="F74" i="4"/>
  <c r="F75" i="4"/>
  <c r="F76" i="4"/>
  <c r="F77" i="4"/>
  <c r="F78" i="4"/>
  <c r="F79" i="4"/>
  <c r="F80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2" i="4"/>
  <c r="F103" i="4"/>
  <c r="F104" i="4"/>
  <c r="F105" i="4"/>
  <c r="F106" i="4"/>
  <c r="F108" i="4"/>
  <c r="F109" i="4"/>
  <c r="F110" i="4"/>
  <c r="F111" i="4"/>
  <c r="F112" i="4"/>
  <c r="F113" i="4"/>
  <c r="F114" i="4"/>
  <c r="F115" i="4"/>
  <c r="F117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3" i="4"/>
  <c r="F144" i="4"/>
  <c r="F145" i="4"/>
  <c r="F146" i="4"/>
  <c r="F147" i="4"/>
  <c r="F148" i="4"/>
  <c r="F149" i="4"/>
  <c r="F150" i="4"/>
  <c r="F152" i="4"/>
  <c r="F153" i="4"/>
  <c r="F154" i="4"/>
  <c r="F155" i="4"/>
  <c r="F156" i="4"/>
  <c r="F157" i="4"/>
  <c r="F158" i="4"/>
  <c r="F159" i="4"/>
  <c r="F161" i="4"/>
  <c r="F162" i="4"/>
  <c r="F163" i="4"/>
  <c r="F164" i="4"/>
  <c r="F165" i="4"/>
  <c r="F166" i="4"/>
  <c r="F167" i="4"/>
  <c r="F168" i="4"/>
  <c r="F170" i="4"/>
  <c r="F171" i="4"/>
  <c r="F172" i="4"/>
  <c r="F173" i="4"/>
  <c r="F174" i="4"/>
  <c r="F175" i="4"/>
  <c r="F176" i="4"/>
  <c r="F177" i="4"/>
  <c r="F2" i="4"/>
  <c r="F3" i="4"/>
  <c r="F4" i="4"/>
  <c r="F5" i="4"/>
  <c r="F6" i="4"/>
  <c r="F7" i="4"/>
  <c r="F8" i="4"/>
  <c r="F9" i="4"/>
  <c r="F11" i="4"/>
  <c r="F12" i="4"/>
  <c r="F13" i="4"/>
  <c r="F14" i="4"/>
  <c r="F15" i="4"/>
  <c r="F16" i="4"/>
  <c r="F17" i="4"/>
  <c r="F18" i="4"/>
  <c r="F20" i="4"/>
  <c r="F21" i="4"/>
  <c r="F22" i="4"/>
  <c r="F23" i="4"/>
  <c r="F24" i="4"/>
  <c r="F25" i="4"/>
  <c r="F26" i="4"/>
  <c r="F27" i="4"/>
  <c r="F29" i="4"/>
  <c r="F30" i="4"/>
  <c r="F31" i="4"/>
  <c r="F32" i="4"/>
  <c r="F33" i="4"/>
  <c r="F34" i="4"/>
  <c r="F35" i="4"/>
  <c r="F36" i="4"/>
  <c r="F38" i="4"/>
  <c r="F39" i="4"/>
  <c r="F40" i="4"/>
  <c r="F41" i="4"/>
  <c r="F42" i="4"/>
  <c r="F43" i="4"/>
  <c r="F44" i="4"/>
  <c r="F45" i="4"/>
  <c r="F222" i="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2" i="1"/>
  <c r="F183" i="3"/>
  <c r="F184" i="3"/>
  <c r="F185" i="3"/>
  <c r="F186" i="3"/>
  <c r="F187" i="3"/>
  <c r="F188" i="3"/>
  <c r="F189" i="3"/>
  <c r="F191" i="3"/>
  <c r="F192" i="3"/>
  <c r="F193" i="3"/>
  <c r="F194" i="3"/>
  <c r="F195" i="3"/>
  <c r="F196" i="3"/>
  <c r="F197" i="3"/>
  <c r="F198" i="3"/>
  <c r="F218" i="3"/>
  <c r="F219" i="3"/>
  <c r="F220" i="3"/>
  <c r="F221" i="3"/>
  <c r="F222" i="3"/>
  <c r="F223" i="3"/>
  <c r="F224" i="3"/>
  <c r="F225" i="3"/>
  <c r="F227" i="3"/>
  <c r="F228" i="3"/>
  <c r="F229" i="3"/>
  <c r="F230" i="3"/>
  <c r="F231" i="3"/>
  <c r="F232" i="3"/>
  <c r="F233" i="3"/>
  <c r="F234" i="3"/>
  <c r="F254" i="3"/>
  <c r="F255" i="3"/>
  <c r="F256" i="3"/>
  <c r="F257" i="3"/>
  <c r="F258" i="3"/>
  <c r="F259" i="3"/>
  <c r="F260" i="3"/>
  <c r="F261" i="3"/>
  <c r="F263" i="3"/>
  <c r="F264" i="3"/>
  <c r="F265" i="3"/>
  <c r="F266" i="3"/>
  <c r="F267" i="3"/>
  <c r="F268" i="3"/>
  <c r="F269" i="3"/>
  <c r="F270" i="3"/>
  <c r="F146" i="3"/>
  <c r="F147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470" i="3"/>
  <c r="F471" i="3"/>
  <c r="F472" i="3"/>
  <c r="F473" i="3"/>
  <c r="F474" i="3"/>
  <c r="F475" i="3"/>
  <c r="F476" i="3"/>
  <c r="F477" i="3"/>
  <c r="F479" i="3"/>
  <c r="F480" i="3"/>
  <c r="F481" i="3"/>
  <c r="F482" i="3"/>
  <c r="F483" i="3"/>
  <c r="F484" i="3"/>
  <c r="F485" i="3"/>
  <c r="F486" i="3"/>
  <c r="F506" i="3"/>
  <c r="F507" i="3"/>
  <c r="F508" i="3"/>
  <c r="F509" i="3"/>
  <c r="F510" i="3"/>
  <c r="F511" i="3"/>
  <c r="F512" i="3"/>
  <c r="F513" i="3"/>
  <c r="F515" i="3"/>
  <c r="F516" i="3"/>
  <c r="F517" i="3"/>
  <c r="F518" i="3"/>
  <c r="F519" i="3"/>
  <c r="F520" i="3"/>
  <c r="F521" i="3"/>
  <c r="F522" i="3"/>
  <c r="F542" i="3"/>
  <c r="F543" i="3"/>
  <c r="F544" i="3"/>
  <c r="F545" i="3"/>
  <c r="F546" i="3"/>
  <c r="F547" i="3"/>
  <c r="F548" i="3"/>
  <c r="F549" i="3"/>
  <c r="F551" i="3"/>
  <c r="F552" i="3"/>
  <c r="F553" i="3"/>
  <c r="F554" i="3"/>
  <c r="F555" i="3"/>
  <c r="F556" i="3"/>
  <c r="F557" i="3"/>
  <c r="F558" i="3"/>
  <c r="F434" i="3"/>
  <c r="F435" i="3"/>
  <c r="F436" i="3"/>
  <c r="F437" i="3"/>
  <c r="F438" i="3"/>
  <c r="F439" i="3"/>
  <c r="F440" i="3"/>
  <c r="F441" i="3"/>
  <c r="F443" i="3"/>
  <c r="F444" i="3"/>
  <c r="F445" i="3"/>
  <c r="F446" i="3"/>
  <c r="F447" i="3"/>
  <c r="F448" i="3"/>
  <c r="F449" i="3"/>
  <c r="F450" i="3"/>
  <c r="F326" i="3"/>
  <c r="F327" i="3"/>
  <c r="F328" i="3"/>
  <c r="F329" i="3"/>
  <c r="F330" i="3"/>
  <c r="F331" i="3"/>
  <c r="F332" i="3"/>
  <c r="F333" i="3"/>
  <c r="F335" i="3"/>
  <c r="F336" i="3"/>
  <c r="F337" i="3"/>
  <c r="F338" i="3"/>
  <c r="F339" i="3"/>
  <c r="F340" i="3"/>
  <c r="F341" i="3"/>
  <c r="F342" i="3"/>
  <c r="F362" i="3"/>
  <c r="F363" i="3"/>
  <c r="F364" i="3"/>
  <c r="F365" i="3"/>
  <c r="F366" i="3"/>
  <c r="F367" i="3"/>
  <c r="F368" i="3"/>
  <c r="F369" i="3"/>
  <c r="F371" i="3"/>
  <c r="F372" i="3"/>
  <c r="F373" i="3"/>
  <c r="F374" i="3"/>
  <c r="F375" i="3"/>
  <c r="F376" i="3"/>
  <c r="F377" i="3"/>
  <c r="F378" i="3"/>
  <c r="F398" i="3"/>
  <c r="F399" i="3"/>
  <c r="F400" i="3"/>
  <c r="F401" i="3"/>
  <c r="F402" i="3"/>
  <c r="F403" i="3"/>
  <c r="F404" i="3"/>
  <c r="F405" i="3"/>
  <c r="F407" i="3"/>
  <c r="F408" i="3"/>
  <c r="F409" i="3"/>
  <c r="F410" i="3"/>
  <c r="F411" i="3"/>
  <c r="F412" i="3"/>
  <c r="F413" i="3"/>
  <c r="F414" i="3"/>
  <c r="F290" i="3"/>
  <c r="F291" i="3"/>
  <c r="F292" i="3"/>
  <c r="F293" i="3"/>
  <c r="F294" i="3"/>
  <c r="F295" i="3"/>
  <c r="F296" i="3"/>
  <c r="F297" i="3"/>
  <c r="F299" i="3"/>
  <c r="F300" i="3"/>
  <c r="F301" i="3"/>
  <c r="F302" i="3"/>
  <c r="F303" i="3"/>
  <c r="F304" i="3"/>
  <c r="F305" i="3"/>
  <c r="F306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74" i="3"/>
  <c r="F75" i="3"/>
  <c r="F76" i="3"/>
  <c r="F77" i="3"/>
  <c r="F78" i="3"/>
  <c r="F79" i="3"/>
  <c r="F80" i="3"/>
  <c r="F81" i="3"/>
  <c r="F83" i="3"/>
  <c r="F84" i="3"/>
  <c r="F85" i="3"/>
  <c r="F86" i="3"/>
  <c r="F87" i="3"/>
  <c r="F88" i="3"/>
  <c r="F89" i="3"/>
  <c r="F90" i="3"/>
  <c r="F110" i="3"/>
  <c r="F111" i="3"/>
  <c r="F112" i="3"/>
  <c r="F113" i="3"/>
  <c r="F114" i="3"/>
  <c r="F115" i="3"/>
  <c r="F116" i="3"/>
  <c r="F117" i="3"/>
  <c r="F119" i="3"/>
  <c r="F120" i="3"/>
  <c r="F121" i="3"/>
  <c r="F122" i="3"/>
  <c r="F123" i="3"/>
  <c r="F124" i="3"/>
  <c r="F125" i="3"/>
  <c r="F126" i="3"/>
  <c r="F2" i="3"/>
  <c r="F3" i="3"/>
  <c r="F4" i="3"/>
  <c r="F5" i="3"/>
  <c r="F6" i="3"/>
  <c r="F7" i="3"/>
  <c r="F8" i="3"/>
  <c r="F9" i="3"/>
  <c r="F11" i="3"/>
  <c r="F12" i="3"/>
  <c r="F13" i="3"/>
  <c r="F14" i="3"/>
  <c r="F15" i="3"/>
  <c r="F16" i="3"/>
  <c r="F17" i="3"/>
  <c r="F18" i="3"/>
  <c r="F190" i="3"/>
  <c r="F199" i="3"/>
  <c r="F208" i="3"/>
  <c r="F226" i="3"/>
  <c r="F235" i="3"/>
  <c r="F244" i="3"/>
  <c r="F262" i="3"/>
  <c r="F271" i="3"/>
  <c r="F280" i="3"/>
  <c r="F154" i="3"/>
  <c r="F163" i="3"/>
  <c r="F172" i="3"/>
  <c r="F201" i="3"/>
  <c r="F203" i="3"/>
  <c r="F205" i="3"/>
  <c r="F207" i="3"/>
  <c r="F237" i="3"/>
  <c r="F239" i="3"/>
  <c r="F241" i="3"/>
  <c r="F243" i="3"/>
  <c r="F273" i="3"/>
  <c r="F275" i="3"/>
  <c r="F277" i="3"/>
  <c r="F279" i="3"/>
  <c r="F165" i="3"/>
  <c r="F167" i="3"/>
  <c r="F169" i="3"/>
  <c r="F171" i="3"/>
  <c r="F489" i="3"/>
  <c r="F491" i="3"/>
  <c r="F493" i="3"/>
  <c r="F495" i="3"/>
  <c r="F525" i="3"/>
  <c r="F527" i="3"/>
  <c r="F529" i="3"/>
  <c r="F531" i="3"/>
  <c r="F561" i="3"/>
  <c r="F563" i="3"/>
  <c r="F565" i="3"/>
  <c r="F567" i="3"/>
  <c r="F453" i="3"/>
  <c r="F455" i="3"/>
  <c r="F457" i="3"/>
  <c r="F459" i="3"/>
  <c r="F345" i="3"/>
  <c r="F347" i="3"/>
  <c r="F349" i="3"/>
  <c r="F351" i="3"/>
  <c r="F381" i="3"/>
  <c r="F383" i="3"/>
  <c r="F385" i="3"/>
  <c r="F387" i="3"/>
  <c r="F417" i="3"/>
  <c r="F419" i="3"/>
  <c r="F421" i="3"/>
  <c r="F423" i="3"/>
  <c r="F309" i="3"/>
  <c r="F311" i="3"/>
  <c r="F313" i="3"/>
  <c r="F315" i="3"/>
  <c r="F57" i="3"/>
  <c r="F59" i="3"/>
  <c r="F61" i="3"/>
  <c r="F63" i="3"/>
  <c r="F93" i="3"/>
  <c r="F95" i="3"/>
  <c r="F97" i="3"/>
  <c r="F99" i="3"/>
  <c r="F129" i="3"/>
  <c r="F131" i="3"/>
  <c r="F133" i="3"/>
  <c r="F135" i="3"/>
  <c r="F21" i="3"/>
  <c r="F23" i="3"/>
  <c r="F25" i="3"/>
  <c r="F27" i="3"/>
  <c r="F200" i="3"/>
  <c r="F202" i="3"/>
  <c r="F204" i="3"/>
  <c r="F206" i="3"/>
  <c r="F209" i="3"/>
  <c r="F211" i="3"/>
  <c r="F213" i="3"/>
  <c r="F215" i="3"/>
  <c r="F236" i="3"/>
  <c r="F238" i="3"/>
  <c r="F240" i="3"/>
  <c r="F242" i="3"/>
  <c r="F245" i="3"/>
  <c r="F247" i="3"/>
  <c r="F249" i="3"/>
  <c r="F251" i="3"/>
  <c r="F272" i="3"/>
  <c r="F274" i="3"/>
  <c r="F276" i="3"/>
  <c r="F278" i="3"/>
  <c r="F281" i="3"/>
  <c r="F283" i="3"/>
  <c r="F285" i="3"/>
  <c r="F287" i="3"/>
  <c r="F164" i="3"/>
  <c r="F166" i="3"/>
  <c r="F168" i="3"/>
  <c r="F170" i="3"/>
  <c r="F173" i="3"/>
  <c r="F175" i="3"/>
  <c r="F177" i="3"/>
  <c r="F179" i="3"/>
  <c r="F488" i="3"/>
  <c r="F490" i="3"/>
  <c r="F492" i="3"/>
  <c r="F494" i="3"/>
  <c r="F497" i="3"/>
  <c r="F499" i="3"/>
  <c r="F501" i="3"/>
  <c r="F503" i="3"/>
  <c r="F524" i="3"/>
  <c r="F526" i="3"/>
  <c r="F528" i="3"/>
  <c r="F530" i="3"/>
  <c r="F533" i="3"/>
  <c r="F535" i="3"/>
  <c r="F537" i="3"/>
  <c r="F539" i="3"/>
  <c r="F560" i="3"/>
  <c r="F562" i="3"/>
  <c r="F564" i="3"/>
  <c r="F566" i="3"/>
  <c r="F569" i="3"/>
  <c r="F571" i="3"/>
  <c r="F573" i="3"/>
  <c r="F575" i="3"/>
  <c r="F452" i="3"/>
  <c r="F454" i="3"/>
  <c r="F456" i="3"/>
  <c r="F458" i="3"/>
  <c r="F461" i="3"/>
  <c r="F463" i="3"/>
  <c r="F465" i="3"/>
  <c r="F467" i="3"/>
  <c r="F344" i="3"/>
  <c r="F346" i="3"/>
  <c r="F348" i="3"/>
  <c r="F350" i="3"/>
  <c r="F353" i="3"/>
  <c r="F355" i="3"/>
  <c r="F357" i="3"/>
  <c r="F359" i="3"/>
  <c r="F380" i="3"/>
  <c r="F382" i="3"/>
  <c r="F384" i="3"/>
  <c r="F386" i="3"/>
  <c r="F389" i="3"/>
  <c r="F391" i="3"/>
  <c r="F393" i="3"/>
  <c r="F395" i="3"/>
  <c r="F416" i="3"/>
  <c r="F418" i="3"/>
  <c r="F420" i="3"/>
  <c r="F422" i="3"/>
  <c r="F425" i="3"/>
  <c r="F427" i="3"/>
  <c r="F429" i="3"/>
  <c r="F431" i="3"/>
  <c r="F308" i="3"/>
  <c r="F310" i="3"/>
  <c r="F312" i="3"/>
  <c r="F314" i="3"/>
  <c r="F317" i="3"/>
  <c r="F319" i="3"/>
  <c r="F321" i="3"/>
  <c r="F323" i="3"/>
  <c r="F56" i="3"/>
  <c r="F58" i="3"/>
  <c r="F60" i="3"/>
  <c r="F62" i="3"/>
  <c r="F65" i="3"/>
  <c r="F67" i="3"/>
  <c r="F69" i="3"/>
  <c r="F71" i="3"/>
  <c r="F92" i="3"/>
  <c r="F94" i="3"/>
  <c r="F96" i="3"/>
  <c r="F98" i="3"/>
  <c r="F101" i="3"/>
  <c r="F103" i="3"/>
  <c r="F105" i="3"/>
  <c r="F107" i="3"/>
  <c r="F128" i="3"/>
  <c r="F130" i="3"/>
  <c r="F132" i="3"/>
  <c r="F134" i="3"/>
  <c r="F137" i="3"/>
  <c r="F139" i="3"/>
  <c r="F141" i="3"/>
  <c r="F143" i="3"/>
  <c r="F20" i="3"/>
  <c r="F22" i="3"/>
  <c r="F24" i="3"/>
  <c r="F26" i="3"/>
  <c r="F29" i="3"/>
  <c r="F31" i="3"/>
  <c r="F33" i="3"/>
  <c r="F35" i="3"/>
  <c r="F182" i="3"/>
  <c r="M472" i="1" l="1"/>
  <c r="M448" i="1"/>
  <c r="M528" i="1"/>
  <c r="M519" i="1"/>
  <c r="M526" i="1"/>
  <c r="M533" i="1"/>
  <c r="M540" i="1"/>
  <c r="M555" i="1"/>
  <c r="M562" i="1"/>
  <c r="M577" i="1"/>
  <c r="M567" i="1"/>
  <c r="M574" i="1"/>
  <c r="M517" i="1"/>
  <c r="M524" i="1"/>
  <c r="M539" i="1"/>
  <c r="M546" i="1"/>
  <c r="M561" i="1"/>
  <c r="M570" i="1"/>
  <c r="M575" i="1"/>
  <c r="M544" i="1"/>
  <c r="M518" i="1"/>
  <c r="M525" i="1"/>
  <c r="M532" i="1"/>
  <c r="M547" i="1"/>
  <c r="M554" i="1"/>
  <c r="M569" i="1"/>
  <c r="M536" i="1"/>
  <c r="M553" i="1"/>
  <c r="M548" i="1"/>
  <c r="M541" i="1"/>
  <c r="M559" i="1"/>
  <c r="M566" i="1"/>
  <c r="M573" i="1"/>
  <c r="M568" i="1"/>
  <c r="M516" i="1"/>
  <c r="M531" i="1"/>
  <c r="M538" i="1"/>
  <c r="M534" i="1"/>
  <c r="M551" i="1"/>
  <c r="M558" i="1"/>
  <c r="M565" i="1"/>
  <c r="M572" i="1"/>
  <c r="M576" i="1"/>
  <c r="M523" i="1"/>
  <c r="M530" i="1"/>
  <c r="M545" i="1"/>
  <c r="M527" i="1"/>
  <c r="M521" i="1"/>
  <c r="M543" i="1"/>
  <c r="M550" i="1"/>
  <c r="M557" i="1"/>
  <c r="M564" i="1"/>
  <c r="M520" i="1"/>
  <c r="M515" i="1"/>
  <c r="M522" i="1"/>
  <c r="M537" i="1"/>
  <c r="M563" i="1"/>
  <c r="M535" i="1"/>
  <c r="M542" i="1"/>
  <c r="M549" i="1"/>
  <c r="M556" i="1"/>
  <c r="M571" i="1"/>
  <c r="M552" i="1"/>
  <c r="M514" i="1"/>
  <c r="M529" i="1"/>
  <c r="M560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N570" i="1"/>
  <c r="V570" i="1" s="1"/>
  <c r="N562" i="1"/>
  <c r="V562" i="1" s="1"/>
  <c r="N554" i="1"/>
  <c r="V554" i="1" s="1"/>
  <c r="N546" i="1"/>
  <c r="V546" i="1" s="1"/>
  <c r="N538" i="1"/>
  <c r="V538" i="1" s="1"/>
  <c r="N530" i="1"/>
  <c r="V530" i="1" s="1"/>
  <c r="N522" i="1"/>
  <c r="V522" i="1" s="1"/>
  <c r="N514" i="1"/>
  <c r="V514" i="1" s="1"/>
  <c r="G573" i="1"/>
  <c r="G565" i="1"/>
  <c r="G557" i="1"/>
  <c r="G549" i="1"/>
  <c r="G541" i="1"/>
  <c r="G533" i="1"/>
  <c r="G525" i="1"/>
  <c r="G517" i="1"/>
  <c r="N560" i="1"/>
  <c r="V560" i="1" s="1"/>
  <c r="N544" i="1"/>
  <c r="V544" i="1" s="1"/>
  <c r="N528" i="1"/>
  <c r="V528" i="1" s="1"/>
  <c r="H564" i="1"/>
  <c r="H540" i="1"/>
  <c r="H528" i="1"/>
  <c r="H516" i="1"/>
  <c r="N551" i="1"/>
  <c r="V551" i="1" s="1"/>
  <c r="N519" i="1"/>
  <c r="V519" i="1" s="1"/>
  <c r="G548" i="1"/>
  <c r="G532" i="1"/>
  <c r="N566" i="1"/>
  <c r="V566" i="1" s="1"/>
  <c r="N534" i="1"/>
  <c r="V534" i="1" s="1"/>
  <c r="N557" i="1"/>
  <c r="V557" i="1" s="1"/>
  <c r="N564" i="1"/>
  <c r="V564" i="1" s="1"/>
  <c r="H570" i="1"/>
  <c r="H542" i="1"/>
  <c r="N571" i="1"/>
  <c r="V571" i="1" s="1"/>
  <c r="H577" i="1"/>
  <c r="H573" i="1"/>
  <c r="H569" i="1"/>
  <c r="H565" i="1"/>
  <c r="H561" i="1"/>
  <c r="H557" i="1"/>
  <c r="H553" i="1"/>
  <c r="H549" i="1"/>
  <c r="H545" i="1"/>
  <c r="H541" i="1"/>
  <c r="H537" i="1"/>
  <c r="H533" i="1"/>
  <c r="H529" i="1"/>
  <c r="H525" i="1"/>
  <c r="H521" i="1"/>
  <c r="H517" i="1"/>
  <c r="N577" i="1"/>
  <c r="V577" i="1" s="1"/>
  <c r="N569" i="1"/>
  <c r="V569" i="1" s="1"/>
  <c r="N561" i="1"/>
  <c r="V561" i="1" s="1"/>
  <c r="N553" i="1"/>
  <c r="V553" i="1" s="1"/>
  <c r="N545" i="1"/>
  <c r="V545" i="1" s="1"/>
  <c r="N537" i="1"/>
  <c r="V537" i="1" s="1"/>
  <c r="N529" i="1"/>
  <c r="V529" i="1" s="1"/>
  <c r="N521" i="1"/>
  <c r="V521" i="1" s="1"/>
  <c r="G577" i="1"/>
  <c r="G569" i="1"/>
  <c r="G561" i="1"/>
  <c r="G553" i="1"/>
  <c r="G545" i="1"/>
  <c r="G537" i="1"/>
  <c r="G529" i="1"/>
  <c r="G521" i="1"/>
  <c r="N576" i="1"/>
  <c r="V576" i="1" s="1"/>
  <c r="N568" i="1"/>
  <c r="V568" i="1" s="1"/>
  <c r="N552" i="1"/>
  <c r="V552" i="1" s="1"/>
  <c r="N536" i="1"/>
  <c r="V536" i="1" s="1"/>
  <c r="N520" i="1"/>
  <c r="V520" i="1" s="1"/>
  <c r="H568" i="1"/>
  <c r="H556" i="1"/>
  <c r="H544" i="1"/>
  <c r="H532" i="1"/>
  <c r="H520" i="1"/>
  <c r="N567" i="1"/>
  <c r="V567" i="1" s="1"/>
  <c r="N535" i="1"/>
  <c r="V535" i="1" s="1"/>
  <c r="G544" i="1"/>
  <c r="G528" i="1"/>
  <c r="N558" i="1"/>
  <c r="V558" i="1" s="1"/>
  <c r="N518" i="1"/>
  <c r="V518" i="1" s="1"/>
  <c r="H515" i="1"/>
  <c r="N517" i="1"/>
  <c r="V517" i="1" s="1"/>
  <c r="N540" i="1"/>
  <c r="V540" i="1" s="1"/>
  <c r="H566" i="1"/>
  <c r="H534" i="1"/>
  <c r="N563" i="1"/>
  <c r="V563" i="1" s="1"/>
  <c r="H548" i="1"/>
  <c r="N559" i="1"/>
  <c r="V559" i="1" s="1"/>
  <c r="N527" i="1"/>
  <c r="V527" i="1" s="1"/>
  <c r="G552" i="1"/>
  <c r="G536" i="1"/>
  <c r="G524" i="1"/>
  <c r="G516" i="1"/>
  <c r="N550" i="1"/>
  <c r="V550" i="1" s="1"/>
  <c r="N526" i="1"/>
  <c r="V526" i="1" s="1"/>
  <c r="N573" i="1"/>
  <c r="V573" i="1" s="1"/>
  <c r="N541" i="1"/>
  <c r="V541" i="1" s="1"/>
  <c r="N556" i="1"/>
  <c r="V556" i="1" s="1"/>
  <c r="N516" i="1"/>
  <c r="V516" i="1" s="1"/>
  <c r="H554" i="1"/>
  <c r="H538" i="1"/>
  <c r="H518" i="1"/>
  <c r="N539" i="1"/>
  <c r="V539" i="1" s="1"/>
  <c r="H576" i="1"/>
  <c r="H572" i="1"/>
  <c r="H560" i="1"/>
  <c r="H552" i="1"/>
  <c r="H536" i="1"/>
  <c r="H524" i="1"/>
  <c r="N575" i="1"/>
  <c r="V575" i="1" s="1"/>
  <c r="N543" i="1"/>
  <c r="V543" i="1" s="1"/>
  <c r="N574" i="1"/>
  <c r="V574" i="1" s="1"/>
  <c r="H519" i="1"/>
  <c r="N533" i="1"/>
  <c r="V533" i="1" s="1"/>
  <c r="N548" i="1"/>
  <c r="V548" i="1" s="1"/>
  <c r="H558" i="1"/>
  <c r="H526" i="1"/>
  <c r="N547" i="1"/>
  <c r="V547" i="1" s="1"/>
  <c r="G576" i="1"/>
  <c r="G572" i="1"/>
  <c r="G568" i="1"/>
  <c r="G564" i="1"/>
  <c r="G560" i="1"/>
  <c r="G556" i="1"/>
  <c r="G540" i="1"/>
  <c r="G520" i="1"/>
  <c r="N542" i="1"/>
  <c r="V542" i="1" s="1"/>
  <c r="N549" i="1"/>
  <c r="V549" i="1" s="1"/>
  <c r="N572" i="1"/>
  <c r="V572" i="1" s="1"/>
  <c r="H550" i="1"/>
  <c r="H522" i="1"/>
  <c r="N531" i="1"/>
  <c r="V531" i="1" s="1"/>
  <c r="H575" i="1"/>
  <c r="H571" i="1"/>
  <c r="H567" i="1"/>
  <c r="H563" i="1"/>
  <c r="H559" i="1"/>
  <c r="H555" i="1"/>
  <c r="H551" i="1"/>
  <c r="H547" i="1"/>
  <c r="H543" i="1"/>
  <c r="H539" i="1"/>
  <c r="H535" i="1"/>
  <c r="H531" i="1"/>
  <c r="H527" i="1"/>
  <c r="H523" i="1"/>
  <c r="N565" i="1"/>
  <c r="V565" i="1" s="1"/>
  <c r="N525" i="1"/>
  <c r="V525" i="1" s="1"/>
  <c r="N532" i="1"/>
  <c r="V532" i="1" s="1"/>
  <c r="H562" i="1"/>
  <c r="H530" i="1"/>
  <c r="N555" i="1"/>
  <c r="V555" i="1" s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N524" i="1"/>
  <c r="V524" i="1" s="1"/>
  <c r="H574" i="1"/>
  <c r="H546" i="1"/>
  <c r="H514" i="1"/>
  <c r="N523" i="1"/>
  <c r="V523" i="1" s="1"/>
  <c r="N515" i="1"/>
  <c r="V515" i="1" s="1"/>
  <c r="M480" i="1"/>
  <c r="N480" i="1"/>
  <c r="G508" i="1"/>
  <c r="H508" i="1"/>
  <c r="M511" i="1"/>
  <c r="G511" i="1"/>
  <c r="H511" i="1"/>
  <c r="M503" i="1"/>
  <c r="G503" i="1"/>
  <c r="H503" i="1"/>
  <c r="M495" i="1"/>
  <c r="G495" i="1"/>
  <c r="H495" i="1"/>
  <c r="M487" i="1"/>
  <c r="G487" i="1"/>
  <c r="H487" i="1"/>
  <c r="G479" i="1"/>
  <c r="H479" i="1"/>
  <c r="G471" i="1"/>
  <c r="H471" i="1"/>
  <c r="G463" i="1"/>
  <c r="H463" i="1"/>
  <c r="G455" i="1"/>
  <c r="H455" i="1"/>
  <c r="G447" i="1"/>
  <c r="H447" i="1"/>
  <c r="G439" i="1"/>
  <c r="H439" i="1"/>
  <c r="G431" i="1"/>
  <c r="H431" i="1"/>
  <c r="G423" i="1"/>
  <c r="H423" i="1"/>
  <c r="G415" i="1"/>
  <c r="H415" i="1"/>
  <c r="G407" i="1"/>
  <c r="H407" i="1"/>
  <c r="G399" i="1"/>
  <c r="H399" i="1"/>
  <c r="G391" i="1"/>
  <c r="H391" i="1"/>
  <c r="G383" i="1"/>
  <c r="H383" i="1"/>
  <c r="G375" i="1"/>
  <c r="H375" i="1"/>
  <c r="G367" i="1"/>
  <c r="H367" i="1"/>
  <c r="G359" i="1"/>
  <c r="H359" i="1"/>
  <c r="G351" i="1"/>
  <c r="H351" i="1"/>
  <c r="G343" i="1"/>
  <c r="H343" i="1"/>
  <c r="G335" i="1"/>
  <c r="H335" i="1"/>
  <c r="G327" i="1"/>
  <c r="H327" i="1"/>
  <c r="G319" i="1"/>
  <c r="H319" i="1"/>
  <c r="G311" i="1"/>
  <c r="H311" i="1"/>
  <c r="G303" i="1"/>
  <c r="H303" i="1"/>
  <c r="G295" i="1"/>
  <c r="H295" i="1"/>
  <c r="G287" i="1"/>
  <c r="H287" i="1"/>
  <c r="G279" i="1"/>
  <c r="H279" i="1"/>
  <c r="G271" i="1"/>
  <c r="H271" i="1"/>
  <c r="G263" i="1"/>
  <c r="H263" i="1"/>
  <c r="G255" i="1"/>
  <c r="H255" i="1"/>
  <c r="G247" i="1"/>
  <c r="H247" i="1"/>
  <c r="G239" i="1"/>
  <c r="H239" i="1"/>
  <c r="G231" i="1"/>
  <c r="H231" i="1"/>
  <c r="G223" i="1"/>
  <c r="H223" i="1"/>
  <c r="G215" i="1"/>
  <c r="H215" i="1"/>
  <c r="G207" i="1"/>
  <c r="H207" i="1"/>
  <c r="G199" i="1"/>
  <c r="H199" i="1"/>
  <c r="G191" i="1"/>
  <c r="H191" i="1"/>
  <c r="G183" i="1"/>
  <c r="H183" i="1"/>
  <c r="G175" i="1"/>
  <c r="H175" i="1"/>
  <c r="G167" i="1"/>
  <c r="H167" i="1"/>
  <c r="G159" i="1"/>
  <c r="H159" i="1"/>
  <c r="G151" i="1"/>
  <c r="H151" i="1"/>
  <c r="G143" i="1"/>
  <c r="H143" i="1"/>
  <c r="G135" i="1"/>
  <c r="H135" i="1"/>
  <c r="G127" i="1"/>
  <c r="H127" i="1"/>
  <c r="G119" i="1"/>
  <c r="H119" i="1"/>
  <c r="G111" i="1"/>
  <c r="H111" i="1"/>
  <c r="G103" i="1"/>
  <c r="H103" i="1"/>
  <c r="G95" i="1"/>
  <c r="H95" i="1"/>
  <c r="G87" i="1"/>
  <c r="H87" i="1"/>
  <c r="G79" i="1"/>
  <c r="H79" i="1"/>
  <c r="G71" i="1"/>
  <c r="H71" i="1"/>
  <c r="G63" i="1"/>
  <c r="H63" i="1"/>
  <c r="G55" i="1"/>
  <c r="H55" i="1"/>
  <c r="G47" i="1"/>
  <c r="H47" i="1"/>
  <c r="G39" i="1"/>
  <c r="H39" i="1"/>
  <c r="G31" i="1"/>
  <c r="H31" i="1"/>
  <c r="G23" i="1"/>
  <c r="H23" i="1"/>
  <c r="G15" i="1"/>
  <c r="H15" i="1"/>
  <c r="G7" i="1"/>
  <c r="H7" i="1"/>
  <c r="H502" i="1"/>
  <c r="G502" i="1"/>
  <c r="H478" i="1"/>
  <c r="G478" i="1"/>
  <c r="H422" i="1"/>
  <c r="G422" i="1"/>
  <c r="M398" i="1"/>
  <c r="G398" i="1"/>
  <c r="H398" i="1"/>
  <c r="G366" i="1"/>
  <c r="H366" i="1"/>
  <c r="G342" i="1"/>
  <c r="H342" i="1"/>
  <c r="G318" i="1"/>
  <c r="H318" i="1"/>
  <c r="G262" i="1"/>
  <c r="H262" i="1"/>
  <c r="M238" i="1"/>
  <c r="G238" i="1"/>
  <c r="H238" i="1"/>
  <c r="G214" i="1"/>
  <c r="H214" i="1"/>
  <c r="M190" i="1"/>
  <c r="G190" i="1"/>
  <c r="H190" i="1"/>
  <c r="M134" i="1"/>
  <c r="H134" i="1"/>
  <c r="G134" i="1"/>
  <c r="G110" i="1"/>
  <c r="H110" i="1"/>
  <c r="M86" i="1"/>
  <c r="G86" i="1"/>
  <c r="H86" i="1"/>
  <c r="G62" i="1"/>
  <c r="H62" i="1"/>
  <c r="G38" i="1"/>
  <c r="H38" i="1"/>
  <c r="H22" i="1"/>
  <c r="G22" i="1"/>
  <c r="G485" i="1"/>
  <c r="H485" i="1"/>
  <c r="G461" i="1"/>
  <c r="H461" i="1"/>
  <c r="G437" i="1"/>
  <c r="H437" i="1"/>
  <c r="G413" i="1"/>
  <c r="H413" i="1"/>
  <c r="G365" i="1"/>
  <c r="H365" i="1"/>
  <c r="H341" i="1"/>
  <c r="G341" i="1"/>
  <c r="G317" i="1"/>
  <c r="H317" i="1"/>
  <c r="G293" i="1"/>
  <c r="H293" i="1"/>
  <c r="G261" i="1"/>
  <c r="H261" i="1"/>
  <c r="G237" i="1"/>
  <c r="H237" i="1"/>
  <c r="G213" i="1"/>
  <c r="H213" i="1"/>
  <c r="H189" i="1"/>
  <c r="G189" i="1"/>
  <c r="H133" i="1"/>
  <c r="G133" i="1"/>
  <c r="G109" i="1"/>
  <c r="H109" i="1"/>
  <c r="H85" i="1"/>
  <c r="G85" i="1"/>
  <c r="G61" i="1"/>
  <c r="H61" i="1"/>
  <c r="G21" i="1"/>
  <c r="H21" i="1"/>
  <c r="H500" i="1"/>
  <c r="G500" i="1"/>
  <c r="G492" i="1"/>
  <c r="H492" i="1"/>
  <c r="H484" i="1"/>
  <c r="G484" i="1"/>
  <c r="G476" i="1"/>
  <c r="H476" i="1"/>
  <c r="G468" i="1"/>
  <c r="H468" i="1"/>
  <c r="H460" i="1"/>
  <c r="G460" i="1"/>
  <c r="G452" i="1"/>
  <c r="H452" i="1"/>
  <c r="G444" i="1"/>
  <c r="H444" i="1"/>
  <c r="H436" i="1"/>
  <c r="G436" i="1"/>
  <c r="G428" i="1"/>
  <c r="H428" i="1"/>
  <c r="G420" i="1"/>
  <c r="H420" i="1"/>
  <c r="G412" i="1"/>
  <c r="H412" i="1"/>
  <c r="G404" i="1"/>
  <c r="H404" i="1"/>
  <c r="G396" i="1"/>
  <c r="H396" i="1"/>
  <c r="H388" i="1"/>
  <c r="G388" i="1"/>
  <c r="G380" i="1"/>
  <c r="H380" i="1"/>
  <c r="G372" i="1"/>
  <c r="H372" i="1"/>
  <c r="G364" i="1"/>
  <c r="H364" i="1"/>
  <c r="G356" i="1"/>
  <c r="H356" i="1"/>
  <c r="G348" i="1"/>
  <c r="H348" i="1"/>
  <c r="H340" i="1"/>
  <c r="G340" i="1"/>
  <c r="G332" i="1"/>
  <c r="H332" i="1"/>
  <c r="G324" i="1"/>
  <c r="H324" i="1"/>
  <c r="H316" i="1"/>
  <c r="G316" i="1"/>
  <c r="G308" i="1"/>
  <c r="H308" i="1"/>
  <c r="H300" i="1"/>
  <c r="G300" i="1"/>
  <c r="G292" i="1"/>
  <c r="H292" i="1"/>
  <c r="G284" i="1"/>
  <c r="H284" i="1"/>
  <c r="H276" i="1"/>
  <c r="G276" i="1"/>
  <c r="G268" i="1"/>
  <c r="H268" i="1"/>
  <c r="G260" i="1"/>
  <c r="H260" i="1"/>
  <c r="G252" i="1"/>
  <c r="H252" i="1"/>
  <c r="G244" i="1"/>
  <c r="H244" i="1"/>
  <c r="G236" i="1"/>
  <c r="H236" i="1"/>
  <c r="G228" i="1"/>
  <c r="H228" i="1"/>
  <c r="G220" i="1"/>
  <c r="H220" i="1"/>
  <c r="H212" i="1"/>
  <c r="G212" i="1"/>
  <c r="G204" i="1"/>
  <c r="H204" i="1"/>
  <c r="G196" i="1"/>
  <c r="H196" i="1"/>
  <c r="H188" i="1"/>
  <c r="G188" i="1"/>
  <c r="H180" i="1"/>
  <c r="G180" i="1"/>
  <c r="H172" i="1"/>
  <c r="G172" i="1"/>
  <c r="H164" i="1"/>
  <c r="G164" i="1"/>
  <c r="H156" i="1"/>
  <c r="G156" i="1"/>
  <c r="H148" i="1"/>
  <c r="G148" i="1"/>
  <c r="H140" i="1"/>
  <c r="G140" i="1"/>
  <c r="H132" i="1"/>
  <c r="G132" i="1"/>
  <c r="H124" i="1"/>
  <c r="G124" i="1"/>
  <c r="H116" i="1"/>
  <c r="G116" i="1"/>
  <c r="H108" i="1"/>
  <c r="G108" i="1"/>
  <c r="H100" i="1"/>
  <c r="G100" i="1"/>
  <c r="H92" i="1"/>
  <c r="G92" i="1"/>
  <c r="H84" i="1"/>
  <c r="G84" i="1"/>
  <c r="H76" i="1"/>
  <c r="G76" i="1"/>
  <c r="H68" i="1"/>
  <c r="G68" i="1"/>
  <c r="H60" i="1"/>
  <c r="G60" i="1"/>
  <c r="H52" i="1"/>
  <c r="G52" i="1"/>
  <c r="H44" i="1"/>
  <c r="G44" i="1"/>
  <c r="H36" i="1"/>
  <c r="G36" i="1"/>
  <c r="H28" i="1"/>
  <c r="G28" i="1"/>
  <c r="H20" i="1"/>
  <c r="G20" i="1"/>
  <c r="H12" i="1"/>
  <c r="G12" i="1"/>
  <c r="H4" i="1"/>
  <c r="G4" i="1"/>
  <c r="G510" i="1"/>
  <c r="H510" i="1"/>
  <c r="G486" i="1"/>
  <c r="H486" i="1"/>
  <c r="G470" i="1"/>
  <c r="H470" i="1"/>
  <c r="G454" i="1"/>
  <c r="H454" i="1"/>
  <c r="G438" i="1"/>
  <c r="H438" i="1"/>
  <c r="G406" i="1"/>
  <c r="H406" i="1"/>
  <c r="M374" i="1"/>
  <c r="H374" i="1"/>
  <c r="G374" i="1"/>
  <c r="G334" i="1"/>
  <c r="H334" i="1"/>
  <c r="G302" i="1"/>
  <c r="H302" i="1"/>
  <c r="H286" i="1"/>
  <c r="G286" i="1"/>
  <c r="G270" i="1"/>
  <c r="H270" i="1"/>
  <c r="G254" i="1"/>
  <c r="H254" i="1"/>
  <c r="M230" i="1"/>
  <c r="G230" i="1"/>
  <c r="H230" i="1"/>
  <c r="M222" i="1"/>
  <c r="G222" i="1"/>
  <c r="H222" i="1"/>
  <c r="G198" i="1"/>
  <c r="H198" i="1"/>
  <c r="M182" i="1"/>
  <c r="G182" i="1"/>
  <c r="H182" i="1"/>
  <c r="M166" i="1"/>
  <c r="G166" i="1"/>
  <c r="H166" i="1"/>
  <c r="G150" i="1"/>
  <c r="H150" i="1"/>
  <c r="M118" i="1"/>
  <c r="G118" i="1"/>
  <c r="H118" i="1"/>
  <c r="M78" i="1"/>
  <c r="G78" i="1"/>
  <c r="H78" i="1"/>
  <c r="G46" i="1"/>
  <c r="H46" i="1"/>
  <c r="M30" i="1"/>
  <c r="G30" i="1"/>
  <c r="H30" i="1"/>
  <c r="M14" i="1"/>
  <c r="G14" i="1"/>
  <c r="H14" i="1"/>
  <c r="G509" i="1"/>
  <c r="H509" i="1"/>
  <c r="H493" i="1"/>
  <c r="G493" i="1"/>
  <c r="H477" i="1"/>
  <c r="G477" i="1"/>
  <c r="H453" i="1"/>
  <c r="G453" i="1"/>
  <c r="H445" i="1"/>
  <c r="G445" i="1"/>
  <c r="G421" i="1"/>
  <c r="H421" i="1"/>
  <c r="G405" i="1"/>
  <c r="H405" i="1"/>
  <c r="G389" i="1"/>
  <c r="H389" i="1"/>
  <c r="G373" i="1"/>
  <c r="H373" i="1"/>
  <c r="G357" i="1"/>
  <c r="H357" i="1"/>
  <c r="G349" i="1"/>
  <c r="H349" i="1"/>
  <c r="M325" i="1"/>
  <c r="H325" i="1"/>
  <c r="G325" i="1"/>
  <c r="G309" i="1"/>
  <c r="H309" i="1"/>
  <c r="M277" i="1"/>
  <c r="G277" i="1"/>
  <c r="H277" i="1"/>
  <c r="G245" i="1"/>
  <c r="H245" i="1"/>
  <c r="G205" i="1"/>
  <c r="H205" i="1"/>
  <c r="G173" i="1"/>
  <c r="H173" i="1"/>
  <c r="G157" i="1"/>
  <c r="H157" i="1"/>
  <c r="G141" i="1"/>
  <c r="H141" i="1"/>
  <c r="G125" i="1"/>
  <c r="H125" i="1"/>
  <c r="G101" i="1"/>
  <c r="H101" i="1"/>
  <c r="H93" i="1"/>
  <c r="G93" i="1"/>
  <c r="G69" i="1"/>
  <c r="H69" i="1"/>
  <c r="G53" i="1"/>
  <c r="H53" i="1"/>
  <c r="G37" i="1"/>
  <c r="H37" i="1"/>
  <c r="H29" i="1"/>
  <c r="G29" i="1"/>
  <c r="G13" i="1"/>
  <c r="H13" i="1"/>
  <c r="G459" i="1"/>
  <c r="H459" i="1"/>
  <c r="G451" i="1"/>
  <c r="H451" i="1"/>
  <c r="G443" i="1"/>
  <c r="H443" i="1"/>
  <c r="G435" i="1"/>
  <c r="H435" i="1"/>
  <c r="G427" i="1"/>
  <c r="H427" i="1"/>
  <c r="G419" i="1"/>
  <c r="H419" i="1"/>
  <c r="G411" i="1"/>
  <c r="H411" i="1"/>
  <c r="G403" i="1"/>
  <c r="H403" i="1"/>
  <c r="G395" i="1"/>
  <c r="H395" i="1"/>
  <c r="G387" i="1"/>
  <c r="H387" i="1"/>
  <c r="G379" i="1"/>
  <c r="H379" i="1"/>
  <c r="G371" i="1"/>
  <c r="H371" i="1"/>
  <c r="G363" i="1"/>
  <c r="H363" i="1"/>
  <c r="G355" i="1"/>
  <c r="H355" i="1"/>
  <c r="G347" i="1"/>
  <c r="H347" i="1"/>
  <c r="G339" i="1"/>
  <c r="H339" i="1"/>
  <c r="G331" i="1"/>
  <c r="H331" i="1"/>
  <c r="G323" i="1"/>
  <c r="H323" i="1"/>
  <c r="G315" i="1"/>
  <c r="H315" i="1"/>
  <c r="G307" i="1"/>
  <c r="H307" i="1"/>
  <c r="G299" i="1"/>
  <c r="H299" i="1"/>
  <c r="G291" i="1"/>
  <c r="H291" i="1"/>
  <c r="G283" i="1"/>
  <c r="H283" i="1"/>
  <c r="G275" i="1"/>
  <c r="H275" i="1"/>
  <c r="G267" i="1"/>
  <c r="H267" i="1"/>
  <c r="G259" i="1"/>
  <c r="H259" i="1"/>
  <c r="G251" i="1"/>
  <c r="H251" i="1"/>
  <c r="G243" i="1"/>
  <c r="H243" i="1"/>
  <c r="G235" i="1"/>
  <c r="H235" i="1"/>
  <c r="G227" i="1"/>
  <c r="H227" i="1"/>
  <c r="G219" i="1"/>
  <c r="H219" i="1"/>
  <c r="G211" i="1"/>
  <c r="H211" i="1"/>
  <c r="G203" i="1"/>
  <c r="H203" i="1"/>
  <c r="G195" i="1"/>
  <c r="H195" i="1"/>
  <c r="G187" i="1"/>
  <c r="H187" i="1"/>
  <c r="G179" i="1"/>
  <c r="H179" i="1"/>
  <c r="G171" i="1"/>
  <c r="H171" i="1"/>
  <c r="G163" i="1"/>
  <c r="H163" i="1"/>
  <c r="G155" i="1"/>
  <c r="H155" i="1"/>
  <c r="G147" i="1"/>
  <c r="H147" i="1"/>
  <c r="G139" i="1"/>
  <c r="H139" i="1"/>
  <c r="G131" i="1"/>
  <c r="H131" i="1"/>
  <c r="G123" i="1"/>
  <c r="H123" i="1"/>
  <c r="G115" i="1"/>
  <c r="H115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35" i="1"/>
  <c r="H35" i="1"/>
  <c r="G27" i="1"/>
  <c r="H27" i="1"/>
  <c r="G19" i="1"/>
  <c r="H19" i="1"/>
  <c r="G11" i="1"/>
  <c r="H11" i="1"/>
  <c r="G3" i="1"/>
  <c r="H3" i="1"/>
  <c r="G483" i="1"/>
  <c r="H483" i="1"/>
  <c r="M2" i="1"/>
  <c r="H2" i="1"/>
  <c r="G2" i="1"/>
  <c r="G498" i="1"/>
  <c r="H498" i="1"/>
  <c r="G482" i="1"/>
  <c r="H482" i="1"/>
  <c r="G474" i="1"/>
  <c r="H474" i="1"/>
  <c r="G466" i="1"/>
  <c r="H466" i="1"/>
  <c r="G458" i="1"/>
  <c r="H458" i="1"/>
  <c r="G450" i="1"/>
  <c r="H450" i="1"/>
  <c r="G442" i="1"/>
  <c r="H442" i="1"/>
  <c r="H434" i="1"/>
  <c r="G434" i="1"/>
  <c r="H426" i="1"/>
  <c r="G426" i="1"/>
  <c r="G418" i="1"/>
  <c r="H418" i="1"/>
  <c r="M410" i="1"/>
  <c r="G410" i="1"/>
  <c r="H410" i="1"/>
  <c r="H402" i="1"/>
  <c r="G402" i="1"/>
  <c r="M394" i="1"/>
  <c r="H394" i="1"/>
  <c r="G394" i="1"/>
  <c r="M386" i="1"/>
  <c r="G386" i="1"/>
  <c r="H386" i="1"/>
  <c r="G378" i="1"/>
  <c r="H378" i="1"/>
  <c r="M370" i="1"/>
  <c r="G370" i="1"/>
  <c r="H370" i="1"/>
  <c r="M362" i="1"/>
  <c r="G362" i="1"/>
  <c r="H362" i="1"/>
  <c r="M354" i="1"/>
  <c r="G354" i="1"/>
  <c r="H354" i="1"/>
  <c r="M346" i="1"/>
  <c r="H346" i="1"/>
  <c r="G346" i="1"/>
  <c r="M338" i="1"/>
  <c r="G338" i="1"/>
  <c r="H338" i="1"/>
  <c r="M330" i="1"/>
  <c r="G330" i="1"/>
  <c r="H330" i="1"/>
  <c r="G322" i="1"/>
  <c r="H322" i="1"/>
  <c r="M314" i="1"/>
  <c r="G314" i="1"/>
  <c r="H314" i="1"/>
  <c r="M306" i="1"/>
  <c r="G306" i="1"/>
  <c r="H306" i="1"/>
  <c r="G298" i="1"/>
  <c r="H298" i="1"/>
  <c r="M290" i="1"/>
  <c r="G290" i="1"/>
  <c r="H290" i="1"/>
  <c r="M282" i="1"/>
  <c r="G282" i="1"/>
  <c r="H282" i="1"/>
  <c r="H274" i="1"/>
  <c r="G274" i="1"/>
  <c r="M266" i="1"/>
  <c r="G266" i="1"/>
  <c r="H266" i="1"/>
  <c r="M258" i="1"/>
  <c r="G258" i="1"/>
  <c r="H258" i="1"/>
  <c r="M250" i="1"/>
  <c r="H250" i="1"/>
  <c r="G250" i="1"/>
  <c r="G242" i="1"/>
  <c r="H242" i="1"/>
  <c r="M234" i="1"/>
  <c r="H234" i="1"/>
  <c r="G234" i="1"/>
  <c r="H226" i="1"/>
  <c r="G226" i="1"/>
  <c r="M218" i="1"/>
  <c r="G218" i="1"/>
  <c r="H218" i="1"/>
  <c r="M210" i="1"/>
  <c r="H210" i="1"/>
  <c r="G210" i="1"/>
  <c r="H202" i="1"/>
  <c r="G202" i="1"/>
  <c r="M194" i="1"/>
  <c r="H194" i="1"/>
  <c r="G194" i="1"/>
  <c r="M186" i="1"/>
  <c r="G186" i="1"/>
  <c r="H186" i="1"/>
  <c r="G178" i="1"/>
  <c r="H178" i="1"/>
  <c r="G170" i="1"/>
  <c r="H170" i="1"/>
  <c r="M162" i="1"/>
  <c r="G162" i="1"/>
  <c r="H162" i="1"/>
  <c r="H154" i="1"/>
  <c r="G154" i="1"/>
  <c r="M146" i="1"/>
  <c r="H146" i="1"/>
  <c r="G146" i="1"/>
  <c r="G138" i="1"/>
  <c r="H138" i="1"/>
  <c r="M130" i="1"/>
  <c r="G130" i="1"/>
  <c r="H130" i="1"/>
  <c r="G122" i="1"/>
  <c r="H122" i="1"/>
  <c r="M114" i="1"/>
  <c r="G114" i="1"/>
  <c r="H114" i="1"/>
  <c r="M106" i="1"/>
  <c r="G106" i="1"/>
  <c r="H106" i="1"/>
  <c r="H98" i="1"/>
  <c r="G98" i="1"/>
  <c r="G90" i="1"/>
  <c r="H90" i="1"/>
  <c r="M82" i="1"/>
  <c r="G82" i="1"/>
  <c r="H82" i="1"/>
  <c r="G74" i="1"/>
  <c r="H74" i="1"/>
  <c r="G66" i="1"/>
  <c r="H66" i="1"/>
  <c r="M58" i="1"/>
  <c r="H58" i="1"/>
  <c r="G58" i="1"/>
  <c r="H50" i="1"/>
  <c r="G50" i="1"/>
  <c r="M42" i="1"/>
  <c r="H42" i="1"/>
  <c r="G42" i="1"/>
  <c r="G34" i="1"/>
  <c r="H34" i="1"/>
  <c r="G26" i="1"/>
  <c r="H26" i="1"/>
  <c r="G18" i="1"/>
  <c r="H18" i="1"/>
  <c r="M10" i="1"/>
  <c r="H10" i="1"/>
  <c r="G10" i="1"/>
  <c r="M499" i="1"/>
  <c r="G499" i="1"/>
  <c r="H499" i="1"/>
  <c r="G475" i="1"/>
  <c r="H475" i="1"/>
  <c r="H490" i="1"/>
  <c r="G490" i="1"/>
  <c r="G505" i="1"/>
  <c r="H505" i="1"/>
  <c r="H497" i="1"/>
  <c r="G497" i="1"/>
  <c r="G481" i="1"/>
  <c r="H481" i="1"/>
  <c r="H473" i="1"/>
  <c r="G473" i="1"/>
  <c r="G465" i="1"/>
  <c r="H465" i="1"/>
  <c r="H457" i="1"/>
  <c r="G457" i="1"/>
  <c r="G449" i="1"/>
  <c r="H449" i="1"/>
  <c r="G441" i="1"/>
  <c r="H441" i="1"/>
  <c r="H433" i="1"/>
  <c r="G433" i="1"/>
  <c r="G425" i="1"/>
  <c r="H425" i="1"/>
  <c r="G417" i="1"/>
  <c r="H417" i="1"/>
  <c r="H409" i="1"/>
  <c r="G409" i="1"/>
  <c r="M401" i="1"/>
  <c r="G401" i="1"/>
  <c r="H401" i="1"/>
  <c r="M393" i="1"/>
  <c r="G393" i="1"/>
  <c r="H393" i="1"/>
  <c r="H385" i="1"/>
  <c r="G385" i="1"/>
  <c r="M377" i="1"/>
  <c r="G377" i="1"/>
  <c r="H377" i="1"/>
  <c r="M369" i="1"/>
  <c r="H369" i="1"/>
  <c r="G369" i="1"/>
  <c r="M361" i="1"/>
  <c r="G361" i="1"/>
  <c r="H361" i="1"/>
  <c r="M353" i="1"/>
  <c r="G353" i="1"/>
  <c r="H353" i="1"/>
  <c r="M345" i="1"/>
  <c r="G345" i="1"/>
  <c r="H345" i="1"/>
  <c r="M337" i="1"/>
  <c r="G337" i="1"/>
  <c r="H337" i="1"/>
  <c r="G329" i="1"/>
  <c r="H329" i="1"/>
  <c r="M321" i="1"/>
  <c r="G321" i="1"/>
  <c r="H321" i="1"/>
  <c r="M313" i="1"/>
  <c r="G313" i="1"/>
  <c r="H313" i="1"/>
  <c r="G305" i="1"/>
  <c r="H305" i="1"/>
  <c r="M297" i="1"/>
  <c r="G297" i="1"/>
  <c r="H297" i="1"/>
  <c r="M289" i="1"/>
  <c r="G289" i="1"/>
  <c r="H289" i="1"/>
  <c r="H281" i="1"/>
  <c r="G281" i="1"/>
  <c r="G273" i="1"/>
  <c r="H273" i="1"/>
  <c r="M265" i="1"/>
  <c r="H265" i="1"/>
  <c r="G265" i="1"/>
  <c r="H257" i="1"/>
  <c r="G257" i="1"/>
  <c r="H249" i="1"/>
  <c r="G249" i="1"/>
  <c r="M241" i="1"/>
  <c r="H241" i="1"/>
  <c r="G241" i="1"/>
  <c r="G233" i="1"/>
  <c r="H233" i="1"/>
  <c r="G225" i="1"/>
  <c r="H225" i="1"/>
  <c r="M217" i="1"/>
  <c r="H217" i="1"/>
  <c r="G217" i="1"/>
  <c r="G209" i="1"/>
  <c r="H209" i="1"/>
  <c r="G201" i="1"/>
  <c r="H201" i="1"/>
  <c r="M193" i="1"/>
  <c r="G193" i="1"/>
  <c r="H193" i="1"/>
  <c r="G185" i="1"/>
  <c r="H185" i="1"/>
  <c r="M177" i="1"/>
  <c r="G177" i="1"/>
  <c r="H177" i="1"/>
  <c r="H169" i="1"/>
  <c r="G169" i="1"/>
  <c r="H161" i="1"/>
  <c r="G161" i="1"/>
  <c r="G153" i="1"/>
  <c r="H153" i="1"/>
  <c r="G145" i="1"/>
  <c r="H145" i="1"/>
  <c r="M137" i="1"/>
  <c r="G137" i="1"/>
  <c r="H137" i="1"/>
  <c r="M129" i="1"/>
  <c r="G129" i="1"/>
  <c r="H129" i="1"/>
  <c r="G121" i="1"/>
  <c r="H121" i="1"/>
  <c r="M113" i="1"/>
  <c r="G113" i="1"/>
  <c r="H113" i="1"/>
  <c r="H105" i="1"/>
  <c r="G105" i="1"/>
  <c r="M97" i="1"/>
  <c r="G97" i="1"/>
  <c r="H97" i="1"/>
  <c r="M89" i="1"/>
  <c r="G89" i="1"/>
  <c r="H89" i="1"/>
  <c r="G81" i="1"/>
  <c r="H81" i="1"/>
  <c r="M73" i="1"/>
  <c r="G73" i="1"/>
  <c r="H73" i="1"/>
  <c r="M65" i="1"/>
  <c r="G65" i="1"/>
  <c r="H65" i="1"/>
  <c r="H57" i="1"/>
  <c r="G57" i="1"/>
  <c r="G49" i="1"/>
  <c r="H49" i="1"/>
  <c r="G41" i="1"/>
  <c r="H41" i="1"/>
  <c r="G33" i="1"/>
  <c r="H33" i="1"/>
  <c r="M25" i="1"/>
  <c r="G25" i="1"/>
  <c r="H25" i="1"/>
  <c r="G17" i="1"/>
  <c r="H17" i="1"/>
  <c r="M9" i="1"/>
  <c r="G9" i="1"/>
  <c r="H9" i="1"/>
  <c r="G494" i="1"/>
  <c r="H494" i="1"/>
  <c r="G462" i="1"/>
  <c r="H462" i="1"/>
  <c r="G446" i="1"/>
  <c r="H446" i="1"/>
  <c r="H430" i="1"/>
  <c r="G430" i="1"/>
  <c r="G414" i="1"/>
  <c r="H414" i="1"/>
  <c r="G390" i="1"/>
  <c r="H390" i="1"/>
  <c r="G382" i="1"/>
  <c r="H382" i="1"/>
  <c r="G358" i="1"/>
  <c r="H358" i="1"/>
  <c r="M350" i="1"/>
  <c r="H350" i="1"/>
  <c r="G350" i="1"/>
  <c r="G326" i="1"/>
  <c r="H326" i="1"/>
  <c r="G310" i="1"/>
  <c r="H310" i="1"/>
  <c r="M294" i="1"/>
  <c r="H294" i="1"/>
  <c r="G294" i="1"/>
  <c r="G278" i="1"/>
  <c r="H278" i="1"/>
  <c r="G246" i="1"/>
  <c r="H246" i="1"/>
  <c r="M206" i="1"/>
  <c r="H206" i="1"/>
  <c r="G206" i="1"/>
  <c r="H174" i="1"/>
  <c r="G174" i="1"/>
  <c r="M158" i="1"/>
  <c r="G158" i="1"/>
  <c r="H158" i="1"/>
  <c r="G142" i="1"/>
  <c r="H142" i="1"/>
  <c r="H126" i="1"/>
  <c r="G126" i="1"/>
  <c r="M102" i="1"/>
  <c r="G102" i="1"/>
  <c r="H102" i="1"/>
  <c r="G94" i="1"/>
  <c r="H94" i="1"/>
  <c r="H70" i="1"/>
  <c r="G70" i="1"/>
  <c r="M54" i="1"/>
  <c r="G54" i="1"/>
  <c r="H54" i="1"/>
  <c r="G6" i="1"/>
  <c r="H6" i="1"/>
  <c r="G501" i="1"/>
  <c r="H501" i="1"/>
  <c r="H469" i="1"/>
  <c r="G469" i="1"/>
  <c r="G429" i="1"/>
  <c r="H429" i="1"/>
  <c r="H397" i="1"/>
  <c r="G397" i="1"/>
  <c r="M381" i="1"/>
  <c r="H381" i="1"/>
  <c r="G381" i="1"/>
  <c r="H333" i="1"/>
  <c r="G333" i="1"/>
  <c r="G301" i="1"/>
  <c r="H301" i="1"/>
  <c r="G285" i="1"/>
  <c r="H285" i="1"/>
  <c r="M269" i="1"/>
  <c r="H269" i="1"/>
  <c r="G269" i="1"/>
  <c r="H253" i="1"/>
  <c r="G253" i="1"/>
  <c r="H229" i="1"/>
  <c r="G229" i="1"/>
  <c r="G221" i="1"/>
  <c r="H221" i="1"/>
  <c r="G197" i="1"/>
  <c r="H197" i="1"/>
  <c r="H181" i="1"/>
  <c r="G181" i="1"/>
  <c r="G165" i="1"/>
  <c r="H165" i="1"/>
  <c r="G149" i="1"/>
  <c r="H149" i="1"/>
  <c r="G117" i="1"/>
  <c r="H117" i="1"/>
  <c r="H77" i="1"/>
  <c r="G77" i="1"/>
  <c r="H45" i="1"/>
  <c r="G45" i="1"/>
  <c r="G5" i="1"/>
  <c r="H5" i="1"/>
  <c r="M507" i="1"/>
  <c r="G507" i="1"/>
  <c r="H507" i="1"/>
  <c r="M491" i="1"/>
  <c r="G491" i="1"/>
  <c r="H491" i="1"/>
  <c r="G467" i="1"/>
  <c r="H467" i="1"/>
  <c r="G506" i="1"/>
  <c r="H506" i="1"/>
  <c r="G513" i="1"/>
  <c r="H513" i="1"/>
  <c r="G489" i="1"/>
  <c r="H489" i="1"/>
  <c r="M512" i="1"/>
  <c r="G512" i="1"/>
  <c r="H512" i="1"/>
  <c r="M504" i="1"/>
  <c r="G504" i="1"/>
  <c r="H504" i="1"/>
  <c r="H496" i="1"/>
  <c r="G496" i="1"/>
  <c r="M488" i="1"/>
  <c r="G488" i="1"/>
  <c r="H488" i="1"/>
  <c r="H480" i="1"/>
  <c r="G480" i="1"/>
  <c r="G472" i="1"/>
  <c r="H472" i="1"/>
  <c r="H464" i="1"/>
  <c r="G464" i="1"/>
  <c r="G456" i="1"/>
  <c r="H456" i="1"/>
  <c r="G448" i="1"/>
  <c r="H448" i="1"/>
  <c r="G440" i="1"/>
  <c r="H440" i="1"/>
  <c r="G432" i="1"/>
  <c r="H432" i="1"/>
  <c r="H424" i="1"/>
  <c r="G424" i="1"/>
  <c r="H416" i="1"/>
  <c r="G416" i="1"/>
  <c r="M408" i="1"/>
  <c r="G408" i="1"/>
  <c r="H408" i="1"/>
  <c r="M400" i="1"/>
  <c r="G400" i="1"/>
  <c r="H400" i="1"/>
  <c r="M392" i="1"/>
  <c r="H392" i="1"/>
  <c r="G392" i="1"/>
  <c r="M384" i="1"/>
  <c r="G384" i="1"/>
  <c r="H384" i="1"/>
  <c r="M376" i="1"/>
  <c r="G376" i="1"/>
  <c r="H376" i="1"/>
  <c r="M368" i="1"/>
  <c r="H368" i="1"/>
  <c r="G368" i="1"/>
  <c r="H360" i="1"/>
  <c r="G360" i="1"/>
  <c r="M352" i="1"/>
  <c r="G352" i="1"/>
  <c r="H352" i="1"/>
  <c r="M344" i="1"/>
  <c r="G344" i="1"/>
  <c r="H344" i="1"/>
  <c r="G336" i="1"/>
  <c r="H336" i="1"/>
  <c r="M328" i="1"/>
  <c r="H328" i="1"/>
  <c r="G328" i="1"/>
  <c r="M320" i="1"/>
  <c r="H320" i="1"/>
  <c r="G320" i="1"/>
  <c r="G312" i="1"/>
  <c r="H312" i="1"/>
  <c r="M304" i="1"/>
  <c r="G304" i="1"/>
  <c r="H304" i="1"/>
  <c r="M296" i="1"/>
  <c r="G296" i="1"/>
  <c r="H296" i="1"/>
  <c r="H288" i="1"/>
  <c r="G288" i="1"/>
  <c r="M280" i="1"/>
  <c r="G280" i="1"/>
  <c r="H280" i="1"/>
  <c r="H272" i="1"/>
  <c r="G272" i="1"/>
  <c r="G264" i="1"/>
  <c r="H264" i="1"/>
  <c r="M256" i="1"/>
  <c r="G256" i="1"/>
  <c r="H256" i="1"/>
  <c r="G248" i="1"/>
  <c r="H248" i="1"/>
  <c r="M240" i="1"/>
  <c r="G240" i="1"/>
  <c r="H240" i="1"/>
  <c r="H232" i="1"/>
  <c r="G232" i="1"/>
  <c r="G224" i="1"/>
  <c r="H224" i="1"/>
  <c r="G216" i="1"/>
  <c r="H216" i="1"/>
  <c r="M208" i="1"/>
  <c r="H208" i="1"/>
  <c r="G208" i="1"/>
  <c r="M200" i="1"/>
  <c r="G200" i="1"/>
  <c r="H200" i="1"/>
  <c r="M192" i="1"/>
  <c r="H192" i="1"/>
  <c r="G192" i="1"/>
  <c r="H184" i="1"/>
  <c r="G184" i="1"/>
  <c r="M176" i="1"/>
  <c r="H176" i="1"/>
  <c r="G176" i="1"/>
  <c r="H168" i="1"/>
  <c r="G168" i="1"/>
  <c r="M160" i="1"/>
  <c r="H160" i="1"/>
  <c r="G160" i="1"/>
  <c r="M152" i="1"/>
  <c r="H152" i="1"/>
  <c r="G152" i="1"/>
  <c r="H144" i="1"/>
  <c r="G144" i="1"/>
  <c r="M136" i="1"/>
  <c r="H136" i="1"/>
  <c r="G136" i="1"/>
  <c r="M128" i="1"/>
  <c r="H128" i="1"/>
  <c r="G128" i="1"/>
  <c r="H120" i="1"/>
  <c r="G120" i="1"/>
  <c r="H112" i="1"/>
  <c r="G112" i="1"/>
  <c r="M104" i="1"/>
  <c r="H104" i="1"/>
  <c r="G104" i="1"/>
  <c r="H96" i="1"/>
  <c r="G96" i="1"/>
  <c r="M88" i="1"/>
  <c r="H88" i="1"/>
  <c r="G88" i="1"/>
  <c r="H80" i="1"/>
  <c r="G80" i="1"/>
  <c r="M72" i="1"/>
  <c r="H72" i="1"/>
  <c r="G72" i="1"/>
  <c r="H64" i="1"/>
  <c r="G64" i="1"/>
  <c r="M56" i="1"/>
  <c r="H56" i="1"/>
  <c r="G56" i="1"/>
  <c r="M48" i="1"/>
  <c r="H48" i="1"/>
  <c r="G48" i="1"/>
  <c r="H40" i="1"/>
  <c r="G40" i="1"/>
  <c r="H32" i="1"/>
  <c r="G32" i="1"/>
  <c r="M24" i="1"/>
  <c r="H24" i="1"/>
  <c r="G24" i="1"/>
  <c r="H16" i="1"/>
  <c r="G16" i="1"/>
  <c r="H8" i="1"/>
  <c r="G8" i="1"/>
  <c r="M105" i="1"/>
  <c r="N477" i="1"/>
  <c r="V477" i="1" s="1"/>
  <c r="N445" i="1"/>
  <c r="V445" i="1" s="1"/>
  <c r="N405" i="1"/>
  <c r="V405" i="1" s="1"/>
  <c r="N309" i="1"/>
  <c r="V309" i="1" s="1"/>
  <c r="N502" i="1"/>
  <c r="V502" i="1" s="1"/>
  <c r="N478" i="1"/>
  <c r="V478" i="1" s="1"/>
  <c r="N422" i="1"/>
  <c r="V422" i="1" s="1"/>
  <c r="N334" i="1"/>
  <c r="V334" i="1" s="1"/>
  <c r="N286" i="1"/>
  <c r="V286" i="1" s="1"/>
  <c r="N365" i="1"/>
  <c r="V365" i="1" s="1"/>
  <c r="N333" i="1"/>
  <c r="V333" i="1" s="1"/>
  <c r="N317" i="1"/>
  <c r="V317" i="1" s="1"/>
  <c r="N482" i="1"/>
  <c r="V482" i="1" s="1"/>
  <c r="N466" i="1"/>
  <c r="V466" i="1" s="1"/>
  <c r="N426" i="1"/>
  <c r="V426" i="1" s="1"/>
  <c r="N494" i="1"/>
  <c r="V494" i="1" s="1"/>
  <c r="N470" i="1"/>
  <c r="V470" i="1" s="1"/>
  <c r="N446" i="1"/>
  <c r="V446" i="1" s="1"/>
  <c r="N382" i="1"/>
  <c r="V382" i="1" s="1"/>
  <c r="N310" i="1"/>
  <c r="V310" i="1" s="1"/>
  <c r="N501" i="1"/>
  <c r="V501" i="1" s="1"/>
  <c r="N469" i="1"/>
  <c r="V469" i="1" s="1"/>
  <c r="N437" i="1"/>
  <c r="V437" i="1" s="1"/>
  <c r="N389" i="1"/>
  <c r="V389" i="1" s="1"/>
  <c r="N301" i="1"/>
  <c r="V301" i="1" s="1"/>
  <c r="N376" i="1"/>
  <c r="N513" i="1"/>
  <c r="V513" i="1" s="1"/>
  <c r="N505" i="1"/>
  <c r="V505" i="1" s="1"/>
  <c r="N497" i="1"/>
  <c r="V497" i="1" s="1"/>
  <c r="N489" i="1"/>
  <c r="V489" i="1" s="1"/>
  <c r="N481" i="1"/>
  <c r="V481" i="1" s="1"/>
  <c r="N473" i="1"/>
  <c r="V473" i="1" s="1"/>
  <c r="N465" i="1"/>
  <c r="V465" i="1" s="1"/>
  <c r="N457" i="1"/>
  <c r="V457" i="1" s="1"/>
  <c r="N449" i="1"/>
  <c r="V449" i="1" s="1"/>
  <c r="N441" i="1"/>
  <c r="V441" i="1" s="1"/>
  <c r="N433" i="1"/>
  <c r="V433" i="1" s="1"/>
  <c r="N425" i="1"/>
  <c r="V425" i="1" s="1"/>
  <c r="N417" i="1"/>
  <c r="V417" i="1" s="1"/>
  <c r="N249" i="1"/>
  <c r="V249" i="1" s="1"/>
  <c r="N225" i="1"/>
  <c r="V225" i="1" s="1"/>
  <c r="N209" i="1"/>
  <c r="V209" i="1" s="1"/>
  <c r="N169" i="1"/>
  <c r="V169" i="1" s="1"/>
  <c r="N161" i="1"/>
  <c r="V161" i="1" s="1"/>
  <c r="N145" i="1"/>
  <c r="V145" i="1" s="1"/>
  <c r="N121" i="1"/>
  <c r="V121" i="1" s="1"/>
  <c r="N105" i="1"/>
  <c r="V105" i="1" s="1"/>
  <c r="N57" i="1"/>
  <c r="V57" i="1" s="1"/>
  <c r="N41" i="1"/>
  <c r="V41" i="1" s="1"/>
  <c r="N17" i="1"/>
  <c r="V17" i="1" s="1"/>
  <c r="N510" i="1"/>
  <c r="V510" i="1" s="1"/>
  <c r="N454" i="1"/>
  <c r="V454" i="1" s="1"/>
  <c r="N430" i="1"/>
  <c r="V430" i="1" s="1"/>
  <c r="N406" i="1"/>
  <c r="V406" i="1" s="1"/>
  <c r="N302" i="1"/>
  <c r="V302" i="1" s="1"/>
  <c r="N509" i="1"/>
  <c r="V509" i="1" s="1"/>
  <c r="N485" i="1"/>
  <c r="V485" i="1" s="1"/>
  <c r="N453" i="1"/>
  <c r="V453" i="1" s="1"/>
  <c r="N421" i="1"/>
  <c r="V421" i="1" s="1"/>
  <c r="N357" i="1"/>
  <c r="V357" i="1" s="1"/>
  <c r="N506" i="1"/>
  <c r="V506" i="1" s="1"/>
  <c r="N490" i="1"/>
  <c r="V490" i="1" s="1"/>
  <c r="N474" i="1"/>
  <c r="V474" i="1" s="1"/>
  <c r="N450" i="1"/>
  <c r="V450" i="1" s="1"/>
  <c r="N434" i="1"/>
  <c r="V434" i="1" s="1"/>
  <c r="N496" i="1"/>
  <c r="V496" i="1" s="1"/>
  <c r="N472" i="1"/>
  <c r="Q472" i="1" s="1"/>
  <c r="N464" i="1"/>
  <c r="V464" i="1" s="1"/>
  <c r="N456" i="1"/>
  <c r="V456" i="1" s="1"/>
  <c r="N448" i="1"/>
  <c r="N440" i="1"/>
  <c r="V440" i="1" s="1"/>
  <c r="N432" i="1"/>
  <c r="V432" i="1" s="1"/>
  <c r="N424" i="1"/>
  <c r="V424" i="1" s="1"/>
  <c r="N416" i="1"/>
  <c r="V416" i="1" s="1"/>
  <c r="N272" i="1"/>
  <c r="V272" i="1" s="1"/>
  <c r="N486" i="1"/>
  <c r="V486" i="1" s="1"/>
  <c r="N462" i="1"/>
  <c r="V462" i="1" s="1"/>
  <c r="N438" i="1"/>
  <c r="V438" i="1" s="1"/>
  <c r="N414" i="1"/>
  <c r="V414" i="1" s="1"/>
  <c r="N358" i="1"/>
  <c r="V358" i="1" s="1"/>
  <c r="N326" i="1"/>
  <c r="V326" i="1" s="1"/>
  <c r="N493" i="1"/>
  <c r="V493" i="1" s="1"/>
  <c r="N461" i="1"/>
  <c r="V461" i="1" s="1"/>
  <c r="N429" i="1"/>
  <c r="V429" i="1" s="1"/>
  <c r="N413" i="1"/>
  <c r="V413" i="1" s="1"/>
  <c r="N341" i="1"/>
  <c r="V341" i="1" s="1"/>
  <c r="N285" i="1"/>
  <c r="V285" i="1" s="1"/>
  <c r="N498" i="1"/>
  <c r="V498" i="1" s="1"/>
  <c r="N458" i="1"/>
  <c r="V458" i="1" s="1"/>
  <c r="N442" i="1"/>
  <c r="V442" i="1" s="1"/>
  <c r="N418" i="1"/>
  <c r="V418" i="1" s="1"/>
  <c r="M501" i="1"/>
  <c r="M301" i="1"/>
  <c r="N495" i="1"/>
  <c r="V495" i="1" s="1"/>
  <c r="M424" i="1"/>
  <c r="M473" i="1"/>
  <c r="Q473" i="1" s="1"/>
  <c r="M209" i="1"/>
  <c r="M493" i="1"/>
  <c r="N361" i="1"/>
  <c r="N88" i="1"/>
  <c r="V88" i="1" s="1"/>
  <c r="M449" i="1"/>
  <c r="N313" i="1"/>
  <c r="V313" i="1" s="1"/>
  <c r="N65" i="1"/>
  <c r="V65" i="1" s="1"/>
  <c r="M456" i="1"/>
  <c r="M432" i="1"/>
  <c r="N393" i="1"/>
  <c r="V393" i="1" s="1"/>
  <c r="M333" i="1"/>
  <c r="Q333" i="1" s="1"/>
  <c r="N265" i="1"/>
  <c r="V265" i="1" s="1"/>
  <c r="N129" i="1"/>
  <c r="V129" i="1" s="1"/>
  <c r="N512" i="1"/>
  <c r="V512" i="1" s="1"/>
  <c r="M481" i="1"/>
  <c r="M425" i="1"/>
  <c r="N392" i="1"/>
  <c r="V392" i="1" s="1"/>
  <c r="M249" i="1"/>
  <c r="N128" i="1"/>
  <c r="N488" i="1"/>
  <c r="V488" i="1" s="1"/>
  <c r="M465" i="1"/>
  <c r="M441" i="1"/>
  <c r="M417" i="1"/>
  <c r="Q417" i="1" s="1"/>
  <c r="N192" i="1"/>
  <c r="V192" i="1" s="1"/>
  <c r="M41" i="1"/>
  <c r="Q41" i="1" s="1"/>
  <c r="N487" i="1"/>
  <c r="M464" i="1"/>
  <c r="M440" i="1"/>
  <c r="M416" i="1"/>
  <c r="N345" i="1"/>
  <c r="M285" i="1"/>
  <c r="Q285" i="1" s="1"/>
  <c r="N25" i="1"/>
  <c r="M457" i="1"/>
  <c r="M433" i="1"/>
  <c r="M405" i="1"/>
  <c r="Q405" i="1" s="1"/>
  <c r="N344" i="1"/>
  <c r="V344" i="1" s="1"/>
  <c r="N269" i="1"/>
  <c r="M145" i="1"/>
  <c r="N24" i="1"/>
  <c r="V24" i="1" s="1"/>
  <c r="M508" i="1"/>
  <c r="N508" i="1"/>
  <c r="V508" i="1" s="1"/>
  <c r="M500" i="1"/>
  <c r="N500" i="1"/>
  <c r="V500" i="1" s="1"/>
  <c r="M492" i="1"/>
  <c r="N492" i="1"/>
  <c r="V492" i="1" s="1"/>
  <c r="M484" i="1"/>
  <c r="N484" i="1"/>
  <c r="V484" i="1" s="1"/>
  <c r="M476" i="1"/>
  <c r="N476" i="1"/>
  <c r="V476" i="1" s="1"/>
  <c r="M468" i="1"/>
  <c r="N468" i="1"/>
  <c r="V468" i="1" s="1"/>
  <c r="M460" i="1"/>
  <c r="N460" i="1"/>
  <c r="V460" i="1" s="1"/>
  <c r="M452" i="1"/>
  <c r="N452" i="1"/>
  <c r="V452" i="1" s="1"/>
  <c r="M444" i="1"/>
  <c r="N444" i="1"/>
  <c r="V444" i="1" s="1"/>
  <c r="M436" i="1"/>
  <c r="N436" i="1"/>
  <c r="V436" i="1" s="1"/>
  <c r="M428" i="1"/>
  <c r="N428" i="1"/>
  <c r="V428" i="1" s="1"/>
  <c r="M420" i="1"/>
  <c r="N420" i="1"/>
  <c r="V420" i="1" s="1"/>
  <c r="M412" i="1"/>
  <c r="N412" i="1"/>
  <c r="V412" i="1" s="1"/>
  <c r="M404" i="1"/>
  <c r="N404" i="1"/>
  <c r="V404" i="1" s="1"/>
  <c r="M396" i="1"/>
  <c r="N396" i="1"/>
  <c r="V396" i="1" s="1"/>
  <c r="M388" i="1"/>
  <c r="N388" i="1"/>
  <c r="V388" i="1" s="1"/>
  <c r="M380" i="1"/>
  <c r="N380" i="1"/>
  <c r="V380" i="1" s="1"/>
  <c r="M372" i="1"/>
  <c r="N372" i="1"/>
  <c r="V372" i="1" s="1"/>
  <c r="M364" i="1"/>
  <c r="N364" i="1"/>
  <c r="V364" i="1" s="1"/>
  <c r="M356" i="1"/>
  <c r="N356" i="1"/>
  <c r="V356" i="1" s="1"/>
  <c r="M348" i="1"/>
  <c r="N348" i="1"/>
  <c r="V348" i="1" s="1"/>
  <c r="M340" i="1"/>
  <c r="N340" i="1"/>
  <c r="V340" i="1" s="1"/>
  <c r="M332" i="1"/>
  <c r="N332" i="1"/>
  <c r="V332" i="1" s="1"/>
  <c r="M324" i="1"/>
  <c r="N324" i="1"/>
  <c r="V324" i="1" s="1"/>
  <c r="M316" i="1"/>
  <c r="N316" i="1"/>
  <c r="V316" i="1" s="1"/>
  <c r="M308" i="1"/>
  <c r="N308" i="1"/>
  <c r="V308" i="1" s="1"/>
  <c r="M300" i="1"/>
  <c r="N300" i="1"/>
  <c r="V300" i="1" s="1"/>
  <c r="M292" i="1"/>
  <c r="N292" i="1"/>
  <c r="V292" i="1" s="1"/>
  <c r="M284" i="1"/>
  <c r="N284" i="1"/>
  <c r="V284" i="1" s="1"/>
  <c r="M276" i="1"/>
  <c r="N276" i="1"/>
  <c r="V276" i="1" s="1"/>
  <c r="M268" i="1"/>
  <c r="N268" i="1"/>
  <c r="V268" i="1" s="1"/>
  <c r="M260" i="1"/>
  <c r="N260" i="1"/>
  <c r="V260" i="1" s="1"/>
  <c r="M252" i="1"/>
  <c r="N252" i="1"/>
  <c r="V252" i="1" s="1"/>
  <c r="M244" i="1"/>
  <c r="N244" i="1"/>
  <c r="V244" i="1" s="1"/>
  <c r="M236" i="1"/>
  <c r="N236" i="1"/>
  <c r="V236" i="1" s="1"/>
  <c r="M228" i="1"/>
  <c r="N228" i="1"/>
  <c r="V228" i="1" s="1"/>
  <c r="M220" i="1"/>
  <c r="N220" i="1"/>
  <c r="V220" i="1" s="1"/>
  <c r="M212" i="1"/>
  <c r="N212" i="1"/>
  <c r="V212" i="1" s="1"/>
  <c r="M204" i="1"/>
  <c r="N204" i="1"/>
  <c r="V204" i="1" s="1"/>
  <c r="M196" i="1"/>
  <c r="N196" i="1"/>
  <c r="V196" i="1" s="1"/>
  <c r="M188" i="1"/>
  <c r="N188" i="1"/>
  <c r="V188" i="1" s="1"/>
  <c r="M180" i="1"/>
  <c r="N180" i="1"/>
  <c r="V180" i="1" s="1"/>
  <c r="M172" i="1"/>
  <c r="N172" i="1"/>
  <c r="V172" i="1" s="1"/>
  <c r="M164" i="1"/>
  <c r="N164" i="1"/>
  <c r="V164" i="1" s="1"/>
  <c r="M156" i="1"/>
  <c r="N156" i="1"/>
  <c r="V156" i="1" s="1"/>
  <c r="M148" i="1"/>
  <c r="N148" i="1"/>
  <c r="V148" i="1" s="1"/>
  <c r="M140" i="1"/>
  <c r="N140" i="1"/>
  <c r="V140" i="1" s="1"/>
  <c r="M132" i="1"/>
  <c r="N132" i="1"/>
  <c r="V132" i="1" s="1"/>
  <c r="M124" i="1"/>
  <c r="N124" i="1"/>
  <c r="V124" i="1" s="1"/>
  <c r="M116" i="1"/>
  <c r="N116" i="1"/>
  <c r="V116" i="1" s="1"/>
  <c r="M108" i="1"/>
  <c r="N108" i="1"/>
  <c r="V108" i="1" s="1"/>
  <c r="M100" i="1"/>
  <c r="N100" i="1"/>
  <c r="V100" i="1" s="1"/>
  <c r="M92" i="1"/>
  <c r="N92" i="1"/>
  <c r="V92" i="1" s="1"/>
  <c r="M84" i="1"/>
  <c r="N84" i="1"/>
  <c r="V84" i="1" s="1"/>
  <c r="M76" i="1"/>
  <c r="N76" i="1"/>
  <c r="V76" i="1" s="1"/>
  <c r="M68" i="1"/>
  <c r="N68" i="1"/>
  <c r="V68" i="1" s="1"/>
  <c r="M390" i="1"/>
  <c r="N390" i="1"/>
  <c r="V390" i="1" s="1"/>
  <c r="M366" i="1"/>
  <c r="N366" i="1"/>
  <c r="V366" i="1" s="1"/>
  <c r="M342" i="1"/>
  <c r="N342" i="1"/>
  <c r="V342" i="1" s="1"/>
  <c r="M318" i="1"/>
  <c r="N318" i="1"/>
  <c r="V318" i="1" s="1"/>
  <c r="M278" i="1"/>
  <c r="N278" i="1"/>
  <c r="V278" i="1" s="1"/>
  <c r="M270" i="1"/>
  <c r="N270" i="1"/>
  <c r="V270" i="1" s="1"/>
  <c r="M262" i="1"/>
  <c r="N262" i="1"/>
  <c r="V262" i="1" s="1"/>
  <c r="M254" i="1"/>
  <c r="N254" i="1"/>
  <c r="V254" i="1" s="1"/>
  <c r="M246" i="1"/>
  <c r="N246" i="1"/>
  <c r="V246" i="1" s="1"/>
  <c r="M214" i="1"/>
  <c r="N214" i="1"/>
  <c r="V214" i="1" s="1"/>
  <c r="M198" i="1"/>
  <c r="N198" i="1"/>
  <c r="V198" i="1" s="1"/>
  <c r="M174" i="1"/>
  <c r="N174" i="1"/>
  <c r="V174" i="1" s="1"/>
  <c r="M150" i="1"/>
  <c r="N150" i="1"/>
  <c r="V150" i="1" s="1"/>
  <c r="M142" i="1"/>
  <c r="N142" i="1"/>
  <c r="V142" i="1" s="1"/>
  <c r="M126" i="1"/>
  <c r="N126" i="1"/>
  <c r="V126" i="1" s="1"/>
  <c r="M110" i="1"/>
  <c r="N110" i="1"/>
  <c r="V110" i="1" s="1"/>
  <c r="M94" i="1"/>
  <c r="N94" i="1"/>
  <c r="V94" i="1" s="1"/>
  <c r="M70" i="1"/>
  <c r="N70" i="1"/>
  <c r="V70" i="1" s="1"/>
  <c r="M62" i="1"/>
  <c r="N62" i="1"/>
  <c r="V62" i="1" s="1"/>
  <c r="M46" i="1"/>
  <c r="N46" i="1"/>
  <c r="V46" i="1" s="1"/>
  <c r="M38" i="1"/>
  <c r="N38" i="1"/>
  <c r="V38" i="1" s="1"/>
  <c r="M22" i="1"/>
  <c r="N22" i="1"/>
  <c r="V22" i="1" s="1"/>
  <c r="M6" i="1"/>
  <c r="N6" i="1"/>
  <c r="V6" i="1" s="1"/>
  <c r="M397" i="1"/>
  <c r="N397" i="1"/>
  <c r="V397" i="1" s="1"/>
  <c r="M373" i="1"/>
  <c r="N373" i="1"/>
  <c r="V373" i="1" s="1"/>
  <c r="M349" i="1"/>
  <c r="N349" i="1"/>
  <c r="V349" i="1" s="1"/>
  <c r="M293" i="1"/>
  <c r="N293" i="1"/>
  <c r="V293" i="1" s="1"/>
  <c r="M261" i="1"/>
  <c r="N261" i="1"/>
  <c r="V261" i="1" s="1"/>
  <c r="M253" i="1"/>
  <c r="N253" i="1"/>
  <c r="V253" i="1" s="1"/>
  <c r="M245" i="1"/>
  <c r="N245" i="1"/>
  <c r="V245" i="1" s="1"/>
  <c r="M237" i="1"/>
  <c r="N237" i="1"/>
  <c r="V237" i="1" s="1"/>
  <c r="M229" i="1"/>
  <c r="N229" i="1"/>
  <c r="V229" i="1" s="1"/>
  <c r="M221" i="1"/>
  <c r="N221" i="1"/>
  <c r="V221" i="1" s="1"/>
  <c r="M213" i="1"/>
  <c r="N213" i="1"/>
  <c r="V213" i="1" s="1"/>
  <c r="M205" i="1"/>
  <c r="N205" i="1"/>
  <c r="V205" i="1" s="1"/>
  <c r="M197" i="1"/>
  <c r="N197" i="1"/>
  <c r="V197" i="1" s="1"/>
  <c r="M189" i="1"/>
  <c r="N189" i="1"/>
  <c r="V189" i="1" s="1"/>
  <c r="M181" i="1"/>
  <c r="N181" i="1"/>
  <c r="V181" i="1" s="1"/>
  <c r="M173" i="1"/>
  <c r="N173" i="1"/>
  <c r="V173" i="1" s="1"/>
  <c r="M165" i="1"/>
  <c r="N165" i="1"/>
  <c r="V165" i="1" s="1"/>
  <c r="M157" i="1"/>
  <c r="N157" i="1"/>
  <c r="V157" i="1" s="1"/>
  <c r="M149" i="1"/>
  <c r="N149" i="1"/>
  <c r="V149" i="1" s="1"/>
  <c r="M141" i="1"/>
  <c r="N141" i="1"/>
  <c r="V141" i="1" s="1"/>
  <c r="M133" i="1"/>
  <c r="N133" i="1"/>
  <c r="V133" i="1" s="1"/>
  <c r="M125" i="1"/>
  <c r="N125" i="1"/>
  <c r="V125" i="1" s="1"/>
  <c r="M117" i="1"/>
  <c r="N117" i="1"/>
  <c r="V117" i="1" s="1"/>
  <c r="M109" i="1"/>
  <c r="N109" i="1"/>
  <c r="V109" i="1" s="1"/>
  <c r="M101" i="1"/>
  <c r="N101" i="1"/>
  <c r="V101" i="1" s="1"/>
  <c r="M93" i="1"/>
  <c r="N93" i="1"/>
  <c r="V93" i="1" s="1"/>
  <c r="M85" i="1"/>
  <c r="N85" i="1"/>
  <c r="V85" i="1" s="1"/>
  <c r="M77" i="1"/>
  <c r="N77" i="1"/>
  <c r="V77" i="1" s="1"/>
  <c r="M69" i="1"/>
  <c r="N69" i="1"/>
  <c r="V69" i="1" s="1"/>
  <c r="M61" i="1"/>
  <c r="N61" i="1"/>
  <c r="V61" i="1" s="1"/>
  <c r="M53" i="1"/>
  <c r="N53" i="1"/>
  <c r="V53" i="1" s="1"/>
  <c r="M45" i="1"/>
  <c r="N45" i="1"/>
  <c r="V45" i="1" s="1"/>
  <c r="M37" i="1"/>
  <c r="N37" i="1"/>
  <c r="V37" i="1" s="1"/>
  <c r="M29" i="1"/>
  <c r="N29" i="1"/>
  <c r="V29" i="1" s="1"/>
  <c r="M21" i="1"/>
  <c r="N21" i="1"/>
  <c r="V21" i="1" s="1"/>
  <c r="M13" i="1"/>
  <c r="N13" i="1"/>
  <c r="V13" i="1" s="1"/>
  <c r="M5" i="1"/>
  <c r="N5" i="1"/>
  <c r="V5" i="1" s="1"/>
  <c r="M502" i="1"/>
  <c r="M496" i="1"/>
  <c r="M489" i="1"/>
  <c r="M482" i="1"/>
  <c r="M474" i="1"/>
  <c r="M466" i="1"/>
  <c r="M458" i="1"/>
  <c r="M450" i="1"/>
  <c r="M442" i="1"/>
  <c r="M434" i="1"/>
  <c r="Q434" i="1" s="1"/>
  <c r="M426" i="1"/>
  <c r="M418" i="1"/>
  <c r="Q418" i="1" s="1"/>
  <c r="N408" i="1"/>
  <c r="V408" i="1" s="1"/>
  <c r="N394" i="1"/>
  <c r="N377" i="1"/>
  <c r="V377" i="1" s="1"/>
  <c r="M365" i="1"/>
  <c r="N346" i="1"/>
  <c r="V346" i="1" s="1"/>
  <c r="M334" i="1"/>
  <c r="M317" i="1"/>
  <c r="N304" i="1"/>
  <c r="V304" i="1" s="1"/>
  <c r="N290" i="1"/>
  <c r="V290" i="1" s="1"/>
  <c r="M286" i="1"/>
  <c r="M272" i="1"/>
  <c r="N256" i="1"/>
  <c r="V256" i="1" s="1"/>
  <c r="N230" i="1"/>
  <c r="V230" i="1" s="1"/>
  <c r="N210" i="1"/>
  <c r="N193" i="1"/>
  <c r="V193" i="1" s="1"/>
  <c r="M169" i="1"/>
  <c r="Q169" i="1" s="1"/>
  <c r="N152" i="1"/>
  <c r="V152" i="1" s="1"/>
  <c r="N106" i="1"/>
  <c r="V106" i="1" s="1"/>
  <c r="N89" i="1"/>
  <c r="N48" i="1"/>
  <c r="V48" i="1" s="1"/>
  <c r="N30" i="1"/>
  <c r="M60" i="1"/>
  <c r="N60" i="1"/>
  <c r="V60" i="1" s="1"/>
  <c r="M52" i="1"/>
  <c r="N52" i="1"/>
  <c r="V52" i="1" s="1"/>
  <c r="M44" i="1"/>
  <c r="N44" i="1"/>
  <c r="V44" i="1" s="1"/>
  <c r="M36" i="1"/>
  <c r="N36" i="1"/>
  <c r="V36" i="1" s="1"/>
  <c r="M28" i="1"/>
  <c r="N28" i="1"/>
  <c r="V28" i="1" s="1"/>
  <c r="M20" i="1"/>
  <c r="N20" i="1"/>
  <c r="V20" i="1" s="1"/>
  <c r="M12" i="1"/>
  <c r="N12" i="1"/>
  <c r="V12" i="1" s="1"/>
  <c r="M4" i="1"/>
  <c r="N4" i="1"/>
  <c r="V4" i="1" s="1"/>
  <c r="M406" i="1"/>
  <c r="N362" i="1"/>
  <c r="N314" i="1"/>
  <c r="M302" i="1"/>
  <c r="N250" i="1"/>
  <c r="V250" i="1" s="1"/>
  <c r="N166" i="1"/>
  <c r="V166" i="1" s="1"/>
  <c r="N146" i="1"/>
  <c r="V146" i="1" s="1"/>
  <c r="N42" i="1"/>
  <c r="V42" i="1" s="1"/>
  <c r="M483" i="1"/>
  <c r="N483" i="1"/>
  <c r="V483" i="1" s="1"/>
  <c r="M475" i="1"/>
  <c r="N475" i="1"/>
  <c r="V475" i="1" s="1"/>
  <c r="M467" i="1"/>
  <c r="N467" i="1"/>
  <c r="V467" i="1" s="1"/>
  <c r="M459" i="1"/>
  <c r="N459" i="1"/>
  <c r="V459" i="1" s="1"/>
  <c r="M451" i="1"/>
  <c r="N451" i="1"/>
  <c r="V451" i="1" s="1"/>
  <c r="M443" i="1"/>
  <c r="N443" i="1"/>
  <c r="V443" i="1" s="1"/>
  <c r="M435" i="1"/>
  <c r="N435" i="1"/>
  <c r="V435" i="1" s="1"/>
  <c r="M427" i="1"/>
  <c r="N427" i="1"/>
  <c r="V427" i="1" s="1"/>
  <c r="M419" i="1"/>
  <c r="N419" i="1"/>
  <c r="V419" i="1" s="1"/>
  <c r="M411" i="1"/>
  <c r="N411" i="1"/>
  <c r="V411" i="1" s="1"/>
  <c r="M403" i="1"/>
  <c r="N403" i="1"/>
  <c r="V403" i="1" s="1"/>
  <c r="M395" i="1"/>
  <c r="N395" i="1"/>
  <c r="V395" i="1" s="1"/>
  <c r="M387" i="1"/>
  <c r="N387" i="1"/>
  <c r="V387" i="1" s="1"/>
  <c r="M379" i="1"/>
  <c r="N379" i="1"/>
  <c r="V379" i="1" s="1"/>
  <c r="M371" i="1"/>
  <c r="N371" i="1"/>
  <c r="V371" i="1" s="1"/>
  <c r="M363" i="1"/>
  <c r="N363" i="1"/>
  <c r="V363" i="1" s="1"/>
  <c r="M355" i="1"/>
  <c r="N355" i="1"/>
  <c r="V355" i="1" s="1"/>
  <c r="M347" i="1"/>
  <c r="N347" i="1"/>
  <c r="V347" i="1" s="1"/>
  <c r="M339" i="1"/>
  <c r="N339" i="1"/>
  <c r="V339" i="1" s="1"/>
  <c r="M331" i="1"/>
  <c r="N331" i="1"/>
  <c r="V331" i="1" s="1"/>
  <c r="M323" i="1"/>
  <c r="N323" i="1"/>
  <c r="V323" i="1" s="1"/>
  <c r="M315" i="1"/>
  <c r="N315" i="1"/>
  <c r="V315" i="1" s="1"/>
  <c r="M307" i="1"/>
  <c r="N307" i="1"/>
  <c r="V307" i="1" s="1"/>
  <c r="M299" i="1"/>
  <c r="N299" i="1"/>
  <c r="V299" i="1" s="1"/>
  <c r="M291" i="1"/>
  <c r="N291" i="1"/>
  <c r="V291" i="1" s="1"/>
  <c r="M283" i="1"/>
  <c r="N283" i="1"/>
  <c r="V283" i="1" s="1"/>
  <c r="M275" i="1"/>
  <c r="N275" i="1"/>
  <c r="V275" i="1" s="1"/>
  <c r="M267" i="1"/>
  <c r="N267" i="1"/>
  <c r="V267" i="1" s="1"/>
  <c r="M259" i="1"/>
  <c r="N259" i="1"/>
  <c r="V259" i="1" s="1"/>
  <c r="M251" i="1"/>
  <c r="N251" i="1"/>
  <c r="V251" i="1" s="1"/>
  <c r="M243" i="1"/>
  <c r="N243" i="1"/>
  <c r="V243" i="1" s="1"/>
  <c r="M235" i="1"/>
  <c r="N235" i="1"/>
  <c r="V235" i="1" s="1"/>
  <c r="M227" i="1"/>
  <c r="N227" i="1"/>
  <c r="V227" i="1" s="1"/>
  <c r="M219" i="1"/>
  <c r="N219" i="1"/>
  <c r="V219" i="1" s="1"/>
  <c r="M211" i="1"/>
  <c r="N211" i="1"/>
  <c r="V211" i="1" s="1"/>
  <c r="M203" i="1"/>
  <c r="N203" i="1"/>
  <c r="V203" i="1" s="1"/>
  <c r="M195" i="1"/>
  <c r="N195" i="1"/>
  <c r="V195" i="1" s="1"/>
  <c r="M187" i="1"/>
  <c r="N187" i="1"/>
  <c r="V187" i="1" s="1"/>
  <c r="M179" i="1"/>
  <c r="N179" i="1"/>
  <c r="V179" i="1" s="1"/>
  <c r="M171" i="1"/>
  <c r="N171" i="1"/>
  <c r="V171" i="1" s="1"/>
  <c r="M163" i="1"/>
  <c r="N163" i="1"/>
  <c r="V163" i="1" s="1"/>
  <c r="M155" i="1"/>
  <c r="N155" i="1"/>
  <c r="V155" i="1" s="1"/>
  <c r="M147" i="1"/>
  <c r="N147" i="1"/>
  <c r="V147" i="1" s="1"/>
  <c r="M139" i="1"/>
  <c r="N139" i="1"/>
  <c r="V139" i="1" s="1"/>
  <c r="M131" i="1"/>
  <c r="N131" i="1"/>
  <c r="V131" i="1" s="1"/>
  <c r="M123" i="1"/>
  <c r="N123" i="1"/>
  <c r="V123" i="1" s="1"/>
  <c r="M115" i="1"/>
  <c r="N115" i="1"/>
  <c r="V115" i="1" s="1"/>
  <c r="M107" i="1"/>
  <c r="N107" i="1"/>
  <c r="V107" i="1" s="1"/>
  <c r="M99" i="1"/>
  <c r="N99" i="1"/>
  <c r="V99" i="1" s="1"/>
  <c r="M91" i="1"/>
  <c r="N91" i="1"/>
  <c r="V91" i="1" s="1"/>
  <c r="M83" i="1"/>
  <c r="N83" i="1"/>
  <c r="V83" i="1" s="1"/>
  <c r="M75" i="1"/>
  <c r="N75" i="1"/>
  <c r="V75" i="1" s="1"/>
  <c r="M67" i="1"/>
  <c r="N67" i="1"/>
  <c r="V67" i="1" s="1"/>
  <c r="M59" i="1"/>
  <c r="N59" i="1"/>
  <c r="V59" i="1" s="1"/>
  <c r="M51" i="1"/>
  <c r="N51" i="1"/>
  <c r="V51" i="1" s="1"/>
  <c r="M43" i="1"/>
  <c r="N43" i="1"/>
  <c r="V43" i="1" s="1"/>
  <c r="M35" i="1"/>
  <c r="N35" i="1"/>
  <c r="V35" i="1" s="1"/>
  <c r="M27" i="1"/>
  <c r="N27" i="1"/>
  <c r="V27" i="1" s="1"/>
  <c r="M19" i="1"/>
  <c r="N19" i="1"/>
  <c r="V19" i="1" s="1"/>
  <c r="M11" i="1"/>
  <c r="N11" i="1"/>
  <c r="V11" i="1" s="1"/>
  <c r="M3" i="1"/>
  <c r="N3" i="1"/>
  <c r="V3" i="1" s="1"/>
  <c r="M513" i="1"/>
  <c r="Q513" i="1" s="1"/>
  <c r="N507" i="1"/>
  <c r="M494" i="1"/>
  <c r="N374" i="1"/>
  <c r="N266" i="1"/>
  <c r="V266" i="1" s="1"/>
  <c r="N208" i="1"/>
  <c r="N190" i="1"/>
  <c r="N162" i="1"/>
  <c r="V162" i="1" s="1"/>
  <c r="N104" i="1"/>
  <c r="N86" i="1"/>
  <c r="V86" i="1" s="1"/>
  <c r="M233" i="1"/>
  <c r="N233" i="1"/>
  <c r="V233" i="1" s="1"/>
  <c r="M201" i="1"/>
  <c r="N201" i="1"/>
  <c r="V201" i="1" s="1"/>
  <c r="M505" i="1"/>
  <c r="N499" i="1"/>
  <c r="V499" i="1" s="1"/>
  <c r="M486" i="1"/>
  <c r="M478" i="1"/>
  <c r="M470" i="1"/>
  <c r="M462" i="1"/>
  <c r="M454" i="1"/>
  <c r="M446" i="1"/>
  <c r="M438" i="1"/>
  <c r="M430" i="1"/>
  <c r="M422" i="1"/>
  <c r="M414" i="1"/>
  <c r="N401" i="1"/>
  <c r="V401" i="1" s="1"/>
  <c r="M389" i="1"/>
  <c r="N384" i="1"/>
  <c r="N370" i="1"/>
  <c r="M358" i="1"/>
  <c r="N353" i="1"/>
  <c r="V353" i="1" s="1"/>
  <c r="M341" i="1"/>
  <c r="N328" i="1"/>
  <c r="V328" i="1" s="1"/>
  <c r="M310" i="1"/>
  <c r="N297" i="1"/>
  <c r="N280" i="1"/>
  <c r="N258" i="1"/>
  <c r="V258" i="1" s="1"/>
  <c r="N241" i="1"/>
  <c r="V241" i="1" s="1"/>
  <c r="M225" i="1"/>
  <c r="N200" i="1"/>
  <c r="V200" i="1" s="1"/>
  <c r="N182" i="1"/>
  <c r="V182" i="1" s="1"/>
  <c r="N137" i="1"/>
  <c r="V137" i="1" s="1"/>
  <c r="M121" i="1"/>
  <c r="Q121" i="1" s="1"/>
  <c r="N78" i="1"/>
  <c r="V78" i="1" s="1"/>
  <c r="N58" i="1"/>
  <c r="V58" i="1" s="1"/>
  <c r="M17" i="1"/>
  <c r="M402" i="1"/>
  <c r="N402" i="1"/>
  <c r="V402" i="1" s="1"/>
  <c r="M242" i="1"/>
  <c r="N242" i="1"/>
  <c r="V242" i="1" s="1"/>
  <c r="M138" i="1"/>
  <c r="N138" i="1"/>
  <c r="V138" i="1" s="1"/>
  <c r="M90" i="1"/>
  <c r="N90" i="1"/>
  <c r="V90" i="1" s="1"/>
  <c r="M34" i="1"/>
  <c r="N34" i="1"/>
  <c r="V34" i="1" s="1"/>
  <c r="M506" i="1"/>
  <c r="N282" i="1"/>
  <c r="V282" i="1" s="1"/>
  <c r="N102" i="1"/>
  <c r="V102" i="1" s="1"/>
  <c r="N82" i="1"/>
  <c r="M409" i="1"/>
  <c r="N409" i="1"/>
  <c r="V409" i="1" s="1"/>
  <c r="M385" i="1"/>
  <c r="N385" i="1"/>
  <c r="V385" i="1" s="1"/>
  <c r="M281" i="1"/>
  <c r="N281" i="1"/>
  <c r="V281" i="1" s="1"/>
  <c r="N273" i="1"/>
  <c r="V273" i="1" s="1"/>
  <c r="M273" i="1"/>
  <c r="M257" i="1"/>
  <c r="N257" i="1"/>
  <c r="V257" i="1" s="1"/>
  <c r="M153" i="1"/>
  <c r="N153" i="1"/>
  <c r="V153" i="1" s="1"/>
  <c r="M81" i="1"/>
  <c r="N81" i="1"/>
  <c r="V81" i="1" s="1"/>
  <c r="M33" i="1"/>
  <c r="N33" i="1"/>
  <c r="V33" i="1" s="1"/>
  <c r="M360" i="1"/>
  <c r="N360" i="1"/>
  <c r="V360" i="1" s="1"/>
  <c r="M336" i="1"/>
  <c r="N336" i="1"/>
  <c r="V336" i="1" s="1"/>
  <c r="M312" i="1"/>
  <c r="N312" i="1"/>
  <c r="V312" i="1" s="1"/>
  <c r="M288" i="1"/>
  <c r="N288" i="1"/>
  <c r="V288" i="1" s="1"/>
  <c r="M264" i="1"/>
  <c r="N264" i="1"/>
  <c r="V264" i="1" s="1"/>
  <c r="M248" i="1"/>
  <c r="N248" i="1"/>
  <c r="V248" i="1" s="1"/>
  <c r="M232" i="1"/>
  <c r="N232" i="1"/>
  <c r="V232" i="1" s="1"/>
  <c r="M224" i="1"/>
  <c r="N224" i="1"/>
  <c r="V224" i="1" s="1"/>
  <c r="M216" i="1"/>
  <c r="N216" i="1"/>
  <c r="V216" i="1" s="1"/>
  <c r="M184" i="1"/>
  <c r="N184" i="1"/>
  <c r="V184" i="1" s="1"/>
  <c r="M168" i="1"/>
  <c r="N168" i="1"/>
  <c r="V168" i="1" s="1"/>
  <c r="M144" i="1"/>
  <c r="N144" i="1"/>
  <c r="V144" i="1" s="1"/>
  <c r="M120" i="1"/>
  <c r="N120" i="1"/>
  <c r="V120" i="1" s="1"/>
  <c r="M112" i="1"/>
  <c r="N112" i="1"/>
  <c r="V112" i="1" s="1"/>
  <c r="M96" i="1"/>
  <c r="N96" i="1"/>
  <c r="V96" i="1" s="1"/>
  <c r="M80" i="1"/>
  <c r="N80" i="1"/>
  <c r="V80" i="1" s="1"/>
  <c r="M64" i="1"/>
  <c r="N64" i="1"/>
  <c r="V64" i="1" s="1"/>
  <c r="M40" i="1"/>
  <c r="N40" i="1"/>
  <c r="V40" i="1" s="1"/>
  <c r="M32" i="1"/>
  <c r="N32" i="1"/>
  <c r="V32" i="1" s="1"/>
  <c r="M16" i="1"/>
  <c r="N16" i="1"/>
  <c r="V16" i="1" s="1"/>
  <c r="M8" i="1"/>
  <c r="N8" i="1"/>
  <c r="V8" i="1" s="1"/>
  <c r="N511" i="1"/>
  <c r="V511" i="1" s="1"/>
  <c r="N504" i="1"/>
  <c r="M498" i="1"/>
  <c r="M485" i="1"/>
  <c r="M477" i="1"/>
  <c r="M469" i="1"/>
  <c r="M461" i="1"/>
  <c r="M453" i="1"/>
  <c r="M445" i="1"/>
  <c r="Q445" i="1" s="1"/>
  <c r="M437" i="1"/>
  <c r="M429" i="1"/>
  <c r="Q429" i="1" s="1"/>
  <c r="M421" i="1"/>
  <c r="M413" i="1"/>
  <c r="N400" i="1"/>
  <c r="N386" i="1"/>
  <c r="M382" i="1"/>
  <c r="N369" i="1"/>
  <c r="V369" i="1" s="1"/>
  <c r="M357" i="1"/>
  <c r="N352" i="1"/>
  <c r="N338" i="1"/>
  <c r="M326" i="1"/>
  <c r="N321" i="1"/>
  <c r="M309" i="1"/>
  <c r="N296" i="1"/>
  <c r="V296" i="1" s="1"/>
  <c r="N277" i="1"/>
  <c r="V277" i="1" s="1"/>
  <c r="N240" i="1"/>
  <c r="V240" i="1" s="1"/>
  <c r="N222" i="1"/>
  <c r="V222" i="1" s="1"/>
  <c r="N194" i="1"/>
  <c r="V194" i="1" s="1"/>
  <c r="N177" i="1"/>
  <c r="V177" i="1" s="1"/>
  <c r="M161" i="1"/>
  <c r="N136" i="1"/>
  <c r="V136" i="1" s="1"/>
  <c r="N118" i="1"/>
  <c r="V118" i="1" s="1"/>
  <c r="N73" i="1"/>
  <c r="M57" i="1"/>
  <c r="N14" i="1"/>
  <c r="V14" i="1" s="1"/>
  <c r="M378" i="1"/>
  <c r="N378" i="1"/>
  <c r="V378" i="1" s="1"/>
  <c r="M322" i="1"/>
  <c r="N322" i="1"/>
  <c r="V322" i="1" s="1"/>
  <c r="M298" i="1"/>
  <c r="N298" i="1"/>
  <c r="V298" i="1" s="1"/>
  <c r="M274" i="1"/>
  <c r="N274" i="1"/>
  <c r="V274" i="1" s="1"/>
  <c r="M226" i="1"/>
  <c r="N226" i="1"/>
  <c r="V226" i="1" s="1"/>
  <c r="M202" i="1"/>
  <c r="N202" i="1"/>
  <c r="V202" i="1" s="1"/>
  <c r="M178" i="1"/>
  <c r="N178" i="1"/>
  <c r="V178" i="1" s="1"/>
  <c r="M170" i="1"/>
  <c r="N170" i="1"/>
  <c r="V170" i="1" s="1"/>
  <c r="M154" i="1"/>
  <c r="N154" i="1"/>
  <c r="V154" i="1" s="1"/>
  <c r="M122" i="1"/>
  <c r="N122" i="1"/>
  <c r="V122" i="1" s="1"/>
  <c r="M98" i="1"/>
  <c r="N98" i="1"/>
  <c r="V98" i="1" s="1"/>
  <c r="M74" i="1"/>
  <c r="N74" i="1"/>
  <c r="V74" i="1" s="1"/>
  <c r="M66" i="1"/>
  <c r="N66" i="1"/>
  <c r="V66" i="1" s="1"/>
  <c r="M50" i="1"/>
  <c r="N50" i="1"/>
  <c r="V50" i="1" s="1"/>
  <c r="M26" i="1"/>
  <c r="N26" i="1"/>
  <c r="V26" i="1" s="1"/>
  <c r="M18" i="1"/>
  <c r="N18" i="1"/>
  <c r="V18" i="1" s="1"/>
  <c r="N330" i="1"/>
  <c r="N206" i="1"/>
  <c r="V206" i="1" s="1"/>
  <c r="N186" i="1"/>
  <c r="M329" i="1"/>
  <c r="N329" i="1"/>
  <c r="V329" i="1" s="1"/>
  <c r="M305" i="1"/>
  <c r="N305" i="1"/>
  <c r="V305" i="1" s="1"/>
  <c r="M185" i="1"/>
  <c r="N185" i="1"/>
  <c r="V185" i="1" s="1"/>
  <c r="M49" i="1"/>
  <c r="N49" i="1"/>
  <c r="V49" i="1" s="1"/>
  <c r="M479" i="1"/>
  <c r="N479" i="1"/>
  <c r="V479" i="1" s="1"/>
  <c r="M471" i="1"/>
  <c r="N471" i="1"/>
  <c r="V471" i="1" s="1"/>
  <c r="M463" i="1"/>
  <c r="N463" i="1"/>
  <c r="V463" i="1" s="1"/>
  <c r="M455" i="1"/>
  <c r="N455" i="1"/>
  <c r="V455" i="1" s="1"/>
  <c r="M447" i="1"/>
  <c r="N447" i="1"/>
  <c r="V447" i="1" s="1"/>
  <c r="M439" i="1"/>
  <c r="N439" i="1"/>
  <c r="V439" i="1" s="1"/>
  <c r="M431" i="1"/>
  <c r="N431" i="1"/>
  <c r="V431" i="1" s="1"/>
  <c r="M423" i="1"/>
  <c r="N423" i="1"/>
  <c r="V423" i="1" s="1"/>
  <c r="M415" i="1"/>
  <c r="N415" i="1"/>
  <c r="V415" i="1" s="1"/>
  <c r="M407" i="1"/>
  <c r="N407" i="1"/>
  <c r="V407" i="1" s="1"/>
  <c r="M399" i="1"/>
  <c r="N399" i="1"/>
  <c r="V399" i="1" s="1"/>
  <c r="M391" i="1"/>
  <c r="N391" i="1"/>
  <c r="V391" i="1" s="1"/>
  <c r="M383" i="1"/>
  <c r="N383" i="1"/>
  <c r="V383" i="1" s="1"/>
  <c r="M375" i="1"/>
  <c r="N375" i="1"/>
  <c r="V375" i="1" s="1"/>
  <c r="M367" i="1"/>
  <c r="N367" i="1"/>
  <c r="V367" i="1" s="1"/>
  <c r="M359" i="1"/>
  <c r="N359" i="1"/>
  <c r="V359" i="1" s="1"/>
  <c r="M351" i="1"/>
  <c r="N351" i="1"/>
  <c r="V351" i="1" s="1"/>
  <c r="M343" i="1"/>
  <c r="N343" i="1"/>
  <c r="V343" i="1" s="1"/>
  <c r="M335" i="1"/>
  <c r="N335" i="1"/>
  <c r="V335" i="1" s="1"/>
  <c r="M327" i="1"/>
  <c r="N327" i="1"/>
  <c r="V327" i="1" s="1"/>
  <c r="M319" i="1"/>
  <c r="N319" i="1"/>
  <c r="V319" i="1" s="1"/>
  <c r="M311" i="1"/>
  <c r="N311" i="1"/>
  <c r="V311" i="1" s="1"/>
  <c r="M303" i="1"/>
  <c r="N303" i="1"/>
  <c r="V303" i="1" s="1"/>
  <c r="M295" i="1"/>
  <c r="N295" i="1"/>
  <c r="V295" i="1" s="1"/>
  <c r="M287" i="1"/>
  <c r="N287" i="1"/>
  <c r="V287" i="1" s="1"/>
  <c r="M279" i="1"/>
  <c r="N279" i="1"/>
  <c r="V279" i="1" s="1"/>
  <c r="M271" i="1"/>
  <c r="N271" i="1"/>
  <c r="V271" i="1" s="1"/>
  <c r="M263" i="1"/>
  <c r="N263" i="1"/>
  <c r="V263" i="1" s="1"/>
  <c r="M255" i="1"/>
  <c r="N255" i="1"/>
  <c r="V255" i="1" s="1"/>
  <c r="M247" i="1"/>
  <c r="N247" i="1"/>
  <c r="V247" i="1" s="1"/>
  <c r="M239" i="1"/>
  <c r="N239" i="1"/>
  <c r="V239" i="1" s="1"/>
  <c r="M231" i="1"/>
  <c r="N231" i="1"/>
  <c r="V231" i="1" s="1"/>
  <c r="M223" i="1"/>
  <c r="N223" i="1"/>
  <c r="V223" i="1" s="1"/>
  <c r="M215" i="1"/>
  <c r="N215" i="1"/>
  <c r="V215" i="1" s="1"/>
  <c r="M207" i="1"/>
  <c r="N207" i="1"/>
  <c r="V207" i="1" s="1"/>
  <c r="M199" i="1"/>
  <c r="N199" i="1"/>
  <c r="V199" i="1" s="1"/>
  <c r="M191" i="1"/>
  <c r="N191" i="1"/>
  <c r="V191" i="1" s="1"/>
  <c r="M183" i="1"/>
  <c r="N183" i="1"/>
  <c r="V183" i="1" s="1"/>
  <c r="M175" i="1"/>
  <c r="N175" i="1"/>
  <c r="V175" i="1" s="1"/>
  <c r="M167" i="1"/>
  <c r="N167" i="1"/>
  <c r="V167" i="1" s="1"/>
  <c r="M159" i="1"/>
  <c r="N159" i="1"/>
  <c r="V159" i="1" s="1"/>
  <c r="M151" i="1"/>
  <c r="N151" i="1"/>
  <c r="V151" i="1" s="1"/>
  <c r="M143" i="1"/>
  <c r="N143" i="1"/>
  <c r="V143" i="1" s="1"/>
  <c r="M135" i="1"/>
  <c r="N135" i="1"/>
  <c r="V135" i="1" s="1"/>
  <c r="M127" i="1"/>
  <c r="N127" i="1"/>
  <c r="V127" i="1" s="1"/>
  <c r="M119" i="1"/>
  <c r="N119" i="1"/>
  <c r="V119" i="1" s="1"/>
  <c r="M111" i="1"/>
  <c r="N111" i="1"/>
  <c r="V111" i="1" s="1"/>
  <c r="M103" i="1"/>
  <c r="N103" i="1"/>
  <c r="V103" i="1" s="1"/>
  <c r="M95" i="1"/>
  <c r="N95" i="1"/>
  <c r="V95" i="1" s="1"/>
  <c r="M87" i="1"/>
  <c r="N87" i="1"/>
  <c r="V87" i="1" s="1"/>
  <c r="M79" i="1"/>
  <c r="N79" i="1"/>
  <c r="V79" i="1" s="1"/>
  <c r="M71" i="1"/>
  <c r="N71" i="1"/>
  <c r="V71" i="1" s="1"/>
  <c r="M63" i="1"/>
  <c r="N63" i="1"/>
  <c r="V63" i="1" s="1"/>
  <c r="M55" i="1"/>
  <c r="N55" i="1"/>
  <c r="V55" i="1" s="1"/>
  <c r="M47" i="1"/>
  <c r="N47" i="1"/>
  <c r="V47" i="1" s="1"/>
  <c r="M39" i="1"/>
  <c r="N39" i="1"/>
  <c r="V39" i="1" s="1"/>
  <c r="M31" i="1"/>
  <c r="N31" i="1"/>
  <c r="V31" i="1" s="1"/>
  <c r="M23" i="1"/>
  <c r="N23" i="1"/>
  <c r="V23" i="1" s="1"/>
  <c r="M15" i="1"/>
  <c r="N15" i="1"/>
  <c r="V15" i="1" s="1"/>
  <c r="M7" i="1"/>
  <c r="N7" i="1"/>
  <c r="V7" i="1" s="1"/>
  <c r="N2" i="1"/>
  <c r="V2" i="1" s="1"/>
  <c r="M510" i="1"/>
  <c r="M497" i="1"/>
  <c r="N491" i="1"/>
  <c r="V491" i="1" s="1"/>
  <c r="N398" i="1"/>
  <c r="V398" i="1" s="1"/>
  <c r="N381" i="1"/>
  <c r="V381" i="1" s="1"/>
  <c r="N350" i="1"/>
  <c r="N325" i="1"/>
  <c r="V325" i="1" s="1"/>
  <c r="N294" i="1"/>
  <c r="V294" i="1" s="1"/>
  <c r="N238" i="1"/>
  <c r="V238" i="1" s="1"/>
  <c r="N218" i="1"/>
  <c r="N160" i="1"/>
  <c r="V160" i="1" s="1"/>
  <c r="N134" i="1"/>
  <c r="V134" i="1" s="1"/>
  <c r="N114" i="1"/>
  <c r="N97" i="1"/>
  <c r="V97" i="1" s="1"/>
  <c r="N56" i="1"/>
  <c r="V56" i="1" s="1"/>
  <c r="N10" i="1"/>
  <c r="M509" i="1"/>
  <c r="N503" i="1"/>
  <c r="V503" i="1" s="1"/>
  <c r="M490" i="1"/>
  <c r="N410" i="1"/>
  <c r="N368" i="1"/>
  <c r="N354" i="1"/>
  <c r="V354" i="1" s="1"/>
  <c r="N337" i="1"/>
  <c r="N320" i="1"/>
  <c r="N306" i="1"/>
  <c r="V306" i="1" s="1"/>
  <c r="N289" i="1"/>
  <c r="V289" i="1" s="1"/>
  <c r="N234" i="1"/>
  <c r="N217" i="1"/>
  <c r="N176" i="1"/>
  <c r="N158" i="1"/>
  <c r="N130" i="1"/>
  <c r="V130" i="1" s="1"/>
  <c r="N113" i="1"/>
  <c r="V113" i="1" s="1"/>
  <c r="N72" i="1"/>
  <c r="N54" i="1"/>
  <c r="V54" i="1" s="1"/>
  <c r="N9" i="1"/>
  <c r="Q448" i="1" l="1"/>
  <c r="Q493" i="1"/>
  <c r="Q481" i="1"/>
  <c r="Q453" i="1"/>
  <c r="Q446" i="1"/>
  <c r="Q442" i="1"/>
  <c r="Q466" i="1"/>
  <c r="Q413" i="1"/>
  <c r="Q462" i="1"/>
  <c r="Q505" i="1"/>
  <c r="Q310" i="1"/>
  <c r="Q326" i="1"/>
  <c r="Q477" i="1"/>
  <c r="Q485" i="1"/>
  <c r="Q470" i="1"/>
  <c r="Q286" i="1"/>
  <c r="Q497" i="1"/>
  <c r="Q225" i="1"/>
  <c r="Q430" i="1"/>
  <c r="Q317" i="1"/>
  <c r="Q489" i="1"/>
  <c r="Q406" i="1"/>
  <c r="Q309" i="1"/>
  <c r="Q502" i="1"/>
  <c r="Q456" i="1"/>
  <c r="Q438" i="1"/>
  <c r="Q161" i="1"/>
  <c r="Q469" i="1"/>
  <c r="Q454" i="1"/>
  <c r="Q17" i="1"/>
  <c r="Q365" i="1"/>
  <c r="Q425" i="1"/>
  <c r="Q273" i="1"/>
  <c r="Q510" i="1"/>
  <c r="Q382" i="1"/>
  <c r="Q496" i="1"/>
  <c r="Q461" i="1"/>
  <c r="Q421" i="1"/>
  <c r="Q506" i="1"/>
  <c r="Q414" i="1"/>
  <c r="Q478" i="1"/>
  <c r="Q302" i="1"/>
  <c r="Q474" i="1"/>
  <c r="Q501" i="1"/>
  <c r="Q440" i="1"/>
  <c r="Q490" i="1"/>
  <c r="Q357" i="1"/>
  <c r="Q437" i="1"/>
  <c r="Q341" i="1"/>
  <c r="Q422" i="1"/>
  <c r="Q486" i="1"/>
  <c r="Q482" i="1"/>
  <c r="Q464" i="1"/>
  <c r="Q426" i="1"/>
  <c r="Q457" i="1"/>
  <c r="Q209" i="1"/>
  <c r="Q416" i="1"/>
  <c r="Q465" i="1"/>
  <c r="Q301" i="1"/>
  <c r="Q57" i="1"/>
  <c r="Q433" i="1"/>
  <c r="Q249" i="1"/>
  <c r="Q509" i="1"/>
  <c r="Q358" i="1"/>
  <c r="Q334" i="1"/>
  <c r="Q432" i="1"/>
  <c r="Q450" i="1"/>
  <c r="Q389" i="1"/>
  <c r="Q494" i="1"/>
  <c r="Q498" i="1"/>
  <c r="P514" i="1"/>
  <c r="Q514" i="1"/>
  <c r="P537" i="1"/>
  <c r="Q537" i="1"/>
  <c r="P521" i="1"/>
  <c r="Q521" i="1"/>
  <c r="P558" i="1"/>
  <c r="Q558" i="1"/>
  <c r="P566" i="1"/>
  <c r="Q566" i="1"/>
  <c r="P547" i="1"/>
  <c r="Q547" i="1"/>
  <c r="P546" i="1"/>
  <c r="Q546" i="1"/>
  <c r="P555" i="1"/>
  <c r="Q555" i="1"/>
  <c r="P552" i="1"/>
  <c r="Q552" i="1"/>
  <c r="P522" i="1"/>
  <c r="Q522" i="1"/>
  <c r="P527" i="1"/>
  <c r="Q527" i="1"/>
  <c r="P551" i="1"/>
  <c r="Q551" i="1"/>
  <c r="P559" i="1"/>
  <c r="Q559" i="1"/>
  <c r="P532" i="1"/>
  <c r="Q532" i="1"/>
  <c r="P539" i="1"/>
  <c r="Q539" i="1"/>
  <c r="P540" i="1"/>
  <c r="Q540" i="1"/>
  <c r="P571" i="1"/>
  <c r="Q571" i="1"/>
  <c r="P515" i="1"/>
  <c r="Q515" i="1"/>
  <c r="P545" i="1"/>
  <c r="Q545" i="1"/>
  <c r="P534" i="1"/>
  <c r="Q534" i="1"/>
  <c r="P541" i="1"/>
  <c r="Q541" i="1"/>
  <c r="P525" i="1"/>
  <c r="Q525" i="1"/>
  <c r="P524" i="1"/>
  <c r="Q524" i="1"/>
  <c r="P533" i="1"/>
  <c r="Q533" i="1"/>
  <c r="P556" i="1"/>
  <c r="Q556" i="1"/>
  <c r="P520" i="1"/>
  <c r="Q520" i="1"/>
  <c r="P530" i="1"/>
  <c r="Q530" i="1"/>
  <c r="P538" i="1"/>
  <c r="Q538" i="1"/>
  <c r="P548" i="1"/>
  <c r="Q548" i="1"/>
  <c r="P518" i="1"/>
  <c r="Q518" i="1"/>
  <c r="P517" i="1"/>
  <c r="Q517" i="1"/>
  <c r="P526" i="1"/>
  <c r="Q526" i="1"/>
  <c r="Q424" i="1"/>
  <c r="P549" i="1"/>
  <c r="Q549" i="1"/>
  <c r="P564" i="1"/>
  <c r="Q564" i="1"/>
  <c r="P523" i="1"/>
  <c r="Q523" i="1"/>
  <c r="P531" i="1"/>
  <c r="Q531" i="1"/>
  <c r="P553" i="1"/>
  <c r="Q553" i="1"/>
  <c r="P544" i="1"/>
  <c r="Q544" i="1"/>
  <c r="P574" i="1"/>
  <c r="Q574" i="1"/>
  <c r="P519" i="1"/>
  <c r="Q519" i="1"/>
  <c r="Q272" i="1"/>
  <c r="Q458" i="1"/>
  <c r="Q145" i="1"/>
  <c r="Q441" i="1"/>
  <c r="P542" i="1"/>
  <c r="Q542" i="1"/>
  <c r="P557" i="1"/>
  <c r="Q557" i="1"/>
  <c r="P576" i="1"/>
  <c r="Q576" i="1"/>
  <c r="P516" i="1"/>
  <c r="Q516" i="1"/>
  <c r="P536" i="1"/>
  <c r="Q536" i="1"/>
  <c r="P575" i="1"/>
  <c r="Q575" i="1"/>
  <c r="P567" i="1"/>
  <c r="Q567" i="1"/>
  <c r="P528" i="1"/>
  <c r="Q528" i="1"/>
  <c r="Q449" i="1"/>
  <c r="P560" i="1"/>
  <c r="Q560" i="1"/>
  <c r="P535" i="1"/>
  <c r="Q535" i="1"/>
  <c r="P550" i="1"/>
  <c r="Q550" i="1"/>
  <c r="P572" i="1"/>
  <c r="Q572" i="1"/>
  <c r="P568" i="1"/>
  <c r="Q568" i="1"/>
  <c r="P569" i="1"/>
  <c r="Q569" i="1"/>
  <c r="P570" i="1"/>
  <c r="Q570" i="1"/>
  <c r="P577" i="1"/>
  <c r="Q577" i="1"/>
  <c r="P529" i="1"/>
  <c r="Q529" i="1"/>
  <c r="P563" i="1"/>
  <c r="Q563" i="1"/>
  <c r="P543" i="1"/>
  <c r="Q543" i="1"/>
  <c r="P565" i="1"/>
  <c r="Q565" i="1"/>
  <c r="P573" i="1"/>
  <c r="Q573" i="1"/>
  <c r="P554" i="1"/>
  <c r="Q554" i="1"/>
  <c r="P561" i="1"/>
  <c r="Q561" i="1"/>
  <c r="P562" i="1"/>
  <c r="Q562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9" i="1"/>
  <c r="Q185" i="1"/>
  <c r="Q305" i="1"/>
  <c r="Q329" i="1"/>
  <c r="Q18" i="1"/>
  <c r="Q26" i="1"/>
  <c r="Q50" i="1"/>
  <c r="Q66" i="1"/>
  <c r="Q74" i="1"/>
  <c r="Q98" i="1"/>
  <c r="Q122" i="1"/>
  <c r="Q154" i="1"/>
  <c r="Q170" i="1"/>
  <c r="Q178" i="1"/>
  <c r="Q202" i="1"/>
  <c r="Q226" i="1"/>
  <c r="Q274" i="1"/>
  <c r="Q298" i="1"/>
  <c r="Q322" i="1"/>
  <c r="Q378" i="1"/>
  <c r="Q8" i="1"/>
  <c r="Q16" i="1"/>
  <c r="Q32" i="1"/>
  <c r="Q40" i="1"/>
  <c r="Q64" i="1"/>
  <c r="Q80" i="1"/>
  <c r="Q96" i="1"/>
  <c r="Q112" i="1"/>
  <c r="Q120" i="1"/>
  <c r="Q144" i="1"/>
  <c r="Q168" i="1"/>
  <c r="Q184" i="1"/>
  <c r="Q216" i="1"/>
  <c r="Q224" i="1"/>
  <c r="Q232" i="1"/>
  <c r="Q248" i="1"/>
  <c r="Q264" i="1"/>
  <c r="Q288" i="1"/>
  <c r="Q312" i="1"/>
  <c r="Q336" i="1"/>
  <c r="Q360" i="1"/>
  <c r="Q33" i="1"/>
  <c r="Q81" i="1"/>
  <c r="Q153" i="1"/>
  <c r="Q257" i="1"/>
  <c r="Q281" i="1"/>
  <c r="Q385" i="1"/>
  <c r="Q409" i="1"/>
  <c r="Q34" i="1"/>
  <c r="Q90" i="1"/>
  <c r="Q138" i="1"/>
  <c r="Q242" i="1"/>
  <c r="Q402" i="1"/>
  <c r="Q201" i="1"/>
  <c r="Q233" i="1"/>
  <c r="Q3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" i="1"/>
  <c r="Q12" i="1"/>
  <c r="Q20" i="1"/>
  <c r="Q28" i="1"/>
  <c r="Q36" i="1"/>
  <c r="Q44" i="1"/>
  <c r="Q52" i="1"/>
  <c r="Q60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93" i="1"/>
  <c r="Q349" i="1"/>
  <c r="Q373" i="1"/>
  <c r="Q397" i="1"/>
  <c r="Q6" i="1"/>
  <c r="Q22" i="1"/>
  <c r="Q38" i="1"/>
  <c r="Q46" i="1"/>
  <c r="Q62" i="1"/>
  <c r="Q70" i="1"/>
  <c r="Q94" i="1"/>
  <c r="Q110" i="1"/>
  <c r="Q126" i="1"/>
  <c r="Q142" i="1"/>
  <c r="Q150" i="1"/>
  <c r="Q174" i="1"/>
  <c r="Q198" i="1"/>
  <c r="Q214" i="1"/>
  <c r="Q246" i="1"/>
  <c r="Q254" i="1"/>
  <c r="Q262" i="1"/>
  <c r="Q270" i="1"/>
  <c r="Q278" i="1"/>
  <c r="Q318" i="1"/>
  <c r="Q342" i="1"/>
  <c r="Q366" i="1"/>
  <c r="Q39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260" i="1"/>
  <c r="Q268" i="1"/>
  <c r="Q276" i="1"/>
  <c r="Q284" i="1"/>
  <c r="Q292" i="1"/>
  <c r="Q300" i="1"/>
  <c r="Q308" i="1"/>
  <c r="Q316" i="1"/>
  <c r="Q324" i="1"/>
  <c r="Q332" i="1"/>
  <c r="Q340" i="1"/>
  <c r="Q348" i="1"/>
  <c r="Q356" i="1"/>
  <c r="Q364" i="1"/>
  <c r="Q372" i="1"/>
  <c r="Q380" i="1"/>
  <c r="Q388" i="1"/>
  <c r="Q396" i="1"/>
  <c r="Q404" i="1"/>
  <c r="Q412" i="1"/>
  <c r="Q420" i="1"/>
  <c r="Q428" i="1"/>
  <c r="Q436" i="1"/>
  <c r="Q444" i="1"/>
  <c r="Q452" i="1"/>
  <c r="Q460" i="1"/>
  <c r="Q468" i="1"/>
  <c r="Q476" i="1"/>
  <c r="Q484" i="1"/>
  <c r="Q492" i="1"/>
  <c r="Q500" i="1"/>
  <c r="Q508" i="1"/>
  <c r="Q105" i="1"/>
  <c r="Q24" i="1"/>
  <c r="Q48" i="1"/>
  <c r="Q56" i="1"/>
  <c r="Q72" i="1"/>
  <c r="Q88" i="1"/>
  <c r="Q104" i="1"/>
  <c r="Q128" i="1"/>
  <c r="Q136" i="1"/>
  <c r="Q152" i="1"/>
  <c r="Q160" i="1"/>
  <c r="Q176" i="1"/>
  <c r="Q192" i="1"/>
  <c r="Q200" i="1"/>
  <c r="Q208" i="1"/>
  <c r="Q240" i="1"/>
  <c r="Q256" i="1"/>
  <c r="Q280" i="1"/>
  <c r="Q296" i="1"/>
  <c r="Q304" i="1"/>
  <c r="Q320" i="1"/>
  <c r="Q328" i="1"/>
  <c r="Q344" i="1"/>
  <c r="Q352" i="1"/>
  <c r="Q368" i="1"/>
  <c r="Q376" i="1"/>
  <c r="Q384" i="1"/>
  <c r="Q392" i="1"/>
  <c r="Q400" i="1"/>
  <c r="Q408" i="1"/>
  <c r="Q488" i="1"/>
  <c r="Q504" i="1"/>
  <c r="Q512" i="1"/>
  <c r="Q491" i="1"/>
  <c r="Q507" i="1"/>
  <c r="Q269" i="1"/>
  <c r="Q381" i="1"/>
  <c r="Q54" i="1"/>
  <c r="Q102" i="1"/>
  <c r="Q158" i="1"/>
  <c r="Q206" i="1"/>
  <c r="Q294" i="1"/>
  <c r="Q350" i="1"/>
  <c r="Q9" i="1"/>
  <c r="Q25" i="1"/>
  <c r="Q65" i="1"/>
  <c r="Q73" i="1"/>
  <c r="Q89" i="1"/>
  <c r="Q97" i="1"/>
  <c r="Q113" i="1"/>
  <c r="Q129" i="1"/>
  <c r="Q137" i="1"/>
  <c r="Q177" i="1"/>
  <c r="Q193" i="1"/>
  <c r="Q217" i="1"/>
  <c r="Q241" i="1"/>
  <c r="Q265" i="1"/>
  <c r="Q289" i="1"/>
  <c r="Q297" i="1"/>
  <c r="Q313" i="1"/>
  <c r="Q321" i="1"/>
  <c r="Q337" i="1"/>
  <c r="Q345" i="1"/>
  <c r="Q353" i="1"/>
  <c r="Q361" i="1"/>
  <c r="Q369" i="1"/>
  <c r="Q377" i="1"/>
  <c r="Q393" i="1"/>
  <c r="Q401" i="1"/>
  <c r="Q499" i="1"/>
  <c r="Q10" i="1"/>
  <c r="Q42" i="1"/>
  <c r="Q58" i="1"/>
  <c r="Q82" i="1"/>
  <c r="Q106" i="1"/>
  <c r="Q114" i="1"/>
  <c r="Q130" i="1"/>
  <c r="Q146" i="1"/>
  <c r="Q162" i="1"/>
  <c r="Q186" i="1"/>
  <c r="Q194" i="1"/>
  <c r="Q210" i="1"/>
  <c r="Q218" i="1"/>
  <c r="Q234" i="1"/>
  <c r="Q250" i="1"/>
  <c r="Q258" i="1"/>
  <c r="Q266" i="1"/>
  <c r="Q282" i="1"/>
  <c r="Q290" i="1"/>
  <c r="Q306" i="1"/>
  <c r="Q314" i="1"/>
  <c r="Q330" i="1"/>
  <c r="Q338" i="1"/>
  <c r="Q346" i="1"/>
  <c r="Q354" i="1"/>
  <c r="Q362" i="1"/>
  <c r="Q370" i="1"/>
  <c r="Q386" i="1"/>
  <c r="Q394" i="1"/>
  <c r="Q410" i="1"/>
  <c r="Q2" i="1"/>
  <c r="Q277" i="1"/>
  <c r="Q325" i="1"/>
  <c r="Q14" i="1"/>
  <c r="Q30" i="1"/>
  <c r="Q78" i="1"/>
  <c r="Q118" i="1"/>
  <c r="Q166" i="1"/>
  <c r="Q182" i="1"/>
  <c r="Q222" i="1"/>
  <c r="Q230" i="1"/>
  <c r="Q374" i="1"/>
  <c r="Q86" i="1"/>
  <c r="Q134" i="1"/>
  <c r="Q190" i="1"/>
  <c r="Q238" i="1"/>
  <c r="Q398" i="1"/>
  <c r="Q487" i="1"/>
  <c r="Q495" i="1"/>
  <c r="Q503" i="1"/>
  <c r="Q511" i="1"/>
  <c r="Q480" i="1"/>
  <c r="P9" i="1"/>
  <c r="V9" i="1"/>
  <c r="P72" i="1"/>
  <c r="V72" i="1"/>
  <c r="P158" i="1"/>
  <c r="V158" i="1"/>
  <c r="P176" i="1"/>
  <c r="V176" i="1"/>
  <c r="P217" i="1"/>
  <c r="V217" i="1"/>
  <c r="P234" i="1"/>
  <c r="V234" i="1"/>
  <c r="P320" i="1"/>
  <c r="V320" i="1"/>
  <c r="P337" i="1"/>
  <c r="V337" i="1"/>
  <c r="P368" i="1"/>
  <c r="V368" i="1"/>
  <c r="P410" i="1"/>
  <c r="V410" i="1"/>
  <c r="P10" i="1"/>
  <c r="V10" i="1"/>
  <c r="P114" i="1"/>
  <c r="V114" i="1"/>
  <c r="P218" i="1"/>
  <c r="V218" i="1"/>
  <c r="P350" i="1"/>
  <c r="V350" i="1"/>
  <c r="P186" i="1"/>
  <c r="V186" i="1"/>
  <c r="P330" i="1"/>
  <c r="V330" i="1"/>
  <c r="P73" i="1"/>
  <c r="V73" i="1"/>
  <c r="P321" i="1"/>
  <c r="V321" i="1"/>
  <c r="P338" i="1"/>
  <c r="V338" i="1"/>
  <c r="P352" i="1"/>
  <c r="V352" i="1"/>
  <c r="P386" i="1"/>
  <c r="V386" i="1"/>
  <c r="P400" i="1"/>
  <c r="V400" i="1"/>
  <c r="P504" i="1"/>
  <c r="V504" i="1"/>
  <c r="P82" i="1"/>
  <c r="V82" i="1"/>
  <c r="P280" i="1"/>
  <c r="V280" i="1"/>
  <c r="P297" i="1"/>
  <c r="V297" i="1"/>
  <c r="P370" i="1"/>
  <c r="V370" i="1"/>
  <c r="P384" i="1"/>
  <c r="V384" i="1"/>
  <c r="P104" i="1"/>
  <c r="V104" i="1"/>
  <c r="P190" i="1"/>
  <c r="V190" i="1"/>
  <c r="P208" i="1"/>
  <c r="V208" i="1"/>
  <c r="P374" i="1"/>
  <c r="V374" i="1"/>
  <c r="P507" i="1"/>
  <c r="V507" i="1"/>
  <c r="P314" i="1"/>
  <c r="V314" i="1"/>
  <c r="P362" i="1"/>
  <c r="V362" i="1"/>
  <c r="P30" i="1"/>
  <c r="V30" i="1"/>
  <c r="P89" i="1"/>
  <c r="V89" i="1"/>
  <c r="P210" i="1"/>
  <c r="V210" i="1"/>
  <c r="P394" i="1"/>
  <c r="V394" i="1"/>
  <c r="P269" i="1"/>
  <c r="V269" i="1"/>
  <c r="P25" i="1"/>
  <c r="V25" i="1"/>
  <c r="P345" i="1"/>
  <c r="V345" i="1"/>
  <c r="P487" i="1"/>
  <c r="V487" i="1"/>
  <c r="P128" i="1"/>
  <c r="V128" i="1"/>
  <c r="P361" i="1"/>
  <c r="V361" i="1"/>
  <c r="P448" i="1"/>
  <c r="V448" i="1"/>
  <c r="P472" i="1"/>
  <c r="V472" i="1"/>
  <c r="P480" i="1"/>
  <c r="V480" i="1"/>
  <c r="P376" i="1"/>
  <c r="V376" i="1"/>
  <c r="P54" i="1"/>
  <c r="P130" i="1"/>
  <c r="P354" i="1"/>
  <c r="P238" i="1"/>
  <c r="P325" i="1"/>
  <c r="P2" i="1"/>
  <c r="P206" i="1"/>
  <c r="P194" i="1"/>
  <c r="P511" i="1"/>
  <c r="P102" i="1"/>
  <c r="P78" i="1"/>
  <c r="P182" i="1"/>
  <c r="P162" i="1"/>
  <c r="P230" i="1"/>
  <c r="P290" i="1"/>
  <c r="P192" i="1"/>
  <c r="P137" i="1"/>
  <c r="P256" i="1"/>
  <c r="P265" i="1"/>
  <c r="P86" i="1"/>
  <c r="P282" i="1"/>
  <c r="P328" i="1"/>
  <c r="P145" i="1"/>
  <c r="P177" i="1"/>
  <c r="P377" i="1"/>
  <c r="P113" i="1"/>
  <c r="P258" i="1"/>
  <c r="P48" i="1"/>
  <c r="P396" i="1"/>
  <c r="P420" i="1"/>
  <c r="P476" i="1"/>
  <c r="P500" i="1"/>
  <c r="P449" i="1"/>
  <c r="P393" i="1"/>
  <c r="P58" i="1"/>
  <c r="P495" i="1"/>
  <c r="P134" i="1"/>
  <c r="P8" i="1"/>
  <c r="P64" i="1"/>
  <c r="P112" i="1"/>
  <c r="P216" i="1"/>
  <c r="P264" i="1"/>
  <c r="P360" i="1"/>
  <c r="P153" i="1"/>
  <c r="P385" i="1"/>
  <c r="P34" i="1"/>
  <c r="P242" i="1"/>
  <c r="P353" i="1"/>
  <c r="P233" i="1"/>
  <c r="P3" i="1"/>
  <c r="P59" i="1"/>
  <c r="P83" i="1"/>
  <c r="P107" i="1"/>
  <c r="P131" i="1"/>
  <c r="P187" i="1"/>
  <c r="P211" i="1"/>
  <c r="P235" i="1"/>
  <c r="P259" i="1"/>
  <c r="P315" i="1"/>
  <c r="P339" i="1"/>
  <c r="P363" i="1"/>
  <c r="P387" i="1"/>
  <c r="P443" i="1"/>
  <c r="P467" i="1"/>
  <c r="P408" i="1"/>
  <c r="P285" i="1"/>
  <c r="P424" i="1"/>
  <c r="P425" i="1"/>
  <c r="P333" i="1"/>
  <c r="P369" i="1"/>
  <c r="P296" i="1"/>
  <c r="P32" i="1"/>
  <c r="P80" i="1"/>
  <c r="P184" i="1"/>
  <c r="P232" i="1"/>
  <c r="P312" i="1"/>
  <c r="P33" i="1"/>
  <c r="P138" i="1"/>
  <c r="P67" i="1"/>
  <c r="P147" i="1"/>
  <c r="P171" i="1"/>
  <c r="P195" i="1"/>
  <c r="P251" i="1"/>
  <c r="P275" i="1"/>
  <c r="P299" i="1"/>
  <c r="P323" i="1"/>
  <c r="P379" i="1"/>
  <c r="P403" i="1"/>
  <c r="P427" i="1"/>
  <c r="P451" i="1"/>
  <c r="P414" i="1"/>
  <c r="P509" i="1"/>
  <c r="P161" i="1"/>
  <c r="P446" i="1"/>
  <c r="P477" i="1"/>
  <c r="P289" i="1"/>
  <c r="P7" i="1"/>
  <c r="P63" i="1"/>
  <c r="P87" i="1"/>
  <c r="P111" i="1"/>
  <c r="P135" i="1"/>
  <c r="P191" i="1"/>
  <c r="P215" i="1"/>
  <c r="P239" i="1"/>
  <c r="P263" i="1"/>
  <c r="P319" i="1"/>
  <c r="P343" i="1"/>
  <c r="P367" i="1"/>
  <c r="P391" i="1"/>
  <c r="P447" i="1"/>
  <c r="P471" i="1"/>
  <c r="P329" i="1"/>
  <c r="P26" i="1"/>
  <c r="P98" i="1"/>
  <c r="P170" i="1"/>
  <c r="P226" i="1"/>
  <c r="P322" i="1"/>
  <c r="P222" i="1"/>
  <c r="P241" i="1"/>
  <c r="P20" i="1"/>
  <c r="P44" i="1"/>
  <c r="P193" i="1"/>
  <c r="P29" i="1"/>
  <c r="P53" i="1"/>
  <c r="P77" i="1"/>
  <c r="P101" i="1"/>
  <c r="P157" i="1"/>
  <c r="P181" i="1"/>
  <c r="P205" i="1"/>
  <c r="P229" i="1"/>
  <c r="P349" i="1"/>
  <c r="P22" i="1"/>
  <c r="P70" i="1"/>
  <c r="P126" i="1"/>
  <c r="P174" i="1"/>
  <c r="P270" i="1"/>
  <c r="P342" i="1"/>
  <c r="P76" i="1"/>
  <c r="P100" i="1"/>
  <c r="P156" i="1"/>
  <c r="P180" i="1"/>
  <c r="P204" i="1"/>
  <c r="P228" i="1"/>
  <c r="P284" i="1"/>
  <c r="P308" i="1"/>
  <c r="P332" i="1"/>
  <c r="P356" i="1"/>
  <c r="P412" i="1"/>
  <c r="P436" i="1"/>
  <c r="P460" i="1"/>
  <c r="P484" i="1"/>
  <c r="P358" i="1"/>
  <c r="P474" i="1"/>
  <c r="P485" i="1"/>
  <c r="P510" i="1"/>
  <c r="P473" i="1"/>
  <c r="P445" i="1"/>
  <c r="P129" i="1"/>
  <c r="P23" i="1"/>
  <c r="P47" i="1"/>
  <c r="P71" i="1"/>
  <c r="P127" i="1"/>
  <c r="P151" i="1"/>
  <c r="P175" i="1"/>
  <c r="P199" i="1"/>
  <c r="P255" i="1"/>
  <c r="P279" i="1"/>
  <c r="P303" i="1"/>
  <c r="P327" i="1"/>
  <c r="P383" i="1"/>
  <c r="P407" i="1"/>
  <c r="P431" i="1"/>
  <c r="P455" i="1"/>
  <c r="P185" i="1"/>
  <c r="P66" i="1"/>
  <c r="P202" i="1"/>
  <c r="P274" i="1"/>
  <c r="P378" i="1"/>
  <c r="P442" i="1"/>
  <c r="P406" i="1"/>
  <c r="P19" i="1"/>
  <c r="P43" i="1"/>
  <c r="P123" i="1"/>
  <c r="P344" i="1"/>
  <c r="P97" i="1"/>
  <c r="P304" i="1"/>
  <c r="P15" i="1"/>
  <c r="P39" i="1"/>
  <c r="P95" i="1"/>
  <c r="P119" i="1"/>
  <c r="P143" i="1"/>
  <c r="P167" i="1"/>
  <c r="P223" i="1"/>
  <c r="P247" i="1"/>
  <c r="P271" i="1"/>
  <c r="P295" i="1"/>
  <c r="P351" i="1"/>
  <c r="P375" i="1"/>
  <c r="P399" i="1"/>
  <c r="P423" i="1"/>
  <c r="P479" i="1"/>
  <c r="P50" i="1"/>
  <c r="P122" i="1"/>
  <c r="P178" i="1"/>
  <c r="P24" i="1"/>
  <c r="P348" i="1"/>
  <c r="P372" i="1"/>
  <c r="P499" i="1"/>
  <c r="P55" i="1"/>
  <c r="P79" i="1"/>
  <c r="P103" i="1"/>
  <c r="P159" i="1"/>
  <c r="P183" i="1"/>
  <c r="P207" i="1"/>
  <c r="P231" i="1"/>
  <c r="P287" i="1"/>
  <c r="P311" i="1"/>
  <c r="P335" i="1"/>
  <c r="P359" i="1"/>
  <c r="P415" i="1"/>
  <c r="P439" i="1"/>
  <c r="P463" i="1"/>
  <c r="P49" i="1"/>
  <c r="P305" i="1"/>
  <c r="P18" i="1"/>
  <c r="P74" i="1"/>
  <c r="P154" i="1"/>
  <c r="P298" i="1"/>
  <c r="P152" i="1"/>
  <c r="P452" i="1"/>
  <c r="P508" i="1"/>
  <c r="P42" i="1"/>
  <c r="P28" i="1"/>
  <c r="P52" i="1"/>
  <c r="P5" i="1"/>
  <c r="P61" i="1"/>
  <c r="P85" i="1"/>
  <c r="P109" i="1"/>
  <c r="P133" i="1"/>
  <c r="P189" i="1"/>
  <c r="P213" i="1"/>
  <c r="P237" i="1"/>
  <c r="P261" i="1"/>
  <c r="P373" i="1"/>
  <c r="P38" i="1"/>
  <c r="P94" i="1"/>
  <c r="P142" i="1"/>
  <c r="P246" i="1"/>
  <c r="P278" i="1"/>
  <c r="P366" i="1"/>
  <c r="P84" i="1"/>
  <c r="P108" i="1"/>
  <c r="P132" i="1"/>
  <c r="P188" i="1"/>
  <c r="P212" i="1"/>
  <c r="P236" i="1"/>
  <c r="P260" i="1"/>
  <c r="P316" i="1"/>
  <c r="P340" i="1"/>
  <c r="P364" i="1"/>
  <c r="P388" i="1"/>
  <c r="P444" i="1"/>
  <c r="P468" i="1"/>
  <c r="P492" i="1"/>
  <c r="P488" i="1"/>
  <c r="P512" i="1"/>
  <c r="P341" i="1"/>
  <c r="P438" i="1"/>
  <c r="P432" i="1"/>
  <c r="P506" i="1"/>
  <c r="P302" i="1"/>
  <c r="P17" i="1"/>
  <c r="P169" i="1"/>
  <c r="P433" i="1"/>
  <c r="P389" i="1"/>
  <c r="P470" i="1"/>
  <c r="P365" i="1"/>
  <c r="P490" i="1"/>
  <c r="P481" i="1"/>
  <c r="P301" i="1"/>
  <c r="P422" i="1"/>
  <c r="P160" i="1"/>
  <c r="P381" i="1"/>
  <c r="P398" i="1"/>
  <c r="P118" i="1"/>
  <c r="P277" i="1"/>
  <c r="P16" i="1"/>
  <c r="P120" i="1"/>
  <c r="P168" i="1"/>
  <c r="P224" i="1"/>
  <c r="P288" i="1"/>
  <c r="P257" i="1"/>
  <c r="P409" i="1"/>
  <c r="P90" i="1"/>
  <c r="P402" i="1"/>
  <c r="P266" i="1"/>
  <c r="P11" i="1"/>
  <c r="P35" i="1"/>
  <c r="P91" i="1"/>
  <c r="P115" i="1"/>
  <c r="P139" i="1"/>
  <c r="P163" i="1"/>
  <c r="P219" i="1"/>
  <c r="P243" i="1"/>
  <c r="P267" i="1"/>
  <c r="P291" i="1"/>
  <c r="P347" i="1"/>
  <c r="P371" i="1"/>
  <c r="P395" i="1"/>
  <c r="P419" i="1"/>
  <c r="P475" i="1"/>
  <c r="P146" i="1"/>
  <c r="P346" i="1"/>
  <c r="P65" i="1"/>
  <c r="P418" i="1"/>
  <c r="P413" i="1"/>
  <c r="P462" i="1"/>
  <c r="P440" i="1"/>
  <c r="P496" i="1"/>
  <c r="P41" i="1"/>
  <c r="P209" i="1"/>
  <c r="P441" i="1"/>
  <c r="P489" i="1"/>
  <c r="P437" i="1"/>
  <c r="P494" i="1"/>
  <c r="P478" i="1"/>
  <c r="P166" i="1"/>
  <c r="P4" i="1"/>
  <c r="P60" i="1"/>
  <c r="P106" i="1"/>
  <c r="P13" i="1"/>
  <c r="P37" i="1"/>
  <c r="P93" i="1"/>
  <c r="P117" i="1"/>
  <c r="P141" i="1"/>
  <c r="P165" i="1"/>
  <c r="P221" i="1"/>
  <c r="P245" i="1"/>
  <c r="P293" i="1"/>
  <c r="P397" i="1"/>
  <c r="P46" i="1"/>
  <c r="P150" i="1"/>
  <c r="P198" i="1"/>
  <c r="P254" i="1"/>
  <c r="P390" i="1"/>
  <c r="P92" i="1"/>
  <c r="P116" i="1"/>
  <c r="P140" i="1"/>
  <c r="P164" i="1"/>
  <c r="P220" i="1"/>
  <c r="P244" i="1"/>
  <c r="P268" i="1"/>
  <c r="P292" i="1"/>
  <c r="P313" i="1"/>
  <c r="P429" i="1"/>
  <c r="P486" i="1"/>
  <c r="P357" i="1"/>
  <c r="P57" i="1"/>
  <c r="P225" i="1"/>
  <c r="P497" i="1"/>
  <c r="P469" i="1"/>
  <c r="P426" i="1"/>
  <c r="P502" i="1"/>
  <c r="P250" i="1"/>
  <c r="P458" i="1"/>
  <c r="P461" i="1"/>
  <c r="P430" i="1"/>
  <c r="P249" i="1"/>
  <c r="P505" i="1"/>
  <c r="P501" i="1"/>
  <c r="P309" i="1"/>
  <c r="P317" i="1"/>
  <c r="P306" i="1"/>
  <c r="P503" i="1"/>
  <c r="P31" i="1"/>
  <c r="P14" i="1"/>
  <c r="P273" i="1"/>
  <c r="P200" i="1"/>
  <c r="P401" i="1"/>
  <c r="P12" i="1"/>
  <c r="P36" i="1"/>
  <c r="P21" i="1"/>
  <c r="P45" i="1"/>
  <c r="P69" i="1"/>
  <c r="P125" i="1"/>
  <c r="P149" i="1"/>
  <c r="P173" i="1"/>
  <c r="P197" i="1"/>
  <c r="P253" i="1"/>
  <c r="P6" i="1"/>
  <c r="P62" i="1"/>
  <c r="P110" i="1"/>
  <c r="P214" i="1"/>
  <c r="P262" i="1"/>
  <c r="P318" i="1"/>
  <c r="P68" i="1"/>
  <c r="P124" i="1"/>
  <c r="P148" i="1"/>
  <c r="P172" i="1"/>
  <c r="P196" i="1"/>
  <c r="P252" i="1"/>
  <c r="P276" i="1"/>
  <c r="P300" i="1"/>
  <c r="P324" i="1"/>
  <c r="P380" i="1"/>
  <c r="P404" i="1"/>
  <c r="P428" i="1"/>
  <c r="P392" i="1"/>
  <c r="P88" i="1"/>
  <c r="P493" i="1"/>
  <c r="P272" i="1"/>
  <c r="P456" i="1"/>
  <c r="P434" i="1"/>
  <c r="P421" i="1"/>
  <c r="P454" i="1"/>
  <c r="P105" i="1"/>
  <c r="P457" i="1"/>
  <c r="P513" i="1"/>
  <c r="P310" i="1"/>
  <c r="P466" i="1"/>
  <c r="P286" i="1"/>
  <c r="P240" i="1"/>
  <c r="P491" i="1"/>
  <c r="P136" i="1"/>
  <c r="P56" i="1"/>
  <c r="P294" i="1"/>
  <c r="P40" i="1"/>
  <c r="P96" i="1"/>
  <c r="P144" i="1"/>
  <c r="P248" i="1"/>
  <c r="P336" i="1"/>
  <c r="P81" i="1"/>
  <c r="P281" i="1"/>
  <c r="P201" i="1"/>
  <c r="P27" i="1"/>
  <c r="P51" i="1"/>
  <c r="P75" i="1"/>
  <c r="P99" i="1"/>
  <c r="P155" i="1"/>
  <c r="P179" i="1"/>
  <c r="P203" i="1"/>
  <c r="P227" i="1"/>
  <c r="P283" i="1"/>
  <c r="P307" i="1"/>
  <c r="P331" i="1"/>
  <c r="P355" i="1"/>
  <c r="P411" i="1"/>
  <c r="P435" i="1"/>
  <c r="P459" i="1"/>
  <c r="P483" i="1"/>
  <c r="P498" i="1"/>
  <c r="P326" i="1"/>
  <c r="P416" i="1"/>
  <c r="P464" i="1"/>
  <c r="P450" i="1"/>
  <c r="P453" i="1"/>
  <c r="P121" i="1"/>
  <c r="P417" i="1"/>
  <c r="P465" i="1"/>
  <c r="P382" i="1"/>
  <c r="P482" i="1"/>
  <c r="P334" i="1"/>
  <c r="P405" i="1"/>
  <c r="D3" i="14" l="1"/>
  <c r="C10" i="14"/>
  <c r="D10" i="14"/>
  <c r="B6" i="14"/>
  <c r="E3" i="14"/>
  <c r="B8" i="14"/>
  <c r="D5" i="14"/>
  <c r="E7" i="14"/>
  <c r="C8" i="14"/>
  <c r="D7" i="14"/>
  <c r="D9" i="14"/>
  <c r="B9" i="14"/>
  <c r="E10" i="14"/>
  <c r="C4" i="14"/>
  <c r="D6" i="14"/>
  <c r="D8" i="14"/>
  <c r="C5" i="14"/>
  <c r="E5" i="14"/>
  <c r="C2" i="14"/>
  <c r="B10" i="14"/>
  <c r="E6" i="14"/>
  <c r="C7" i="14"/>
  <c r="B3" i="14"/>
  <c r="B2" i="14"/>
  <c r="E9" i="14"/>
  <c r="B5" i="14"/>
  <c r="E4" i="14"/>
  <c r="E2" i="14"/>
  <c r="B7" i="14"/>
  <c r="C3" i="14"/>
  <c r="D2" i="14"/>
  <c r="C6" i="14"/>
  <c r="B4" i="14"/>
  <c r="C9" i="14"/>
  <c r="D4" i="14"/>
  <c r="E8" i="14"/>
  <c r="R281" i="1"/>
  <c r="U281" i="1"/>
  <c r="S281" i="1"/>
  <c r="T281" i="1"/>
  <c r="R252" i="1"/>
  <c r="T252" i="1"/>
  <c r="U252" i="1"/>
  <c r="S252" i="1"/>
  <c r="U273" i="1"/>
  <c r="T273" i="1"/>
  <c r="S273" i="1"/>
  <c r="R221" i="1"/>
  <c r="S221" i="1"/>
  <c r="T221" i="1"/>
  <c r="U221" i="1"/>
  <c r="R267" i="1"/>
  <c r="T267" i="1"/>
  <c r="S267" i="1"/>
  <c r="U267" i="1"/>
  <c r="T422" i="1"/>
  <c r="U422" i="1"/>
  <c r="S422" i="1"/>
  <c r="R260" i="1"/>
  <c r="T260" i="1"/>
  <c r="U260" i="1"/>
  <c r="S260" i="1"/>
  <c r="R213" i="1"/>
  <c r="U213" i="1"/>
  <c r="S213" i="1"/>
  <c r="T213" i="1"/>
  <c r="R18" i="1"/>
  <c r="S18" i="1"/>
  <c r="T18" i="1"/>
  <c r="U18" i="1"/>
  <c r="R311" i="1"/>
  <c r="S311" i="1"/>
  <c r="U311" i="1"/>
  <c r="T311" i="1"/>
  <c r="R203" i="1"/>
  <c r="U203" i="1"/>
  <c r="S203" i="1"/>
  <c r="T203" i="1"/>
  <c r="R214" i="1"/>
  <c r="T214" i="1"/>
  <c r="S214" i="1"/>
  <c r="U214" i="1"/>
  <c r="R390" i="1"/>
  <c r="S390" i="1"/>
  <c r="T390" i="1"/>
  <c r="U390" i="1"/>
  <c r="R346" i="1"/>
  <c r="U346" i="1"/>
  <c r="S346" i="1"/>
  <c r="T346" i="1"/>
  <c r="S169" i="1"/>
  <c r="U169" i="1"/>
  <c r="T169" i="1"/>
  <c r="R278" i="1"/>
  <c r="T278" i="1"/>
  <c r="U278" i="1"/>
  <c r="S278" i="1"/>
  <c r="R28" i="1"/>
  <c r="U28" i="1"/>
  <c r="S28" i="1"/>
  <c r="T28" i="1"/>
  <c r="R55" i="1"/>
  <c r="T55" i="1"/>
  <c r="S55" i="1"/>
  <c r="U55" i="1"/>
  <c r="R479" i="1"/>
  <c r="T479" i="1"/>
  <c r="U479" i="1"/>
  <c r="S479" i="1"/>
  <c r="R223" i="1"/>
  <c r="T223" i="1"/>
  <c r="S223" i="1"/>
  <c r="U223" i="1"/>
  <c r="R97" i="1"/>
  <c r="S97" i="1"/>
  <c r="U97" i="1"/>
  <c r="T97" i="1"/>
  <c r="R274" i="1"/>
  <c r="U274" i="1"/>
  <c r="S274" i="1"/>
  <c r="T274" i="1"/>
  <c r="R327" i="1"/>
  <c r="S327" i="1"/>
  <c r="U327" i="1"/>
  <c r="T327" i="1"/>
  <c r="R71" i="1"/>
  <c r="T71" i="1"/>
  <c r="U71" i="1"/>
  <c r="S71" i="1"/>
  <c r="S474" i="1"/>
  <c r="T474" i="1"/>
  <c r="U474" i="1"/>
  <c r="R308" i="1"/>
  <c r="T308" i="1"/>
  <c r="U308" i="1"/>
  <c r="S308" i="1"/>
  <c r="R342" i="1"/>
  <c r="S342" i="1"/>
  <c r="T342" i="1"/>
  <c r="U342" i="1"/>
  <c r="R205" i="1"/>
  <c r="U205" i="1"/>
  <c r="T205" i="1"/>
  <c r="S205" i="1"/>
  <c r="R44" i="1"/>
  <c r="U44" i="1"/>
  <c r="T44" i="1"/>
  <c r="S44" i="1"/>
  <c r="R26" i="1"/>
  <c r="S26" i="1"/>
  <c r="U26" i="1"/>
  <c r="T26" i="1"/>
  <c r="R263" i="1"/>
  <c r="S263" i="1"/>
  <c r="T263" i="1"/>
  <c r="U263" i="1"/>
  <c r="R7" i="1"/>
  <c r="T7" i="1"/>
  <c r="U7" i="1"/>
  <c r="S7" i="1"/>
  <c r="R427" i="1"/>
  <c r="S427" i="1"/>
  <c r="T427" i="1"/>
  <c r="U427" i="1"/>
  <c r="R171" i="1"/>
  <c r="U171" i="1"/>
  <c r="S171" i="1"/>
  <c r="T171" i="1"/>
  <c r="R80" i="1"/>
  <c r="S80" i="1"/>
  <c r="U80" i="1"/>
  <c r="T80" i="1"/>
  <c r="R408" i="1"/>
  <c r="T408" i="1"/>
  <c r="S408" i="1"/>
  <c r="U408" i="1"/>
  <c r="R235" i="1"/>
  <c r="U235" i="1"/>
  <c r="S235" i="1"/>
  <c r="T235" i="1"/>
  <c r="R233" i="1"/>
  <c r="U233" i="1"/>
  <c r="S233" i="1"/>
  <c r="T233" i="1"/>
  <c r="R216" i="1"/>
  <c r="U216" i="1"/>
  <c r="T216" i="1"/>
  <c r="S216" i="1"/>
  <c r="T449" i="1"/>
  <c r="U449" i="1"/>
  <c r="S449" i="1"/>
  <c r="R377" i="1"/>
  <c r="S377" i="1"/>
  <c r="T377" i="1"/>
  <c r="U377" i="1"/>
  <c r="R137" i="1"/>
  <c r="S137" i="1"/>
  <c r="U137" i="1"/>
  <c r="T137" i="1"/>
  <c r="R511" i="1"/>
  <c r="T511" i="1"/>
  <c r="U511" i="1"/>
  <c r="S511" i="1"/>
  <c r="R54" i="1"/>
  <c r="T54" i="1"/>
  <c r="S54" i="1"/>
  <c r="U54" i="1"/>
  <c r="T448" i="1"/>
  <c r="S448" i="1"/>
  <c r="U448" i="1"/>
  <c r="R345" i="1"/>
  <c r="U345" i="1"/>
  <c r="T345" i="1"/>
  <c r="S345" i="1"/>
  <c r="R210" i="1"/>
  <c r="S210" i="1"/>
  <c r="T210" i="1"/>
  <c r="U210" i="1"/>
  <c r="R314" i="1"/>
  <c r="S314" i="1"/>
  <c r="T314" i="1"/>
  <c r="U314" i="1"/>
  <c r="R190" i="1"/>
  <c r="T190" i="1"/>
  <c r="S190" i="1"/>
  <c r="U190" i="1"/>
  <c r="R297" i="1"/>
  <c r="U297" i="1"/>
  <c r="T297" i="1"/>
  <c r="S297" i="1"/>
  <c r="R400" i="1"/>
  <c r="T400" i="1"/>
  <c r="S400" i="1"/>
  <c r="U400" i="1"/>
  <c r="R321" i="1"/>
  <c r="U321" i="1"/>
  <c r="T321" i="1"/>
  <c r="S321" i="1"/>
  <c r="R350" i="1"/>
  <c r="S350" i="1"/>
  <c r="T350" i="1"/>
  <c r="U350" i="1"/>
  <c r="R410" i="1"/>
  <c r="S410" i="1"/>
  <c r="T410" i="1"/>
  <c r="U410" i="1"/>
  <c r="R234" i="1"/>
  <c r="U234" i="1"/>
  <c r="S234" i="1"/>
  <c r="T234" i="1"/>
  <c r="R72" i="1"/>
  <c r="U72" i="1"/>
  <c r="S72" i="1"/>
  <c r="T72" i="1"/>
  <c r="R573" i="1"/>
  <c r="U573" i="1"/>
  <c r="S573" i="1"/>
  <c r="T573" i="1"/>
  <c r="R529" i="1"/>
  <c r="S529" i="1"/>
  <c r="T529" i="1"/>
  <c r="U529" i="1"/>
  <c r="R568" i="1"/>
  <c r="T568" i="1"/>
  <c r="S568" i="1"/>
  <c r="U568" i="1"/>
  <c r="R560" i="1"/>
  <c r="T560" i="1"/>
  <c r="U560" i="1"/>
  <c r="S560" i="1"/>
  <c r="R526" i="1"/>
  <c r="T526" i="1"/>
  <c r="U526" i="1"/>
  <c r="S526" i="1"/>
  <c r="R538" i="1"/>
  <c r="S538" i="1"/>
  <c r="T538" i="1"/>
  <c r="U538" i="1"/>
  <c r="R533" i="1"/>
  <c r="U533" i="1"/>
  <c r="S533" i="1"/>
  <c r="T533" i="1"/>
  <c r="R534" i="1"/>
  <c r="U534" i="1"/>
  <c r="S534" i="1"/>
  <c r="T534" i="1"/>
  <c r="R540" i="1"/>
  <c r="U540" i="1"/>
  <c r="S540" i="1"/>
  <c r="T540" i="1"/>
  <c r="R551" i="1"/>
  <c r="T551" i="1"/>
  <c r="U551" i="1"/>
  <c r="S551" i="1"/>
  <c r="R555" i="1"/>
  <c r="S555" i="1"/>
  <c r="T555" i="1"/>
  <c r="U555" i="1"/>
  <c r="R558" i="1"/>
  <c r="U558" i="1"/>
  <c r="T558" i="1"/>
  <c r="S558" i="1"/>
  <c r="U453" i="1"/>
  <c r="S453" i="1"/>
  <c r="T453" i="1"/>
  <c r="R435" i="1"/>
  <c r="S435" i="1"/>
  <c r="T435" i="1"/>
  <c r="U435" i="1"/>
  <c r="R179" i="1"/>
  <c r="U179" i="1"/>
  <c r="T179" i="1"/>
  <c r="S179" i="1"/>
  <c r="R81" i="1"/>
  <c r="S81" i="1"/>
  <c r="T81" i="1"/>
  <c r="U81" i="1"/>
  <c r="R136" i="1"/>
  <c r="U136" i="1"/>
  <c r="S136" i="1"/>
  <c r="T136" i="1"/>
  <c r="R105" i="1"/>
  <c r="S105" i="1"/>
  <c r="U105" i="1"/>
  <c r="T105" i="1"/>
  <c r="R392" i="1"/>
  <c r="T392" i="1"/>
  <c r="U392" i="1"/>
  <c r="S392" i="1"/>
  <c r="R196" i="1"/>
  <c r="U196" i="1"/>
  <c r="S196" i="1"/>
  <c r="T196" i="1"/>
  <c r="R110" i="1"/>
  <c r="T110" i="1"/>
  <c r="U110" i="1"/>
  <c r="S110" i="1"/>
  <c r="R69" i="1"/>
  <c r="T69" i="1"/>
  <c r="U69" i="1"/>
  <c r="S69" i="1"/>
  <c r="R14" i="1"/>
  <c r="T14" i="1"/>
  <c r="U14" i="1"/>
  <c r="S14" i="1"/>
  <c r="U249" i="1"/>
  <c r="S249" i="1"/>
  <c r="T249" i="1"/>
  <c r="S497" i="1"/>
  <c r="T497" i="1"/>
  <c r="U497" i="1"/>
  <c r="R268" i="1"/>
  <c r="T268" i="1"/>
  <c r="U268" i="1"/>
  <c r="S268" i="1"/>
  <c r="R254" i="1"/>
  <c r="T254" i="1"/>
  <c r="U254" i="1"/>
  <c r="S254" i="1"/>
  <c r="R165" i="1"/>
  <c r="T165" i="1"/>
  <c r="S165" i="1"/>
  <c r="U165" i="1"/>
  <c r="R4" i="1"/>
  <c r="U4" i="1"/>
  <c r="S4" i="1"/>
  <c r="T4" i="1"/>
  <c r="S41" i="1"/>
  <c r="T41" i="1"/>
  <c r="U41" i="1"/>
  <c r="R146" i="1"/>
  <c r="S146" i="1"/>
  <c r="T146" i="1"/>
  <c r="U146" i="1"/>
  <c r="R243" i="1"/>
  <c r="T243" i="1"/>
  <c r="U243" i="1"/>
  <c r="S243" i="1"/>
  <c r="R266" i="1"/>
  <c r="U266" i="1"/>
  <c r="S266" i="1"/>
  <c r="T266" i="1"/>
  <c r="R120" i="1"/>
  <c r="T120" i="1"/>
  <c r="U120" i="1"/>
  <c r="S120" i="1"/>
  <c r="T301" i="1"/>
  <c r="U301" i="1"/>
  <c r="S301" i="1"/>
  <c r="S17" i="1"/>
  <c r="U17" i="1"/>
  <c r="T17" i="1"/>
  <c r="R492" i="1"/>
  <c r="U492" i="1"/>
  <c r="S492" i="1"/>
  <c r="T492" i="1"/>
  <c r="R236" i="1"/>
  <c r="T236" i="1"/>
  <c r="U236" i="1"/>
  <c r="S236" i="1"/>
  <c r="R246" i="1"/>
  <c r="S246" i="1"/>
  <c r="T246" i="1"/>
  <c r="U246" i="1"/>
  <c r="R189" i="1"/>
  <c r="S189" i="1"/>
  <c r="T189" i="1"/>
  <c r="U189" i="1"/>
  <c r="R42" i="1"/>
  <c r="S42" i="1"/>
  <c r="U42" i="1"/>
  <c r="T42" i="1"/>
  <c r="R305" i="1"/>
  <c r="U305" i="1"/>
  <c r="S305" i="1"/>
  <c r="T305" i="1"/>
  <c r="R287" i="1"/>
  <c r="S287" i="1"/>
  <c r="T287" i="1"/>
  <c r="U287" i="1"/>
  <c r="R499" i="1"/>
  <c r="S499" i="1"/>
  <c r="T499" i="1"/>
  <c r="U499" i="1"/>
  <c r="R423" i="1"/>
  <c r="T423" i="1"/>
  <c r="U423" i="1"/>
  <c r="S423" i="1"/>
  <c r="R167" i="1"/>
  <c r="T167" i="1"/>
  <c r="U167" i="1"/>
  <c r="S167" i="1"/>
  <c r="R344" i="1"/>
  <c r="U344" i="1"/>
  <c r="S344" i="1"/>
  <c r="T344" i="1"/>
  <c r="R202" i="1"/>
  <c r="S202" i="1"/>
  <c r="T202" i="1"/>
  <c r="U202" i="1"/>
  <c r="R303" i="1"/>
  <c r="S303" i="1"/>
  <c r="T303" i="1"/>
  <c r="U303" i="1"/>
  <c r="R47" i="1"/>
  <c r="T47" i="1"/>
  <c r="S47" i="1"/>
  <c r="U47" i="1"/>
  <c r="S358" i="1"/>
  <c r="T358" i="1"/>
  <c r="U358" i="1"/>
  <c r="R284" i="1"/>
  <c r="T284" i="1"/>
  <c r="U284" i="1"/>
  <c r="S284" i="1"/>
  <c r="R270" i="1"/>
  <c r="S270" i="1"/>
  <c r="T270" i="1"/>
  <c r="U270" i="1"/>
  <c r="R181" i="1"/>
  <c r="U181" i="1"/>
  <c r="S181" i="1"/>
  <c r="T181" i="1"/>
  <c r="R20" i="1"/>
  <c r="U20" i="1"/>
  <c r="T20" i="1"/>
  <c r="S20" i="1"/>
  <c r="R329" i="1"/>
  <c r="U329" i="1"/>
  <c r="T329" i="1"/>
  <c r="S329" i="1"/>
  <c r="R239" i="1"/>
  <c r="S239" i="1"/>
  <c r="T239" i="1"/>
  <c r="U239" i="1"/>
  <c r="R289" i="1"/>
  <c r="U289" i="1"/>
  <c r="S289" i="1"/>
  <c r="T289" i="1"/>
  <c r="R403" i="1"/>
  <c r="S403" i="1"/>
  <c r="T403" i="1"/>
  <c r="U403" i="1"/>
  <c r="R147" i="1"/>
  <c r="U147" i="1"/>
  <c r="T147" i="1"/>
  <c r="S147" i="1"/>
  <c r="R32" i="1"/>
  <c r="T32" i="1"/>
  <c r="U32" i="1"/>
  <c r="S32" i="1"/>
  <c r="R467" i="1"/>
  <c r="S467" i="1"/>
  <c r="T467" i="1"/>
  <c r="U467" i="1"/>
  <c r="R211" i="1"/>
  <c r="U211" i="1"/>
  <c r="T211" i="1"/>
  <c r="S211" i="1"/>
  <c r="R353" i="1"/>
  <c r="U353" i="1"/>
  <c r="T353" i="1"/>
  <c r="S353" i="1"/>
  <c r="R112" i="1"/>
  <c r="S112" i="1"/>
  <c r="U112" i="1"/>
  <c r="T112" i="1"/>
  <c r="R500" i="1"/>
  <c r="U500" i="1"/>
  <c r="T500" i="1"/>
  <c r="S500" i="1"/>
  <c r="R177" i="1"/>
  <c r="S177" i="1"/>
  <c r="T177" i="1"/>
  <c r="U177" i="1"/>
  <c r="R192" i="1"/>
  <c r="T192" i="1"/>
  <c r="U192" i="1"/>
  <c r="S192" i="1"/>
  <c r="R194" i="1"/>
  <c r="S194" i="1"/>
  <c r="U194" i="1"/>
  <c r="T194" i="1"/>
  <c r="R536" i="1"/>
  <c r="T536" i="1"/>
  <c r="S536" i="1"/>
  <c r="U536" i="1"/>
  <c r="R542" i="1"/>
  <c r="S542" i="1"/>
  <c r="T542" i="1"/>
  <c r="U542" i="1"/>
  <c r="R574" i="1"/>
  <c r="S574" i="1"/>
  <c r="T574" i="1"/>
  <c r="U574" i="1"/>
  <c r="R523" i="1"/>
  <c r="S523" i="1"/>
  <c r="T523" i="1"/>
  <c r="U523" i="1"/>
  <c r="S121" i="1"/>
  <c r="T121" i="1"/>
  <c r="U121" i="1"/>
  <c r="U457" i="1"/>
  <c r="S457" i="1"/>
  <c r="T457" i="1"/>
  <c r="S505" i="1"/>
  <c r="T505" i="1"/>
  <c r="U505" i="1"/>
  <c r="S209" i="1"/>
  <c r="T209" i="1"/>
  <c r="U209" i="1"/>
  <c r="R488" i="1"/>
  <c r="T488" i="1"/>
  <c r="S488" i="1"/>
  <c r="U488" i="1"/>
  <c r="S450" i="1"/>
  <c r="T450" i="1"/>
  <c r="U450" i="1"/>
  <c r="R336" i="1"/>
  <c r="U336" i="1"/>
  <c r="S336" i="1"/>
  <c r="T336" i="1"/>
  <c r="R428" i="1"/>
  <c r="U428" i="1"/>
  <c r="S428" i="1"/>
  <c r="T428" i="1"/>
  <c r="R45" i="1"/>
  <c r="S45" i="1"/>
  <c r="U45" i="1"/>
  <c r="T45" i="1"/>
  <c r="R244" i="1"/>
  <c r="T244" i="1"/>
  <c r="U244" i="1"/>
  <c r="S244" i="1"/>
  <c r="R141" i="1"/>
  <c r="T141" i="1"/>
  <c r="U141" i="1"/>
  <c r="S141" i="1"/>
  <c r="R219" i="1"/>
  <c r="U219" i="1"/>
  <c r="T219" i="1"/>
  <c r="S219" i="1"/>
  <c r="S302" i="1"/>
  <c r="U302" i="1"/>
  <c r="T302" i="1"/>
  <c r="R133" i="1"/>
  <c r="T133" i="1"/>
  <c r="S133" i="1"/>
  <c r="U133" i="1"/>
  <c r="R372" i="1"/>
  <c r="T372" i="1"/>
  <c r="U372" i="1"/>
  <c r="S372" i="1"/>
  <c r="R123" i="1"/>
  <c r="U123" i="1"/>
  <c r="S123" i="1"/>
  <c r="T123" i="1"/>
  <c r="R228" i="1"/>
  <c r="U228" i="1"/>
  <c r="S228" i="1"/>
  <c r="T228" i="1"/>
  <c r="R215" i="1"/>
  <c r="T215" i="1"/>
  <c r="S215" i="1"/>
  <c r="U215" i="1"/>
  <c r="R296" i="1"/>
  <c r="U296" i="1"/>
  <c r="S296" i="1"/>
  <c r="T296" i="1"/>
  <c r="R242" i="1"/>
  <c r="U242" i="1"/>
  <c r="S242" i="1"/>
  <c r="T242" i="1"/>
  <c r="S145" i="1"/>
  <c r="T145" i="1"/>
  <c r="U145" i="1"/>
  <c r="R361" i="1"/>
  <c r="U361" i="1"/>
  <c r="S361" i="1"/>
  <c r="T361" i="1"/>
  <c r="R507" i="1"/>
  <c r="S507" i="1"/>
  <c r="U507" i="1"/>
  <c r="T507" i="1"/>
  <c r="R73" i="1"/>
  <c r="S73" i="1"/>
  <c r="T73" i="1"/>
  <c r="U73" i="1"/>
  <c r="R9" i="1"/>
  <c r="S9" i="1"/>
  <c r="T9" i="1"/>
  <c r="U9" i="1"/>
  <c r="R562" i="1"/>
  <c r="S562" i="1"/>
  <c r="T562" i="1"/>
  <c r="U562" i="1"/>
  <c r="R577" i="1"/>
  <c r="T577" i="1"/>
  <c r="U577" i="1"/>
  <c r="S577" i="1"/>
  <c r="R530" i="1"/>
  <c r="S530" i="1"/>
  <c r="T530" i="1"/>
  <c r="U530" i="1"/>
  <c r="R545" i="1"/>
  <c r="U545" i="1"/>
  <c r="S545" i="1"/>
  <c r="T545" i="1"/>
  <c r="R527" i="1"/>
  <c r="T527" i="1"/>
  <c r="U527" i="1"/>
  <c r="S527" i="1"/>
  <c r="R521" i="1"/>
  <c r="U521" i="1"/>
  <c r="S521" i="1"/>
  <c r="T521" i="1"/>
  <c r="R355" i="1"/>
  <c r="T355" i="1"/>
  <c r="S355" i="1"/>
  <c r="U355" i="1"/>
  <c r="R240" i="1"/>
  <c r="S240" i="1"/>
  <c r="T240" i="1"/>
  <c r="U240" i="1"/>
  <c r="R148" i="1"/>
  <c r="U148" i="1"/>
  <c r="T148" i="1"/>
  <c r="S148" i="1"/>
  <c r="R21" i="1"/>
  <c r="U21" i="1"/>
  <c r="T21" i="1"/>
  <c r="S21" i="1"/>
  <c r="S57" i="1"/>
  <c r="T57" i="1"/>
  <c r="U57" i="1"/>
  <c r="R117" i="1"/>
  <c r="U117" i="1"/>
  <c r="S117" i="1"/>
  <c r="T117" i="1"/>
  <c r="R163" i="1"/>
  <c r="U163" i="1"/>
  <c r="T163" i="1"/>
  <c r="S163" i="1"/>
  <c r="S490" i="1"/>
  <c r="T490" i="1"/>
  <c r="U490" i="1"/>
  <c r="R188" i="1"/>
  <c r="U188" i="1"/>
  <c r="T188" i="1"/>
  <c r="S188" i="1"/>
  <c r="R452" i="1"/>
  <c r="U452" i="1"/>
  <c r="S452" i="1"/>
  <c r="T452" i="1"/>
  <c r="R207" i="1"/>
  <c r="T207" i="1"/>
  <c r="S207" i="1"/>
  <c r="U207" i="1"/>
  <c r="R119" i="1"/>
  <c r="T119" i="1"/>
  <c r="S119" i="1"/>
  <c r="U119" i="1"/>
  <c r="R255" i="1"/>
  <c r="S255" i="1"/>
  <c r="T255" i="1"/>
  <c r="U255" i="1"/>
  <c r="R204" i="1"/>
  <c r="U204" i="1"/>
  <c r="T204" i="1"/>
  <c r="S204" i="1"/>
  <c r="R222" i="1"/>
  <c r="T222" i="1"/>
  <c r="S222" i="1"/>
  <c r="U222" i="1"/>
  <c r="S446" i="1"/>
  <c r="T446" i="1"/>
  <c r="U446" i="1"/>
  <c r="R323" i="1"/>
  <c r="T323" i="1"/>
  <c r="S323" i="1"/>
  <c r="U323" i="1"/>
  <c r="R387" i="1"/>
  <c r="S387" i="1"/>
  <c r="U387" i="1"/>
  <c r="T387" i="1"/>
  <c r="R8" i="1"/>
  <c r="U8" i="1"/>
  <c r="S8" i="1"/>
  <c r="T8" i="1"/>
  <c r="R230" i="1"/>
  <c r="U230" i="1"/>
  <c r="S230" i="1"/>
  <c r="T230" i="1"/>
  <c r="R528" i="1"/>
  <c r="T528" i="1"/>
  <c r="U528" i="1"/>
  <c r="S528" i="1"/>
  <c r="R544" i="1"/>
  <c r="T544" i="1"/>
  <c r="S544" i="1"/>
  <c r="U544" i="1"/>
  <c r="S482" i="1"/>
  <c r="T482" i="1"/>
  <c r="U482" i="1"/>
  <c r="T416" i="1"/>
  <c r="S416" i="1"/>
  <c r="U416" i="1"/>
  <c r="R331" i="1"/>
  <c r="T331" i="1"/>
  <c r="S331" i="1"/>
  <c r="U331" i="1"/>
  <c r="R75" i="1"/>
  <c r="U75" i="1"/>
  <c r="S75" i="1"/>
  <c r="T75" i="1"/>
  <c r="R144" i="1"/>
  <c r="S144" i="1"/>
  <c r="U144" i="1"/>
  <c r="T144" i="1"/>
  <c r="S286" i="1"/>
  <c r="U286" i="1"/>
  <c r="T286" i="1"/>
  <c r="S434" i="1"/>
  <c r="T434" i="1"/>
  <c r="U434" i="1"/>
  <c r="R380" i="1"/>
  <c r="U380" i="1"/>
  <c r="S380" i="1"/>
  <c r="T380" i="1"/>
  <c r="R124" i="1"/>
  <c r="U124" i="1"/>
  <c r="S124" i="1"/>
  <c r="T124" i="1"/>
  <c r="R253" i="1"/>
  <c r="T253" i="1"/>
  <c r="S253" i="1"/>
  <c r="U253" i="1"/>
  <c r="R36" i="1"/>
  <c r="U36" i="1"/>
  <c r="S36" i="1"/>
  <c r="T36" i="1"/>
  <c r="R306" i="1"/>
  <c r="T306" i="1"/>
  <c r="S306" i="1"/>
  <c r="U306" i="1"/>
  <c r="S458" i="1"/>
  <c r="T458" i="1"/>
  <c r="U458" i="1"/>
  <c r="U357" i="1"/>
  <c r="S357" i="1"/>
  <c r="T357" i="1"/>
  <c r="R164" i="1"/>
  <c r="U164" i="1"/>
  <c r="S164" i="1"/>
  <c r="T164" i="1"/>
  <c r="R46" i="1"/>
  <c r="T46" i="1"/>
  <c r="U46" i="1"/>
  <c r="S46" i="1"/>
  <c r="R93" i="1"/>
  <c r="S93" i="1"/>
  <c r="T93" i="1"/>
  <c r="U93" i="1"/>
  <c r="U494" i="1"/>
  <c r="T494" i="1"/>
  <c r="S494" i="1"/>
  <c r="T462" i="1"/>
  <c r="U462" i="1"/>
  <c r="S462" i="1"/>
  <c r="R395" i="1"/>
  <c r="S395" i="1"/>
  <c r="T395" i="1"/>
  <c r="U395" i="1"/>
  <c r="R139" i="1"/>
  <c r="U139" i="1"/>
  <c r="S139" i="1"/>
  <c r="T139" i="1"/>
  <c r="R409" i="1"/>
  <c r="T409" i="1"/>
  <c r="U409" i="1"/>
  <c r="S409" i="1"/>
  <c r="R118" i="1"/>
  <c r="T118" i="1"/>
  <c r="S118" i="1"/>
  <c r="U118" i="1"/>
  <c r="T365" i="1"/>
  <c r="U365" i="1"/>
  <c r="S365" i="1"/>
  <c r="T432" i="1"/>
  <c r="U432" i="1"/>
  <c r="S432" i="1"/>
  <c r="R388" i="1"/>
  <c r="U388" i="1"/>
  <c r="S388" i="1"/>
  <c r="T388" i="1"/>
  <c r="R132" i="1"/>
  <c r="U132" i="1"/>
  <c r="S132" i="1"/>
  <c r="T132" i="1"/>
  <c r="R38" i="1"/>
  <c r="T38" i="1"/>
  <c r="U38" i="1"/>
  <c r="S38" i="1"/>
  <c r="R85" i="1"/>
  <c r="U85" i="1"/>
  <c r="S85" i="1"/>
  <c r="T85" i="1"/>
  <c r="R152" i="1"/>
  <c r="T152" i="1"/>
  <c r="S152" i="1"/>
  <c r="U152" i="1"/>
  <c r="R439" i="1"/>
  <c r="T439" i="1"/>
  <c r="U439" i="1"/>
  <c r="S439" i="1"/>
  <c r="R183" i="1"/>
  <c r="T183" i="1"/>
  <c r="S183" i="1"/>
  <c r="U183" i="1"/>
  <c r="R24" i="1"/>
  <c r="S24" i="1"/>
  <c r="T24" i="1"/>
  <c r="U24" i="1"/>
  <c r="R351" i="1"/>
  <c r="S351" i="1"/>
  <c r="T351" i="1"/>
  <c r="U351" i="1"/>
  <c r="R95" i="1"/>
  <c r="T95" i="1"/>
  <c r="U95" i="1"/>
  <c r="S95" i="1"/>
  <c r="R19" i="1"/>
  <c r="U19" i="1"/>
  <c r="T19" i="1"/>
  <c r="S19" i="1"/>
  <c r="R455" i="1"/>
  <c r="T455" i="1"/>
  <c r="U455" i="1"/>
  <c r="S455" i="1"/>
  <c r="R199" i="1"/>
  <c r="T199" i="1"/>
  <c r="U199" i="1"/>
  <c r="S199" i="1"/>
  <c r="U445" i="1"/>
  <c r="S445" i="1"/>
  <c r="T445" i="1"/>
  <c r="R436" i="1"/>
  <c r="U436" i="1"/>
  <c r="T436" i="1"/>
  <c r="S436" i="1"/>
  <c r="R180" i="1"/>
  <c r="U180" i="1"/>
  <c r="S180" i="1"/>
  <c r="T180" i="1"/>
  <c r="R70" i="1"/>
  <c r="T70" i="1"/>
  <c r="S70" i="1"/>
  <c r="U70" i="1"/>
  <c r="R77" i="1"/>
  <c r="S77" i="1"/>
  <c r="T77" i="1"/>
  <c r="U77" i="1"/>
  <c r="R322" i="1"/>
  <c r="U322" i="1"/>
  <c r="S322" i="1"/>
  <c r="T322" i="1"/>
  <c r="R391" i="1"/>
  <c r="T391" i="1"/>
  <c r="U391" i="1"/>
  <c r="S391" i="1"/>
  <c r="R135" i="1"/>
  <c r="T135" i="1"/>
  <c r="U135" i="1"/>
  <c r="S135" i="1"/>
  <c r="S161" i="1"/>
  <c r="U161" i="1"/>
  <c r="T161" i="1"/>
  <c r="R299" i="1"/>
  <c r="T299" i="1"/>
  <c r="S299" i="1"/>
  <c r="U299" i="1"/>
  <c r="R33" i="1"/>
  <c r="S33" i="1"/>
  <c r="U33" i="1"/>
  <c r="T33" i="1"/>
  <c r="T333" i="1"/>
  <c r="U333" i="1"/>
  <c r="S333" i="1"/>
  <c r="R363" i="1"/>
  <c r="T363" i="1"/>
  <c r="S363" i="1"/>
  <c r="U363" i="1"/>
  <c r="R107" i="1"/>
  <c r="U107" i="1"/>
  <c r="S107" i="1"/>
  <c r="T107" i="1"/>
  <c r="R385" i="1"/>
  <c r="T385" i="1"/>
  <c r="U385" i="1"/>
  <c r="S385" i="1"/>
  <c r="R134" i="1"/>
  <c r="T134" i="1"/>
  <c r="S134" i="1"/>
  <c r="U134" i="1"/>
  <c r="R396" i="1"/>
  <c r="U396" i="1"/>
  <c r="T396" i="1"/>
  <c r="S396" i="1"/>
  <c r="R282" i="1"/>
  <c r="S282" i="1"/>
  <c r="U282" i="1"/>
  <c r="T282" i="1"/>
  <c r="R162" i="1"/>
  <c r="S162" i="1"/>
  <c r="U162" i="1"/>
  <c r="T162" i="1"/>
  <c r="R325" i="1"/>
  <c r="S325" i="1"/>
  <c r="T325" i="1"/>
  <c r="U325" i="1"/>
  <c r="R480" i="1"/>
  <c r="T480" i="1"/>
  <c r="S480" i="1"/>
  <c r="U480" i="1"/>
  <c r="R128" i="1"/>
  <c r="T128" i="1"/>
  <c r="U128" i="1"/>
  <c r="S128" i="1"/>
  <c r="R269" i="1"/>
  <c r="T269" i="1"/>
  <c r="S269" i="1"/>
  <c r="U269" i="1"/>
  <c r="R30" i="1"/>
  <c r="T30" i="1"/>
  <c r="S30" i="1"/>
  <c r="U30" i="1"/>
  <c r="R374" i="1"/>
  <c r="S374" i="1"/>
  <c r="U374" i="1"/>
  <c r="T374" i="1"/>
  <c r="R384" i="1"/>
  <c r="T384" i="1"/>
  <c r="S384" i="1"/>
  <c r="U384" i="1"/>
  <c r="R82" i="1"/>
  <c r="S82" i="1"/>
  <c r="T82" i="1"/>
  <c r="U82" i="1"/>
  <c r="R352" i="1"/>
  <c r="U352" i="1"/>
  <c r="T352" i="1"/>
  <c r="S352" i="1"/>
  <c r="R330" i="1"/>
  <c r="S330" i="1"/>
  <c r="T330" i="1"/>
  <c r="U330" i="1"/>
  <c r="R114" i="1"/>
  <c r="S114" i="1"/>
  <c r="T114" i="1"/>
  <c r="U114" i="1"/>
  <c r="R337" i="1"/>
  <c r="U337" i="1"/>
  <c r="S337" i="1"/>
  <c r="T337" i="1"/>
  <c r="R176" i="1"/>
  <c r="S176" i="1"/>
  <c r="T176" i="1"/>
  <c r="U176" i="1"/>
  <c r="R561" i="1"/>
  <c r="S561" i="1"/>
  <c r="U561" i="1"/>
  <c r="T561" i="1"/>
  <c r="R543" i="1"/>
  <c r="T543" i="1"/>
  <c r="U543" i="1"/>
  <c r="S543" i="1"/>
  <c r="R570" i="1"/>
  <c r="S570" i="1"/>
  <c r="T570" i="1"/>
  <c r="U570" i="1"/>
  <c r="R550" i="1"/>
  <c r="T550" i="1"/>
  <c r="U550" i="1"/>
  <c r="S550" i="1"/>
  <c r="R518" i="1"/>
  <c r="S518" i="1"/>
  <c r="T518" i="1"/>
  <c r="U518" i="1"/>
  <c r="R520" i="1"/>
  <c r="T520" i="1"/>
  <c r="U520" i="1"/>
  <c r="S520" i="1"/>
  <c r="R525" i="1"/>
  <c r="U525" i="1"/>
  <c r="S525" i="1"/>
  <c r="T525" i="1"/>
  <c r="R515" i="1"/>
  <c r="S515" i="1"/>
  <c r="U515" i="1"/>
  <c r="T515" i="1"/>
  <c r="R532" i="1"/>
  <c r="U532" i="1"/>
  <c r="T532" i="1"/>
  <c r="S532" i="1"/>
  <c r="R522" i="1"/>
  <c r="S522" i="1"/>
  <c r="T522" i="1"/>
  <c r="U522" i="1"/>
  <c r="R547" i="1"/>
  <c r="S547" i="1"/>
  <c r="U547" i="1"/>
  <c r="T547" i="1"/>
  <c r="R537" i="1"/>
  <c r="T537" i="1"/>
  <c r="U537" i="1"/>
  <c r="S537" i="1"/>
  <c r="R56" i="1"/>
  <c r="S56" i="1"/>
  <c r="T56" i="1"/>
  <c r="U56" i="1"/>
  <c r="R125" i="1"/>
  <c r="S125" i="1"/>
  <c r="T125" i="1"/>
  <c r="U125" i="1"/>
  <c r="R292" i="1"/>
  <c r="T292" i="1"/>
  <c r="S292" i="1"/>
  <c r="U292" i="1"/>
  <c r="R60" i="1"/>
  <c r="U60" i="1"/>
  <c r="T60" i="1"/>
  <c r="S60" i="1"/>
  <c r="R168" i="1"/>
  <c r="U168" i="1"/>
  <c r="S168" i="1"/>
  <c r="T168" i="1"/>
  <c r="U405" i="1"/>
  <c r="S405" i="1"/>
  <c r="T405" i="1"/>
  <c r="R155" i="1"/>
  <c r="U155" i="1"/>
  <c r="S155" i="1"/>
  <c r="T155" i="1"/>
  <c r="R491" i="1"/>
  <c r="S491" i="1"/>
  <c r="T491" i="1"/>
  <c r="U491" i="1"/>
  <c r="R62" i="1"/>
  <c r="T62" i="1"/>
  <c r="S62" i="1"/>
  <c r="U62" i="1"/>
  <c r="U430" i="1"/>
  <c r="T430" i="1"/>
  <c r="S430" i="1"/>
  <c r="R166" i="1"/>
  <c r="T166" i="1"/>
  <c r="S166" i="1"/>
  <c r="U166" i="1"/>
  <c r="R402" i="1"/>
  <c r="S402" i="1"/>
  <c r="T402" i="1"/>
  <c r="U402" i="1"/>
  <c r="R468" i="1"/>
  <c r="U468" i="1"/>
  <c r="S468" i="1"/>
  <c r="T468" i="1"/>
  <c r="R49" i="1"/>
  <c r="S49" i="1"/>
  <c r="U49" i="1"/>
  <c r="T49" i="1"/>
  <c r="R143" i="1"/>
  <c r="T143" i="1"/>
  <c r="S143" i="1"/>
  <c r="U143" i="1"/>
  <c r="R23" i="1"/>
  <c r="T23" i="1"/>
  <c r="S23" i="1"/>
  <c r="U23" i="1"/>
  <c r="R174" i="1"/>
  <c r="T174" i="1"/>
  <c r="U174" i="1"/>
  <c r="S174" i="1"/>
  <c r="R241" i="1"/>
  <c r="U241" i="1"/>
  <c r="T241" i="1"/>
  <c r="S241" i="1"/>
  <c r="R25" i="1"/>
  <c r="S25" i="1"/>
  <c r="T25" i="1"/>
  <c r="U25" i="1"/>
  <c r="R68" i="1"/>
  <c r="U68" i="1"/>
  <c r="S68" i="1"/>
  <c r="T68" i="1"/>
  <c r="R197" i="1"/>
  <c r="T197" i="1"/>
  <c r="U197" i="1"/>
  <c r="S197" i="1"/>
  <c r="R12" i="1"/>
  <c r="U12" i="1"/>
  <c r="T12" i="1"/>
  <c r="S12" i="1"/>
  <c r="S317" i="1"/>
  <c r="T317" i="1"/>
  <c r="U317" i="1"/>
  <c r="R250" i="1"/>
  <c r="U250" i="1"/>
  <c r="S250" i="1"/>
  <c r="T250" i="1"/>
  <c r="T486" i="1"/>
  <c r="U486" i="1"/>
  <c r="S486" i="1"/>
  <c r="R140" i="1"/>
  <c r="U140" i="1"/>
  <c r="T140" i="1"/>
  <c r="S140" i="1"/>
  <c r="R397" i="1"/>
  <c r="U397" i="1"/>
  <c r="S397" i="1"/>
  <c r="T397" i="1"/>
  <c r="R37" i="1"/>
  <c r="T37" i="1"/>
  <c r="S37" i="1"/>
  <c r="U37" i="1"/>
  <c r="U437" i="1"/>
  <c r="S437" i="1"/>
  <c r="T437" i="1"/>
  <c r="U413" i="1"/>
  <c r="S413" i="1"/>
  <c r="T413" i="1"/>
  <c r="R371" i="1"/>
  <c r="T371" i="1"/>
  <c r="S371" i="1"/>
  <c r="U371" i="1"/>
  <c r="R115" i="1"/>
  <c r="U115" i="1"/>
  <c r="T115" i="1"/>
  <c r="S115" i="1"/>
  <c r="R257" i="1"/>
  <c r="U257" i="1"/>
  <c r="S257" i="1"/>
  <c r="T257" i="1"/>
  <c r="R398" i="1"/>
  <c r="T398" i="1"/>
  <c r="U398" i="1"/>
  <c r="S398" i="1"/>
  <c r="U470" i="1"/>
  <c r="S470" i="1"/>
  <c r="T470" i="1"/>
  <c r="U438" i="1"/>
  <c r="S438" i="1"/>
  <c r="T438" i="1"/>
  <c r="R364" i="1"/>
  <c r="T364" i="1"/>
  <c r="U364" i="1"/>
  <c r="S364" i="1"/>
  <c r="R108" i="1"/>
  <c r="U108" i="1"/>
  <c r="T108" i="1"/>
  <c r="S108" i="1"/>
  <c r="R373" i="1"/>
  <c r="T373" i="1"/>
  <c r="S373" i="1"/>
  <c r="U373" i="1"/>
  <c r="R61" i="1"/>
  <c r="S61" i="1"/>
  <c r="T61" i="1"/>
  <c r="U61" i="1"/>
  <c r="R298" i="1"/>
  <c r="S298" i="1"/>
  <c r="T298" i="1"/>
  <c r="U298" i="1"/>
  <c r="R415" i="1"/>
  <c r="T415" i="1"/>
  <c r="U415" i="1"/>
  <c r="S415" i="1"/>
  <c r="R159" i="1"/>
  <c r="T159" i="1"/>
  <c r="U159" i="1"/>
  <c r="S159" i="1"/>
  <c r="R178" i="1"/>
  <c r="S178" i="1"/>
  <c r="T178" i="1"/>
  <c r="U178" i="1"/>
  <c r="R295" i="1"/>
  <c r="S295" i="1"/>
  <c r="U295" i="1"/>
  <c r="T295" i="1"/>
  <c r="R39" i="1"/>
  <c r="T39" i="1"/>
  <c r="U39" i="1"/>
  <c r="S39" i="1"/>
  <c r="U406" i="1"/>
  <c r="S406" i="1"/>
  <c r="T406" i="1"/>
  <c r="R431" i="1"/>
  <c r="T431" i="1"/>
  <c r="U431" i="1"/>
  <c r="S431" i="1"/>
  <c r="R175" i="1"/>
  <c r="T175" i="1"/>
  <c r="S175" i="1"/>
  <c r="U175" i="1"/>
  <c r="T473" i="1"/>
  <c r="U473" i="1"/>
  <c r="S473" i="1"/>
  <c r="R412" i="1"/>
  <c r="U412" i="1"/>
  <c r="S412" i="1"/>
  <c r="T412" i="1"/>
  <c r="R156" i="1"/>
  <c r="U156" i="1"/>
  <c r="T156" i="1"/>
  <c r="S156" i="1"/>
  <c r="R22" i="1"/>
  <c r="T22" i="1"/>
  <c r="S22" i="1"/>
  <c r="U22" i="1"/>
  <c r="R53" i="1"/>
  <c r="U53" i="1"/>
  <c r="T53" i="1"/>
  <c r="S53" i="1"/>
  <c r="R226" i="1"/>
  <c r="S226" i="1"/>
  <c r="U226" i="1"/>
  <c r="T226" i="1"/>
  <c r="R367" i="1"/>
  <c r="S367" i="1"/>
  <c r="T367" i="1"/>
  <c r="U367" i="1"/>
  <c r="R111" i="1"/>
  <c r="T111" i="1"/>
  <c r="S111" i="1"/>
  <c r="U111" i="1"/>
  <c r="U509" i="1"/>
  <c r="S509" i="1"/>
  <c r="T509" i="1"/>
  <c r="R275" i="1"/>
  <c r="U275" i="1"/>
  <c r="S275" i="1"/>
  <c r="T275" i="1"/>
  <c r="R312" i="1"/>
  <c r="U312" i="1"/>
  <c r="S312" i="1"/>
  <c r="T312" i="1"/>
  <c r="S425" i="1"/>
  <c r="T425" i="1"/>
  <c r="U425" i="1"/>
  <c r="R339" i="1"/>
  <c r="T339" i="1"/>
  <c r="S339" i="1"/>
  <c r="U339" i="1"/>
  <c r="R83" i="1"/>
  <c r="U83" i="1"/>
  <c r="T83" i="1"/>
  <c r="S83" i="1"/>
  <c r="R153" i="1"/>
  <c r="S153" i="1"/>
  <c r="T153" i="1"/>
  <c r="U153" i="1"/>
  <c r="R495" i="1"/>
  <c r="T495" i="1"/>
  <c r="U495" i="1"/>
  <c r="S495" i="1"/>
  <c r="R48" i="1"/>
  <c r="S48" i="1"/>
  <c r="U48" i="1"/>
  <c r="T48" i="1"/>
  <c r="R86" i="1"/>
  <c r="T86" i="1"/>
  <c r="S86" i="1"/>
  <c r="U86" i="1"/>
  <c r="R182" i="1"/>
  <c r="T182" i="1"/>
  <c r="S182" i="1"/>
  <c r="U182" i="1"/>
  <c r="R238" i="1"/>
  <c r="S238" i="1"/>
  <c r="U238" i="1"/>
  <c r="T238" i="1"/>
  <c r="R567" i="1"/>
  <c r="T567" i="1"/>
  <c r="U567" i="1"/>
  <c r="S567" i="1"/>
  <c r="R576" i="1"/>
  <c r="T576" i="1"/>
  <c r="S576" i="1"/>
  <c r="U576" i="1"/>
  <c r="R553" i="1"/>
  <c r="S553" i="1"/>
  <c r="T553" i="1"/>
  <c r="U553" i="1"/>
  <c r="R549" i="1"/>
  <c r="U549" i="1"/>
  <c r="S549" i="1"/>
  <c r="T549" i="1"/>
  <c r="R172" i="1"/>
  <c r="U172" i="1"/>
  <c r="T172" i="1"/>
  <c r="S172" i="1"/>
  <c r="S225" i="1"/>
  <c r="U225" i="1"/>
  <c r="T225" i="1"/>
  <c r="T496" i="1"/>
  <c r="U496" i="1"/>
  <c r="S496" i="1"/>
  <c r="R16" i="1"/>
  <c r="S16" i="1"/>
  <c r="T16" i="1"/>
  <c r="U16" i="1"/>
  <c r="R142" i="1"/>
  <c r="T142" i="1"/>
  <c r="U142" i="1"/>
  <c r="S142" i="1"/>
  <c r="R231" i="1"/>
  <c r="S231" i="1"/>
  <c r="T231" i="1"/>
  <c r="U231" i="1"/>
  <c r="R66" i="1"/>
  <c r="S66" i="1"/>
  <c r="T66" i="1"/>
  <c r="U66" i="1"/>
  <c r="R157" i="1"/>
  <c r="S157" i="1"/>
  <c r="T157" i="1"/>
  <c r="U157" i="1"/>
  <c r="U477" i="1"/>
  <c r="S477" i="1"/>
  <c r="T477" i="1"/>
  <c r="R67" i="1"/>
  <c r="U67" i="1"/>
  <c r="S67" i="1"/>
  <c r="T67" i="1"/>
  <c r="R187" i="1"/>
  <c r="U187" i="1"/>
  <c r="S187" i="1"/>
  <c r="T187" i="1"/>
  <c r="R476" i="1"/>
  <c r="U476" i="1"/>
  <c r="S476" i="1"/>
  <c r="T476" i="1"/>
  <c r="R206" i="1"/>
  <c r="T206" i="1"/>
  <c r="U206" i="1"/>
  <c r="S206" i="1"/>
  <c r="R104" i="1"/>
  <c r="U104" i="1"/>
  <c r="S104" i="1"/>
  <c r="T104" i="1"/>
  <c r="R386" i="1"/>
  <c r="S386" i="1"/>
  <c r="T386" i="1"/>
  <c r="U386" i="1"/>
  <c r="R368" i="1"/>
  <c r="U368" i="1"/>
  <c r="S368" i="1"/>
  <c r="T368" i="1"/>
  <c r="R572" i="1"/>
  <c r="U572" i="1"/>
  <c r="S572" i="1"/>
  <c r="T572" i="1"/>
  <c r="T464" i="1"/>
  <c r="U464" i="1"/>
  <c r="S464" i="1"/>
  <c r="R248" i="1"/>
  <c r="S248" i="1"/>
  <c r="U248" i="1"/>
  <c r="T248" i="1"/>
  <c r="R404" i="1"/>
  <c r="U404" i="1"/>
  <c r="T404" i="1"/>
  <c r="S404" i="1"/>
  <c r="R503" i="1"/>
  <c r="T503" i="1"/>
  <c r="U503" i="1"/>
  <c r="S503" i="1"/>
  <c r="R220" i="1"/>
  <c r="U220" i="1"/>
  <c r="T220" i="1"/>
  <c r="S220" i="1"/>
  <c r="T440" i="1"/>
  <c r="S440" i="1"/>
  <c r="U440" i="1"/>
  <c r="R90" i="1"/>
  <c r="S90" i="1"/>
  <c r="U90" i="1"/>
  <c r="T90" i="1"/>
  <c r="R444" i="1"/>
  <c r="U444" i="1"/>
  <c r="S444" i="1"/>
  <c r="T444" i="1"/>
  <c r="R109" i="1"/>
  <c r="T109" i="1"/>
  <c r="U109" i="1"/>
  <c r="S109" i="1"/>
  <c r="R348" i="1"/>
  <c r="T348" i="1"/>
  <c r="S348" i="1"/>
  <c r="U348" i="1"/>
  <c r="R43" i="1"/>
  <c r="U43" i="1"/>
  <c r="S43" i="1"/>
  <c r="T43" i="1"/>
  <c r="R129" i="1"/>
  <c r="S129" i="1"/>
  <c r="U129" i="1"/>
  <c r="T129" i="1"/>
  <c r="R126" i="1"/>
  <c r="T126" i="1"/>
  <c r="S126" i="1"/>
  <c r="U126" i="1"/>
  <c r="R447" i="1"/>
  <c r="T447" i="1"/>
  <c r="U447" i="1"/>
  <c r="S447" i="1"/>
  <c r="R369" i="1"/>
  <c r="U369" i="1"/>
  <c r="S369" i="1"/>
  <c r="T369" i="1"/>
  <c r="R34" i="1"/>
  <c r="S34" i="1"/>
  <c r="U34" i="1"/>
  <c r="T34" i="1"/>
  <c r="R328" i="1"/>
  <c r="U328" i="1"/>
  <c r="S328" i="1"/>
  <c r="T328" i="1"/>
  <c r="S326" i="1"/>
  <c r="T326" i="1"/>
  <c r="U326" i="1"/>
  <c r="R51" i="1"/>
  <c r="U51" i="1"/>
  <c r="T51" i="1"/>
  <c r="S51" i="1"/>
  <c r="S466" i="1"/>
  <c r="T466" i="1"/>
  <c r="U466" i="1"/>
  <c r="R324" i="1"/>
  <c r="T324" i="1"/>
  <c r="S324" i="1"/>
  <c r="U324" i="1"/>
  <c r="S498" i="1"/>
  <c r="T498" i="1"/>
  <c r="U498" i="1"/>
  <c r="R283" i="1"/>
  <c r="U283" i="1"/>
  <c r="S283" i="1"/>
  <c r="T283" i="1"/>
  <c r="R27" i="1"/>
  <c r="U27" i="1"/>
  <c r="T27" i="1"/>
  <c r="S27" i="1"/>
  <c r="R40" i="1"/>
  <c r="U40" i="1"/>
  <c r="S40" i="1"/>
  <c r="T40" i="1"/>
  <c r="S310" i="1"/>
  <c r="T310" i="1"/>
  <c r="U310" i="1"/>
  <c r="S272" i="1"/>
  <c r="T272" i="1"/>
  <c r="U272" i="1"/>
  <c r="R300" i="1"/>
  <c r="T300" i="1"/>
  <c r="S300" i="1"/>
  <c r="U300" i="1"/>
  <c r="R318" i="1"/>
  <c r="S318" i="1"/>
  <c r="U318" i="1"/>
  <c r="T318" i="1"/>
  <c r="R173" i="1"/>
  <c r="S173" i="1"/>
  <c r="U173" i="1"/>
  <c r="T173" i="1"/>
  <c r="R401" i="1"/>
  <c r="S401" i="1"/>
  <c r="T401" i="1"/>
  <c r="U401" i="1"/>
  <c r="U309" i="1"/>
  <c r="S309" i="1"/>
  <c r="T309" i="1"/>
  <c r="S502" i="1"/>
  <c r="T502" i="1"/>
  <c r="U502" i="1"/>
  <c r="U429" i="1"/>
  <c r="S429" i="1"/>
  <c r="T429" i="1"/>
  <c r="R116" i="1"/>
  <c r="U116" i="1"/>
  <c r="S116" i="1"/>
  <c r="T116" i="1"/>
  <c r="R293" i="1"/>
  <c r="U293" i="1"/>
  <c r="S293" i="1"/>
  <c r="T293" i="1"/>
  <c r="R13" i="1"/>
  <c r="S13" i="1"/>
  <c r="T13" i="1"/>
  <c r="U13" i="1"/>
  <c r="U489" i="1"/>
  <c r="S489" i="1"/>
  <c r="T489" i="1"/>
  <c r="S418" i="1"/>
  <c r="T418" i="1"/>
  <c r="U418" i="1"/>
  <c r="R347" i="1"/>
  <c r="T347" i="1"/>
  <c r="U347" i="1"/>
  <c r="S347" i="1"/>
  <c r="R91" i="1"/>
  <c r="U91" i="1"/>
  <c r="T91" i="1"/>
  <c r="S91" i="1"/>
  <c r="R288" i="1"/>
  <c r="U288" i="1"/>
  <c r="T288" i="1"/>
  <c r="S288" i="1"/>
  <c r="R381" i="1"/>
  <c r="U381" i="1"/>
  <c r="S381" i="1"/>
  <c r="T381" i="1"/>
  <c r="U389" i="1"/>
  <c r="S389" i="1"/>
  <c r="T389" i="1"/>
  <c r="U341" i="1"/>
  <c r="S341" i="1"/>
  <c r="T341" i="1"/>
  <c r="R340" i="1"/>
  <c r="T340" i="1"/>
  <c r="U340" i="1"/>
  <c r="S340" i="1"/>
  <c r="R84" i="1"/>
  <c r="U84" i="1"/>
  <c r="T84" i="1"/>
  <c r="S84" i="1"/>
  <c r="R261" i="1"/>
  <c r="T261" i="1"/>
  <c r="U261" i="1"/>
  <c r="S261" i="1"/>
  <c r="R5" i="1"/>
  <c r="T5" i="1"/>
  <c r="S5" i="1"/>
  <c r="U5" i="1"/>
  <c r="R154" i="1"/>
  <c r="S154" i="1"/>
  <c r="U154" i="1"/>
  <c r="T154" i="1"/>
  <c r="R359" i="1"/>
  <c r="S359" i="1"/>
  <c r="U359" i="1"/>
  <c r="T359" i="1"/>
  <c r="R103" i="1"/>
  <c r="T103" i="1"/>
  <c r="U103" i="1"/>
  <c r="S103" i="1"/>
  <c r="R122" i="1"/>
  <c r="S122" i="1"/>
  <c r="U122" i="1"/>
  <c r="T122" i="1"/>
  <c r="R271" i="1"/>
  <c r="S271" i="1"/>
  <c r="T271" i="1"/>
  <c r="U271" i="1"/>
  <c r="R15" i="1"/>
  <c r="T15" i="1"/>
  <c r="S15" i="1"/>
  <c r="U15" i="1"/>
  <c r="S442" i="1"/>
  <c r="T442" i="1"/>
  <c r="U442" i="1"/>
  <c r="R407" i="1"/>
  <c r="T407" i="1"/>
  <c r="U407" i="1"/>
  <c r="S407" i="1"/>
  <c r="R151" i="1"/>
  <c r="T151" i="1"/>
  <c r="S151" i="1"/>
  <c r="U151" i="1"/>
  <c r="S510" i="1"/>
  <c r="T510" i="1"/>
  <c r="U510" i="1"/>
  <c r="R356" i="1"/>
  <c r="T356" i="1"/>
  <c r="S356" i="1"/>
  <c r="U356" i="1"/>
  <c r="R100" i="1"/>
  <c r="U100" i="1"/>
  <c r="S100" i="1"/>
  <c r="T100" i="1"/>
  <c r="R349" i="1"/>
  <c r="S349" i="1"/>
  <c r="U349" i="1"/>
  <c r="T349" i="1"/>
  <c r="R29" i="1"/>
  <c r="S29" i="1"/>
  <c r="T29" i="1"/>
  <c r="U29" i="1"/>
  <c r="R170" i="1"/>
  <c r="S170" i="1"/>
  <c r="U170" i="1"/>
  <c r="T170" i="1"/>
  <c r="R343" i="1"/>
  <c r="S343" i="1"/>
  <c r="U343" i="1"/>
  <c r="T343" i="1"/>
  <c r="R87" i="1"/>
  <c r="T87" i="1"/>
  <c r="S87" i="1"/>
  <c r="U87" i="1"/>
  <c r="S414" i="1"/>
  <c r="T414" i="1"/>
  <c r="U414" i="1"/>
  <c r="R251" i="1"/>
  <c r="T251" i="1"/>
  <c r="S251" i="1"/>
  <c r="U251" i="1"/>
  <c r="R232" i="1"/>
  <c r="S232" i="1"/>
  <c r="T232" i="1"/>
  <c r="U232" i="1"/>
  <c r="T424" i="1"/>
  <c r="S424" i="1"/>
  <c r="U424" i="1"/>
  <c r="R315" i="1"/>
  <c r="T315" i="1"/>
  <c r="U315" i="1"/>
  <c r="S315" i="1"/>
  <c r="R59" i="1"/>
  <c r="U59" i="1"/>
  <c r="S59" i="1"/>
  <c r="T59" i="1"/>
  <c r="R360" i="1"/>
  <c r="U360" i="1"/>
  <c r="S360" i="1"/>
  <c r="T360" i="1"/>
  <c r="R58" i="1"/>
  <c r="S58" i="1"/>
  <c r="U58" i="1"/>
  <c r="T58" i="1"/>
  <c r="R258" i="1"/>
  <c r="U258" i="1"/>
  <c r="S258" i="1"/>
  <c r="T258" i="1"/>
  <c r="R265" i="1"/>
  <c r="U265" i="1"/>
  <c r="T265" i="1"/>
  <c r="S265" i="1"/>
  <c r="R78" i="1"/>
  <c r="T78" i="1"/>
  <c r="U78" i="1"/>
  <c r="S78" i="1"/>
  <c r="R354" i="1"/>
  <c r="U354" i="1"/>
  <c r="S354" i="1"/>
  <c r="T354" i="1"/>
  <c r="T472" i="1"/>
  <c r="S472" i="1"/>
  <c r="U472" i="1"/>
  <c r="R487" i="1"/>
  <c r="T487" i="1"/>
  <c r="U487" i="1"/>
  <c r="S487" i="1"/>
  <c r="R394" i="1"/>
  <c r="S394" i="1"/>
  <c r="T394" i="1"/>
  <c r="U394" i="1"/>
  <c r="R362" i="1"/>
  <c r="S362" i="1"/>
  <c r="T362" i="1"/>
  <c r="U362" i="1"/>
  <c r="R208" i="1"/>
  <c r="S208" i="1"/>
  <c r="U208" i="1"/>
  <c r="T208" i="1"/>
  <c r="R370" i="1"/>
  <c r="T370" i="1"/>
  <c r="U370" i="1"/>
  <c r="S370" i="1"/>
  <c r="R504" i="1"/>
  <c r="T504" i="1"/>
  <c r="S504" i="1"/>
  <c r="U504" i="1"/>
  <c r="R338" i="1"/>
  <c r="T338" i="1"/>
  <c r="U338" i="1"/>
  <c r="S338" i="1"/>
  <c r="R186" i="1"/>
  <c r="S186" i="1"/>
  <c r="U186" i="1"/>
  <c r="T186" i="1"/>
  <c r="R10" i="1"/>
  <c r="S10" i="1"/>
  <c r="T10" i="1"/>
  <c r="U10" i="1"/>
  <c r="R320" i="1"/>
  <c r="U320" i="1"/>
  <c r="T320" i="1"/>
  <c r="S320" i="1"/>
  <c r="R158" i="1"/>
  <c r="T158" i="1"/>
  <c r="S158" i="1"/>
  <c r="U158" i="1"/>
  <c r="R554" i="1"/>
  <c r="S554" i="1"/>
  <c r="T554" i="1"/>
  <c r="U554" i="1"/>
  <c r="R563" i="1"/>
  <c r="S563" i="1"/>
  <c r="T563" i="1"/>
  <c r="U563" i="1"/>
  <c r="R569" i="1"/>
  <c r="S569" i="1"/>
  <c r="T569" i="1"/>
  <c r="U569" i="1"/>
  <c r="R535" i="1"/>
  <c r="T535" i="1"/>
  <c r="U535" i="1"/>
  <c r="S535" i="1"/>
  <c r="R548" i="1"/>
  <c r="U548" i="1"/>
  <c r="S548" i="1"/>
  <c r="T548" i="1"/>
  <c r="R556" i="1"/>
  <c r="U556" i="1"/>
  <c r="S556" i="1"/>
  <c r="T556" i="1"/>
  <c r="R541" i="1"/>
  <c r="U541" i="1"/>
  <c r="S541" i="1"/>
  <c r="T541" i="1"/>
  <c r="R571" i="1"/>
  <c r="S571" i="1"/>
  <c r="U571" i="1"/>
  <c r="T571" i="1"/>
  <c r="R559" i="1"/>
  <c r="T559" i="1"/>
  <c r="U559" i="1"/>
  <c r="S559" i="1"/>
  <c r="R552" i="1"/>
  <c r="T552" i="1"/>
  <c r="S552" i="1"/>
  <c r="U552" i="1"/>
  <c r="R566" i="1"/>
  <c r="U566" i="1"/>
  <c r="S566" i="1"/>
  <c r="T566" i="1"/>
  <c r="R514" i="1"/>
  <c r="S514" i="1"/>
  <c r="T514" i="1"/>
  <c r="U514" i="1"/>
  <c r="R459" i="1"/>
  <c r="S459" i="1"/>
  <c r="T459" i="1"/>
  <c r="U459" i="1"/>
  <c r="R88" i="1"/>
  <c r="T88" i="1"/>
  <c r="U88" i="1"/>
  <c r="S88" i="1"/>
  <c r="U469" i="1"/>
  <c r="S469" i="1"/>
  <c r="T469" i="1"/>
  <c r="R11" i="1"/>
  <c r="U11" i="1"/>
  <c r="S11" i="1"/>
  <c r="T11" i="1"/>
  <c r="R411" i="1"/>
  <c r="S411" i="1"/>
  <c r="T411" i="1"/>
  <c r="U411" i="1"/>
  <c r="S454" i="1"/>
  <c r="T454" i="1"/>
  <c r="U454" i="1"/>
  <c r="R31" i="1"/>
  <c r="T31" i="1"/>
  <c r="S31" i="1"/>
  <c r="U31" i="1"/>
  <c r="R198" i="1"/>
  <c r="T198" i="1"/>
  <c r="S198" i="1"/>
  <c r="U198" i="1"/>
  <c r="R475" i="1"/>
  <c r="S475" i="1"/>
  <c r="T475" i="1"/>
  <c r="U475" i="1"/>
  <c r="U481" i="1"/>
  <c r="T481" i="1"/>
  <c r="S481" i="1"/>
  <c r="R212" i="1"/>
  <c r="U212" i="1"/>
  <c r="S212" i="1"/>
  <c r="T212" i="1"/>
  <c r="R508" i="1"/>
  <c r="U508" i="1"/>
  <c r="S508" i="1"/>
  <c r="T508" i="1"/>
  <c r="R399" i="1"/>
  <c r="T399" i="1"/>
  <c r="U399" i="1"/>
  <c r="S399" i="1"/>
  <c r="R279" i="1"/>
  <c r="S279" i="1"/>
  <c r="T279" i="1"/>
  <c r="U279" i="1"/>
  <c r="R484" i="1"/>
  <c r="U484" i="1"/>
  <c r="S484" i="1"/>
  <c r="T484" i="1"/>
  <c r="R471" i="1"/>
  <c r="T471" i="1"/>
  <c r="U471" i="1"/>
  <c r="S471" i="1"/>
  <c r="R379" i="1"/>
  <c r="S379" i="1"/>
  <c r="U379" i="1"/>
  <c r="T379" i="1"/>
  <c r="R443" i="1"/>
  <c r="S443" i="1"/>
  <c r="U443" i="1"/>
  <c r="T443" i="1"/>
  <c r="R64" i="1"/>
  <c r="T64" i="1"/>
  <c r="U64" i="1"/>
  <c r="S64" i="1"/>
  <c r="R290" i="1"/>
  <c r="U290" i="1"/>
  <c r="S290" i="1"/>
  <c r="T290" i="1"/>
  <c r="R376" i="1"/>
  <c r="T376" i="1"/>
  <c r="S376" i="1"/>
  <c r="U376" i="1"/>
  <c r="R89" i="1"/>
  <c r="S89" i="1"/>
  <c r="T89" i="1"/>
  <c r="U89" i="1"/>
  <c r="R280" i="1"/>
  <c r="S280" i="1"/>
  <c r="T280" i="1"/>
  <c r="U280" i="1"/>
  <c r="R218" i="1"/>
  <c r="S218" i="1"/>
  <c r="U218" i="1"/>
  <c r="T218" i="1"/>
  <c r="R217" i="1"/>
  <c r="S217" i="1"/>
  <c r="T217" i="1"/>
  <c r="U217" i="1"/>
  <c r="R565" i="1"/>
  <c r="U565" i="1"/>
  <c r="S565" i="1"/>
  <c r="T565" i="1"/>
  <c r="R517" i="1"/>
  <c r="U517" i="1"/>
  <c r="S517" i="1"/>
  <c r="T517" i="1"/>
  <c r="R524" i="1"/>
  <c r="U524" i="1"/>
  <c r="T524" i="1"/>
  <c r="S524" i="1"/>
  <c r="R539" i="1"/>
  <c r="S539" i="1"/>
  <c r="T539" i="1"/>
  <c r="U539" i="1"/>
  <c r="R546" i="1"/>
  <c r="S546" i="1"/>
  <c r="T546" i="1"/>
  <c r="U546" i="1"/>
  <c r="S334" i="1"/>
  <c r="U334" i="1"/>
  <c r="T334" i="1"/>
  <c r="R99" i="1"/>
  <c r="U99" i="1"/>
  <c r="S99" i="1"/>
  <c r="T99" i="1"/>
  <c r="U421" i="1"/>
  <c r="S421" i="1"/>
  <c r="T421" i="1"/>
  <c r="R6" i="1"/>
  <c r="T6" i="1"/>
  <c r="U6" i="1"/>
  <c r="S6" i="1"/>
  <c r="U461" i="1"/>
  <c r="S461" i="1"/>
  <c r="T461" i="1"/>
  <c r="R150" i="1"/>
  <c r="T150" i="1"/>
  <c r="S150" i="1"/>
  <c r="U150" i="1"/>
  <c r="S478" i="1"/>
  <c r="T478" i="1"/>
  <c r="U478" i="1"/>
  <c r="R419" i="1"/>
  <c r="S419" i="1"/>
  <c r="U419" i="1"/>
  <c r="T419" i="1"/>
  <c r="R277" i="1"/>
  <c r="T277" i="1"/>
  <c r="U277" i="1"/>
  <c r="S277" i="1"/>
  <c r="S506" i="1"/>
  <c r="T506" i="1"/>
  <c r="U506" i="1"/>
  <c r="R94" i="1"/>
  <c r="T94" i="1"/>
  <c r="S94" i="1"/>
  <c r="U94" i="1"/>
  <c r="R463" i="1"/>
  <c r="T463" i="1"/>
  <c r="U463" i="1"/>
  <c r="S463" i="1"/>
  <c r="R375" i="1"/>
  <c r="T375" i="1"/>
  <c r="U375" i="1"/>
  <c r="S375" i="1"/>
  <c r="R185" i="1"/>
  <c r="S185" i="1"/>
  <c r="T185" i="1"/>
  <c r="U185" i="1"/>
  <c r="R460" i="1"/>
  <c r="U460" i="1"/>
  <c r="T460" i="1"/>
  <c r="S460" i="1"/>
  <c r="R101" i="1"/>
  <c r="T101" i="1"/>
  <c r="U101" i="1"/>
  <c r="S101" i="1"/>
  <c r="R191" i="1"/>
  <c r="T191" i="1"/>
  <c r="S191" i="1"/>
  <c r="U191" i="1"/>
  <c r="R138" i="1"/>
  <c r="S138" i="1"/>
  <c r="T138" i="1"/>
  <c r="U138" i="1"/>
  <c r="R131" i="1"/>
  <c r="U131" i="1"/>
  <c r="T131" i="1"/>
  <c r="S131" i="1"/>
  <c r="R420" i="1"/>
  <c r="U420" i="1"/>
  <c r="S420" i="1"/>
  <c r="T420" i="1"/>
  <c r="R2" i="1"/>
  <c r="U2" i="1"/>
  <c r="T2" i="1"/>
  <c r="S2" i="1"/>
  <c r="R516" i="1"/>
  <c r="U516" i="1"/>
  <c r="S516" i="1"/>
  <c r="T516" i="1"/>
  <c r="R564" i="1"/>
  <c r="U564" i="1"/>
  <c r="T564" i="1"/>
  <c r="S564" i="1"/>
  <c r="S382" i="1"/>
  <c r="T382" i="1"/>
  <c r="U382" i="1"/>
  <c r="R307" i="1"/>
  <c r="T307" i="1"/>
  <c r="S307" i="1"/>
  <c r="U307" i="1"/>
  <c r="R96" i="1"/>
  <c r="T96" i="1"/>
  <c r="U96" i="1"/>
  <c r="S96" i="1"/>
  <c r="T456" i="1"/>
  <c r="U456" i="1"/>
  <c r="S456" i="1"/>
  <c r="S465" i="1"/>
  <c r="T465" i="1"/>
  <c r="U465" i="1"/>
  <c r="U417" i="1"/>
  <c r="S417" i="1"/>
  <c r="T417" i="1"/>
  <c r="R483" i="1"/>
  <c r="S483" i="1"/>
  <c r="U483" i="1"/>
  <c r="T483" i="1"/>
  <c r="R227" i="1"/>
  <c r="U227" i="1"/>
  <c r="T227" i="1"/>
  <c r="S227" i="1"/>
  <c r="R201" i="1"/>
  <c r="S201" i="1"/>
  <c r="U201" i="1"/>
  <c r="T201" i="1"/>
  <c r="R294" i="1"/>
  <c r="S294" i="1"/>
  <c r="T294" i="1"/>
  <c r="U294" i="1"/>
  <c r="T513" i="1"/>
  <c r="U513" i="1"/>
  <c r="S513" i="1"/>
  <c r="U493" i="1"/>
  <c r="S493" i="1"/>
  <c r="T493" i="1"/>
  <c r="R276" i="1"/>
  <c r="T276" i="1"/>
  <c r="U276" i="1"/>
  <c r="S276" i="1"/>
  <c r="R262" i="1"/>
  <c r="U262" i="1"/>
  <c r="T262" i="1"/>
  <c r="S262" i="1"/>
  <c r="R149" i="1"/>
  <c r="U149" i="1"/>
  <c r="S149" i="1"/>
  <c r="T149" i="1"/>
  <c r="R200" i="1"/>
  <c r="U200" i="1"/>
  <c r="S200" i="1"/>
  <c r="T200" i="1"/>
  <c r="U501" i="1"/>
  <c r="S501" i="1"/>
  <c r="T501" i="1"/>
  <c r="S426" i="1"/>
  <c r="T426" i="1"/>
  <c r="U426" i="1"/>
  <c r="R313" i="1"/>
  <c r="U313" i="1"/>
  <c r="T313" i="1"/>
  <c r="S313" i="1"/>
  <c r="R92" i="1"/>
  <c r="U92" i="1"/>
  <c r="S92" i="1"/>
  <c r="T92" i="1"/>
  <c r="R245" i="1"/>
  <c r="T245" i="1"/>
  <c r="U245" i="1"/>
  <c r="S245" i="1"/>
  <c r="R106" i="1"/>
  <c r="S106" i="1"/>
  <c r="U106" i="1"/>
  <c r="T106" i="1"/>
  <c r="S441" i="1"/>
  <c r="T441" i="1"/>
  <c r="U441" i="1"/>
  <c r="R65" i="1"/>
  <c r="S65" i="1"/>
  <c r="U65" i="1"/>
  <c r="T65" i="1"/>
  <c r="R291" i="1"/>
  <c r="T291" i="1"/>
  <c r="S291" i="1"/>
  <c r="U291" i="1"/>
  <c r="R35" i="1"/>
  <c r="U35" i="1"/>
  <c r="S35" i="1"/>
  <c r="T35" i="1"/>
  <c r="R224" i="1"/>
  <c r="T224" i="1"/>
  <c r="U224" i="1"/>
  <c r="S224" i="1"/>
  <c r="R160" i="1"/>
  <c r="T160" i="1"/>
  <c r="U160" i="1"/>
  <c r="S160" i="1"/>
  <c r="S433" i="1"/>
  <c r="T433" i="1"/>
  <c r="U433" i="1"/>
  <c r="R512" i="1"/>
  <c r="T512" i="1"/>
  <c r="S512" i="1"/>
  <c r="U512" i="1"/>
  <c r="R316" i="1"/>
  <c r="T316" i="1"/>
  <c r="S316" i="1"/>
  <c r="U316" i="1"/>
  <c r="R366" i="1"/>
  <c r="S366" i="1"/>
  <c r="U366" i="1"/>
  <c r="T366" i="1"/>
  <c r="R237" i="1"/>
  <c r="T237" i="1"/>
  <c r="U237" i="1"/>
  <c r="S237" i="1"/>
  <c r="R52" i="1"/>
  <c r="U52" i="1"/>
  <c r="T52" i="1"/>
  <c r="S52" i="1"/>
  <c r="R74" i="1"/>
  <c r="S74" i="1"/>
  <c r="U74" i="1"/>
  <c r="T74" i="1"/>
  <c r="R335" i="1"/>
  <c r="S335" i="1"/>
  <c r="U335" i="1"/>
  <c r="T335" i="1"/>
  <c r="R79" i="1"/>
  <c r="T79" i="1"/>
  <c r="S79" i="1"/>
  <c r="U79" i="1"/>
  <c r="R50" i="1"/>
  <c r="S50" i="1"/>
  <c r="T50" i="1"/>
  <c r="U50" i="1"/>
  <c r="R247" i="1"/>
  <c r="S247" i="1"/>
  <c r="T247" i="1"/>
  <c r="U247" i="1"/>
  <c r="R304" i="1"/>
  <c r="U304" i="1"/>
  <c r="S304" i="1"/>
  <c r="T304" i="1"/>
  <c r="R378" i="1"/>
  <c r="S378" i="1"/>
  <c r="T378" i="1"/>
  <c r="U378" i="1"/>
  <c r="R383" i="1"/>
  <c r="T383" i="1"/>
  <c r="U383" i="1"/>
  <c r="S383" i="1"/>
  <c r="R127" i="1"/>
  <c r="T127" i="1"/>
  <c r="S127" i="1"/>
  <c r="U127" i="1"/>
  <c r="U485" i="1"/>
  <c r="S485" i="1"/>
  <c r="T485" i="1"/>
  <c r="R332" i="1"/>
  <c r="T332" i="1"/>
  <c r="U332" i="1"/>
  <c r="S332" i="1"/>
  <c r="R76" i="1"/>
  <c r="U76" i="1"/>
  <c r="T76" i="1"/>
  <c r="S76" i="1"/>
  <c r="R229" i="1"/>
  <c r="T229" i="1"/>
  <c r="S229" i="1"/>
  <c r="U229" i="1"/>
  <c r="R193" i="1"/>
  <c r="S193" i="1"/>
  <c r="U193" i="1"/>
  <c r="T193" i="1"/>
  <c r="R98" i="1"/>
  <c r="S98" i="1"/>
  <c r="T98" i="1"/>
  <c r="U98" i="1"/>
  <c r="R319" i="1"/>
  <c r="S319" i="1"/>
  <c r="T319" i="1"/>
  <c r="U319" i="1"/>
  <c r="R63" i="1"/>
  <c r="T63" i="1"/>
  <c r="U63" i="1"/>
  <c r="S63" i="1"/>
  <c r="R451" i="1"/>
  <c r="S451" i="1"/>
  <c r="T451" i="1"/>
  <c r="U451" i="1"/>
  <c r="R195" i="1"/>
  <c r="U195" i="1"/>
  <c r="S195" i="1"/>
  <c r="T195" i="1"/>
  <c r="R184" i="1"/>
  <c r="S184" i="1"/>
  <c r="T184" i="1"/>
  <c r="U184" i="1"/>
  <c r="S285" i="1"/>
  <c r="T285" i="1"/>
  <c r="U285" i="1"/>
  <c r="R259" i="1"/>
  <c r="S259" i="1"/>
  <c r="U259" i="1"/>
  <c r="T259" i="1"/>
  <c r="R3" i="1"/>
  <c r="U3" i="1"/>
  <c r="S3" i="1"/>
  <c r="T3" i="1"/>
  <c r="R264" i="1"/>
  <c r="S264" i="1"/>
  <c r="T264" i="1"/>
  <c r="U264" i="1"/>
  <c r="R393" i="1"/>
  <c r="U393" i="1"/>
  <c r="S393" i="1"/>
  <c r="T393" i="1"/>
  <c r="R113" i="1"/>
  <c r="S113" i="1"/>
  <c r="U113" i="1"/>
  <c r="T113" i="1"/>
  <c r="R256" i="1"/>
  <c r="S256" i="1"/>
  <c r="U256" i="1"/>
  <c r="T256" i="1"/>
  <c r="R102" i="1"/>
  <c r="T102" i="1"/>
  <c r="S102" i="1"/>
  <c r="U102" i="1"/>
  <c r="R130" i="1"/>
  <c r="S130" i="1"/>
  <c r="T130" i="1"/>
  <c r="U130" i="1"/>
  <c r="R575" i="1"/>
  <c r="T575" i="1"/>
  <c r="U575" i="1"/>
  <c r="S575" i="1"/>
  <c r="R557" i="1"/>
  <c r="U557" i="1"/>
  <c r="S557" i="1"/>
  <c r="T557" i="1"/>
  <c r="R519" i="1"/>
  <c r="T519" i="1"/>
  <c r="U519" i="1"/>
  <c r="S519" i="1"/>
  <c r="R531" i="1"/>
  <c r="S531" i="1"/>
  <c r="T531" i="1"/>
  <c r="U531" i="1"/>
  <c r="R405" i="1"/>
  <c r="R334" i="1"/>
  <c r="R482" i="1"/>
  <c r="R382" i="1"/>
  <c r="R465" i="1"/>
  <c r="R417" i="1"/>
  <c r="R121" i="1"/>
  <c r="R453" i="1"/>
  <c r="R450" i="1"/>
  <c r="R464" i="1"/>
  <c r="R416" i="1"/>
  <c r="R326" i="1"/>
  <c r="R498" i="1"/>
  <c r="R286" i="1"/>
  <c r="R466" i="1"/>
  <c r="R310" i="1"/>
  <c r="R513" i="1"/>
  <c r="R457" i="1"/>
  <c r="R454" i="1"/>
  <c r="R421" i="1"/>
  <c r="R434" i="1"/>
  <c r="R456" i="1"/>
  <c r="R272" i="1"/>
  <c r="R493" i="1"/>
  <c r="R273" i="1"/>
  <c r="R317" i="1"/>
  <c r="R309" i="1"/>
  <c r="R501" i="1"/>
  <c r="R505" i="1"/>
  <c r="R249" i="1"/>
  <c r="R430" i="1"/>
  <c r="R461" i="1"/>
  <c r="R458" i="1"/>
  <c r="R502" i="1"/>
  <c r="R426" i="1"/>
  <c r="R469" i="1"/>
  <c r="R497" i="1"/>
  <c r="R225" i="1"/>
  <c r="R57" i="1"/>
  <c r="R357" i="1"/>
  <c r="R486" i="1"/>
  <c r="R429" i="1"/>
  <c r="R478" i="1"/>
  <c r="R494" i="1"/>
  <c r="R437" i="1"/>
  <c r="R489" i="1"/>
  <c r="R441" i="1"/>
  <c r="R209" i="1"/>
  <c r="R41" i="1"/>
  <c r="R496" i="1"/>
  <c r="R440" i="1"/>
  <c r="R462" i="1"/>
  <c r="R413" i="1"/>
  <c r="R418" i="1"/>
  <c r="R422" i="1"/>
  <c r="R301" i="1"/>
  <c r="R481" i="1"/>
  <c r="R490" i="1"/>
  <c r="R365" i="1"/>
  <c r="R470" i="1"/>
  <c r="R389" i="1"/>
  <c r="R433" i="1"/>
  <c r="R169" i="1"/>
  <c r="R17" i="1"/>
  <c r="R302" i="1"/>
  <c r="R506" i="1"/>
  <c r="R432" i="1"/>
  <c r="R438" i="1"/>
  <c r="R341" i="1"/>
  <c r="R406" i="1"/>
  <c r="R442" i="1"/>
  <c r="R445" i="1"/>
  <c r="R473" i="1"/>
  <c r="R510" i="1"/>
  <c r="R485" i="1"/>
  <c r="R474" i="1"/>
  <c r="R358" i="1"/>
  <c r="R477" i="1"/>
  <c r="R446" i="1"/>
  <c r="R161" i="1"/>
  <c r="R509" i="1"/>
  <c r="R414" i="1"/>
  <c r="R333" i="1"/>
  <c r="R425" i="1"/>
  <c r="R424" i="1"/>
  <c r="R285" i="1"/>
  <c r="R449" i="1"/>
  <c r="R145" i="1"/>
  <c r="R472" i="1"/>
  <c r="R448" i="1"/>
</calcChain>
</file>

<file path=xl/sharedStrings.xml><?xml version="1.0" encoding="utf-8"?>
<sst xmlns="http://schemas.openxmlformats.org/spreadsheetml/2006/main" count="5440" uniqueCount="57">
  <si>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</si>
  <si>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</si>
  <si>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</si>
  <si>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</si>
  <si>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</si>
  <si>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</si>
  <si>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</si>
  <si>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</si>
  <si>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</si>
  <si>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</si>
  <si>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</si>
  <si>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</si>
  <si>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</si>
  <si>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</si>
  <si>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</si>
  <si>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</si>
  <si>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</si>
  <si>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</si>
  <si>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</si>
  <si>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</si>
  <si>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</si>
  <si>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</si>
  <si>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</si>
  <si>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</si>
  <si>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</si>
  <si>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</si>
  <si>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</si>
  <si>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</si>
  <si>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</si>
  <si>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</si>
  <si>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</si>
  <si>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</si>
  <si>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</si>
  <si>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</si>
  <si>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</si>
  <si>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</si>
  <si>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</si>
  <si>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</si>
  <si>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</si>
  <si>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</si>
  <si>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</si>
  <si>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</si>
  <si>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</si>
  <si>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</si>
  <si>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</si>
  <si>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</si>
  <si>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</si>
  <si>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</si>
  <si>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</si>
  <si>
    <t>Max of R</t>
  </si>
  <si>
    <t>Max of G</t>
  </si>
  <si>
    <t xml:space="preserve"> </t>
  </si>
  <si>
    <t>RGB</t>
  </si>
  <si>
    <t>Max of BEST - color</t>
  </si>
  <si>
    <t>avg_methods_vs_ISO.eps</t>
  </si>
  <si>
    <t>avg_methods_vs_ISO_psf_size.eps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</si>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</sst>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0" borderId="0" xfId="0" applyFont="1"/>
    <xf numFmtId="0" fontId="18" fillId="0" borderId="0" xfId="0" applyFont="1" applyFill="1"/>
    <xf numFmtId="0" fontId="18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DATA.xlsm]BM3D - average SNR vs ISO!PivotTable1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79648"/>
        <c:axId val="109181184"/>
      </c:lineChart>
      <c:catAx>
        <c:axId val="1091796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181184"/>
        <c:crosses val="autoZero"/>
        <c:auto val="1"/>
        <c:lblAlgn val="ctr"/>
        <c:lblOffset val="100"/>
        <c:noMultiLvlLbl val="0"/>
      </c:catAx>
      <c:valAx>
        <c:axId val="10918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1796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ISO!PivotTable15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96352"/>
        <c:axId val="109397888"/>
      </c:lineChart>
      <c:catAx>
        <c:axId val="1093963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397888"/>
        <c:crosses val="autoZero"/>
        <c:auto val="1"/>
        <c:lblAlgn val="ctr"/>
        <c:lblOffset val="100"/>
        <c:noMultiLvlLbl val="0"/>
      </c:catAx>
      <c:valAx>
        <c:axId val="10939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3963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PSF size!PivotTable16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09664"/>
        <c:axId val="109811200"/>
      </c:lineChart>
      <c:catAx>
        <c:axId val="1098096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811200"/>
        <c:crosses val="autoZero"/>
        <c:auto val="1"/>
        <c:lblAlgn val="ctr"/>
        <c:lblOffset val="100"/>
        <c:noMultiLvlLbl val="0"/>
      </c:catAx>
      <c:valAx>
        <c:axId val="10981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8096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109990656"/>
        <c:axId val="109992192"/>
        <c:axId val="109983488"/>
      </c:surface3DChart>
      <c:catAx>
        <c:axId val="1099906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992192"/>
        <c:crosses val="autoZero"/>
        <c:auto val="1"/>
        <c:lblAlgn val="ctr"/>
        <c:lblOffset val="100"/>
        <c:noMultiLvlLbl val="0"/>
      </c:catAx>
      <c:valAx>
        <c:axId val="10999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990656"/>
        <c:crosses val="autoZero"/>
        <c:crossBetween val="midCat"/>
      </c:valAx>
      <c:serAx>
        <c:axId val="109983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992192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SROU03!PivotTable2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110100864"/>
        <c:axId val="110102400"/>
        <c:axId val="109996672"/>
      </c:surface3DChart>
      <c:catAx>
        <c:axId val="1101008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102400"/>
        <c:crosses val="autoZero"/>
        <c:auto val="1"/>
        <c:lblAlgn val="ctr"/>
        <c:lblOffset val="100"/>
        <c:noMultiLvlLbl val="0"/>
      </c:catAx>
      <c:valAx>
        <c:axId val="1101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100864"/>
        <c:crosses val="autoZero"/>
        <c:crossBetween val="midCat"/>
      </c:valAx>
      <c:serAx>
        <c:axId val="1099966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102400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BM3D!PivotTable3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110266624"/>
        <c:axId val="110272512"/>
        <c:axId val="110099968"/>
      </c:surface3DChart>
      <c:catAx>
        <c:axId val="1102666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272512"/>
        <c:crosses val="autoZero"/>
        <c:auto val="1"/>
        <c:lblAlgn val="ctr"/>
        <c:lblOffset val="100"/>
        <c:noMultiLvlLbl val="0"/>
      </c:catAx>
      <c:valAx>
        <c:axId val="110272512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266624"/>
        <c:crosses val="autoZero"/>
        <c:crossBetween val="midCat"/>
      </c:valAx>
      <c:serAx>
        <c:axId val="1100999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272512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0</xdr:rowOff>
    </xdr:from>
    <xdr:to>
      <xdr:col>4</xdr:col>
      <xdr:colOff>342900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zef Sabo" refreshedDate="40993.942534606482" createdVersion="3" refreshedVersion="4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45" maxValue="254"/>
    </cacheField>
    <cacheField name="G" numFmtId="0">
      <sharedItems containsString="0" containsBlank="1" containsNumber="1" containsInteger="1" minValue="42" maxValue="149"/>
    </cacheField>
    <cacheField name="B" numFmtId="0">
      <sharedItems containsString="0" containsBlank="1" containsNumber="1" containsInteger="1" minValue="41" maxValue="216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n v="230"/>
    <n v="96"/>
    <n v="93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n v="218"/>
    <n v="91"/>
    <n v="88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n v="206"/>
    <n v="86"/>
    <n v="84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n v="82"/>
    <n v="135"/>
    <n v="19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n v="79"/>
    <n v="130"/>
    <n v="189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n v="76"/>
    <n v="126"/>
    <n v="183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n v="75"/>
    <n v="123"/>
    <n v="179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n v="73"/>
    <n v="120"/>
    <n v="175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n v="230"/>
    <n v="96"/>
    <n v="93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n v="217"/>
    <n v="91"/>
    <n v="88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n v="206"/>
    <n v="86"/>
    <n v="84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n v="195"/>
    <n v="81"/>
    <n v="79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n v="184"/>
    <n v="77"/>
    <n v="7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n v="173"/>
    <n v="72"/>
    <n v="70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n v="163"/>
    <n v="68"/>
    <n v="66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n v="64"/>
    <n v="106"/>
    <n v="154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n v="230"/>
    <n v="96"/>
    <n v="93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n v="218"/>
    <n v="91"/>
    <n v="88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n v="206"/>
    <n v="86"/>
    <n v="84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n v="195"/>
    <n v="81"/>
    <n v="79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n v="184"/>
    <n v="77"/>
    <n v="7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n v="173"/>
    <n v="72"/>
    <n v="70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n v="163"/>
    <n v="68"/>
    <n v="66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n v="64"/>
    <n v="105"/>
    <n v="153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n v="230"/>
    <n v="96"/>
    <n v="94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n v="217"/>
    <n v="91"/>
    <n v="88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n v="206"/>
    <n v="86"/>
    <n v="84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n v="195"/>
    <n v="81"/>
    <n v="79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n v="184"/>
    <n v="77"/>
    <n v="7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n v="173"/>
    <n v="72"/>
    <n v="70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n v="163"/>
    <n v="68"/>
    <n v="66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n v="152"/>
    <n v="63"/>
    <n v="62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n v="230"/>
    <n v="96"/>
    <n v="93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n v="217"/>
    <n v="91"/>
    <n v="88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n v="87"/>
    <n v="143"/>
    <n v="207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n v="84"/>
    <n v="138"/>
    <n v="200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n v="81"/>
    <n v="134"/>
    <n v="19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n v="80"/>
    <n v="131"/>
    <n v="191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n v="78"/>
    <n v="129"/>
    <n v="187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n v="77"/>
    <n v="127"/>
    <n v="184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n v="230"/>
    <n v="96"/>
    <n v="93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n v="217"/>
    <n v="91"/>
    <n v="88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n v="206"/>
    <n v="86"/>
    <n v="84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n v="194"/>
    <n v="81"/>
    <n v="79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n v="184"/>
    <n v="77"/>
    <n v="7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n v="73"/>
    <n v="120"/>
    <n v="174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n v="70"/>
    <n v="116"/>
    <n v="168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n v="69"/>
    <n v="113"/>
    <n v="16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n v="230"/>
    <n v="96"/>
    <n v="93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n v="217"/>
    <n v="91"/>
    <n v="88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n v="206"/>
    <n v="86"/>
    <n v="84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n v="195"/>
    <n v="81"/>
    <n v="79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n v="184"/>
    <n v="77"/>
    <n v="7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n v="173"/>
    <n v="72"/>
    <n v="70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n v="163"/>
    <n v="68"/>
    <n v="66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n v="65"/>
    <n v="108"/>
    <n v="156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n v="230"/>
    <n v="96"/>
    <n v="93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n v="217"/>
    <n v="91"/>
    <n v="88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n v="206"/>
    <n v="86"/>
    <n v="84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n v="195"/>
    <n v="81"/>
    <n v="79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n v="184"/>
    <n v="77"/>
    <n v="7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n v="173"/>
    <n v="72"/>
    <n v="70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n v="162"/>
    <n v="68"/>
    <n v="66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n v="152"/>
    <n v="63"/>
    <n v="62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n v="230"/>
    <n v="96"/>
    <n v="93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n v="217"/>
    <n v="91"/>
    <n v="88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n v="86"/>
    <n v="143"/>
    <n v="207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n v="83"/>
    <n v="137"/>
    <n v="199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n v="79"/>
    <n v="130"/>
    <n v="189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n v="75"/>
    <n v="123"/>
    <n v="179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n v="73"/>
    <n v="121"/>
    <n v="176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n v="72"/>
    <n v="119"/>
    <n v="172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n v="230"/>
    <n v="96"/>
    <n v="94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n v="218"/>
    <n v="91"/>
    <n v="88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n v="206"/>
    <n v="86"/>
    <n v="84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n v="195"/>
    <n v="82"/>
    <n v="79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n v="184"/>
    <n v="77"/>
    <n v="7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n v="173"/>
    <n v="72"/>
    <n v="70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n v="162"/>
    <n v="68"/>
    <n v="66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n v="65"/>
    <n v="107"/>
    <n v="155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n v="230"/>
    <n v="96"/>
    <n v="93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n v="218"/>
    <n v="91"/>
    <n v="88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n v="206"/>
    <n v="86"/>
    <n v="84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n v="195"/>
    <n v="81"/>
    <n v="79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n v="184"/>
    <n v="77"/>
    <n v="7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n v="173"/>
    <n v="72"/>
    <n v="70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n v="162"/>
    <n v="68"/>
    <n v="66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n v="152"/>
    <n v="63"/>
    <n v="62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n v="230"/>
    <n v="96"/>
    <n v="93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n v="218"/>
    <n v="91"/>
    <n v="88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n v="206"/>
    <n v="86"/>
    <n v="84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n v="195"/>
    <n v="81"/>
    <n v="79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n v="184"/>
    <n v="77"/>
    <n v="7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n v="173"/>
    <n v="72"/>
    <n v="70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n v="162"/>
    <n v="68"/>
    <n v="66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n v="152"/>
    <n v="63"/>
    <n v="62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n v="230"/>
    <n v="96"/>
    <n v="93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n v="217"/>
    <n v="91"/>
    <n v="88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n v="206"/>
    <n v="86"/>
    <n v="84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n v="83"/>
    <n v="136"/>
    <n v="198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n v="80"/>
    <n v="132"/>
    <n v="191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n v="78"/>
    <n v="128"/>
    <n v="186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n v="76"/>
    <n v="125"/>
    <n v="181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n v="74"/>
    <n v="123"/>
    <n v="178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n v="230"/>
    <n v="96"/>
    <n v="94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n v="218"/>
    <n v="91"/>
    <n v="88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n v="206"/>
    <n v="86"/>
    <n v="84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n v="195"/>
    <n v="81"/>
    <n v="79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n v="184"/>
    <n v="77"/>
    <n v="7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n v="173"/>
    <n v="72"/>
    <n v="70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n v="70"/>
    <n v="115"/>
    <n v="167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n v="68"/>
    <n v="111"/>
    <n v="162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n v="230"/>
    <n v="96"/>
    <n v="94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n v="218"/>
    <n v="91"/>
    <n v="88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n v="206"/>
    <n v="86"/>
    <n v="84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n v="194"/>
    <n v="81"/>
    <n v="79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n v="184"/>
    <n v="77"/>
    <n v="7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n v="174"/>
    <n v="73"/>
    <n v="71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n v="162"/>
    <n v="68"/>
    <n v="66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n v="65"/>
    <n v="108"/>
    <n v="156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n v="230"/>
    <n v="96"/>
    <n v="93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n v="217"/>
    <n v="91"/>
    <n v="88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n v="206"/>
    <n v="86"/>
    <n v="84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n v="195"/>
    <n v="81"/>
    <n v="79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n v="184"/>
    <n v="77"/>
    <n v="7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n v="173"/>
    <n v="72"/>
    <n v="70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n v="162"/>
    <n v="68"/>
    <n v="66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n v="152"/>
    <n v="63"/>
    <n v="62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n v="219"/>
    <n v="92"/>
    <n v="89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n v="204"/>
    <n v="85"/>
    <n v="83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n v="79"/>
    <n v="131"/>
    <n v="190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n v="73"/>
    <n v="121"/>
    <n v="176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n v="161"/>
    <n v="67"/>
    <n v="66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n v="63"/>
    <n v="104"/>
    <n v="151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n v="63"/>
    <n v="104"/>
    <n v="150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n v="61"/>
    <n v="100"/>
    <n v="145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n v="219"/>
    <n v="92"/>
    <n v="89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n v="204"/>
    <n v="85"/>
    <n v="83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n v="189"/>
    <n v="79"/>
    <n v="77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n v="175"/>
    <n v="73"/>
    <n v="71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n v="162"/>
    <n v="68"/>
    <n v="66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n v="148"/>
    <n v="62"/>
    <n v="60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n v="136"/>
    <n v="57"/>
    <n v="55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n v="52"/>
    <n v="86"/>
    <n v="125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n v="219"/>
    <n v="92"/>
    <n v="89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n v="204"/>
    <n v="85"/>
    <n v="83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n v="190"/>
    <n v="79"/>
    <n v="77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n v="175"/>
    <n v="73"/>
    <n v="71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n v="162"/>
    <n v="67"/>
    <n v="66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n v="148"/>
    <n v="62"/>
    <n v="60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n v="135"/>
    <n v="57"/>
    <n v="55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n v="52"/>
    <n v="86"/>
    <n v="125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n v="219"/>
    <n v="92"/>
    <n v="89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n v="204"/>
    <n v="85"/>
    <n v="83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n v="189"/>
    <n v="79"/>
    <n v="77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n v="175"/>
    <n v="73"/>
    <n v="71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n v="162"/>
    <n v="67"/>
    <n v="66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n v="148"/>
    <n v="62"/>
    <n v="60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n v="135"/>
    <n v="57"/>
    <n v="55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n v="123"/>
    <n v="51"/>
    <n v="50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n v="219"/>
    <n v="92"/>
    <n v="89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n v="86"/>
    <n v="142"/>
    <n v="205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n v="81"/>
    <n v="133"/>
    <n v="193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n v="75"/>
    <n v="124"/>
    <n v="180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n v="70"/>
    <n v="115"/>
    <n v="166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n v="66"/>
    <n v="108"/>
    <n v="157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n v="64"/>
    <n v="105"/>
    <n v="152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n v="66"/>
    <n v="108"/>
    <n v="157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n v="219"/>
    <n v="92"/>
    <n v="89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n v="204"/>
    <n v="85"/>
    <n v="83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n v="190"/>
    <n v="79"/>
    <n v="77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n v="175"/>
    <n v="73"/>
    <n v="71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n v="162"/>
    <n v="68"/>
    <n v="66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n v="148"/>
    <n v="62"/>
    <n v="60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n v="58"/>
    <n v="96"/>
    <n v="139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n v="56"/>
    <n v="93"/>
    <n v="13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n v="219"/>
    <n v="92"/>
    <n v="89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n v="204"/>
    <n v="85"/>
    <n v="83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n v="189"/>
    <n v="79"/>
    <n v="77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n v="175"/>
    <n v="73"/>
    <n v="71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n v="162"/>
    <n v="68"/>
    <n v="66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n v="148"/>
    <n v="62"/>
    <n v="60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n v="57"/>
    <n v="95"/>
    <n v="137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n v="54"/>
    <n v="89"/>
    <n v="130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n v="219"/>
    <n v="92"/>
    <n v="89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n v="204"/>
    <n v="85"/>
    <n v="83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n v="190"/>
    <n v="79"/>
    <n v="77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n v="175"/>
    <n v="73"/>
    <n v="71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n v="162"/>
    <n v="68"/>
    <n v="66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n v="148"/>
    <n v="62"/>
    <n v="60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n v="136"/>
    <n v="57"/>
    <n v="55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n v="124"/>
    <n v="52"/>
    <n v="50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n v="219"/>
    <n v="92"/>
    <n v="89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n v="86"/>
    <n v="142"/>
    <n v="205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n v="80"/>
    <n v="133"/>
    <n v="19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n v="75"/>
    <n v="124"/>
    <n v="180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n v="71"/>
    <n v="116"/>
    <n v="169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n v="67"/>
    <n v="111"/>
    <n v="161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n v="65"/>
    <n v="107"/>
    <n v="155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n v="63"/>
    <n v="104"/>
    <n v="150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n v="219"/>
    <n v="92"/>
    <n v="89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n v="204"/>
    <n v="85"/>
    <n v="83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n v="190"/>
    <n v="79"/>
    <n v="77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n v="175"/>
    <n v="73"/>
    <n v="71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n v="162"/>
    <n v="68"/>
    <n v="66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n v="148"/>
    <n v="62"/>
    <n v="60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n v="58"/>
    <n v="96"/>
    <n v="139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n v="55"/>
    <n v="91"/>
    <n v="133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n v="220"/>
    <n v="92"/>
    <n v="89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n v="204"/>
    <n v="85"/>
    <n v="83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n v="190"/>
    <n v="79"/>
    <n v="77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n v="175"/>
    <n v="73"/>
    <n v="71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n v="161"/>
    <n v="67"/>
    <n v="66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n v="148"/>
    <n v="62"/>
    <n v="60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n v="135"/>
    <n v="56"/>
    <n v="55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n v="124"/>
    <n v="52"/>
    <n v="50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n v="219"/>
    <n v="92"/>
    <n v="89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n v="204"/>
    <n v="85"/>
    <n v="83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n v="190"/>
    <n v="79"/>
    <n v="77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n v="175"/>
    <n v="73"/>
    <n v="71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n v="161"/>
    <n v="67"/>
    <n v="65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n v="148"/>
    <n v="62"/>
    <n v="60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n v="135"/>
    <n v="57"/>
    <n v="55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n v="123"/>
    <n v="51"/>
    <n v="50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n v="219"/>
    <n v="92"/>
    <n v="89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n v="85"/>
    <n v="141"/>
    <n v="204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n v="80"/>
    <n v="132"/>
    <n v="191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n v="75"/>
    <n v="123"/>
    <n v="179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n v="69"/>
    <n v="115"/>
    <n v="166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n v="65"/>
    <n v="108"/>
    <n v="157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n v="63"/>
    <n v="103"/>
    <n v="150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n v="61"/>
    <n v="101"/>
    <n v="146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n v="219"/>
    <n v="92"/>
    <n v="89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n v="204"/>
    <n v="85"/>
    <n v="83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n v="190"/>
    <n v="79"/>
    <n v="77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n v="175"/>
    <n v="73"/>
    <n v="71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n v="162"/>
    <n v="68"/>
    <n v="66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n v="62"/>
    <n v="103"/>
    <n v="149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n v="58"/>
    <n v="96"/>
    <n v="139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n v="56"/>
    <n v="92"/>
    <n v="13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n v="219"/>
    <n v="92"/>
    <n v="89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n v="204"/>
    <n v="85"/>
    <n v="83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n v="190"/>
    <n v="79"/>
    <n v="77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n v="175"/>
    <n v="73"/>
    <n v="71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n v="161"/>
    <n v="67"/>
    <n v="66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n v="148"/>
    <n v="62"/>
    <n v="60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n v="57"/>
    <n v="94"/>
    <n v="137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n v="54"/>
    <n v="89"/>
    <n v="129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n v="219"/>
    <n v="92"/>
    <n v="89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n v="204"/>
    <n v="85"/>
    <n v="83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n v="189"/>
    <n v="79"/>
    <n v="77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n v="175"/>
    <n v="73"/>
    <n v="71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n v="162"/>
    <n v="68"/>
    <n v="66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n v="148"/>
    <n v="62"/>
    <n v="60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n v="135"/>
    <n v="56"/>
    <n v="55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n v="52"/>
    <n v="87"/>
    <n v="126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n v="254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n v="239"/>
    <n v="100"/>
    <n v="97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n v="224"/>
    <n v="94"/>
    <n v="91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n v="88"/>
    <n v="146"/>
    <n v="211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n v="85"/>
    <n v="140"/>
    <n v="204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n v="79"/>
    <n v="131"/>
    <n v="189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n v="73"/>
    <n v="120"/>
    <n v="175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n v="66"/>
    <n v="109"/>
    <n v="158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n v="253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n v="238"/>
    <n v="100"/>
    <n v="97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n v="224"/>
    <n v="94"/>
    <n v="91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n v="210"/>
    <n v="88"/>
    <n v="85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n v="196"/>
    <n v="82"/>
    <n v="80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n v="182"/>
    <n v="76"/>
    <n v="7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n v="168"/>
    <n v="70"/>
    <n v="68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n v="154"/>
    <n v="64"/>
    <n v="62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n v="254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n v="239"/>
    <n v="100"/>
    <n v="97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n v="224"/>
    <n v="94"/>
    <n v="91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n v="210"/>
    <n v="88"/>
    <n v="85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n v="196"/>
    <n v="82"/>
    <n v="80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n v="182"/>
    <n v="76"/>
    <n v="7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n v="168"/>
    <n v="70"/>
    <n v="68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n v="154"/>
    <n v="64"/>
    <n v="62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n v="253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n v="239"/>
    <n v="100"/>
    <n v="97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n v="224"/>
    <n v="94"/>
    <n v="91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n v="210"/>
    <n v="88"/>
    <n v="85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n v="196"/>
    <n v="82"/>
    <n v="80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n v="182"/>
    <n v="76"/>
    <n v="7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n v="168"/>
    <n v="70"/>
    <n v="68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n v="154"/>
    <n v="64"/>
    <n v="62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n v="253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n v="239"/>
    <n v="100"/>
    <n v="97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n v="225"/>
    <n v="94"/>
    <n v="91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n v="90"/>
    <n v="148"/>
    <n v="215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n v="85"/>
    <n v="141"/>
    <n v="204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n v="82"/>
    <n v="135"/>
    <n v="19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n v="77"/>
    <n v="126"/>
    <n v="183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n v="72"/>
    <n v="119"/>
    <n v="172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n v="253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n v="239"/>
    <n v="100"/>
    <n v="97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n v="224"/>
    <n v="94"/>
    <n v="91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n v="210"/>
    <n v="88"/>
    <n v="85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n v="196"/>
    <n v="82"/>
    <n v="80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n v="183"/>
    <n v="76"/>
    <n v="7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n v="70"/>
    <n v="116"/>
    <n v="168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n v="66"/>
    <n v="108"/>
    <n v="157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n v="253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n v="238"/>
    <n v="100"/>
    <n v="97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n v="223"/>
    <n v="93"/>
    <n v="91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n v="210"/>
    <n v="88"/>
    <n v="85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n v="196"/>
    <n v="82"/>
    <n v="80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n v="182"/>
    <n v="76"/>
    <n v="7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n v="168"/>
    <n v="70"/>
    <n v="68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n v="64"/>
    <n v="106"/>
    <n v="154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n v="254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n v="239"/>
    <n v="100"/>
    <n v="97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n v="223"/>
    <n v="93"/>
    <n v="91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n v="210"/>
    <n v="88"/>
    <n v="85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n v="195"/>
    <n v="82"/>
    <n v="79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n v="182"/>
    <n v="76"/>
    <n v="7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n v="168"/>
    <n v="70"/>
    <n v="68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n v="154"/>
    <n v="64"/>
    <n v="63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n v="254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n v="238"/>
    <n v="100"/>
    <n v="97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n v="225"/>
    <n v="94"/>
    <n v="91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n v="90"/>
    <n v="149"/>
    <n v="216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n v="87"/>
    <n v="144"/>
    <n v="209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n v="85"/>
    <n v="140"/>
    <n v="203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n v="76"/>
    <n v="126"/>
    <n v="182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n v="81"/>
    <n v="133"/>
    <n v="193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n v="253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n v="239"/>
    <n v="100"/>
    <n v="97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n v="224"/>
    <n v="94"/>
    <n v="91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n v="210"/>
    <n v="88"/>
    <n v="85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n v="196"/>
    <n v="82"/>
    <n v="80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n v="182"/>
    <n v="76"/>
    <n v="7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n v="72"/>
    <n v="118"/>
    <n v="172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n v="66"/>
    <n v="110"/>
    <n v="159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n v="253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n v="239"/>
    <n v="100"/>
    <n v="97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n v="224"/>
    <n v="94"/>
    <n v="91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n v="210"/>
    <n v="88"/>
    <n v="85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n v="196"/>
    <n v="82"/>
    <n v="80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n v="182"/>
    <n v="76"/>
    <n v="7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n v="168"/>
    <n v="70"/>
    <n v="68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n v="153"/>
    <n v="64"/>
    <n v="62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n v="253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n v="239"/>
    <n v="100"/>
    <n v="97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n v="224"/>
    <n v="94"/>
    <n v="91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n v="210"/>
    <n v="88"/>
    <n v="85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n v="196"/>
    <n v="82"/>
    <n v="80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n v="182"/>
    <n v="76"/>
    <n v="7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n v="169"/>
    <n v="71"/>
    <n v="69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n v="153"/>
    <n v="64"/>
    <n v="62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n v="253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n v="239"/>
    <n v="100"/>
    <n v="97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n v="224"/>
    <n v="94"/>
    <n v="91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n v="89"/>
    <n v="146"/>
    <n v="212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n v="86"/>
    <n v="141"/>
    <n v="205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n v="82"/>
    <n v="135"/>
    <n v="19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n v="73"/>
    <n v="120"/>
    <n v="174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n v="69"/>
    <n v="114"/>
    <n v="16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n v="254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n v="239"/>
    <n v="100"/>
    <n v="97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n v="224"/>
    <n v="94"/>
    <n v="91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n v="210"/>
    <n v="88"/>
    <n v="85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n v="196"/>
    <n v="82"/>
    <n v="80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n v="182"/>
    <n v="76"/>
    <n v="7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n v="168"/>
    <n v="70"/>
    <n v="68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n v="66"/>
    <n v="109"/>
    <n v="158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n v="253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n v="239"/>
    <n v="100"/>
    <n v="97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n v="224"/>
    <n v="94"/>
    <n v="91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n v="209"/>
    <n v="88"/>
    <n v="85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n v="196"/>
    <n v="82"/>
    <n v="80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n v="182"/>
    <n v="76"/>
    <n v="7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n v="168"/>
    <n v="70"/>
    <n v="68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n v="153"/>
    <n v="64"/>
    <n v="62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n v="253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n v="239"/>
    <n v="100"/>
    <n v="97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n v="225"/>
    <n v="94"/>
    <n v="91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n v="210"/>
    <n v="88"/>
    <n v="85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n v="196"/>
    <n v="82"/>
    <n v="80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n v="182"/>
    <n v="76"/>
    <n v="7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n v="168"/>
    <n v="70"/>
    <n v="68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n v="154"/>
    <n v="64"/>
    <n v="62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n v="228"/>
    <n v="95"/>
    <n v="93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n v="216"/>
    <n v="90"/>
    <n v="88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n v="203"/>
    <n v="85"/>
    <n v="83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n v="190"/>
    <n v="80"/>
    <n v="77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n v="75"/>
    <n v="123"/>
    <n v="179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n v="71"/>
    <n v="116"/>
    <n v="169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n v="68"/>
    <n v="113"/>
    <n v="16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n v="67"/>
    <n v="111"/>
    <n v="161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n v="228"/>
    <n v="95"/>
    <n v="93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n v="216"/>
    <n v="90"/>
    <n v="88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n v="203"/>
    <n v="85"/>
    <n v="82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n v="191"/>
    <n v="80"/>
    <n v="77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n v="178"/>
    <n v="74"/>
    <n v="7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n v="166"/>
    <n v="69"/>
    <n v="67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n v="154"/>
    <n v="64"/>
    <n v="63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n v="61"/>
    <n v="100"/>
    <n v="146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n v="228"/>
    <n v="95"/>
    <n v="93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n v="216"/>
    <n v="90"/>
    <n v="88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n v="203"/>
    <n v="85"/>
    <n v="82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n v="190"/>
    <n v="80"/>
    <n v="77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n v="178"/>
    <n v="74"/>
    <n v="7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n v="166"/>
    <n v="69"/>
    <n v="67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n v="154"/>
    <n v="64"/>
    <n v="63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n v="62"/>
    <n v="102"/>
    <n v="147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n v="228"/>
    <n v="95"/>
    <n v="93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n v="215"/>
    <n v="90"/>
    <n v="88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n v="203"/>
    <n v="85"/>
    <n v="82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n v="190"/>
    <n v="80"/>
    <n v="77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n v="178"/>
    <n v="74"/>
    <n v="7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n v="166"/>
    <n v="69"/>
    <n v="67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n v="154"/>
    <n v="64"/>
    <n v="62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n v="60"/>
    <n v="99"/>
    <n v="143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n v="228"/>
    <n v="95"/>
    <n v="93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n v="215"/>
    <n v="90"/>
    <n v="88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n v="85"/>
    <n v="140"/>
    <n v="203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n v="81"/>
    <n v="133"/>
    <n v="19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n v="77"/>
    <n v="127"/>
    <n v="184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n v="74"/>
    <n v="122"/>
    <n v="177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n v="72"/>
    <n v="119"/>
    <n v="172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n v="72"/>
    <n v="119"/>
    <n v="172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n v="228"/>
    <n v="95"/>
    <n v="93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n v="215"/>
    <n v="90"/>
    <n v="88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n v="203"/>
    <n v="85"/>
    <n v="82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n v="190"/>
    <n v="80"/>
    <n v="77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n v="178"/>
    <n v="74"/>
    <n v="7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n v="166"/>
    <n v="69"/>
    <n v="67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n v="66"/>
    <n v="109"/>
    <n v="158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n v="63"/>
    <n v="105"/>
    <n v="152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n v="228"/>
    <n v="96"/>
    <n v="93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n v="215"/>
    <n v="90"/>
    <n v="88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n v="203"/>
    <n v="85"/>
    <n v="82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n v="190"/>
    <n v="80"/>
    <n v="77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n v="178"/>
    <n v="74"/>
    <n v="7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n v="166"/>
    <n v="69"/>
    <n v="67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n v="66"/>
    <n v="108"/>
    <n v="157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n v="63"/>
    <n v="104"/>
    <n v="151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n v="228"/>
    <n v="95"/>
    <n v="93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n v="215"/>
    <n v="90"/>
    <n v="88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n v="203"/>
    <n v="85"/>
    <n v="82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n v="190"/>
    <n v="80"/>
    <n v="77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n v="178"/>
    <n v="75"/>
    <n v="7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n v="166"/>
    <n v="69"/>
    <n v="68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n v="154"/>
    <n v="64"/>
    <n v="63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n v="60"/>
    <n v="99"/>
    <n v="144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n v="228"/>
    <n v="96"/>
    <n v="93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n v="216"/>
    <n v="90"/>
    <n v="88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n v="85"/>
    <n v="140"/>
    <n v="203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n v="81"/>
    <n v="134"/>
    <n v="19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n v="78"/>
    <n v="128"/>
    <n v="186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n v="74"/>
    <n v="123"/>
    <n v="178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n v="73"/>
    <n v="121"/>
    <n v="176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n v="71"/>
    <n v="118"/>
    <n v="171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n v="228"/>
    <n v="95"/>
    <n v="93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n v="215"/>
    <n v="90"/>
    <n v="88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n v="203"/>
    <n v="85"/>
    <n v="82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n v="191"/>
    <n v="80"/>
    <n v="77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n v="178"/>
    <n v="74"/>
    <n v="7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n v="166"/>
    <n v="69"/>
    <n v="67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n v="66"/>
    <n v="110"/>
    <n v="159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n v="63"/>
    <n v="103"/>
    <n v="150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n v="228"/>
    <n v="95"/>
    <n v="93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n v="215"/>
    <n v="90"/>
    <n v="87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n v="203"/>
    <n v="85"/>
    <n v="83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n v="190"/>
    <n v="79"/>
    <n v="77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n v="178"/>
    <n v="74"/>
    <n v="7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n v="166"/>
    <n v="69"/>
    <n v="67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n v="154"/>
    <n v="64"/>
    <n v="63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n v="143"/>
    <n v="60"/>
    <n v="58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n v="228"/>
    <n v="96"/>
    <n v="93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n v="216"/>
    <n v="90"/>
    <n v="88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n v="203"/>
    <n v="85"/>
    <n v="82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n v="190"/>
    <n v="79"/>
    <n v="77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n v="178"/>
    <n v="74"/>
    <n v="7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n v="165"/>
    <n v="69"/>
    <n v="67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n v="154"/>
    <n v="64"/>
    <n v="63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n v="143"/>
    <n v="60"/>
    <n v="58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n v="228"/>
    <n v="96"/>
    <n v="93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n v="216"/>
    <n v="90"/>
    <n v="88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n v="203"/>
    <n v="85"/>
    <n v="82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n v="80"/>
    <n v="132"/>
    <n v="192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n v="76"/>
    <n v="126"/>
    <n v="182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n v="73"/>
    <n v="120"/>
    <n v="174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n v="70"/>
    <n v="116"/>
    <n v="168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n v="69"/>
    <n v="114"/>
    <n v="16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n v="228"/>
    <n v="95"/>
    <n v="93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n v="215"/>
    <n v="90"/>
    <n v="88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n v="203"/>
    <n v="85"/>
    <n v="82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n v="190"/>
    <n v="80"/>
    <n v="77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n v="178"/>
    <n v="75"/>
    <n v="7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n v="166"/>
    <n v="69"/>
    <n v="67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n v="66"/>
    <n v="108"/>
    <n v="157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n v="63"/>
    <n v="104"/>
    <n v="151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n v="228"/>
    <n v="95"/>
    <n v="93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n v="215"/>
    <n v="90"/>
    <n v="88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n v="203"/>
    <n v="85"/>
    <n v="82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n v="190"/>
    <n v="80"/>
    <n v="77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n v="178"/>
    <n v="74"/>
    <n v="7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n v="166"/>
    <n v="69"/>
    <n v="67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n v="66"/>
    <n v="109"/>
    <n v="157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n v="63"/>
    <n v="104"/>
    <n v="151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n v="228"/>
    <n v="95"/>
    <n v="93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n v="215"/>
    <n v="90"/>
    <n v="87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n v="203"/>
    <n v="85"/>
    <n v="83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n v="190"/>
    <n v="80"/>
    <n v="77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n v="178"/>
    <n v="74"/>
    <n v="7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n v="166"/>
    <n v="69"/>
    <n v="67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n v="154"/>
    <n v="64"/>
    <n v="63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n v="61"/>
    <n v="101"/>
    <n v="147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n v="67"/>
    <n v="111"/>
    <n v="161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n v="55"/>
    <n v="91"/>
    <n v="133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n v="58"/>
    <n v="96"/>
    <n v="139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n v="55"/>
    <n v="91"/>
    <n v="132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n v="67"/>
    <n v="111"/>
    <n v="161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n v="55"/>
    <n v="90"/>
    <n v="131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n v="55"/>
    <n v="91"/>
    <n v="13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n v="52"/>
    <n v="87"/>
    <n v="126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n v="71"/>
    <n v="118"/>
    <n v="171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n v="56"/>
    <n v="92"/>
    <n v="13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n v="56"/>
    <n v="93"/>
    <n v="135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n v="53"/>
    <n v="88"/>
    <n v="127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n v="57"/>
    <n v="94"/>
    <n v="13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n v="123"/>
    <n v="51"/>
    <n v="50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n v="123"/>
    <n v="51"/>
    <n v="50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n v="123"/>
    <n v="51"/>
    <n v="50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n v="68"/>
    <n v="113"/>
    <n v="16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n v="59"/>
    <n v="98"/>
    <n v="142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n v="61"/>
    <n v="100"/>
    <n v="145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n v="130"/>
    <n v="54"/>
    <n v="53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n v="71"/>
    <n v="117"/>
    <n v="170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n v="56"/>
    <n v="93"/>
    <n v="13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n v="57"/>
    <n v="95"/>
    <n v="137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n v="55"/>
    <n v="90"/>
    <n v="131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n v="73"/>
    <n v="120"/>
    <n v="174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n v="58"/>
    <n v="95"/>
    <n v="138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n v="58"/>
    <n v="95"/>
    <n v="138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n v="129"/>
    <n v="54"/>
    <n v="52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n v="110"/>
    <n v="131"/>
    <n v="6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n v="129"/>
    <n v="54"/>
    <n v="52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n v="129"/>
    <n v="54"/>
    <n v="52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n v="129"/>
    <n v="54"/>
    <n v="52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n v="64"/>
    <n v="105"/>
    <n v="153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n v="57"/>
    <n v="94"/>
    <n v="13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n v="54"/>
    <n v="90"/>
    <n v="130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n v="122"/>
    <n v="51"/>
    <n v="49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n v="64"/>
    <n v="106"/>
    <n v="154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n v="121"/>
    <n v="51"/>
    <n v="49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n v="53"/>
    <n v="87"/>
    <n v="127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n v="122"/>
    <n v="51"/>
    <n v="49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n v="74"/>
    <n v="122"/>
    <n v="178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n v="56"/>
    <n v="92"/>
    <n v="13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n v="55"/>
    <n v="92"/>
    <n v="133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n v="52"/>
    <n v="86"/>
    <n v="125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n v="73"/>
    <n v="121"/>
    <n v="175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n v="58"/>
    <n v="96"/>
    <n v="140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n v="121"/>
    <n v="51"/>
    <n v="49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n v="121"/>
    <n v="51"/>
    <n v="49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n v="59"/>
    <n v="98"/>
    <n v="142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n v="52"/>
    <n v="86"/>
    <n v="124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n v="49"/>
    <n v="81"/>
    <n v="118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n v="46"/>
    <n v="76"/>
    <n v="110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n v="60"/>
    <n v="99"/>
    <n v="144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n v="48"/>
    <n v="79"/>
    <n v="115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n v="47"/>
    <n v="77"/>
    <n v="112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n v="45"/>
    <n v="75"/>
    <n v="108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n v="65"/>
    <n v="107"/>
    <n v="155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n v="54"/>
    <n v="90"/>
    <n v="130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n v="50"/>
    <n v="82"/>
    <n v="119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n v="46"/>
    <n v="77"/>
    <n v="111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n v="58"/>
    <n v="96"/>
    <n v="139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n v="46"/>
    <n v="77"/>
    <n v="111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n v="101"/>
    <n v="42"/>
    <n v="41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n v="101"/>
    <n v="42"/>
    <n v="41"/>
    <b v="1"/>
  </r>
  <r>
    <x v="4"/>
    <x v="4"/>
    <x v="4"/>
    <m/>
    <x v="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20:K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2" baseItem="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4:X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G" fld="19" subtotal="max" baseField="2" baseItem="1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R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20:X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EST - color" fld="17" subtotal="max" baseField="2" baseItem="1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77"/>
  <sheetViews>
    <sheetView tabSelected="1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8.28515625" bestFit="1" customWidth="1"/>
    <col min="12" max="12" width="9.85546875" bestFit="1" customWidth="1"/>
    <col min="13" max="13" width="9.42578125" bestFit="1" customWidth="1"/>
    <col min="14" max="14" width="10.28515625" bestFit="1" customWidth="1"/>
    <col min="15" max="15" width="8.5703125" bestFit="1" customWidth="1"/>
    <col min="16" max="16" width="7.85546875" bestFit="1" customWidth="1"/>
    <col min="17" max="17" width="13.85546875" bestFit="1" customWidth="1"/>
    <col min="18" max="18" width="13.42578125" bestFit="1" customWidth="1"/>
    <col min="19" max="19" width="4.42578125" bestFit="1" customWidth="1"/>
    <col min="20" max="20" width="4.7109375" bestFit="1" customWidth="1"/>
    <col min="21" max="21" width="4.42578125" bestFit="1" customWidth="1"/>
    <col min="22" max="22" width="10.1406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 x14ac:dyDescent="0.25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TRUNC(VLOOKUP(P2,'Color codes'!$A:$E,3,FALSE)*(0.25 + 0.75*Q2/40))</f>
        <v>230</v>
      </c>
      <c r="T2">
        <f>TRUNC(VLOOKUP(P2,'Color codes'!$A:$E,4,FALSE)*(0.25 + 0.75*Q2/40))</f>
        <v>96</v>
      </c>
      <c r="U2">
        <f>TRUNC(VLOOKUP(P2,'Color codes'!$A:$E,5,FALSE)*(0.25 + 0.75*Q2/40))</f>
        <v>93</v>
      </c>
      <c r="V2" t="b">
        <f>(ABS(N2-O2)  &gt; 1)</f>
        <v>1</v>
      </c>
    </row>
    <row r="3" spans="1:22" x14ac:dyDescent="0.25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TRUNC(VLOOKUP(P3,'Color codes'!$A:$E,3,FALSE)*(0.25 + 0.75*Q3/40))</f>
        <v>218</v>
      </c>
      <c r="T3">
        <f>TRUNC(VLOOKUP(P3,'Color codes'!$A:$E,4,FALSE)*(0.25 + 0.75*Q3/40))</f>
        <v>91</v>
      </c>
      <c r="U3">
        <f>TRUNC(VLOOKUP(P3,'Color codes'!$A:$E,5,FALSE)*(0.25 + 0.75*Q3/40))</f>
        <v>88</v>
      </c>
      <c r="V3" t="b">
        <f t="shared" ref="V3:V66" si="3">(ABS(N3-O3)  &gt; 1)</f>
        <v>0</v>
      </c>
    </row>
    <row r="4" spans="1:22" x14ac:dyDescent="0.25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TRUNC(VLOOKUP(P4,'Color codes'!$A:$E,3,FALSE)*(0.25 + 0.75*Q4/40))</f>
        <v>206</v>
      </c>
      <c r="T4">
        <f>TRUNC(VLOOKUP(P4,'Color codes'!$A:$E,4,FALSE)*(0.25 + 0.75*Q4/40))</f>
        <v>86</v>
      </c>
      <c r="U4">
        <f>TRUNC(VLOOKUP(P4,'Color codes'!$A:$E,5,FALSE)*(0.25 + 0.75*Q4/40))</f>
        <v>84</v>
      </c>
      <c r="V4" t="b">
        <f t="shared" si="3"/>
        <v>0</v>
      </c>
    </row>
    <row r="5" spans="1:22" x14ac:dyDescent="0.25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TRUNC(VLOOKUP(P5,'Color codes'!$A:$E,3,FALSE)*(0.25 + 0.75*Q5/40))</f>
        <v>82</v>
      </c>
      <c r="T5">
        <f>TRUNC(VLOOKUP(P5,'Color codes'!$A:$E,4,FALSE)*(0.25 + 0.75*Q5/40))</f>
        <v>135</v>
      </c>
      <c r="U5">
        <f>TRUNC(VLOOKUP(P5,'Color codes'!$A:$E,5,FALSE)*(0.25 + 0.75*Q5/40))</f>
        <v>197</v>
      </c>
      <c r="V5" t="b">
        <f t="shared" si="3"/>
        <v>0</v>
      </c>
    </row>
    <row r="6" spans="1:22" x14ac:dyDescent="0.25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TRUNC(VLOOKUP(P6,'Color codes'!$A:$E,3,FALSE)*(0.25 + 0.75*Q6/40))</f>
        <v>79</v>
      </c>
      <c r="T6">
        <f>TRUNC(VLOOKUP(P6,'Color codes'!$A:$E,4,FALSE)*(0.25 + 0.75*Q6/40))</f>
        <v>130</v>
      </c>
      <c r="U6">
        <f>TRUNC(VLOOKUP(P6,'Color codes'!$A:$E,5,FALSE)*(0.25 + 0.75*Q6/40))</f>
        <v>189</v>
      </c>
      <c r="V6" t="b">
        <f t="shared" si="3"/>
        <v>1</v>
      </c>
    </row>
    <row r="7" spans="1:22" x14ac:dyDescent="0.25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TRUNC(VLOOKUP(P7,'Color codes'!$A:$E,3,FALSE)*(0.25 + 0.75*Q7/40))</f>
        <v>76</v>
      </c>
      <c r="T7">
        <f>TRUNC(VLOOKUP(P7,'Color codes'!$A:$E,4,FALSE)*(0.25 + 0.75*Q7/40))</f>
        <v>126</v>
      </c>
      <c r="U7">
        <f>TRUNC(VLOOKUP(P7,'Color codes'!$A:$E,5,FALSE)*(0.25 + 0.75*Q7/40))</f>
        <v>183</v>
      </c>
      <c r="V7" t="b">
        <f t="shared" si="3"/>
        <v>1</v>
      </c>
    </row>
    <row r="8" spans="1:22" x14ac:dyDescent="0.25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TRUNC(VLOOKUP(P8,'Color codes'!$A:$E,3,FALSE)*(0.25 + 0.75*Q8/40))</f>
        <v>75</v>
      </c>
      <c r="T8">
        <f>TRUNC(VLOOKUP(P8,'Color codes'!$A:$E,4,FALSE)*(0.25 + 0.75*Q8/40))</f>
        <v>123</v>
      </c>
      <c r="U8">
        <f>TRUNC(VLOOKUP(P8,'Color codes'!$A:$E,5,FALSE)*(0.25 + 0.75*Q8/40))</f>
        <v>179</v>
      </c>
      <c r="V8" t="b">
        <f t="shared" si="3"/>
        <v>1</v>
      </c>
    </row>
    <row r="9" spans="1:22" x14ac:dyDescent="0.25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TRUNC(VLOOKUP(P9,'Color codes'!$A:$E,3,FALSE)*(0.25 + 0.75*Q9/40))</f>
        <v>73</v>
      </c>
      <c r="T9">
        <f>TRUNC(VLOOKUP(P9,'Color codes'!$A:$E,4,FALSE)*(0.25 + 0.75*Q9/40))</f>
        <v>120</v>
      </c>
      <c r="U9">
        <f>TRUNC(VLOOKUP(P9,'Color codes'!$A:$E,5,FALSE)*(0.25 + 0.75*Q9/40))</f>
        <v>175</v>
      </c>
      <c r="V9" t="b">
        <f t="shared" si="3"/>
        <v>1</v>
      </c>
    </row>
    <row r="10" spans="1:22" x14ac:dyDescent="0.25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TRUNC(VLOOKUP(P10,'Color codes'!$A:$E,3,FALSE)*(0.25 + 0.75*Q10/40))</f>
        <v>230</v>
      </c>
      <c r="T10">
        <f>TRUNC(VLOOKUP(P10,'Color codes'!$A:$E,4,FALSE)*(0.25 + 0.75*Q10/40))</f>
        <v>96</v>
      </c>
      <c r="U10">
        <f>TRUNC(VLOOKUP(P10,'Color codes'!$A:$E,5,FALSE)*(0.25 + 0.75*Q10/40))</f>
        <v>93</v>
      </c>
      <c r="V10" t="b">
        <f t="shared" si="3"/>
        <v>1</v>
      </c>
    </row>
    <row r="11" spans="1:22" x14ac:dyDescent="0.25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TRUNC(VLOOKUP(P11,'Color codes'!$A:$E,3,FALSE)*(0.25 + 0.75*Q11/40))</f>
        <v>217</v>
      </c>
      <c r="T11">
        <f>TRUNC(VLOOKUP(P11,'Color codes'!$A:$E,4,FALSE)*(0.25 + 0.75*Q11/40))</f>
        <v>91</v>
      </c>
      <c r="U11">
        <f>TRUNC(VLOOKUP(P11,'Color codes'!$A:$E,5,FALSE)*(0.25 + 0.75*Q11/40))</f>
        <v>88</v>
      </c>
      <c r="V11" t="b">
        <f t="shared" si="3"/>
        <v>1</v>
      </c>
    </row>
    <row r="12" spans="1:22" x14ac:dyDescent="0.25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TRUNC(VLOOKUP(P12,'Color codes'!$A:$E,3,FALSE)*(0.25 + 0.75*Q12/40))</f>
        <v>206</v>
      </c>
      <c r="T12">
        <f>TRUNC(VLOOKUP(P12,'Color codes'!$A:$E,4,FALSE)*(0.25 + 0.75*Q12/40))</f>
        <v>86</v>
      </c>
      <c r="U12">
        <f>TRUNC(VLOOKUP(P12,'Color codes'!$A:$E,5,FALSE)*(0.25 + 0.75*Q12/40))</f>
        <v>84</v>
      </c>
      <c r="V12" t="b">
        <f t="shared" si="3"/>
        <v>1</v>
      </c>
    </row>
    <row r="13" spans="1:22" x14ac:dyDescent="0.25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TRUNC(VLOOKUP(P13,'Color codes'!$A:$E,3,FALSE)*(0.25 + 0.75*Q13/40))</f>
        <v>195</v>
      </c>
      <c r="T13">
        <f>TRUNC(VLOOKUP(P13,'Color codes'!$A:$E,4,FALSE)*(0.25 + 0.75*Q13/40))</f>
        <v>81</v>
      </c>
      <c r="U13">
        <f>TRUNC(VLOOKUP(P13,'Color codes'!$A:$E,5,FALSE)*(0.25 + 0.75*Q13/40))</f>
        <v>79</v>
      </c>
      <c r="V13" t="b">
        <f t="shared" si="3"/>
        <v>1</v>
      </c>
    </row>
    <row r="14" spans="1:22" x14ac:dyDescent="0.25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TRUNC(VLOOKUP(P14,'Color codes'!$A:$E,3,FALSE)*(0.25 + 0.75*Q14/40))</f>
        <v>184</v>
      </c>
      <c r="T14">
        <f>TRUNC(VLOOKUP(P14,'Color codes'!$A:$E,4,FALSE)*(0.25 + 0.75*Q14/40))</f>
        <v>77</v>
      </c>
      <c r="U14">
        <f>TRUNC(VLOOKUP(P14,'Color codes'!$A:$E,5,FALSE)*(0.25 + 0.75*Q14/40))</f>
        <v>75</v>
      </c>
      <c r="V14" t="b">
        <f t="shared" si="3"/>
        <v>1</v>
      </c>
    </row>
    <row r="15" spans="1:22" x14ac:dyDescent="0.25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TRUNC(VLOOKUP(P15,'Color codes'!$A:$E,3,FALSE)*(0.25 + 0.75*Q15/40))</f>
        <v>173</v>
      </c>
      <c r="T15">
        <f>TRUNC(VLOOKUP(P15,'Color codes'!$A:$E,4,FALSE)*(0.25 + 0.75*Q15/40))</f>
        <v>72</v>
      </c>
      <c r="U15">
        <f>TRUNC(VLOOKUP(P15,'Color codes'!$A:$E,5,FALSE)*(0.25 + 0.75*Q15/40))</f>
        <v>70</v>
      </c>
      <c r="V15" t="b">
        <f t="shared" si="3"/>
        <v>0</v>
      </c>
    </row>
    <row r="16" spans="1:22" x14ac:dyDescent="0.25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TRUNC(VLOOKUP(P16,'Color codes'!$A:$E,3,FALSE)*(0.25 + 0.75*Q16/40))</f>
        <v>163</v>
      </c>
      <c r="T16">
        <f>TRUNC(VLOOKUP(P16,'Color codes'!$A:$E,4,FALSE)*(0.25 + 0.75*Q16/40))</f>
        <v>68</v>
      </c>
      <c r="U16">
        <f>TRUNC(VLOOKUP(P16,'Color codes'!$A:$E,5,FALSE)*(0.25 + 0.75*Q16/40))</f>
        <v>66</v>
      </c>
      <c r="V16" t="b">
        <f t="shared" si="3"/>
        <v>0</v>
      </c>
    </row>
    <row r="17" spans="1:22" x14ac:dyDescent="0.25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TRUNC(VLOOKUP(P17,'Color codes'!$A:$E,3,FALSE)*(0.25 + 0.75*Q17/40))</f>
        <v>64</v>
      </c>
      <c r="T17">
        <f>TRUNC(VLOOKUP(P17,'Color codes'!$A:$E,4,FALSE)*(0.25 + 0.75*Q17/40))</f>
        <v>106</v>
      </c>
      <c r="U17">
        <f>TRUNC(VLOOKUP(P17,'Color codes'!$A:$E,5,FALSE)*(0.25 + 0.75*Q17/40))</f>
        <v>154</v>
      </c>
      <c r="V17" t="b">
        <f t="shared" si="3"/>
        <v>0</v>
      </c>
    </row>
    <row r="18" spans="1:22" x14ac:dyDescent="0.25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TRUNC(VLOOKUP(P18,'Color codes'!$A:$E,3,FALSE)*(0.25 + 0.75*Q18/40))</f>
        <v>230</v>
      </c>
      <c r="T18">
        <f>TRUNC(VLOOKUP(P18,'Color codes'!$A:$E,4,FALSE)*(0.25 + 0.75*Q18/40))</f>
        <v>96</v>
      </c>
      <c r="U18">
        <f>TRUNC(VLOOKUP(P18,'Color codes'!$A:$E,5,FALSE)*(0.25 + 0.75*Q18/40))</f>
        <v>93</v>
      </c>
      <c r="V18" t="b">
        <f t="shared" si="3"/>
        <v>1</v>
      </c>
    </row>
    <row r="19" spans="1:22" x14ac:dyDescent="0.25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TRUNC(VLOOKUP(P19,'Color codes'!$A:$E,3,FALSE)*(0.25 + 0.75*Q19/40))</f>
        <v>218</v>
      </c>
      <c r="T19">
        <f>TRUNC(VLOOKUP(P19,'Color codes'!$A:$E,4,FALSE)*(0.25 + 0.75*Q19/40))</f>
        <v>91</v>
      </c>
      <c r="U19">
        <f>TRUNC(VLOOKUP(P19,'Color codes'!$A:$E,5,FALSE)*(0.25 + 0.75*Q19/40))</f>
        <v>88</v>
      </c>
      <c r="V19" t="b">
        <f t="shared" si="3"/>
        <v>1</v>
      </c>
    </row>
    <row r="20" spans="1:22" x14ac:dyDescent="0.25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TRUNC(VLOOKUP(P20,'Color codes'!$A:$E,3,FALSE)*(0.25 + 0.75*Q20/40))</f>
        <v>206</v>
      </c>
      <c r="T20">
        <f>TRUNC(VLOOKUP(P20,'Color codes'!$A:$E,4,FALSE)*(0.25 + 0.75*Q20/40))</f>
        <v>86</v>
      </c>
      <c r="U20">
        <f>TRUNC(VLOOKUP(P20,'Color codes'!$A:$E,5,FALSE)*(0.25 + 0.75*Q20/40))</f>
        <v>84</v>
      </c>
      <c r="V20" t="b">
        <f t="shared" si="3"/>
        <v>1</v>
      </c>
    </row>
    <row r="21" spans="1:22" x14ac:dyDescent="0.25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TRUNC(VLOOKUP(P21,'Color codes'!$A:$E,3,FALSE)*(0.25 + 0.75*Q21/40))</f>
        <v>195</v>
      </c>
      <c r="T21">
        <f>TRUNC(VLOOKUP(P21,'Color codes'!$A:$E,4,FALSE)*(0.25 + 0.75*Q21/40))</f>
        <v>81</v>
      </c>
      <c r="U21">
        <f>TRUNC(VLOOKUP(P21,'Color codes'!$A:$E,5,FALSE)*(0.25 + 0.75*Q21/40))</f>
        <v>79</v>
      </c>
      <c r="V21" t="b">
        <f t="shared" si="3"/>
        <v>1</v>
      </c>
    </row>
    <row r="22" spans="1:22" x14ac:dyDescent="0.25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TRUNC(VLOOKUP(P22,'Color codes'!$A:$E,3,FALSE)*(0.25 + 0.75*Q22/40))</f>
        <v>184</v>
      </c>
      <c r="T22">
        <f>TRUNC(VLOOKUP(P22,'Color codes'!$A:$E,4,FALSE)*(0.25 + 0.75*Q22/40))</f>
        <v>77</v>
      </c>
      <c r="U22">
        <f>TRUNC(VLOOKUP(P22,'Color codes'!$A:$E,5,FALSE)*(0.25 + 0.75*Q22/40))</f>
        <v>75</v>
      </c>
      <c r="V22" t="b">
        <f t="shared" si="3"/>
        <v>1</v>
      </c>
    </row>
    <row r="23" spans="1:22" x14ac:dyDescent="0.25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TRUNC(VLOOKUP(P23,'Color codes'!$A:$E,3,FALSE)*(0.25 + 0.75*Q23/40))</f>
        <v>173</v>
      </c>
      <c r="T23">
        <f>TRUNC(VLOOKUP(P23,'Color codes'!$A:$E,4,FALSE)*(0.25 + 0.75*Q23/40))</f>
        <v>72</v>
      </c>
      <c r="U23">
        <f>TRUNC(VLOOKUP(P23,'Color codes'!$A:$E,5,FALSE)*(0.25 + 0.75*Q23/40))</f>
        <v>70</v>
      </c>
      <c r="V23" t="b">
        <f t="shared" si="3"/>
        <v>1</v>
      </c>
    </row>
    <row r="24" spans="1:22" x14ac:dyDescent="0.25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TRUNC(VLOOKUP(P24,'Color codes'!$A:$E,3,FALSE)*(0.25 + 0.75*Q24/40))</f>
        <v>163</v>
      </c>
      <c r="T24">
        <f>TRUNC(VLOOKUP(P24,'Color codes'!$A:$E,4,FALSE)*(0.25 + 0.75*Q24/40))</f>
        <v>68</v>
      </c>
      <c r="U24">
        <f>TRUNC(VLOOKUP(P24,'Color codes'!$A:$E,5,FALSE)*(0.25 + 0.75*Q24/40))</f>
        <v>66</v>
      </c>
      <c r="V24" t="b">
        <f t="shared" si="3"/>
        <v>1</v>
      </c>
    </row>
    <row r="25" spans="1:22" x14ac:dyDescent="0.25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TRUNC(VLOOKUP(P25,'Color codes'!$A:$E,3,FALSE)*(0.25 + 0.75*Q25/40))</f>
        <v>64</v>
      </c>
      <c r="T25">
        <f>TRUNC(VLOOKUP(P25,'Color codes'!$A:$E,4,FALSE)*(0.25 + 0.75*Q25/40))</f>
        <v>105</v>
      </c>
      <c r="U25">
        <f>TRUNC(VLOOKUP(P25,'Color codes'!$A:$E,5,FALSE)*(0.25 + 0.75*Q25/40))</f>
        <v>153</v>
      </c>
      <c r="V25" t="b">
        <f t="shared" si="3"/>
        <v>0</v>
      </c>
    </row>
    <row r="26" spans="1:22" x14ac:dyDescent="0.25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TRUNC(VLOOKUP(P26,'Color codes'!$A:$E,3,FALSE)*(0.25 + 0.75*Q26/40))</f>
        <v>230</v>
      </c>
      <c r="T26">
        <f>TRUNC(VLOOKUP(P26,'Color codes'!$A:$E,4,FALSE)*(0.25 + 0.75*Q26/40))</f>
        <v>96</v>
      </c>
      <c r="U26">
        <f>TRUNC(VLOOKUP(P26,'Color codes'!$A:$E,5,FALSE)*(0.25 + 0.75*Q26/40))</f>
        <v>94</v>
      </c>
      <c r="V26" t="b">
        <f t="shared" si="3"/>
        <v>1</v>
      </c>
    </row>
    <row r="27" spans="1:22" x14ac:dyDescent="0.25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TRUNC(VLOOKUP(P27,'Color codes'!$A:$E,3,FALSE)*(0.25 + 0.75*Q27/40))</f>
        <v>217</v>
      </c>
      <c r="T27">
        <f>TRUNC(VLOOKUP(P27,'Color codes'!$A:$E,4,FALSE)*(0.25 + 0.75*Q27/40))</f>
        <v>91</v>
      </c>
      <c r="U27">
        <f>TRUNC(VLOOKUP(P27,'Color codes'!$A:$E,5,FALSE)*(0.25 + 0.75*Q27/40))</f>
        <v>88</v>
      </c>
      <c r="V27" t="b">
        <f t="shared" si="3"/>
        <v>1</v>
      </c>
    </row>
    <row r="28" spans="1:22" x14ac:dyDescent="0.25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TRUNC(VLOOKUP(P28,'Color codes'!$A:$E,3,FALSE)*(0.25 + 0.75*Q28/40))</f>
        <v>206</v>
      </c>
      <c r="T28">
        <f>TRUNC(VLOOKUP(P28,'Color codes'!$A:$E,4,FALSE)*(0.25 + 0.75*Q28/40))</f>
        <v>86</v>
      </c>
      <c r="U28">
        <f>TRUNC(VLOOKUP(P28,'Color codes'!$A:$E,5,FALSE)*(0.25 + 0.75*Q28/40))</f>
        <v>84</v>
      </c>
      <c r="V28" t="b">
        <f t="shared" si="3"/>
        <v>1</v>
      </c>
    </row>
    <row r="29" spans="1:22" x14ac:dyDescent="0.25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TRUNC(VLOOKUP(P29,'Color codes'!$A:$E,3,FALSE)*(0.25 + 0.75*Q29/40))</f>
        <v>195</v>
      </c>
      <c r="T29">
        <f>TRUNC(VLOOKUP(P29,'Color codes'!$A:$E,4,FALSE)*(0.25 + 0.75*Q29/40))</f>
        <v>81</v>
      </c>
      <c r="U29">
        <f>TRUNC(VLOOKUP(P29,'Color codes'!$A:$E,5,FALSE)*(0.25 + 0.75*Q29/40))</f>
        <v>79</v>
      </c>
      <c r="V29" t="b">
        <f t="shared" si="3"/>
        <v>1</v>
      </c>
    </row>
    <row r="30" spans="1:22" x14ac:dyDescent="0.25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TRUNC(VLOOKUP(P30,'Color codes'!$A:$E,3,FALSE)*(0.25 + 0.75*Q30/40))</f>
        <v>184</v>
      </c>
      <c r="T30">
        <f>TRUNC(VLOOKUP(P30,'Color codes'!$A:$E,4,FALSE)*(0.25 + 0.75*Q30/40))</f>
        <v>77</v>
      </c>
      <c r="U30">
        <f>TRUNC(VLOOKUP(P30,'Color codes'!$A:$E,5,FALSE)*(0.25 + 0.75*Q30/40))</f>
        <v>75</v>
      </c>
      <c r="V30" t="b">
        <f t="shared" si="3"/>
        <v>1</v>
      </c>
    </row>
    <row r="31" spans="1:22" x14ac:dyDescent="0.25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TRUNC(VLOOKUP(P31,'Color codes'!$A:$E,3,FALSE)*(0.25 + 0.75*Q31/40))</f>
        <v>173</v>
      </c>
      <c r="T31">
        <f>TRUNC(VLOOKUP(P31,'Color codes'!$A:$E,4,FALSE)*(0.25 + 0.75*Q31/40))</f>
        <v>72</v>
      </c>
      <c r="U31">
        <f>TRUNC(VLOOKUP(P31,'Color codes'!$A:$E,5,FALSE)*(0.25 + 0.75*Q31/40))</f>
        <v>70</v>
      </c>
      <c r="V31" t="b">
        <f t="shared" si="3"/>
        <v>1</v>
      </c>
    </row>
    <row r="32" spans="1:22" x14ac:dyDescent="0.25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TRUNC(VLOOKUP(P32,'Color codes'!$A:$E,3,FALSE)*(0.25 + 0.75*Q32/40))</f>
        <v>163</v>
      </c>
      <c r="T32">
        <f>TRUNC(VLOOKUP(P32,'Color codes'!$A:$E,4,FALSE)*(0.25 + 0.75*Q32/40))</f>
        <v>68</v>
      </c>
      <c r="U32">
        <f>TRUNC(VLOOKUP(P32,'Color codes'!$A:$E,5,FALSE)*(0.25 + 0.75*Q32/40))</f>
        <v>66</v>
      </c>
      <c r="V32" t="b">
        <f t="shared" si="3"/>
        <v>1</v>
      </c>
    </row>
    <row r="33" spans="1:22" x14ac:dyDescent="0.25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TRUNC(VLOOKUP(P33,'Color codes'!$A:$E,3,FALSE)*(0.25 + 0.75*Q33/40))</f>
        <v>152</v>
      </c>
      <c r="T33">
        <f>TRUNC(VLOOKUP(P33,'Color codes'!$A:$E,4,FALSE)*(0.25 + 0.75*Q33/40))</f>
        <v>63</v>
      </c>
      <c r="U33">
        <f>TRUNC(VLOOKUP(P33,'Color codes'!$A:$E,5,FALSE)*(0.25 + 0.75*Q33/40))</f>
        <v>62</v>
      </c>
      <c r="V33" t="b">
        <f t="shared" si="3"/>
        <v>1</v>
      </c>
    </row>
    <row r="34" spans="1:22" x14ac:dyDescent="0.25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TRUNC(VLOOKUP(P34,'Color codes'!$A:$E,3,FALSE)*(0.25 + 0.75*Q34/40))</f>
        <v>230</v>
      </c>
      <c r="T34">
        <f>TRUNC(VLOOKUP(P34,'Color codes'!$A:$E,4,FALSE)*(0.25 + 0.75*Q34/40))</f>
        <v>96</v>
      </c>
      <c r="U34">
        <f>TRUNC(VLOOKUP(P34,'Color codes'!$A:$E,5,FALSE)*(0.25 + 0.75*Q34/40))</f>
        <v>93</v>
      </c>
      <c r="V34" t="b">
        <f t="shared" si="3"/>
        <v>0</v>
      </c>
    </row>
    <row r="35" spans="1:22" x14ac:dyDescent="0.25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TRUNC(VLOOKUP(P35,'Color codes'!$A:$E,3,FALSE)*(0.25 + 0.75*Q35/40))</f>
        <v>217</v>
      </c>
      <c r="T35">
        <f>TRUNC(VLOOKUP(P35,'Color codes'!$A:$E,4,FALSE)*(0.25 + 0.75*Q35/40))</f>
        <v>91</v>
      </c>
      <c r="U35">
        <f>TRUNC(VLOOKUP(P35,'Color codes'!$A:$E,5,FALSE)*(0.25 + 0.75*Q35/40))</f>
        <v>88</v>
      </c>
      <c r="V35" t="b">
        <f t="shared" si="3"/>
        <v>0</v>
      </c>
    </row>
    <row r="36" spans="1:22" x14ac:dyDescent="0.25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TRUNC(VLOOKUP(P36,'Color codes'!$A:$E,3,FALSE)*(0.25 + 0.75*Q36/40))</f>
        <v>87</v>
      </c>
      <c r="T36">
        <f>TRUNC(VLOOKUP(P36,'Color codes'!$A:$E,4,FALSE)*(0.25 + 0.75*Q36/40))</f>
        <v>143</v>
      </c>
      <c r="U36">
        <f>TRUNC(VLOOKUP(P36,'Color codes'!$A:$E,5,FALSE)*(0.25 + 0.75*Q36/40))</f>
        <v>207</v>
      </c>
      <c r="V36" t="b">
        <f t="shared" si="3"/>
        <v>0</v>
      </c>
    </row>
    <row r="37" spans="1:22" x14ac:dyDescent="0.25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TRUNC(VLOOKUP(P37,'Color codes'!$A:$E,3,FALSE)*(0.25 + 0.75*Q37/40))</f>
        <v>84</v>
      </c>
      <c r="T37">
        <f>TRUNC(VLOOKUP(P37,'Color codes'!$A:$E,4,FALSE)*(0.25 + 0.75*Q37/40))</f>
        <v>138</v>
      </c>
      <c r="U37">
        <f>TRUNC(VLOOKUP(P37,'Color codes'!$A:$E,5,FALSE)*(0.25 + 0.75*Q37/40))</f>
        <v>200</v>
      </c>
      <c r="V37" t="b">
        <f t="shared" si="3"/>
        <v>1</v>
      </c>
    </row>
    <row r="38" spans="1:22" x14ac:dyDescent="0.25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TRUNC(VLOOKUP(P38,'Color codes'!$A:$E,3,FALSE)*(0.25 + 0.75*Q38/40))</f>
        <v>81</v>
      </c>
      <c r="T38">
        <f>TRUNC(VLOOKUP(P38,'Color codes'!$A:$E,4,FALSE)*(0.25 + 0.75*Q38/40))</f>
        <v>134</v>
      </c>
      <c r="U38">
        <f>TRUNC(VLOOKUP(P38,'Color codes'!$A:$E,5,FALSE)*(0.25 + 0.75*Q38/40))</f>
        <v>195</v>
      </c>
      <c r="V38" t="b">
        <f t="shared" si="3"/>
        <v>1</v>
      </c>
    </row>
    <row r="39" spans="1:22" x14ac:dyDescent="0.25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TRUNC(VLOOKUP(P39,'Color codes'!$A:$E,3,FALSE)*(0.25 + 0.75*Q39/40))</f>
        <v>80</v>
      </c>
      <c r="T39">
        <f>TRUNC(VLOOKUP(P39,'Color codes'!$A:$E,4,FALSE)*(0.25 + 0.75*Q39/40))</f>
        <v>131</v>
      </c>
      <c r="U39">
        <f>TRUNC(VLOOKUP(P39,'Color codes'!$A:$E,5,FALSE)*(0.25 + 0.75*Q39/40))</f>
        <v>191</v>
      </c>
      <c r="V39" t="b">
        <f t="shared" si="3"/>
        <v>1</v>
      </c>
    </row>
    <row r="40" spans="1:22" x14ac:dyDescent="0.25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TRUNC(VLOOKUP(P40,'Color codes'!$A:$E,3,FALSE)*(0.25 + 0.75*Q40/40))</f>
        <v>78</v>
      </c>
      <c r="T40">
        <f>TRUNC(VLOOKUP(P40,'Color codes'!$A:$E,4,FALSE)*(0.25 + 0.75*Q40/40))</f>
        <v>129</v>
      </c>
      <c r="U40">
        <f>TRUNC(VLOOKUP(P40,'Color codes'!$A:$E,5,FALSE)*(0.25 + 0.75*Q40/40))</f>
        <v>187</v>
      </c>
      <c r="V40" t="b">
        <f t="shared" si="3"/>
        <v>1</v>
      </c>
    </row>
    <row r="41" spans="1:22" x14ac:dyDescent="0.25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TRUNC(VLOOKUP(P41,'Color codes'!$A:$E,3,FALSE)*(0.25 + 0.75*Q41/40))</f>
        <v>77</v>
      </c>
      <c r="T41">
        <f>TRUNC(VLOOKUP(P41,'Color codes'!$A:$E,4,FALSE)*(0.25 + 0.75*Q41/40))</f>
        <v>127</v>
      </c>
      <c r="U41">
        <f>TRUNC(VLOOKUP(P41,'Color codes'!$A:$E,5,FALSE)*(0.25 + 0.75*Q41/40))</f>
        <v>184</v>
      </c>
      <c r="V41" t="b">
        <f t="shared" si="3"/>
        <v>1</v>
      </c>
    </row>
    <row r="42" spans="1:22" x14ac:dyDescent="0.25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TRUNC(VLOOKUP(P42,'Color codes'!$A:$E,3,FALSE)*(0.25 + 0.75*Q42/40))</f>
        <v>230</v>
      </c>
      <c r="T42">
        <f>TRUNC(VLOOKUP(P42,'Color codes'!$A:$E,4,FALSE)*(0.25 + 0.75*Q42/40))</f>
        <v>96</v>
      </c>
      <c r="U42">
        <f>TRUNC(VLOOKUP(P42,'Color codes'!$A:$E,5,FALSE)*(0.25 + 0.75*Q42/40))</f>
        <v>93</v>
      </c>
      <c r="V42" t="b">
        <f t="shared" si="3"/>
        <v>1</v>
      </c>
    </row>
    <row r="43" spans="1:22" x14ac:dyDescent="0.25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TRUNC(VLOOKUP(P43,'Color codes'!$A:$E,3,FALSE)*(0.25 + 0.75*Q43/40))</f>
        <v>217</v>
      </c>
      <c r="T43">
        <f>TRUNC(VLOOKUP(P43,'Color codes'!$A:$E,4,FALSE)*(0.25 + 0.75*Q43/40))</f>
        <v>91</v>
      </c>
      <c r="U43">
        <f>TRUNC(VLOOKUP(P43,'Color codes'!$A:$E,5,FALSE)*(0.25 + 0.75*Q43/40))</f>
        <v>88</v>
      </c>
      <c r="V43" t="b">
        <f t="shared" si="3"/>
        <v>1</v>
      </c>
    </row>
    <row r="44" spans="1:22" x14ac:dyDescent="0.25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TRUNC(VLOOKUP(P44,'Color codes'!$A:$E,3,FALSE)*(0.25 + 0.75*Q44/40))</f>
        <v>206</v>
      </c>
      <c r="T44">
        <f>TRUNC(VLOOKUP(P44,'Color codes'!$A:$E,4,FALSE)*(0.25 + 0.75*Q44/40))</f>
        <v>86</v>
      </c>
      <c r="U44">
        <f>TRUNC(VLOOKUP(P44,'Color codes'!$A:$E,5,FALSE)*(0.25 + 0.75*Q44/40))</f>
        <v>84</v>
      </c>
      <c r="V44" t="b">
        <f t="shared" si="3"/>
        <v>1</v>
      </c>
    </row>
    <row r="45" spans="1:22" x14ac:dyDescent="0.25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TRUNC(VLOOKUP(P45,'Color codes'!$A:$E,3,FALSE)*(0.25 + 0.75*Q45/40))</f>
        <v>194</v>
      </c>
      <c r="T45">
        <f>TRUNC(VLOOKUP(P45,'Color codes'!$A:$E,4,FALSE)*(0.25 + 0.75*Q45/40))</f>
        <v>81</v>
      </c>
      <c r="U45">
        <f>TRUNC(VLOOKUP(P45,'Color codes'!$A:$E,5,FALSE)*(0.25 + 0.75*Q45/40))</f>
        <v>79</v>
      </c>
      <c r="V45" t="b">
        <f t="shared" si="3"/>
        <v>1</v>
      </c>
    </row>
    <row r="46" spans="1:22" x14ac:dyDescent="0.25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TRUNC(VLOOKUP(P46,'Color codes'!$A:$E,3,FALSE)*(0.25 + 0.75*Q46/40))</f>
        <v>184</v>
      </c>
      <c r="T46">
        <f>TRUNC(VLOOKUP(P46,'Color codes'!$A:$E,4,FALSE)*(0.25 + 0.75*Q46/40))</f>
        <v>77</v>
      </c>
      <c r="U46">
        <f>TRUNC(VLOOKUP(P46,'Color codes'!$A:$E,5,FALSE)*(0.25 + 0.75*Q46/40))</f>
        <v>75</v>
      </c>
      <c r="V46" t="b">
        <f t="shared" si="3"/>
        <v>0</v>
      </c>
    </row>
    <row r="47" spans="1:22" x14ac:dyDescent="0.25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TRUNC(VLOOKUP(P47,'Color codes'!$A:$E,3,FALSE)*(0.25 + 0.75*Q47/40))</f>
        <v>73</v>
      </c>
      <c r="T47">
        <f>TRUNC(VLOOKUP(P47,'Color codes'!$A:$E,4,FALSE)*(0.25 + 0.75*Q47/40))</f>
        <v>120</v>
      </c>
      <c r="U47">
        <f>TRUNC(VLOOKUP(P47,'Color codes'!$A:$E,5,FALSE)*(0.25 + 0.75*Q47/40))</f>
        <v>174</v>
      </c>
      <c r="V47" t="b">
        <f t="shared" si="3"/>
        <v>0</v>
      </c>
    </row>
    <row r="48" spans="1:22" x14ac:dyDescent="0.25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TRUNC(VLOOKUP(P48,'Color codes'!$A:$E,3,FALSE)*(0.25 + 0.75*Q48/40))</f>
        <v>70</v>
      </c>
      <c r="T48">
        <f>TRUNC(VLOOKUP(P48,'Color codes'!$A:$E,4,FALSE)*(0.25 + 0.75*Q48/40))</f>
        <v>116</v>
      </c>
      <c r="U48">
        <f>TRUNC(VLOOKUP(P48,'Color codes'!$A:$E,5,FALSE)*(0.25 + 0.75*Q48/40))</f>
        <v>168</v>
      </c>
      <c r="V48" t="b">
        <f t="shared" si="3"/>
        <v>1</v>
      </c>
    </row>
    <row r="49" spans="1:22" x14ac:dyDescent="0.25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TRUNC(VLOOKUP(P49,'Color codes'!$A:$E,3,FALSE)*(0.25 + 0.75*Q49/40))</f>
        <v>69</v>
      </c>
      <c r="T49">
        <f>TRUNC(VLOOKUP(P49,'Color codes'!$A:$E,4,FALSE)*(0.25 + 0.75*Q49/40))</f>
        <v>113</v>
      </c>
      <c r="U49">
        <f>TRUNC(VLOOKUP(P49,'Color codes'!$A:$E,5,FALSE)*(0.25 + 0.75*Q49/40))</f>
        <v>165</v>
      </c>
      <c r="V49" t="b">
        <f t="shared" si="3"/>
        <v>1</v>
      </c>
    </row>
    <row r="50" spans="1:22" x14ac:dyDescent="0.25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TRUNC(VLOOKUP(P50,'Color codes'!$A:$E,3,FALSE)*(0.25 + 0.75*Q50/40))</f>
        <v>230</v>
      </c>
      <c r="T50">
        <f>TRUNC(VLOOKUP(P50,'Color codes'!$A:$E,4,FALSE)*(0.25 + 0.75*Q50/40))</f>
        <v>96</v>
      </c>
      <c r="U50">
        <f>TRUNC(VLOOKUP(P50,'Color codes'!$A:$E,5,FALSE)*(0.25 + 0.75*Q50/40))</f>
        <v>93</v>
      </c>
      <c r="V50" t="b">
        <f t="shared" si="3"/>
        <v>1</v>
      </c>
    </row>
    <row r="51" spans="1:22" x14ac:dyDescent="0.25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TRUNC(VLOOKUP(P51,'Color codes'!$A:$E,3,FALSE)*(0.25 + 0.75*Q51/40))</f>
        <v>217</v>
      </c>
      <c r="T51">
        <f>TRUNC(VLOOKUP(P51,'Color codes'!$A:$E,4,FALSE)*(0.25 + 0.75*Q51/40))</f>
        <v>91</v>
      </c>
      <c r="U51">
        <f>TRUNC(VLOOKUP(P51,'Color codes'!$A:$E,5,FALSE)*(0.25 + 0.75*Q51/40))</f>
        <v>88</v>
      </c>
      <c r="V51" t="b">
        <f t="shared" si="3"/>
        <v>1</v>
      </c>
    </row>
    <row r="52" spans="1:22" x14ac:dyDescent="0.25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TRUNC(VLOOKUP(P52,'Color codes'!$A:$E,3,FALSE)*(0.25 + 0.75*Q52/40))</f>
        <v>206</v>
      </c>
      <c r="T52">
        <f>TRUNC(VLOOKUP(P52,'Color codes'!$A:$E,4,FALSE)*(0.25 + 0.75*Q52/40))</f>
        <v>86</v>
      </c>
      <c r="U52">
        <f>TRUNC(VLOOKUP(P52,'Color codes'!$A:$E,5,FALSE)*(0.25 + 0.75*Q52/40))</f>
        <v>84</v>
      </c>
      <c r="V52" t="b">
        <f t="shared" si="3"/>
        <v>1</v>
      </c>
    </row>
    <row r="53" spans="1:22" x14ac:dyDescent="0.25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TRUNC(VLOOKUP(P53,'Color codes'!$A:$E,3,FALSE)*(0.25 + 0.75*Q53/40))</f>
        <v>195</v>
      </c>
      <c r="T53">
        <f>TRUNC(VLOOKUP(P53,'Color codes'!$A:$E,4,FALSE)*(0.25 + 0.75*Q53/40))</f>
        <v>81</v>
      </c>
      <c r="U53">
        <f>TRUNC(VLOOKUP(P53,'Color codes'!$A:$E,5,FALSE)*(0.25 + 0.75*Q53/40))</f>
        <v>79</v>
      </c>
      <c r="V53" t="b">
        <f t="shared" si="3"/>
        <v>1</v>
      </c>
    </row>
    <row r="54" spans="1:22" x14ac:dyDescent="0.25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TRUNC(VLOOKUP(P54,'Color codes'!$A:$E,3,FALSE)*(0.25 + 0.75*Q54/40))</f>
        <v>184</v>
      </c>
      <c r="T54">
        <f>TRUNC(VLOOKUP(P54,'Color codes'!$A:$E,4,FALSE)*(0.25 + 0.75*Q54/40))</f>
        <v>77</v>
      </c>
      <c r="U54">
        <f>TRUNC(VLOOKUP(P54,'Color codes'!$A:$E,5,FALSE)*(0.25 + 0.75*Q54/40))</f>
        <v>75</v>
      </c>
      <c r="V54" t="b">
        <f t="shared" si="3"/>
        <v>1</v>
      </c>
    </row>
    <row r="55" spans="1:22" x14ac:dyDescent="0.25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TRUNC(VLOOKUP(P55,'Color codes'!$A:$E,3,FALSE)*(0.25 + 0.75*Q55/40))</f>
        <v>173</v>
      </c>
      <c r="T55">
        <f>TRUNC(VLOOKUP(P55,'Color codes'!$A:$E,4,FALSE)*(0.25 + 0.75*Q55/40))</f>
        <v>72</v>
      </c>
      <c r="U55">
        <f>TRUNC(VLOOKUP(P55,'Color codes'!$A:$E,5,FALSE)*(0.25 + 0.75*Q55/40))</f>
        <v>70</v>
      </c>
      <c r="V55" t="b">
        <f t="shared" si="3"/>
        <v>1</v>
      </c>
    </row>
    <row r="56" spans="1:22" x14ac:dyDescent="0.25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TRUNC(VLOOKUP(P56,'Color codes'!$A:$E,3,FALSE)*(0.25 + 0.75*Q56/40))</f>
        <v>163</v>
      </c>
      <c r="T56">
        <f>TRUNC(VLOOKUP(P56,'Color codes'!$A:$E,4,FALSE)*(0.25 + 0.75*Q56/40))</f>
        <v>68</v>
      </c>
      <c r="U56">
        <f>TRUNC(VLOOKUP(P56,'Color codes'!$A:$E,5,FALSE)*(0.25 + 0.75*Q56/40))</f>
        <v>66</v>
      </c>
      <c r="V56" t="b">
        <f t="shared" si="3"/>
        <v>0</v>
      </c>
    </row>
    <row r="57" spans="1:22" x14ac:dyDescent="0.25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TRUNC(VLOOKUP(P57,'Color codes'!$A:$E,3,FALSE)*(0.25 + 0.75*Q57/40))</f>
        <v>65</v>
      </c>
      <c r="T57">
        <f>TRUNC(VLOOKUP(P57,'Color codes'!$A:$E,4,FALSE)*(0.25 + 0.75*Q57/40))</f>
        <v>108</v>
      </c>
      <c r="U57">
        <f>TRUNC(VLOOKUP(P57,'Color codes'!$A:$E,5,FALSE)*(0.25 + 0.75*Q57/40))</f>
        <v>156</v>
      </c>
      <c r="V57" t="b">
        <f t="shared" si="3"/>
        <v>1</v>
      </c>
    </row>
    <row r="58" spans="1:22" x14ac:dyDescent="0.25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TRUNC(VLOOKUP(P58,'Color codes'!$A:$E,3,FALSE)*(0.25 + 0.75*Q58/40))</f>
        <v>230</v>
      </c>
      <c r="T58">
        <f>TRUNC(VLOOKUP(P58,'Color codes'!$A:$E,4,FALSE)*(0.25 + 0.75*Q58/40))</f>
        <v>96</v>
      </c>
      <c r="U58">
        <f>TRUNC(VLOOKUP(P58,'Color codes'!$A:$E,5,FALSE)*(0.25 + 0.75*Q58/40))</f>
        <v>93</v>
      </c>
      <c r="V58" t="b">
        <f t="shared" si="3"/>
        <v>1</v>
      </c>
    </row>
    <row r="59" spans="1:22" x14ac:dyDescent="0.25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TRUNC(VLOOKUP(P59,'Color codes'!$A:$E,3,FALSE)*(0.25 + 0.75*Q59/40))</f>
        <v>217</v>
      </c>
      <c r="T59">
        <f>TRUNC(VLOOKUP(P59,'Color codes'!$A:$E,4,FALSE)*(0.25 + 0.75*Q59/40))</f>
        <v>91</v>
      </c>
      <c r="U59">
        <f>TRUNC(VLOOKUP(P59,'Color codes'!$A:$E,5,FALSE)*(0.25 + 0.75*Q59/40))</f>
        <v>88</v>
      </c>
      <c r="V59" t="b">
        <f t="shared" si="3"/>
        <v>1</v>
      </c>
    </row>
    <row r="60" spans="1:22" x14ac:dyDescent="0.25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TRUNC(VLOOKUP(P60,'Color codes'!$A:$E,3,FALSE)*(0.25 + 0.75*Q60/40))</f>
        <v>206</v>
      </c>
      <c r="T60">
        <f>TRUNC(VLOOKUP(P60,'Color codes'!$A:$E,4,FALSE)*(0.25 + 0.75*Q60/40))</f>
        <v>86</v>
      </c>
      <c r="U60">
        <f>TRUNC(VLOOKUP(P60,'Color codes'!$A:$E,5,FALSE)*(0.25 + 0.75*Q60/40))</f>
        <v>84</v>
      </c>
      <c r="V60" t="b">
        <f t="shared" si="3"/>
        <v>1</v>
      </c>
    </row>
    <row r="61" spans="1:22" x14ac:dyDescent="0.25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TRUNC(VLOOKUP(P61,'Color codes'!$A:$E,3,FALSE)*(0.25 + 0.75*Q61/40))</f>
        <v>195</v>
      </c>
      <c r="T61">
        <f>TRUNC(VLOOKUP(P61,'Color codes'!$A:$E,4,FALSE)*(0.25 + 0.75*Q61/40))</f>
        <v>81</v>
      </c>
      <c r="U61">
        <f>TRUNC(VLOOKUP(P61,'Color codes'!$A:$E,5,FALSE)*(0.25 + 0.75*Q61/40))</f>
        <v>79</v>
      </c>
      <c r="V61" t="b">
        <f t="shared" si="3"/>
        <v>1</v>
      </c>
    </row>
    <row r="62" spans="1:22" x14ac:dyDescent="0.25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TRUNC(VLOOKUP(P62,'Color codes'!$A:$E,3,FALSE)*(0.25 + 0.75*Q62/40))</f>
        <v>184</v>
      </c>
      <c r="T62">
        <f>TRUNC(VLOOKUP(P62,'Color codes'!$A:$E,4,FALSE)*(0.25 + 0.75*Q62/40))</f>
        <v>77</v>
      </c>
      <c r="U62">
        <f>TRUNC(VLOOKUP(P62,'Color codes'!$A:$E,5,FALSE)*(0.25 + 0.75*Q62/40))</f>
        <v>75</v>
      </c>
      <c r="V62" t="b">
        <f t="shared" si="3"/>
        <v>1</v>
      </c>
    </row>
    <row r="63" spans="1:22" x14ac:dyDescent="0.25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TRUNC(VLOOKUP(P63,'Color codes'!$A:$E,3,FALSE)*(0.25 + 0.75*Q63/40))</f>
        <v>173</v>
      </c>
      <c r="T63">
        <f>TRUNC(VLOOKUP(P63,'Color codes'!$A:$E,4,FALSE)*(0.25 + 0.75*Q63/40))</f>
        <v>72</v>
      </c>
      <c r="U63">
        <f>TRUNC(VLOOKUP(P63,'Color codes'!$A:$E,5,FALSE)*(0.25 + 0.75*Q63/40))</f>
        <v>70</v>
      </c>
      <c r="V63" t="b">
        <f t="shared" si="3"/>
        <v>1</v>
      </c>
    </row>
    <row r="64" spans="1:22" x14ac:dyDescent="0.25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TRUNC(VLOOKUP(P64,'Color codes'!$A:$E,3,FALSE)*(0.25 + 0.75*Q64/40))</f>
        <v>162</v>
      </c>
      <c r="T64">
        <f>TRUNC(VLOOKUP(P64,'Color codes'!$A:$E,4,FALSE)*(0.25 + 0.75*Q64/40))</f>
        <v>68</v>
      </c>
      <c r="U64">
        <f>TRUNC(VLOOKUP(P64,'Color codes'!$A:$E,5,FALSE)*(0.25 + 0.75*Q64/40))</f>
        <v>66</v>
      </c>
      <c r="V64" t="b">
        <f t="shared" si="3"/>
        <v>1</v>
      </c>
    </row>
    <row r="65" spans="1:22" x14ac:dyDescent="0.25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TRUNC(VLOOKUP(P65,'Color codes'!$A:$E,3,FALSE)*(0.25 + 0.75*Q65/40))</f>
        <v>152</v>
      </c>
      <c r="T65">
        <f>TRUNC(VLOOKUP(P65,'Color codes'!$A:$E,4,FALSE)*(0.25 + 0.75*Q65/40))</f>
        <v>63</v>
      </c>
      <c r="U65">
        <f>TRUNC(VLOOKUP(P65,'Color codes'!$A:$E,5,FALSE)*(0.25 + 0.75*Q65/40))</f>
        <v>62</v>
      </c>
      <c r="V65" t="b">
        <f t="shared" si="3"/>
        <v>1</v>
      </c>
    </row>
    <row r="66" spans="1:22" x14ac:dyDescent="0.25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TRUNC(VLOOKUP(P66,'Color codes'!$A:$E,3,FALSE)*(0.25 + 0.75*Q66/40))</f>
        <v>230</v>
      </c>
      <c r="T66">
        <f>TRUNC(VLOOKUP(P66,'Color codes'!$A:$E,4,FALSE)*(0.25 + 0.75*Q66/40))</f>
        <v>96</v>
      </c>
      <c r="U66">
        <f>TRUNC(VLOOKUP(P66,'Color codes'!$A:$E,5,FALSE)*(0.25 + 0.75*Q66/40))</f>
        <v>93</v>
      </c>
      <c r="V66" t="b">
        <f t="shared" si="3"/>
        <v>0</v>
      </c>
    </row>
    <row r="67" spans="1:22" x14ac:dyDescent="0.25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TRUNC(VLOOKUP(P67,'Color codes'!$A:$E,3,FALSE)*(0.25 + 0.75*Q67/40))</f>
        <v>217</v>
      </c>
      <c r="T67">
        <f>TRUNC(VLOOKUP(P67,'Color codes'!$A:$E,4,FALSE)*(0.25 + 0.75*Q67/40))</f>
        <v>91</v>
      </c>
      <c r="U67">
        <f>TRUNC(VLOOKUP(P67,'Color codes'!$A:$E,5,FALSE)*(0.25 + 0.75*Q67/40))</f>
        <v>88</v>
      </c>
      <c r="V67" t="b">
        <f t="shared" ref="V67:V100" si="7">(ABS(N67-O67)  &gt; 1)</f>
        <v>0</v>
      </c>
    </row>
    <row r="68" spans="1:22" x14ac:dyDescent="0.25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TRUNC(VLOOKUP(P68,'Color codes'!$A:$E,3,FALSE)*(0.25 + 0.75*Q68/40))</f>
        <v>86</v>
      </c>
      <c r="T68">
        <f>TRUNC(VLOOKUP(P68,'Color codes'!$A:$E,4,FALSE)*(0.25 + 0.75*Q68/40))</f>
        <v>143</v>
      </c>
      <c r="U68">
        <f>TRUNC(VLOOKUP(P68,'Color codes'!$A:$E,5,FALSE)*(0.25 + 0.75*Q68/40))</f>
        <v>207</v>
      </c>
      <c r="V68" t="b">
        <f t="shared" si="7"/>
        <v>0</v>
      </c>
    </row>
    <row r="69" spans="1:22" x14ac:dyDescent="0.25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TRUNC(VLOOKUP(P69,'Color codes'!$A:$E,3,FALSE)*(0.25 + 0.75*Q69/40))</f>
        <v>83</v>
      </c>
      <c r="T69">
        <f>TRUNC(VLOOKUP(P69,'Color codes'!$A:$E,4,FALSE)*(0.25 + 0.75*Q69/40))</f>
        <v>137</v>
      </c>
      <c r="U69">
        <f>TRUNC(VLOOKUP(P69,'Color codes'!$A:$E,5,FALSE)*(0.25 + 0.75*Q69/40))</f>
        <v>199</v>
      </c>
      <c r="V69" t="b">
        <f t="shared" si="7"/>
        <v>0</v>
      </c>
    </row>
    <row r="70" spans="1:22" x14ac:dyDescent="0.25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TRUNC(VLOOKUP(P70,'Color codes'!$A:$E,3,FALSE)*(0.25 + 0.75*Q70/40))</f>
        <v>79</v>
      </c>
      <c r="T70">
        <f>TRUNC(VLOOKUP(P70,'Color codes'!$A:$E,4,FALSE)*(0.25 + 0.75*Q70/40))</f>
        <v>130</v>
      </c>
      <c r="U70">
        <f>TRUNC(VLOOKUP(P70,'Color codes'!$A:$E,5,FALSE)*(0.25 + 0.75*Q70/40))</f>
        <v>189</v>
      </c>
      <c r="V70" t="b">
        <f t="shared" si="7"/>
        <v>1</v>
      </c>
    </row>
    <row r="71" spans="1:22" x14ac:dyDescent="0.25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TRUNC(VLOOKUP(P71,'Color codes'!$A:$E,3,FALSE)*(0.25 + 0.75*Q71/40))</f>
        <v>75</v>
      </c>
      <c r="T71">
        <f>TRUNC(VLOOKUP(P71,'Color codes'!$A:$E,4,FALSE)*(0.25 + 0.75*Q71/40))</f>
        <v>123</v>
      </c>
      <c r="U71">
        <f>TRUNC(VLOOKUP(P71,'Color codes'!$A:$E,5,FALSE)*(0.25 + 0.75*Q71/40))</f>
        <v>179</v>
      </c>
      <c r="V71" t="b">
        <f t="shared" si="7"/>
        <v>1</v>
      </c>
    </row>
    <row r="72" spans="1:22" x14ac:dyDescent="0.25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TRUNC(VLOOKUP(P72,'Color codes'!$A:$E,3,FALSE)*(0.25 + 0.75*Q72/40))</f>
        <v>73</v>
      </c>
      <c r="T72">
        <f>TRUNC(VLOOKUP(P72,'Color codes'!$A:$E,4,FALSE)*(0.25 + 0.75*Q72/40))</f>
        <v>121</v>
      </c>
      <c r="U72">
        <f>TRUNC(VLOOKUP(P72,'Color codes'!$A:$E,5,FALSE)*(0.25 + 0.75*Q72/40))</f>
        <v>176</v>
      </c>
      <c r="V72" t="b">
        <f t="shared" si="7"/>
        <v>1</v>
      </c>
    </row>
    <row r="73" spans="1:22" x14ac:dyDescent="0.25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TRUNC(VLOOKUP(P73,'Color codes'!$A:$E,3,FALSE)*(0.25 + 0.75*Q73/40))</f>
        <v>72</v>
      </c>
      <c r="T73">
        <f>TRUNC(VLOOKUP(P73,'Color codes'!$A:$E,4,FALSE)*(0.25 + 0.75*Q73/40))</f>
        <v>119</v>
      </c>
      <c r="U73">
        <f>TRUNC(VLOOKUP(P73,'Color codes'!$A:$E,5,FALSE)*(0.25 + 0.75*Q73/40))</f>
        <v>172</v>
      </c>
      <c r="V73" t="b">
        <f t="shared" si="7"/>
        <v>1</v>
      </c>
    </row>
    <row r="74" spans="1:22" x14ac:dyDescent="0.25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TRUNC(VLOOKUP(P74,'Color codes'!$A:$E,3,FALSE)*(0.25 + 0.75*Q74/40))</f>
        <v>230</v>
      </c>
      <c r="T74">
        <f>TRUNC(VLOOKUP(P74,'Color codes'!$A:$E,4,FALSE)*(0.25 + 0.75*Q74/40))</f>
        <v>96</v>
      </c>
      <c r="U74">
        <f>TRUNC(VLOOKUP(P74,'Color codes'!$A:$E,5,FALSE)*(0.25 + 0.75*Q74/40))</f>
        <v>94</v>
      </c>
      <c r="V74" t="b">
        <f t="shared" si="7"/>
        <v>1</v>
      </c>
    </row>
    <row r="75" spans="1:22" x14ac:dyDescent="0.25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TRUNC(VLOOKUP(P75,'Color codes'!$A:$E,3,FALSE)*(0.25 + 0.75*Q75/40))</f>
        <v>218</v>
      </c>
      <c r="T75">
        <f>TRUNC(VLOOKUP(P75,'Color codes'!$A:$E,4,FALSE)*(0.25 + 0.75*Q75/40))</f>
        <v>91</v>
      </c>
      <c r="U75">
        <f>TRUNC(VLOOKUP(P75,'Color codes'!$A:$E,5,FALSE)*(0.25 + 0.75*Q75/40))</f>
        <v>88</v>
      </c>
      <c r="V75" t="b">
        <f t="shared" si="7"/>
        <v>1</v>
      </c>
    </row>
    <row r="76" spans="1:22" x14ac:dyDescent="0.25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TRUNC(VLOOKUP(P76,'Color codes'!$A:$E,3,FALSE)*(0.25 + 0.75*Q76/40))</f>
        <v>206</v>
      </c>
      <c r="T76">
        <f>TRUNC(VLOOKUP(P76,'Color codes'!$A:$E,4,FALSE)*(0.25 + 0.75*Q76/40))</f>
        <v>86</v>
      </c>
      <c r="U76">
        <f>TRUNC(VLOOKUP(P76,'Color codes'!$A:$E,5,FALSE)*(0.25 + 0.75*Q76/40))</f>
        <v>84</v>
      </c>
      <c r="V76" t="b">
        <f t="shared" si="7"/>
        <v>1</v>
      </c>
    </row>
    <row r="77" spans="1:22" x14ac:dyDescent="0.25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TRUNC(VLOOKUP(P77,'Color codes'!$A:$E,3,FALSE)*(0.25 + 0.75*Q77/40))</f>
        <v>195</v>
      </c>
      <c r="T77">
        <f>TRUNC(VLOOKUP(P77,'Color codes'!$A:$E,4,FALSE)*(0.25 + 0.75*Q77/40))</f>
        <v>82</v>
      </c>
      <c r="U77">
        <f>TRUNC(VLOOKUP(P77,'Color codes'!$A:$E,5,FALSE)*(0.25 + 0.75*Q77/40))</f>
        <v>79</v>
      </c>
      <c r="V77" t="b">
        <f t="shared" si="7"/>
        <v>1</v>
      </c>
    </row>
    <row r="78" spans="1:22" x14ac:dyDescent="0.25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TRUNC(VLOOKUP(P78,'Color codes'!$A:$E,3,FALSE)*(0.25 + 0.75*Q78/40))</f>
        <v>184</v>
      </c>
      <c r="T78">
        <f>TRUNC(VLOOKUP(P78,'Color codes'!$A:$E,4,FALSE)*(0.25 + 0.75*Q78/40))</f>
        <v>77</v>
      </c>
      <c r="U78">
        <f>TRUNC(VLOOKUP(P78,'Color codes'!$A:$E,5,FALSE)*(0.25 + 0.75*Q78/40))</f>
        <v>75</v>
      </c>
      <c r="V78" t="b">
        <f t="shared" si="7"/>
        <v>0</v>
      </c>
    </row>
    <row r="79" spans="1:22" x14ac:dyDescent="0.25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TRUNC(VLOOKUP(P79,'Color codes'!$A:$E,3,FALSE)*(0.25 + 0.75*Q79/40))</f>
        <v>173</v>
      </c>
      <c r="T79">
        <f>TRUNC(VLOOKUP(P79,'Color codes'!$A:$E,4,FALSE)*(0.25 + 0.75*Q79/40))</f>
        <v>72</v>
      </c>
      <c r="U79">
        <f>TRUNC(VLOOKUP(P79,'Color codes'!$A:$E,5,FALSE)*(0.25 + 0.75*Q79/40))</f>
        <v>70</v>
      </c>
      <c r="V79" t="b">
        <f t="shared" si="7"/>
        <v>0</v>
      </c>
    </row>
    <row r="80" spans="1:22" x14ac:dyDescent="0.25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TRUNC(VLOOKUP(P80,'Color codes'!$A:$E,3,FALSE)*(0.25 + 0.75*Q80/40))</f>
        <v>162</v>
      </c>
      <c r="T80">
        <f>TRUNC(VLOOKUP(P80,'Color codes'!$A:$E,4,FALSE)*(0.25 + 0.75*Q80/40))</f>
        <v>68</v>
      </c>
      <c r="U80">
        <f>TRUNC(VLOOKUP(P80,'Color codes'!$A:$E,5,FALSE)*(0.25 + 0.75*Q80/40))</f>
        <v>66</v>
      </c>
      <c r="V80" t="b">
        <f t="shared" si="7"/>
        <v>0</v>
      </c>
    </row>
    <row r="81" spans="1:22" x14ac:dyDescent="0.25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TRUNC(VLOOKUP(P81,'Color codes'!$A:$E,3,FALSE)*(0.25 + 0.75*Q81/40))</f>
        <v>65</v>
      </c>
      <c r="T81">
        <f>TRUNC(VLOOKUP(P81,'Color codes'!$A:$E,4,FALSE)*(0.25 + 0.75*Q81/40))</f>
        <v>107</v>
      </c>
      <c r="U81">
        <f>TRUNC(VLOOKUP(P81,'Color codes'!$A:$E,5,FALSE)*(0.25 + 0.75*Q81/40))</f>
        <v>155</v>
      </c>
      <c r="V81" t="b">
        <f t="shared" si="7"/>
        <v>0</v>
      </c>
    </row>
    <row r="82" spans="1:22" x14ac:dyDescent="0.25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TRUNC(VLOOKUP(P82,'Color codes'!$A:$E,3,FALSE)*(0.25 + 0.75*Q82/40))</f>
        <v>230</v>
      </c>
      <c r="T82">
        <f>TRUNC(VLOOKUP(P82,'Color codes'!$A:$E,4,FALSE)*(0.25 + 0.75*Q82/40))</f>
        <v>96</v>
      </c>
      <c r="U82">
        <f>TRUNC(VLOOKUP(P82,'Color codes'!$A:$E,5,FALSE)*(0.25 + 0.75*Q82/40))</f>
        <v>93</v>
      </c>
      <c r="V82" t="b">
        <f t="shared" si="7"/>
        <v>1</v>
      </c>
    </row>
    <row r="83" spans="1:22" x14ac:dyDescent="0.25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TRUNC(VLOOKUP(P83,'Color codes'!$A:$E,3,FALSE)*(0.25 + 0.75*Q83/40))</f>
        <v>218</v>
      </c>
      <c r="T83">
        <f>TRUNC(VLOOKUP(P83,'Color codes'!$A:$E,4,FALSE)*(0.25 + 0.75*Q83/40))</f>
        <v>91</v>
      </c>
      <c r="U83">
        <f>TRUNC(VLOOKUP(P83,'Color codes'!$A:$E,5,FALSE)*(0.25 + 0.75*Q83/40))</f>
        <v>88</v>
      </c>
      <c r="V83" t="b">
        <f t="shared" si="7"/>
        <v>1</v>
      </c>
    </row>
    <row r="84" spans="1:22" x14ac:dyDescent="0.25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TRUNC(VLOOKUP(P84,'Color codes'!$A:$E,3,FALSE)*(0.25 + 0.75*Q84/40))</f>
        <v>206</v>
      </c>
      <c r="T84">
        <f>TRUNC(VLOOKUP(P84,'Color codes'!$A:$E,4,FALSE)*(0.25 + 0.75*Q84/40))</f>
        <v>86</v>
      </c>
      <c r="U84">
        <f>TRUNC(VLOOKUP(P84,'Color codes'!$A:$E,5,FALSE)*(0.25 + 0.75*Q84/40))</f>
        <v>84</v>
      </c>
      <c r="V84" t="b">
        <f t="shared" si="7"/>
        <v>1</v>
      </c>
    </row>
    <row r="85" spans="1:22" x14ac:dyDescent="0.25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TRUNC(VLOOKUP(P85,'Color codes'!$A:$E,3,FALSE)*(0.25 + 0.75*Q85/40))</f>
        <v>195</v>
      </c>
      <c r="T85">
        <f>TRUNC(VLOOKUP(P85,'Color codes'!$A:$E,4,FALSE)*(0.25 + 0.75*Q85/40))</f>
        <v>81</v>
      </c>
      <c r="U85">
        <f>TRUNC(VLOOKUP(P85,'Color codes'!$A:$E,5,FALSE)*(0.25 + 0.75*Q85/40))</f>
        <v>79</v>
      </c>
      <c r="V85" t="b">
        <f t="shared" si="7"/>
        <v>1</v>
      </c>
    </row>
    <row r="86" spans="1:22" x14ac:dyDescent="0.25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TRUNC(VLOOKUP(P86,'Color codes'!$A:$E,3,FALSE)*(0.25 + 0.75*Q86/40))</f>
        <v>184</v>
      </c>
      <c r="T86">
        <f>TRUNC(VLOOKUP(P86,'Color codes'!$A:$E,4,FALSE)*(0.25 + 0.75*Q86/40))</f>
        <v>77</v>
      </c>
      <c r="U86">
        <f>TRUNC(VLOOKUP(P86,'Color codes'!$A:$E,5,FALSE)*(0.25 + 0.75*Q86/40))</f>
        <v>75</v>
      </c>
      <c r="V86" t="b">
        <f t="shared" si="7"/>
        <v>1</v>
      </c>
    </row>
    <row r="87" spans="1:22" x14ac:dyDescent="0.25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TRUNC(VLOOKUP(P87,'Color codes'!$A:$E,3,FALSE)*(0.25 + 0.75*Q87/40))</f>
        <v>173</v>
      </c>
      <c r="T87">
        <f>TRUNC(VLOOKUP(P87,'Color codes'!$A:$E,4,FALSE)*(0.25 + 0.75*Q87/40))</f>
        <v>72</v>
      </c>
      <c r="U87">
        <f>TRUNC(VLOOKUP(P87,'Color codes'!$A:$E,5,FALSE)*(0.25 + 0.75*Q87/40))</f>
        <v>70</v>
      </c>
      <c r="V87" t="b">
        <f t="shared" si="7"/>
        <v>1</v>
      </c>
    </row>
    <row r="88" spans="1:22" x14ac:dyDescent="0.25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TRUNC(VLOOKUP(P88,'Color codes'!$A:$E,3,FALSE)*(0.25 + 0.75*Q88/40))</f>
        <v>162</v>
      </c>
      <c r="T88">
        <f>TRUNC(VLOOKUP(P88,'Color codes'!$A:$E,4,FALSE)*(0.25 + 0.75*Q88/40))</f>
        <v>68</v>
      </c>
      <c r="U88">
        <f>TRUNC(VLOOKUP(P88,'Color codes'!$A:$E,5,FALSE)*(0.25 + 0.75*Q88/40))</f>
        <v>66</v>
      </c>
      <c r="V88" t="b">
        <f t="shared" si="7"/>
        <v>1</v>
      </c>
    </row>
    <row r="89" spans="1:22" x14ac:dyDescent="0.25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TRUNC(VLOOKUP(P89,'Color codes'!$A:$E,3,FALSE)*(0.25 + 0.75*Q89/40))</f>
        <v>152</v>
      </c>
      <c r="T89">
        <f>TRUNC(VLOOKUP(P89,'Color codes'!$A:$E,4,FALSE)*(0.25 + 0.75*Q89/40))</f>
        <v>63</v>
      </c>
      <c r="U89">
        <f>TRUNC(VLOOKUP(P89,'Color codes'!$A:$E,5,FALSE)*(0.25 + 0.75*Q89/40))</f>
        <v>62</v>
      </c>
      <c r="V89" t="b">
        <f t="shared" si="7"/>
        <v>0</v>
      </c>
    </row>
    <row r="90" spans="1:22" x14ac:dyDescent="0.25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TRUNC(VLOOKUP(P90,'Color codes'!$A:$E,3,FALSE)*(0.25 + 0.75*Q90/40))</f>
        <v>230</v>
      </c>
      <c r="T90">
        <f>TRUNC(VLOOKUP(P90,'Color codes'!$A:$E,4,FALSE)*(0.25 + 0.75*Q90/40))</f>
        <v>96</v>
      </c>
      <c r="U90">
        <f>TRUNC(VLOOKUP(P90,'Color codes'!$A:$E,5,FALSE)*(0.25 + 0.75*Q90/40))</f>
        <v>93</v>
      </c>
      <c r="V90" t="b">
        <f t="shared" si="7"/>
        <v>1</v>
      </c>
    </row>
    <row r="91" spans="1:22" x14ac:dyDescent="0.25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TRUNC(VLOOKUP(P91,'Color codes'!$A:$E,3,FALSE)*(0.25 + 0.75*Q91/40))</f>
        <v>218</v>
      </c>
      <c r="T91">
        <f>TRUNC(VLOOKUP(P91,'Color codes'!$A:$E,4,FALSE)*(0.25 + 0.75*Q91/40))</f>
        <v>91</v>
      </c>
      <c r="U91">
        <f>TRUNC(VLOOKUP(P91,'Color codes'!$A:$E,5,FALSE)*(0.25 + 0.75*Q91/40))</f>
        <v>88</v>
      </c>
      <c r="V91" t="b">
        <f t="shared" si="7"/>
        <v>1</v>
      </c>
    </row>
    <row r="92" spans="1:22" x14ac:dyDescent="0.25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TRUNC(VLOOKUP(P92,'Color codes'!$A:$E,3,FALSE)*(0.25 + 0.75*Q92/40))</f>
        <v>206</v>
      </c>
      <c r="T92">
        <f>TRUNC(VLOOKUP(P92,'Color codes'!$A:$E,4,FALSE)*(0.25 + 0.75*Q92/40))</f>
        <v>86</v>
      </c>
      <c r="U92">
        <f>TRUNC(VLOOKUP(P92,'Color codes'!$A:$E,5,FALSE)*(0.25 + 0.75*Q92/40))</f>
        <v>84</v>
      </c>
      <c r="V92" t="b">
        <f t="shared" si="7"/>
        <v>1</v>
      </c>
    </row>
    <row r="93" spans="1:22" x14ac:dyDescent="0.25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TRUNC(VLOOKUP(P93,'Color codes'!$A:$E,3,FALSE)*(0.25 + 0.75*Q93/40))</f>
        <v>195</v>
      </c>
      <c r="T93">
        <f>TRUNC(VLOOKUP(P93,'Color codes'!$A:$E,4,FALSE)*(0.25 + 0.75*Q93/40))</f>
        <v>81</v>
      </c>
      <c r="U93">
        <f>TRUNC(VLOOKUP(P93,'Color codes'!$A:$E,5,FALSE)*(0.25 + 0.75*Q93/40))</f>
        <v>79</v>
      </c>
      <c r="V93" t="b">
        <f t="shared" si="7"/>
        <v>1</v>
      </c>
    </row>
    <row r="94" spans="1:22" x14ac:dyDescent="0.25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TRUNC(VLOOKUP(P94,'Color codes'!$A:$E,3,FALSE)*(0.25 + 0.75*Q94/40))</f>
        <v>184</v>
      </c>
      <c r="T94">
        <f>TRUNC(VLOOKUP(P94,'Color codes'!$A:$E,4,FALSE)*(0.25 + 0.75*Q94/40))</f>
        <v>77</v>
      </c>
      <c r="U94">
        <f>TRUNC(VLOOKUP(P94,'Color codes'!$A:$E,5,FALSE)*(0.25 + 0.75*Q94/40))</f>
        <v>75</v>
      </c>
      <c r="V94" t="b">
        <f t="shared" si="7"/>
        <v>1</v>
      </c>
    </row>
    <row r="95" spans="1:22" x14ac:dyDescent="0.25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TRUNC(VLOOKUP(P95,'Color codes'!$A:$E,3,FALSE)*(0.25 + 0.75*Q95/40))</f>
        <v>173</v>
      </c>
      <c r="T95">
        <f>TRUNC(VLOOKUP(P95,'Color codes'!$A:$E,4,FALSE)*(0.25 + 0.75*Q95/40))</f>
        <v>72</v>
      </c>
      <c r="U95">
        <f>TRUNC(VLOOKUP(P95,'Color codes'!$A:$E,5,FALSE)*(0.25 + 0.75*Q95/40))</f>
        <v>70</v>
      </c>
      <c r="V95" t="b">
        <f t="shared" si="7"/>
        <v>1</v>
      </c>
    </row>
    <row r="96" spans="1:22" x14ac:dyDescent="0.25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TRUNC(VLOOKUP(P96,'Color codes'!$A:$E,3,FALSE)*(0.25 + 0.75*Q96/40))</f>
        <v>162</v>
      </c>
      <c r="T96">
        <f>TRUNC(VLOOKUP(P96,'Color codes'!$A:$E,4,FALSE)*(0.25 + 0.75*Q96/40))</f>
        <v>68</v>
      </c>
      <c r="U96">
        <f>TRUNC(VLOOKUP(P96,'Color codes'!$A:$E,5,FALSE)*(0.25 + 0.75*Q96/40))</f>
        <v>66</v>
      </c>
      <c r="V96" t="b">
        <f t="shared" si="7"/>
        <v>1</v>
      </c>
    </row>
    <row r="97" spans="1:22" x14ac:dyDescent="0.25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TRUNC(VLOOKUP(P97,'Color codes'!$A:$E,3,FALSE)*(0.25 + 0.75*Q97/40))</f>
        <v>152</v>
      </c>
      <c r="T97">
        <f>TRUNC(VLOOKUP(P97,'Color codes'!$A:$E,4,FALSE)*(0.25 + 0.75*Q97/40))</f>
        <v>63</v>
      </c>
      <c r="U97">
        <f>TRUNC(VLOOKUP(P97,'Color codes'!$A:$E,5,FALSE)*(0.25 + 0.75*Q97/40))</f>
        <v>62</v>
      </c>
      <c r="V97" t="b">
        <f t="shared" si="7"/>
        <v>1</v>
      </c>
    </row>
    <row r="98" spans="1:22" x14ac:dyDescent="0.25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TRUNC(VLOOKUP(P98,'Color codes'!$A:$E,3,FALSE)*(0.25 + 0.75*Q98/40))</f>
        <v>230</v>
      </c>
      <c r="T98">
        <f>TRUNC(VLOOKUP(P98,'Color codes'!$A:$E,4,FALSE)*(0.25 + 0.75*Q98/40))</f>
        <v>96</v>
      </c>
      <c r="U98">
        <f>TRUNC(VLOOKUP(P98,'Color codes'!$A:$E,5,FALSE)*(0.25 + 0.75*Q98/40))</f>
        <v>93</v>
      </c>
      <c r="V98" t="b">
        <f t="shared" si="7"/>
        <v>1</v>
      </c>
    </row>
    <row r="99" spans="1:22" x14ac:dyDescent="0.25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TRUNC(VLOOKUP(P99,'Color codes'!$A:$E,3,FALSE)*(0.25 + 0.75*Q99/40))</f>
        <v>217</v>
      </c>
      <c r="T99">
        <f>TRUNC(VLOOKUP(P99,'Color codes'!$A:$E,4,FALSE)*(0.25 + 0.75*Q99/40))</f>
        <v>91</v>
      </c>
      <c r="U99">
        <f>TRUNC(VLOOKUP(P99,'Color codes'!$A:$E,5,FALSE)*(0.25 + 0.75*Q99/40))</f>
        <v>88</v>
      </c>
      <c r="V99" t="b">
        <f t="shared" si="7"/>
        <v>0</v>
      </c>
    </row>
    <row r="100" spans="1:22" x14ac:dyDescent="0.25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TRUNC(VLOOKUP(P100,'Color codes'!$A:$E,3,FALSE)*(0.25 + 0.75*Q100/40))</f>
        <v>206</v>
      </c>
      <c r="T100">
        <f>TRUNC(VLOOKUP(P100,'Color codes'!$A:$E,4,FALSE)*(0.25 + 0.75*Q100/40))</f>
        <v>86</v>
      </c>
      <c r="U100">
        <f>TRUNC(VLOOKUP(P100,'Color codes'!$A:$E,5,FALSE)*(0.25 + 0.75*Q100/40))</f>
        <v>84</v>
      </c>
      <c r="V100" t="b">
        <f t="shared" si="7"/>
        <v>0</v>
      </c>
    </row>
    <row r="101" spans="1:22" x14ac:dyDescent="0.25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TRUNC(VLOOKUP(P101,'Color codes'!$A:$E,3,FALSE)*(0.25 + 0.75*Q101/40))</f>
        <v>83</v>
      </c>
      <c r="T101">
        <f>TRUNC(VLOOKUP(P101,'Color codes'!$A:$E,4,FALSE)*(0.25 + 0.75*Q101/40))</f>
        <v>136</v>
      </c>
      <c r="U101">
        <f>TRUNC(VLOOKUP(P101,'Color codes'!$A:$E,5,FALSE)*(0.25 + 0.75*Q101/40))</f>
        <v>198</v>
      </c>
      <c r="V101" t="b">
        <f>(ABS(N101-O101)  &gt; 1)</f>
        <v>0</v>
      </c>
    </row>
    <row r="102" spans="1:22" x14ac:dyDescent="0.25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TRUNC(VLOOKUP(P102,'Color codes'!$A:$E,3,FALSE)*(0.25 + 0.75*Q102/40))</f>
        <v>80</v>
      </c>
      <c r="T102">
        <f>TRUNC(VLOOKUP(P102,'Color codes'!$A:$E,4,FALSE)*(0.25 + 0.75*Q102/40))</f>
        <v>132</v>
      </c>
      <c r="U102">
        <f>TRUNC(VLOOKUP(P102,'Color codes'!$A:$E,5,FALSE)*(0.25 + 0.75*Q102/40))</f>
        <v>191</v>
      </c>
      <c r="V102" t="b">
        <f t="shared" ref="V102:V165" si="8">(ABS(N102-O102)  &gt; 1)</f>
        <v>1</v>
      </c>
    </row>
    <row r="103" spans="1:22" x14ac:dyDescent="0.25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TRUNC(VLOOKUP(P103,'Color codes'!$A:$E,3,FALSE)*(0.25 + 0.75*Q103/40))</f>
        <v>78</v>
      </c>
      <c r="T103">
        <f>TRUNC(VLOOKUP(P103,'Color codes'!$A:$E,4,FALSE)*(0.25 + 0.75*Q103/40))</f>
        <v>128</v>
      </c>
      <c r="U103">
        <f>TRUNC(VLOOKUP(P103,'Color codes'!$A:$E,5,FALSE)*(0.25 + 0.75*Q103/40))</f>
        <v>186</v>
      </c>
      <c r="V103" t="b">
        <f t="shared" si="8"/>
        <v>1</v>
      </c>
    </row>
    <row r="104" spans="1:22" x14ac:dyDescent="0.25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TRUNC(VLOOKUP(P104,'Color codes'!$A:$E,3,FALSE)*(0.25 + 0.75*Q104/40))</f>
        <v>76</v>
      </c>
      <c r="T104">
        <f>TRUNC(VLOOKUP(P104,'Color codes'!$A:$E,4,FALSE)*(0.25 + 0.75*Q104/40))</f>
        <v>125</v>
      </c>
      <c r="U104">
        <f>TRUNC(VLOOKUP(P104,'Color codes'!$A:$E,5,FALSE)*(0.25 + 0.75*Q104/40))</f>
        <v>181</v>
      </c>
      <c r="V104" t="b">
        <f t="shared" si="8"/>
        <v>1</v>
      </c>
    </row>
    <row r="105" spans="1:22" x14ac:dyDescent="0.25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TRUNC(VLOOKUP(P105,'Color codes'!$A:$E,3,FALSE)*(0.25 + 0.75*Q105/40))</f>
        <v>74</v>
      </c>
      <c r="T105">
        <f>TRUNC(VLOOKUP(P105,'Color codes'!$A:$E,4,FALSE)*(0.25 + 0.75*Q105/40))</f>
        <v>123</v>
      </c>
      <c r="U105">
        <f>TRUNC(VLOOKUP(P105,'Color codes'!$A:$E,5,FALSE)*(0.25 + 0.75*Q105/40))</f>
        <v>178</v>
      </c>
      <c r="V105" t="b">
        <f t="shared" si="8"/>
        <v>1</v>
      </c>
    </row>
    <row r="106" spans="1:22" x14ac:dyDescent="0.25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TRUNC(VLOOKUP(P106,'Color codes'!$A:$E,3,FALSE)*(0.25 + 0.75*Q106/40))</f>
        <v>230</v>
      </c>
      <c r="T106">
        <f>TRUNC(VLOOKUP(P106,'Color codes'!$A:$E,4,FALSE)*(0.25 + 0.75*Q106/40))</f>
        <v>96</v>
      </c>
      <c r="U106">
        <f>TRUNC(VLOOKUP(P106,'Color codes'!$A:$E,5,FALSE)*(0.25 + 0.75*Q106/40))</f>
        <v>94</v>
      </c>
      <c r="V106" t="b">
        <f t="shared" si="8"/>
        <v>1</v>
      </c>
    </row>
    <row r="107" spans="1:22" x14ac:dyDescent="0.25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TRUNC(VLOOKUP(P107,'Color codes'!$A:$E,3,FALSE)*(0.25 + 0.75*Q107/40))</f>
        <v>218</v>
      </c>
      <c r="T107">
        <f>TRUNC(VLOOKUP(P107,'Color codes'!$A:$E,4,FALSE)*(0.25 + 0.75*Q107/40))</f>
        <v>91</v>
      </c>
      <c r="U107">
        <f>TRUNC(VLOOKUP(P107,'Color codes'!$A:$E,5,FALSE)*(0.25 + 0.75*Q107/40))</f>
        <v>88</v>
      </c>
      <c r="V107" t="b">
        <f t="shared" si="8"/>
        <v>1</v>
      </c>
    </row>
    <row r="108" spans="1:22" x14ac:dyDescent="0.25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TRUNC(VLOOKUP(P108,'Color codes'!$A:$E,3,FALSE)*(0.25 + 0.75*Q108/40))</f>
        <v>206</v>
      </c>
      <c r="T108">
        <f>TRUNC(VLOOKUP(P108,'Color codes'!$A:$E,4,FALSE)*(0.25 + 0.75*Q108/40))</f>
        <v>86</v>
      </c>
      <c r="U108">
        <f>TRUNC(VLOOKUP(P108,'Color codes'!$A:$E,5,FALSE)*(0.25 + 0.75*Q108/40))</f>
        <v>84</v>
      </c>
      <c r="V108" t="b">
        <f t="shared" si="8"/>
        <v>1</v>
      </c>
    </row>
    <row r="109" spans="1:22" x14ac:dyDescent="0.25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TRUNC(VLOOKUP(P109,'Color codes'!$A:$E,3,FALSE)*(0.25 + 0.75*Q109/40))</f>
        <v>195</v>
      </c>
      <c r="T109">
        <f>TRUNC(VLOOKUP(P109,'Color codes'!$A:$E,4,FALSE)*(0.25 + 0.75*Q109/40))</f>
        <v>81</v>
      </c>
      <c r="U109">
        <f>TRUNC(VLOOKUP(P109,'Color codes'!$A:$E,5,FALSE)*(0.25 + 0.75*Q109/40))</f>
        <v>79</v>
      </c>
      <c r="V109" t="b">
        <f t="shared" si="8"/>
        <v>1</v>
      </c>
    </row>
    <row r="110" spans="1:22" x14ac:dyDescent="0.25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TRUNC(VLOOKUP(P110,'Color codes'!$A:$E,3,FALSE)*(0.25 + 0.75*Q110/40))</f>
        <v>184</v>
      </c>
      <c r="T110">
        <f>TRUNC(VLOOKUP(P110,'Color codes'!$A:$E,4,FALSE)*(0.25 + 0.75*Q110/40))</f>
        <v>77</v>
      </c>
      <c r="U110">
        <f>TRUNC(VLOOKUP(P110,'Color codes'!$A:$E,5,FALSE)*(0.25 + 0.75*Q110/40))</f>
        <v>75</v>
      </c>
      <c r="V110" t="b">
        <f t="shared" si="8"/>
        <v>0</v>
      </c>
    </row>
    <row r="111" spans="1:22" x14ac:dyDescent="0.25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TRUNC(VLOOKUP(P111,'Color codes'!$A:$E,3,FALSE)*(0.25 + 0.75*Q111/40))</f>
        <v>173</v>
      </c>
      <c r="T111">
        <f>TRUNC(VLOOKUP(P111,'Color codes'!$A:$E,4,FALSE)*(0.25 + 0.75*Q111/40))</f>
        <v>72</v>
      </c>
      <c r="U111">
        <f>TRUNC(VLOOKUP(P111,'Color codes'!$A:$E,5,FALSE)*(0.25 + 0.75*Q111/40))</f>
        <v>70</v>
      </c>
      <c r="V111" t="b">
        <f t="shared" si="8"/>
        <v>0</v>
      </c>
    </row>
    <row r="112" spans="1:22" x14ac:dyDescent="0.25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TRUNC(VLOOKUP(P112,'Color codes'!$A:$E,3,FALSE)*(0.25 + 0.75*Q112/40))</f>
        <v>70</v>
      </c>
      <c r="T112">
        <f>TRUNC(VLOOKUP(P112,'Color codes'!$A:$E,4,FALSE)*(0.25 + 0.75*Q112/40))</f>
        <v>115</v>
      </c>
      <c r="U112">
        <f>TRUNC(VLOOKUP(P112,'Color codes'!$A:$E,5,FALSE)*(0.25 + 0.75*Q112/40))</f>
        <v>167</v>
      </c>
      <c r="V112" t="b">
        <f t="shared" si="8"/>
        <v>1</v>
      </c>
    </row>
    <row r="113" spans="1:22" x14ac:dyDescent="0.25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TRUNC(VLOOKUP(P113,'Color codes'!$A:$E,3,FALSE)*(0.25 + 0.75*Q113/40))</f>
        <v>68</v>
      </c>
      <c r="T113">
        <f>TRUNC(VLOOKUP(P113,'Color codes'!$A:$E,4,FALSE)*(0.25 + 0.75*Q113/40))</f>
        <v>111</v>
      </c>
      <c r="U113">
        <f>TRUNC(VLOOKUP(P113,'Color codes'!$A:$E,5,FALSE)*(0.25 + 0.75*Q113/40))</f>
        <v>162</v>
      </c>
      <c r="V113" t="b">
        <f t="shared" si="8"/>
        <v>1</v>
      </c>
    </row>
    <row r="114" spans="1:22" x14ac:dyDescent="0.25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TRUNC(VLOOKUP(P114,'Color codes'!$A:$E,3,FALSE)*(0.25 + 0.75*Q114/40))</f>
        <v>230</v>
      </c>
      <c r="T114">
        <f>TRUNC(VLOOKUP(P114,'Color codes'!$A:$E,4,FALSE)*(0.25 + 0.75*Q114/40))</f>
        <v>96</v>
      </c>
      <c r="U114">
        <f>TRUNC(VLOOKUP(P114,'Color codes'!$A:$E,5,FALSE)*(0.25 + 0.75*Q114/40))</f>
        <v>94</v>
      </c>
      <c r="V114" t="b">
        <f t="shared" si="8"/>
        <v>1</v>
      </c>
    </row>
    <row r="115" spans="1:22" x14ac:dyDescent="0.25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TRUNC(VLOOKUP(P115,'Color codes'!$A:$E,3,FALSE)*(0.25 + 0.75*Q115/40))</f>
        <v>218</v>
      </c>
      <c r="T115">
        <f>TRUNC(VLOOKUP(P115,'Color codes'!$A:$E,4,FALSE)*(0.25 + 0.75*Q115/40))</f>
        <v>91</v>
      </c>
      <c r="U115">
        <f>TRUNC(VLOOKUP(P115,'Color codes'!$A:$E,5,FALSE)*(0.25 + 0.75*Q115/40))</f>
        <v>88</v>
      </c>
      <c r="V115" t="b">
        <f t="shared" si="8"/>
        <v>1</v>
      </c>
    </row>
    <row r="116" spans="1:22" x14ac:dyDescent="0.25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TRUNC(VLOOKUP(P116,'Color codes'!$A:$E,3,FALSE)*(0.25 + 0.75*Q116/40))</f>
        <v>206</v>
      </c>
      <c r="T116">
        <f>TRUNC(VLOOKUP(P116,'Color codes'!$A:$E,4,FALSE)*(0.25 + 0.75*Q116/40))</f>
        <v>86</v>
      </c>
      <c r="U116">
        <f>TRUNC(VLOOKUP(P116,'Color codes'!$A:$E,5,FALSE)*(0.25 + 0.75*Q116/40))</f>
        <v>84</v>
      </c>
      <c r="V116" t="b">
        <f t="shared" si="8"/>
        <v>1</v>
      </c>
    </row>
    <row r="117" spans="1:22" x14ac:dyDescent="0.25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TRUNC(VLOOKUP(P117,'Color codes'!$A:$E,3,FALSE)*(0.25 + 0.75*Q117/40))</f>
        <v>194</v>
      </c>
      <c r="T117">
        <f>TRUNC(VLOOKUP(P117,'Color codes'!$A:$E,4,FALSE)*(0.25 + 0.75*Q117/40))</f>
        <v>81</v>
      </c>
      <c r="U117">
        <f>TRUNC(VLOOKUP(P117,'Color codes'!$A:$E,5,FALSE)*(0.25 + 0.75*Q117/40))</f>
        <v>79</v>
      </c>
      <c r="V117" t="b">
        <f t="shared" si="8"/>
        <v>1</v>
      </c>
    </row>
    <row r="118" spans="1:22" x14ac:dyDescent="0.25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TRUNC(VLOOKUP(P118,'Color codes'!$A:$E,3,FALSE)*(0.25 + 0.75*Q118/40))</f>
        <v>184</v>
      </c>
      <c r="T118">
        <f>TRUNC(VLOOKUP(P118,'Color codes'!$A:$E,4,FALSE)*(0.25 + 0.75*Q118/40))</f>
        <v>77</v>
      </c>
      <c r="U118">
        <f>TRUNC(VLOOKUP(P118,'Color codes'!$A:$E,5,FALSE)*(0.25 + 0.75*Q118/40))</f>
        <v>75</v>
      </c>
      <c r="V118" t="b">
        <f t="shared" si="8"/>
        <v>1</v>
      </c>
    </row>
    <row r="119" spans="1:22" x14ac:dyDescent="0.25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TRUNC(VLOOKUP(P119,'Color codes'!$A:$E,3,FALSE)*(0.25 + 0.75*Q119/40))</f>
        <v>174</v>
      </c>
      <c r="T119">
        <f>TRUNC(VLOOKUP(P119,'Color codes'!$A:$E,4,FALSE)*(0.25 + 0.75*Q119/40))</f>
        <v>73</v>
      </c>
      <c r="U119">
        <f>TRUNC(VLOOKUP(P119,'Color codes'!$A:$E,5,FALSE)*(0.25 + 0.75*Q119/40))</f>
        <v>71</v>
      </c>
      <c r="V119" t="b">
        <f t="shared" si="8"/>
        <v>1</v>
      </c>
    </row>
    <row r="120" spans="1:22" x14ac:dyDescent="0.25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TRUNC(VLOOKUP(P120,'Color codes'!$A:$E,3,FALSE)*(0.25 + 0.75*Q120/40))</f>
        <v>162</v>
      </c>
      <c r="T120">
        <f>TRUNC(VLOOKUP(P120,'Color codes'!$A:$E,4,FALSE)*(0.25 + 0.75*Q120/40))</f>
        <v>68</v>
      </c>
      <c r="U120">
        <f>TRUNC(VLOOKUP(P120,'Color codes'!$A:$E,5,FALSE)*(0.25 + 0.75*Q120/40))</f>
        <v>66</v>
      </c>
      <c r="V120" t="b">
        <f t="shared" si="8"/>
        <v>0</v>
      </c>
    </row>
    <row r="121" spans="1:22" x14ac:dyDescent="0.25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TRUNC(VLOOKUP(P121,'Color codes'!$A:$E,3,FALSE)*(0.25 + 0.75*Q121/40))</f>
        <v>65</v>
      </c>
      <c r="T121">
        <f>TRUNC(VLOOKUP(P121,'Color codes'!$A:$E,4,FALSE)*(0.25 + 0.75*Q121/40))</f>
        <v>108</v>
      </c>
      <c r="U121">
        <f>TRUNC(VLOOKUP(P121,'Color codes'!$A:$E,5,FALSE)*(0.25 + 0.75*Q121/40))</f>
        <v>156</v>
      </c>
      <c r="V121" t="b">
        <f t="shared" si="8"/>
        <v>1</v>
      </c>
    </row>
    <row r="122" spans="1:22" x14ac:dyDescent="0.25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TRUNC(VLOOKUP(P122,'Color codes'!$A:$E,3,FALSE)*(0.25 + 0.75*Q122/40))</f>
        <v>230</v>
      </c>
      <c r="T122">
        <f>TRUNC(VLOOKUP(P122,'Color codes'!$A:$E,4,FALSE)*(0.25 + 0.75*Q122/40))</f>
        <v>96</v>
      </c>
      <c r="U122">
        <f>TRUNC(VLOOKUP(P122,'Color codes'!$A:$E,5,FALSE)*(0.25 + 0.75*Q122/40))</f>
        <v>93</v>
      </c>
      <c r="V122" t="b">
        <f t="shared" si="8"/>
        <v>1</v>
      </c>
    </row>
    <row r="123" spans="1:22" x14ac:dyDescent="0.25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TRUNC(VLOOKUP(P123,'Color codes'!$A:$E,3,FALSE)*(0.25 + 0.75*Q123/40))</f>
        <v>217</v>
      </c>
      <c r="T123">
        <f>TRUNC(VLOOKUP(P123,'Color codes'!$A:$E,4,FALSE)*(0.25 + 0.75*Q123/40))</f>
        <v>91</v>
      </c>
      <c r="U123">
        <f>TRUNC(VLOOKUP(P123,'Color codes'!$A:$E,5,FALSE)*(0.25 + 0.75*Q123/40))</f>
        <v>88</v>
      </c>
      <c r="V123" t="b">
        <f t="shared" si="8"/>
        <v>1</v>
      </c>
    </row>
    <row r="124" spans="1:22" x14ac:dyDescent="0.25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TRUNC(VLOOKUP(P124,'Color codes'!$A:$E,3,FALSE)*(0.25 + 0.75*Q124/40))</f>
        <v>206</v>
      </c>
      <c r="T124">
        <f>TRUNC(VLOOKUP(P124,'Color codes'!$A:$E,4,FALSE)*(0.25 + 0.75*Q124/40))</f>
        <v>86</v>
      </c>
      <c r="U124">
        <f>TRUNC(VLOOKUP(P124,'Color codes'!$A:$E,5,FALSE)*(0.25 + 0.75*Q124/40))</f>
        <v>84</v>
      </c>
      <c r="V124" t="b">
        <f t="shared" si="8"/>
        <v>1</v>
      </c>
    </row>
    <row r="125" spans="1:22" x14ac:dyDescent="0.25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TRUNC(VLOOKUP(P125,'Color codes'!$A:$E,3,FALSE)*(0.25 + 0.75*Q125/40))</f>
        <v>195</v>
      </c>
      <c r="T125">
        <f>TRUNC(VLOOKUP(P125,'Color codes'!$A:$E,4,FALSE)*(0.25 + 0.75*Q125/40))</f>
        <v>81</v>
      </c>
      <c r="U125">
        <f>TRUNC(VLOOKUP(P125,'Color codes'!$A:$E,5,FALSE)*(0.25 + 0.75*Q125/40))</f>
        <v>79</v>
      </c>
      <c r="V125" t="b">
        <f t="shared" si="8"/>
        <v>1</v>
      </c>
    </row>
    <row r="126" spans="1:22" x14ac:dyDescent="0.25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TRUNC(VLOOKUP(P126,'Color codes'!$A:$E,3,FALSE)*(0.25 + 0.75*Q126/40))</f>
        <v>184</v>
      </c>
      <c r="T126">
        <f>TRUNC(VLOOKUP(P126,'Color codes'!$A:$E,4,FALSE)*(0.25 + 0.75*Q126/40))</f>
        <v>77</v>
      </c>
      <c r="U126">
        <f>TRUNC(VLOOKUP(P126,'Color codes'!$A:$E,5,FALSE)*(0.25 + 0.75*Q126/40))</f>
        <v>75</v>
      </c>
      <c r="V126" t="b">
        <f t="shared" si="8"/>
        <v>1</v>
      </c>
    </row>
    <row r="127" spans="1:22" x14ac:dyDescent="0.25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TRUNC(VLOOKUP(P127,'Color codes'!$A:$E,3,FALSE)*(0.25 + 0.75*Q127/40))</f>
        <v>173</v>
      </c>
      <c r="T127">
        <f>TRUNC(VLOOKUP(P127,'Color codes'!$A:$E,4,FALSE)*(0.25 + 0.75*Q127/40))</f>
        <v>72</v>
      </c>
      <c r="U127">
        <f>TRUNC(VLOOKUP(P127,'Color codes'!$A:$E,5,FALSE)*(0.25 + 0.75*Q127/40))</f>
        <v>70</v>
      </c>
      <c r="V127" t="b">
        <f t="shared" si="8"/>
        <v>1</v>
      </c>
    </row>
    <row r="128" spans="1:22" x14ac:dyDescent="0.25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TRUNC(VLOOKUP(P128,'Color codes'!$A:$E,3,FALSE)*(0.25 + 0.75*Q128/40))</f>
        <v>162</v>
      </c>
      <c r="T128">
        <f>TRUNC(VLOOKUP(P128,'Color codes'!$A:$E,4,FALSE)*(0.25 + 0.75*Q128/40))</f>
        <v>68</v>
      </c>
      <c r="U128">
        <f>TRUNC(VLOOKUP(P128,'Color codes'!$A:$E,5,FALSE)*(0.25 + 0.75*Q128/40))</f>
        <v>66</v>
      </c>
      <c r="V128" t="b">
        <f t="shared" si="8"/>
        <v>1</v>
      </c>
    </row>
    <row r="129" spans="1:22" x14ac:dyDescent="0.25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TRUNC(VLOOKUP(P129,'Color codes'!$A:$E,3,FALSE)*(0.25 + 0.75*Q129/40))</f>
        <v>152</v>
      </c>
      <c r="T129">
        <f>TRUNC(VLOOKUP(P129,'Color codes'!$A:$E,4,FALSE)*(0.25 + 0.75*Q129/40))</f>
        <v>63</v>
      </c>
      <c r="U129">
        <f>TRUNC(VLOOKUP(P129,'Color codes'!$A:$E,5,FALSE)*(0.25 + 0.75*Q129/40))</f>
        <v>62</v>
      </c>
      <c r="V129" t="b">
        <f t="shared" si="8"/>
        <v>1</v>
      </c>
    </row>
    <row r="130" spans="1:22" x14ac:dyDescent="0.25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TRUNC(VLOOKUP(P130,'Color codes'!$A:$E,3,FALSE)*(0.25 + 0.75*Q130/40))</f>
        <v>219</v>
      </c>
      <c r="T130">
        <f>TRUNC(VLOOKUP(P130,'Color codes'!$A:$E,4,FALSE)*(0.25 + 0.75*Q130/40))</f>
        <v>92</v>
      </c>
      <c r="U130">
        <f>TRUNC(VLOOKUP(P130,'Color codes'!$A:$E,5,FALSE)*(0.25 + 0.75*Q130/40))</f>
        <v>89</v>
      </c>
      <c r="V130" t="b">
        <f t="shared" si="8"/>
        <v>0</v>
      </c>
    </row>
    <row r="131" spans="1:22" x14ac:dyDescent="0.25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TRUNC(VLOOKUP(P131,'Color codes'!$A:$E,3,FALSE)*(0.25 + 0.75*Q131/40))</f>
        <v>204</v>
      </c>
      <c r="T131">
        <f>TRUNC(VLOOKUP(P131,'Color codes'!$A:$E,4,FALSE)*(0.25 + 0.75*Q131/40))</f>
        <v>85</v>
      </c>
      <c r="U131">
        <f>TRUNC(VLOOKUP(P131,'Color codes'!$A:$E,5,FALSE)*(0.25 + 0.75*Q131/40))</f>
        <v>83</v>
      </c>
      <c r="V131" t="b">
        <f t="shared" si="8"/>
        <v>0</v>
      </c>
    </row>
    <row r="132" spans="1:22" x14ac:dyDescent="0.25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TRUNC(VLOOKUP(P132,'Color codes'!$A:$E,3,FALSE)*(0.25 + 0.75*Q132/40))</f>
        <v>79</v>
      </c>
      <c r="T132">
        <f>TRUNC(VLOOKUP(P132,'Color codes'!$A:$E,4,FALSE)*(0.25 + 0.75*Q132/40))</f>
        <v>131</v>
      </c>
      <c r="U132">
        <f>TRUNC(VLOOKUP(P132,'Color codes'!$A:$E,5,FALSE)*(0.25 + 0.75*Q132/40))</f>
        <v>190</v>
      </c>
      <c r="V132" t="b">
        <f t="shared" si="8"/>
        <v>0</v>
      </c>
    </row>
    <row r="133" spans="1:22" x14ac:dyDescent="0.25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TRUNC(VLOOKUP(P133,'Color codes'!$A:$E,3,FALSE)*(0.25 + 0.75*Q133/40))</f>
        <v>73</v>
      </c>
      <c r="T133">
        <f>TRUNC(VLOOKUP(P133,'Color codes'!$A:$E,4,FALSE)*(0.25 + 0.75*Q133/40))</f>
        <v>121</v>
      </c>
      <c r="U133">
        <f>TRUNC(VLOOKUP(P133,'Color codes'!$A:$E,5,FALSE)*(0.25 + 0.75*Q133/40))</f>
        <v>176</v>
      </c>
      <c r="V133" t="b">
        <f t="shared" si="8"/>
        <v>0</v>
      </c>
    </row>
    <row r="134" spans="1:22" x14ac:dyDescent="0.25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TRUNC(VLOOKUP(P134,'Color codes'!$A:$E,3,FALSE)*(0.25 + 0.75*Q134/40))</f>
        <v>161</v>
      </c>
      <c r="T134">
        <f>TRUNC(VLOOKUP(P134,'Color codes'!$A:$E,4,FALSE)*(0.25 + 0.75*Q134/40))</f>
        <v>67</v>
      </c>
      <c r="U134">
        <f>TRUNC(VLOOKUP(P134,'Color codes'!$A:$E,5,FALSE)*(0.25 + 0.75*Q134/40))</f>
        <v>66</v>
      </c>
      <c r="V134" t="b">
        <f t="shared" si="8"/>
        <v>0</v>
      </c>
    </row>
    <row r="135" spans="1:22" x14ac:dyDescent="0.25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TRUNC(VLOOKUP(P135,'Color codes'!$A:$E,3,FALSE)*(0.25 + 0.75*Q135/40))</f>
        <v>63</v>
      </c>
      <c r="T135">
        <f>TRUNC(VLOOKUP(P135,'Color codes'!$A:$E,4,FALSE)*(0.25 + 0.75*Q135/40))</f>
        <v>104</v>
      </c>
      <c r="U135">
        <f>TRUNC(VLOOKUP(P135,'Color codes'!$A:$E,5,FALSE)*(0.25 + 0.75*Q135/40))</f>
        <v>151</v>
      </c>
      <c r="V135" t="b">
        <f t="shared" si="8"/>
        <v>0</v>
      </c>
    </row>
    <row r="136" spans="1:22" x14ac:dyDescent="0.25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TRUNC(VLOOKUP(P136,'Color codes'!$A:$E,3,FALSE)*(0.25 + 0.75*Q136/40))</f>
        <v>63</v>
      </c>
      <c r="T136">
        <f>TRUNC(VLOOKUP(P136,'Color codes'!$A:$E,4,FALSE)*(0.25 + 0.75*Q136/40))</f>
        <v>104</v>
      </c>
      <c r="U136">
        <f>TRUNC(VLOOKUP(P136,'Color codes'!$A:$E,5,FALSE)*(0.25 + 0.75*Q136/40))</f>
        <v>150</v>
      </c>
      <c r="V136" t="b">
        <f t="shared" si="8"/>
        <v>1</v>
      </c>
    </row>
    <row r="137" spans="1:22" x14ac:dyDescent="0.25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TRUNC(VLOOKUP(P137,'Color codes'!$A:$E,3,FALSE)*(0.25 + 0.75*Q137/40))</f>
        <v>61</v>
      </c>
      <c r="T137">
        <f>TRUNC(VLOOKUP(P137,'Color codes'!$A:$E,4,FALSE)*(0.25 + 0.75*Q137/40))</f>
        <v>100</v>
      </c>
      <c r="U137">
        <f>TRUNC(VLOOKUP(P137,'Color codes'!$A:$E,5,FALSE)*(0.25 + 0.75*Q137/40))</f>
        <v>145</v>
      </c>
      <c r="V137" t="b">
        <f t="shared" si="8"/>
        <v>1</v>
      </c>
    </row>
    <row r="138" spans="1:22" x14ac:dyDescent="0.25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TRUNC(VLOOKUP(P138,'Color codes'!$A:$E,3,FALSE)*(0.25 + 0.75*Q138/40))</f>
        <v>219</v>
      </c>
      <c r="T138">
        <f>TRUNC(VLOOKUP(P138,'Color codes'!$A:$E,4,FALSE)*(0.25 + 0.75*Q138/40))</f>
        <v>92</v>
      </c>
      <c r="U138">
        <f>TRUNC(VLOOKUP(P138,'Color codes'!$A:$E,5,FALSE)*(0.25 + 0.75*Q138/40))</f>
        <v>89</v>
      </c>
      <c r="V138" t="b">
        <f t="shared" si="8"/>
        <v>1</v>
      </c>
    </row>
    <row r="139" spans="1:22" x14ac:dyDescent="0.25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TRUNC(VLOOKUP(P139,'Color codes'!$A:$E,3,FALSE)*(0.25 + 0.75*Q139/40))</f>
        <v>204</v>
      </c>
      <c r="T139">
        <f>TRUNC(VLOOKUP(P139,'Color codes'!$A:$E,4,FALSE)*(0.25 + 0.75*Q139/40))</f>
        <v>85</v>
      </c>
      <c r="U139">
        <f>TRUNC(VLOOKUP(P139,'Color codes'!$A:$E,5,FALSE)*(0.25 + 0.75*Q139/40))</f>
        <v>83</v>
      </c>
      <c r="V139" t="b">
        <f t="shared" si="8"/>
        <v>0</v>
      </c>
    </row>
    <row r="140" spans="1:22" x14ac:dyDescent="0.25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TRUNC(VLOOKUP(P140,'Color codes'!$A:$E,3,FALSE)*(0.25 + 0.75*Q140/40))</f>
        <v>189</v>
      </c>
      <c r="T140">
        <f>TRUNC(VLOOKUP(P140,'Color codes'!$A:$E,4,FALSE)*(0.25 + 0.75*Q140/40))</f>
        <v>79</v>
      </c>
      <c r="U140">
        <f>TRUNC(VLOOKUP(P140,'Color codes'!$A:$E,5,FALSE)*(0.25 + 0.75*Q140/40))</f>
        <v>77</v>
      </c>
      <c r="V140" t="b">
        <f t="shared" si="8"/>
        <v>0</v>
      </c>
    </row>
    <row r="141" spans="1:22" x14ac:dyDescent="0.25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TRUNC(VLOOKUP(P141,'Color codes'!$A:$E,3,FALSE)*(0.25 + 0.75*Q141/40))</f>
        <v>175</v>
      </c>
      <c r="T141">
        <f>TRUNC(VLOOKUP(P141,'Color codes'!$A:$E,4,FALSE)*(0.25 + 0.75*Q141/40))</f>
        <v>73</v>
      </c>
      <c r="U141">
        <f>TRUNC(VLOOKUP(P141,'Color codes'!$A:$E,5,FALSE)*(0.25 + 0.75*Q141/40))</f>
        <v>71</v>
      </c>
      <c r="V141" t="b">
        <f t="shared" si="8"/>
        <v>0</v>
      </c>
    </row>
    <row r="142" spans="1:22" x14ac:dyDescent="0.25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TRUNC(VLOOKUP(P142,'Color codes'!$A:$E,3,FALSE)*(0.25 + 0.75*Q142/40))</f>
        <v>162</v>
      </c>
      <c r="T142">
        <f>TRUNC(VLOOKUP(P142,'Color codes'!$A:$E,4,FALSE)*(0.25 + 0.75*Q142/40))</f>
        <v>68</v>
      </c>
      <c r="U142">
        <f>TRUNC(VLOOKUP(P142,'Color codes'!$A:$E,5,FALSE)*(0.25 + 0.75*Q142/40))</f>
        <v>66</v>
      </c>
      <c r="V142" t="b">
        <f t="shared" si="8"/>
        <v>0</v>
      </c>
    </row>
    <row r="143" spans="1:22" x14ac:dyDescent="0.25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TRUNC(VLOOKUP(P143,'Color codes'!$A:$E,3,FALSE)*(0.25 + 0.75*Q143/40))</f>
        <v>148</v>
      </c>
      <c r="T143">
        <f>TRUNC(VLOOKUP(P143,'Color codes'!$A:$E,4,FALSE)*(0.25 + 0.75*Q143/40))</f>
        <v>62</v>
      </c>
      <c r="U143">
        <f>TRUNC(VLOOKUP(P143,'Color codes'!$A:$E,5,FALSE)*(0.25 + 0.75*Q143/40))</f>
        <v>60</v>
      </c>
      <c r="V143" t="b">
        <f t="shared" si="8"/>
        <v>0</v>
      </c>
    </row>
    <row r="144" spans="1:22" x14ac:dyDescent="0.25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TRUNC(VLOOKUP(P144,'Color codes'!$A:$E,3,FALSE)*(0.25 + 0.75*Q144/40))</f>
        <v>136</v>
      </c>
      <c r="T144">
        <f>TRUNC(VLOOKUP(P144,'Color codes'!$A:$E,4,FALSE)*(0.25 + 0.75*Q144/40))</f>
        <v>57</v>
      </c>
      <c r="U144">
        <f>TRUNC(VLOOKUP(P144,'Color codes'!$A:$E,5,FALSE)*(0.25 + 0.75*Q144/40))</f>
        <v>55</v>
      </c>
      <c r="V144" t="b">
        <f t="shared" si="8"/>
        <v>0</v>
      </c>
    </row>
    <row r="145" spans="1:22" x14ac:dyDescent="0.25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TRUNC(VLOOKUP(P145,'Color codes'!$A:$E,3,FALSE)*(0.25 + 0.75*Q145/40))</f>
        <v>52</v>
      </c>
      <c r="T145">
        <f>TRUNC(VLOOKUP(P145,'Color codes'!$A:$E,4,FALSE)*(0.25 + 0.75*Q145/40))</f>
        <v>86</v>
      </c>
      <c r="U145">
        <f>TRUNC(VLOOKUP(P145,'Color codes'!$A:$E,5,FALSE)*(0.25 + 0.75*Q145/40))</f>
        <v>125</v>
      </c>
      <c r="V145" t="b">
        <f t="shared" si="8"/>
        <v>0</v>
      </c>
    </row>
    <row r="146" spans="1:22" x14ac:dyDescent="0.25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TRUNC(VLOOKUP(P146,'Color codes'!$A:$E,3,FALSE)*(0.25 + 0.75*Q146/40))</f>
        <v>219</v>
      </c>
      <c r="T146">
        <f>TRUNC(VLOOKUP(P146,'Color codes'!$A:$E,4,FALSE)*(0.25 + 0.75*Q146/40))</f>
        <v>92</v>
      </c>
      <c r="U146">
        <f>TRUNC(VLOOKUP(P146,'Color codes'!$A:$E,5,FALSE)*(0.25 + 0.75*Q146/40))</f>
        <v>89</v>
      </c>
      <c r="V146" t="b">
        <f t="shared" si="8"/>
        <v>1</v>
      </c>
    </row>
    <row r="147" spans="1:22" x14ac:dyDescent="0.25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TRUNC(VLOOKUP(P147,'Color codes'!$A:$E,3,FALSE)*(0.25 + 0.75*Q147/40))</f>
        <v>204</v>
      </c>
      <c r="T147">
        <f>TRUNC(VLOOKUP(P147,'Color codes'!$A:$E,4,FALSE)*(0.25 + 0.75*Q147/40))</f>
        <v>85</v>
      </c>
      <c r="U147">
        <f>TRUNC(VLOOKUP(P147,'Color codes'!$A:$E,5,FALSE)*(0.25 + 0.75*Q147/40))</f>
        <v>83</v>
      </c>
      <c r="V147" t="b">
        <f t="shared" si="8"/>
        <v>1</v>
      </c>
    </row>
    <row r="148" spans="1:22" x14ac:dyDescent="0.25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TRUNC(VLOOKUP(P148,'Color codes'!$A:$E,3,FALSE)*(0.25 + 0.75*Q148/40))</f>
        <v>190</v>
      </c>
      <c r="T148">
        <f>TRUNC(VLOOKUP(P148,'Color codes'!$A:$E,4,FALSE)*(0.25 + 0.75*Q148/40))</f>
        <v>79</v>
      </c>
      <c r="U148">
        <f>TRUNC(VLOOKUP(P148,'Color codes'!$A:$E,5,FALSE)*(0.25 + 0.75*Q148/40))</f>
        <v>77</v>
      </c>
      <c r="V148" t="b">
        <f t="shared" si="8"/>
        <v>1</v>
      </c>
    </row>
    <row r="149" spans="1:22" x14ac:dyDescent="0.25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TRUNC(VLOOKUP(P149,'Color codes'!$A:$E,3,FALSE)*(0.25 + 0.75*Q149/40))</f>
        <v>175</v>
      </c>
      <c r="T149">
        <f>TRUNC(VLOOKUP(P149,'Color codes'!$A:$E,4,FALSE)*(0.25 + 0.75*Q149/40))</f>
        <v>73</v>
      </c>
      <c r="U149">
        <f>TRUNC(VLOOKUP(P149,'Color codes'!$A:$E,5,FALSE)*(0.25 + 0.75*Q149/40))</f>
        <v>71</v>
      </c>
      <c r="V149" t="b">
        <f t="shared" si="8"/>
        <v>0</v>
      </c>
    </row>
    <row r="150" spans="1:22" x14ac:dyDescent="0.25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TRUNC(VLOOKUP(P150,'Color codes'!$A:$E,3,FALSE)*(0.25 + 0.75*Q150/40))</f>
        <v>162</v>
      </c>
      <c r="T150">
        <f>TRUNC(VLOOKUP(P150,'Color codes'!$A:$E,4,FALSE)*(0.25 + 0.75*Q150/40))</f>
        <v>67</v>
      </c>
      <c r="U150">
        <f>TRUNC(VLOOKUP(P150,'Color codes'!$A:$E,5,FALSE)*(0.25 + 0.75*Q150/40))</f>
        <v>66</v>
      </c>
      <c r="V150" t="b">
        <f t="shared" si="8"/>
        <v>0</v>
      </c>
    </row>
    <row r="151" spans="1:22" x14ac:dyDescent="0.25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TRUNC(VLOOKUP(P151,'Color codes'!$A:$E,3,FALSE)*(0.25 + 0.75*Q151/40))</f>
        <v>148</v>
      </c>
      <c r="T151">
        <f>TRUNC(VLOOKUP(P151,'Color codes'!$A:$E,4,FALSE)*(0.25 + 0.75*Q151/40))</f>
        <v>62</v>
      </c>
      <c r="U151">
        <f>TRUNC(VLOOKUP(P151,'Color codes'!$A:$E,5,FALSE)*(0.25 + 0.75*Q151/40))</f>
        <v>60</v>
      </c>
      <c r="V151" t="b">
        <f t="shared" si="8"/>
        <v>0</v>
      </c>
    </row>
    <row r="152" spans="1:22" x14ac:dyDescent="0.25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TRUNC(VLOOKUP(P152,'Color codes'!$A:$E,3,FALSE)*(0.25 + 0.75*Q152/40))</f>
        <v>135</v>
      </c>
      <c r="T152">
        <f>TRUNC(VLOOKUP(P152,'Color codes'!$A:$E,4,FALSE)*(0.25 + 0.75*Q152/40))</f>
        <v>57</v>
      </c>
      <c r="U152">
        <f>TRUNC(VLOOKUP(P152,'Color codes'!$A:$E,5,FALSE)*(0.25 + 0.75*Q152/40))</f>
        <v>55</v>
      </c>
      <c r="V152" t="b">
        <f t="shared" si="8"/>
        <v>0</v>
      </c>
    </row>
    <row r="153" spans="1:22" x14ac:dyDescent="0.25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TRUNC(VLOOKUP(P153,'Color codes'!$A:$E,3,FALSE)*(0.25 + 0.75*Q153/40))</f>
        <v>52</v>
      </c>
      <c r="T153">
        <f>TRUNC(VLOOKUP(P153,'Color codes'!$A:$E,4,FALSE)*(0.25 + 0.75*Q153/40))</f>
        <v>86</v>
      </c>
      <c r="U153">
        <f>TRUNC(VLOOKUP(P153,'Color codes'!$A:$E,5,FALSE)*(0.25 + 0.75*Q153/40))</f>
        <v>125</v>
      </c>
      <c r="V153" t="b">
        <f t="shared" si="8"/>
        <v>0</v>
      </c>
    </row>
    <row r="154" spans="1:22" x14ac:dyDescent="0.25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TRUNC(VLOOKUP(P154,'Color codes'!$A:$E,3,FALSE)*(0.25 + 0.75*Q154/40))</f>
        <v>219</v>
      </c>
      <c r="T154">
        <f>TRUNC(VLOOKUP(P154,'Color codes'!$A:$E,4,FALSE)*(0.25 + 0.75*Q154/40))</f>
        <v>92</v>
      </c>
      <c r="U154">
        <f>TRUNC(VLOOKUP(P154,'Color codes'!$A:$E,5,FALSE)*(0.25 + 0.75*Q154/40))</f>
        <v>89</v>
      </c>
      <c r="V154" t="b">
        <f t="shared" si="8"/>
        <v>1</v>
      </c>
    </row>
    <row r="155" spans="1:22" x14ac:dyDescent="0.25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TRUNC(VLOOKUP(P155,'Color codes'!$A:$E,3,FALSE)*(0.25 + 0.75*Q155/40))</f>
        <v>204</v>
      </c>
      <c r="T155">
        <f>TRUNC(VLOOKUP(P155,'Color codes'!$A:$E,4,FALSE)*(0.25 + 0.75*Q155/40))</f>
        <v>85</v>
      </c>
      <c r="U155">
        <f>TRUNC(VLOOKUP(P155,'Color codes'!$A:$E,5,FALSE)*(0.25 + 0.75*Q155/40))</f>
        <v>83</v>
      </c>
      <c r="V155" t="b">
        <f t="shared" si="8"/>
        <v>1</v>
      </c>
    </row>
    <row r="156" spans="1:22" x14ac:dyDescent="0.25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TRUNC(VLOOKUP(P156,'Color codes'!$A:$E,3,FALSE)*(0.25 + 0.75*Q156/40))</f>
        <v>189</v>
      </c>
      <c r="T156">
        <f>TRUNC(VLOOKUP(P156,'Color codes'!$A:$E,4,FALSE)*(0.25 + 0.75*Q156/40))</f>
        <v>79</v>
      </c>
      <c r="U156">
        <f>TRUNC(VLOOKUP(P156,'Color codes'!$A:$E,5,FALSE)*(0.25 + 0.75*Q156/40))</f>
        <v>77</v>
      </c>
      <c r="V156" t="b">
        <f t="shared" si="8"/>
        <v>1</v>
      </c>
    </row>
    <row r="157" spans="1:22" x14ac:dyDescent="0.25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TRUNC(VLOOKUP(P157,'Color codes'!$A:$E,3,FALSE)*(0.25 + 0.75*Q157/40))</f>
        <v>175</v>
      </c>
      <c r="T157">
        <f>TRUNC(VLOOKUP(P157,'Color codes'!$A:$E,4,FALSE)*(0.25 + 0.75*Q157/40))</f>
        <v>73</v>
      </c>
      <c r="U157">
        <f>TRUNC(VLOOKUP(P157,'Color codes'!$A:$E,5,FALSE)*(0.25 + 0.75*Q157/40))</f>
        <v>71</v>
      </c>
      <c r="V157" t="b">
        <f t="shared" si="8"/>
        <v>1</v>
      </c>
    </row>
    <row r="158" spans="1:22" x14ac:dyDescent="0.25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TRUNC(VLOOKUP(P158,'Color codes'!$A:$E,3,FALSE)*(0.25 + 0.75*Q158/40))</f>
        <v>162</v>
      </c>
      <c r="T158">
        <f>TRUNC(VLOOKUP(P158,'Color codes'!$A:$E,4,FALSE)*(0.25 + 0.75*Q158/40))</f>
        <v>67</v>
      </c>
      <c r="U158">
        <f>TRUNC(VLOOKUP(P158,'Color codes'!$A:$E,5,FALSE)*(0.25 + 0.75*Q158/40))</f>
        <v>66</v>
      </c>
      <c r="V158" t="b">
        <f t="shared" si="8"/>
        <v>0</v>
      </c>
    </row>
    <row r="159" spans="1:22" x14ac:dyDescent="0.25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TRUNC(VLOOKUP(P159,'Color codes'!$A:$E,3,FALSE)*(0.25 + 0.75*Q159/40))</f>
        <v>148</v>
      </c>
      <c r="T159">
        <f>TRUNC(VLOOKUP(P159,'Color codes'!$A:$E,4,FALSE)*(0.25 + 0.75*Q159/40))</f>
        <v>62</v>
      </c>
      <c r="U159">
        <f>TRUNC(VLOOKUP(P159,'Color codes'!$A:$E,5,FALSE)*(0.25 + 0.75*Q159/40))</f>
        <v>60</v>
      </c>
      <c r="V159" t="b">
        <f t="shared" si="8"/>
        <v>0</v>
      </c>
    </row>
    <row r="160" spans="1:22" x14ac:dyDescent="0.25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TRUNC(VLOOKUP(P160,'Color codes'!$A:$E,3,FALSE)*(0.25 + 0.75*Q160/40))</f>
        <v>135</v>
      </c>
      <c r="T160">
        <f>TRUNC(VLOOKUP(P160,'Color codes'!$A:$E,4,FALSE)*(0.25 + 0.75*Q160/40))</f>
        <v>57</v>
      </c>
      <c r="U160">
        <f>TRUNC(VLOOKUP(P160,'Color codes'!$A:$E,5,FALSE)*(0.25 + 0.75*Q160/40))</f>
        <v>55</v>
      </c>
      <c r="V160" t="b">
        <f t="shared" si="8"/>
        <v>0</v>
      </c>
    </row>
    <row r="161" spans="1:22" x14ac:dyDescent="0.25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TRUNC(VLOOKUP(P161,'Color codes'!$A:$E,3,FALSE)*(0.25 + 0.75*Q161/40))</f>
        <v>123</v>
      </c>
      <c r="T161">
        <f>TRUNC(VLOOKUP(P161,'Color codes'!$A:$E,4,FALSE)*(0.25 + 0.75*Q161/40))</f>
        <v>51</v>
      </c>
      <c r="U161">
        <f>TRUNC(VLOOKUP(P161,'Color codes'!$A:$E,5,FALSE)*(0.25 + 0.75*Q161/40))</f>
        <v>50</v>
      </c>
      <c r="V161" t="b">
        <f t="shared" si="8"/>
        <v>0</v>
      </c>
    </row>
    <row r="162" spans="1:22" x14ac:dyDescent="0.25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TRUNC(VLOOKUP(P162,'Color codes'!$A:$E,3,FALSE)*(0.25 + 0.75*Q162/40))</f>
        <v>219</v>
      </c>
      <c r="T162">
        <f>TRUNC(VLOOKUP(P162,'Color codes'!$A:$E,4,FALSE)*(0.25 + 0.75*Q162/40))</f>
        <v>92</v>
      </c>
      <c r="U162">
        <f>TRUNC(VLOOKUP(P162,'Color codes'!$A:$E,5,FALSE)*(0.25 + 0.75*Q162/40))</f>
        <v>89</v>
      </c>
      <c r="V162" t="b">
        <f t="shared" si="8"/>
        <v>0</v>
      </c>
    </row>
    <row r="163" spans="1:22" x14ac:dyDescent="0.25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TRUNC(VLOOKUP(P163,'Color codes'!$A:$E,3,FALSE)*(0.25 + 0.75*Q163/40))</f>
        <v>86</v>
      </c>
      <c r="T163">
        <f>TRUNC(VLOOKUP(P163,'Color codes'!$A:$E,4,FALSE)*(0.25 + 0.75*Q163/40))</f>
        <v>142</v>
      </c>
      <c r="U163">
        <f>TRUNC(VLOOKUP(P163,'Color codes'!$A:$E,5,FALSE)*(0.25 + 0.75*Q163/40))</f>
        <v>205</v>
      </c>
      <c r="V163" t="b">
        <f t="shared" si="8"/>
        <v>0</v>
      </c>
    </row>
    <row r="164" spans="1:22" x14ac:dyDescent="0.25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TRUNC(VLOOKUP(P164,'Color codes'!$A:$E,3,FALSE)*(0.25 + 0.75*Q164/40))</f>
        <v>81</v>
      </c>
      <c r="T164">
        <f>TRUNC(VLOOKUP(P164,'Color codes'!$A:$E,4,FALSE)*(0.25 + 0.75*Q164/40))</f>
        <v>133</v>
      </c>
      <c r="U164">
        <f>TRUNC(VLOOKUP(P164,'Color codes'!$A:$E,5,FALSE)*(0.25 + 0.75*Q164/40))</f>
        <v>193</v>
      </c>
      <c r="V164" t="b">
        <f t="shared" si="8"/>
        <v>0</v>
      </c>
    </row>
    <row r="165" spans="1:22" x14ac:dyDescent="0.25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TRUNC(VLOOKUP(P165,'Color codes'!$A:$E,3,FALSE)*(0.25 + 0.75*Q165/40))</f>
        <v>75</v>
      </c>
      <c r="T165">
        <f>TRUNC(VLOOKUP(P165,'Color codes'!$A:$E,4,FALSE)*(0.25 + 0.75*Q165/40))</f>
        <v>124</v>
      </c>
      <c r="U165">
        <f>TRUNC(VLOOKUP(P165,'Color codes'!$A:$E,5,FALSE)*(0.25 + 0.75*Q165/40))</f>
        <v>180</v>
      </c>
      <c r="V165" t="b">
        <f t="shared" si="8"/>
        <v>1</v>
      </c>
    </row>
    <row r="166" spans="1:22" x14ac:dyDescent="0.25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TRUNC(VLOOKUP(P166,'Color codes'!$A:$E,3,FALSE)*(0.25 + 0.75*Q166/40))</f>
        <v>70</v>
      </c>
      <c r="T166">
        <f>TRUNC(VLOOKUP(P166,'Color codes'!$A:$E,4,FALSE)*(0.25 + 0.75*Q166/40))</f>
        <v>115</v>
      </c>
      <c r="U166">
        <f>TRUNC(VLOOKUP(P166,'Color codes'!$A:$E,5,FALSE)*(0.25 + 0.75*Q166/40))</f>
        <v>166</v>
      </c>
      <c r="V166" t="b">
        <f t="shared" ref="V166:V229" si="14">(ABS(N166-O166)  &gt; 1)</f>
        <v>1</v>
      </c>
    </row>
    <row r="167" spans="1:22" x14ac:dyDescent="0.25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TRUNC(VLOOKUP(P167,'Color codes'!$A:$E,3,FALSE)*(0.25 + 0.75*Q167/40))</f>
        <v>66</v>
      </c>
      <c r="T167">
        <f>TRUNC(VLOOKUP(P167,'Color codes'!$A:$E,4,FALSE)*(0.25 + 0.75*Q167/40))</f>
        <v>108</v>
      </c>
      <c r="U167">
        <f>TRUNC(VLOOKUP(P167,'Color codes'!$A:$E,5,FALSE)*(0.25 + 0.75*Q167/40))</f>
        <v>157</v>
      </c>
      <c r="V167" t="b">
        <f t="shared" si="14"/>
        <v>1</v>
      </c>
    </row>
    <row r="168" spans="1:22" x14ac:dyDescent="0.25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TRUNC(VLOOKUP(P168,'Color codes'!$A:$E,3,FALSE)*(0.25 + 0.75*Q168/40))</f>
        <v>64</v>
      </c>
      <c r="T168">
        <f>TRUNC(VLOOKUP(P168,'Color codes'!$A:$E,4,FALSE)*(0.25 + 0.75*Q168/40))</f>
        <v>105</v>
      </c>
      <c r="U168">
        <f>TRUNC(VLOOKUP(P168,'Color codes'!$A:$E,5,FALSE)*(0.25 + 0.75*Q168/40))</f>
        <v>152</v>
      </c>
      <c r="V168" t="b">
        <f t="shared" si="14"/>
        <v>1</v>
      </c>
    </row>
    <row r="169" spans="1:22" x14ac:dyDescent="0.25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TRUNC(VLOOKUP(P169,'Color codes'!$A:$E,3,FALSE)*(0.25 + 0.75*Q169/40))</f>
        <v>66</v>
      </c>
      <c r="T169">
        <f>TRUNC(VLOOKUP(P169,'Color codes'!$A:$E,4,FALSE)*(0.25 + 0.75*Q169/40))</f>
        <v>108</v>
      </c>
      <c r="U169">
        <f>TRUNC(VLOOKUP(P169,'Color codes'!$A:$E,5,FALSE)*(0.25 + 0.75*Q169/40))</f>
        <v>157</v>
      </c>
      <c r="V169" t="b">
        <f t="shared" si="14"/>
        <v>1</v>
      </c>
    </row>
    <row r="170" spans="1:22" x14ac:dyDescent="0.25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TRUNC(VLOOKUP(P170,'Color codes'!$A:$E,3,FALSE)*(0.25 + 0.75*Q170/40))</f>
        <v>219</v>
      </c>
      <c r="T170">
        <f>TRUNC(VLOOKUP(P170,'Color codes'!$A:$E,4,FALSE)*(0.25 + 0.75*Q170/40))</f>
        <v>92</v>
      </c>
      <c r="U170">
        <f>TRUNC(VLOOKUP(P170,'Color codes'!$A:$E,5,FALSE)*(0.25 + 0.75*Q170/40))</f>
        <v>89</v>
      </c>
      <c r="V170" t="b">
        <f t="shared" si="14"/>
        <v>1</v>
      </c>
    </row>
    <row r="171" spans="1:22" x14ac:dyDescent="0.25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TRUNC(VLOOKUP(P171,'Color codes'!$A:$E,3,FALSE)*(0.25 + 0.75*Q171/40))</f>
        <v>204</v>
      </c>
      <c r="T171">
        <f>TRUNC(VLOOKUP(P171,'Color codes'!$A:$E,4,FALSE)*(0.25 + 0.75*Q171/40))</f>
        <v>85</v>
      </c>
      <c r="U171">
        <f>TRUNC(VLOOKUP(P171,'Color codes'!$A:$E,5,FALSE)*(0.25 + 0.75*Q171/40))</f>
        <v>83</v>
      </c>
      <c r="V171" t="b">
        <f t="shared" si="14"/>
        <v>0</v>
      </c>
    </row>
    <row r="172" spans="1:22" x14ac:dyDescent="0.25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TRUNC(VLOOKUP(P172,'Color codes'!$A:$E,3,FALSE)*(0.25 + 0.75*Q172/40))</f>
        <v>190</v>
      </c>
      <c r="T172">
        <f>TRUNC(VLOOKUP(P172,'Color codes'!$A:$E,4,FALSE)*(0.25 + 0.75*Q172/40))</f>
        <v>79</v>
      </c>
      <c r="U172">
        <f>TRUNC(VLOOKUP(P172,'Color codes'!$A:$E,5,FALSE)*(0.25 + 0.75*Q172/40))</f>
        <v>77</v>
      </c>
      <c r="V172" t="b">
        <f t="shared" si="14"/>
        <v>0</v>
      </c>
    </row>
    <row r="173" spans="1:22" x14ac:dyDescent="0.25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TRUNC(VLOOKUP(P173,'Color codes'!$A:$E,3,FALSE)*(0.25 + 0.75*Q173/40))</f>
        <v>175</v>
      </c>
      <c r="T173">
        <f>TRUNC(VLOOKUP(P173,'Color codes'!$A:$E,4,FALSE)*(0.25 + 0.75*Q173/40))</f>
        <v>73</v>
      </c>
      <c r="U173">
        <f>TRUNC(VLOOKUP(P173,'Color codes'!$A:$E,5,FALSE)*(0.25 + 0.75*Q173/40))</f>
        <v>71</v>
      </c>
      <c r="V173" t="b">
        <f t="shared" si="14"/>
        <v>0</v>
      </c>
    </row>
    <row r="174" spans="1:22" x14ac:dyDescent="0.25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TRUNC(VLOOKUP(P174,'Color codes'!$A:$E,3,FALSE)*(0.25 + 0.75*Q174/40))</f>
        <v>162</v>
      </c>
      <c r="T174">
        <f>TRUNC(VLOOKUP(P174,'Color codes'!$A:$E,4,FALSE)*(0.25 + 0.75*Q174/40))</f>
        <v>68</v>
      </c>
      <c r="U174">
        <f>TRUNC(VLOOKUP(P174,'Color codes'!$A:$E,5,FALSE)*(0.25 + 0.75*Q174/40))</f>
        <v>66</v>
      </c>
      <c r="V174" t="b">
        <f t="shared" si="14"/>
        <v>0</v>
      </c>
    </row>
    <row r="175" spans="1:22" x14ac:dyDescent="0.25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TRUNC(VLOOKUP(P175,'Color codes'!$A:$E,3,FALSE)*(0.25 + 0.75*Q175/40))</f>
        <v>148</v>
      </c>
      <c r="T175">
        <f>TRUNC(VLOOKUP(P175,'Color codes'!$A:$E,4,FALSE)*(0.25 + 0.75*Q175/40))</f>
        <v>62</v>
      </c>
      <c r="U175">
        <f>TRUNC(VLOOKUP(P175,'Color codes'!$A:$E,5,FALSE)*(0.25 + 0.75*Q175/40))</f>
        <v>60</v>
      </c>
      <c r="V175" t="b">
        <f t="shared" si="14"/>
        <v>0</v>
      </c>
    </row>
    <row r="176" spans="1:22" x14ac:dyDescent="0.25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TRUNC(VLOOKUP(P176,'Color codes'!$A:$E,3,FALSE)*(0.25 + 0.75*Q176/40))</f>
        <v>58</v>
      </c>
      <c r="T176">
        <f>TRUNC(VLOOKUP(P176,'Color codes'!$A:$E,4,FALSE)*(0.25 + 0.75*Q176/40))</f>
        <v>96</v>
      </c>
      <c r="U176">
        <f>TRUNC(VLOOKUP(P176,'Color codes'!$A:$E,5,FALSE)*(0.25 + 0.75*Q176/40))</f>
        <v>139</v>
      </c>
      <c r="V176" t="b">
        <f t="shared" si="14"/>
        <v>0</v>
      </c>
    </row>
    <row r="177" spans="1:22" x14ac:dyDescent="0.25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TRUNC(VLOOKUP(P177,'Color codes'!$A:$E,3,FALSE)*(0.25 + 0.75*Q177/40))</f>
        <v>56</v>
      </c>
      <c r="T177">
        <f>TRUNC(VLOOKUP(P177,'Color codes'!$A:$E,4,FALSE)*(0.25 + 0.75*Q177/40))</f>
        <v>93</v>
      </c>
      <c r="U177">
        <f>TRUNC(VLOOKUP(P177,'Color codes'!$A:$E,5,FALSE)*(0.25 + 0.75*Q177/40))</f>
        <v>135</v>
      </c>
      <c r="V177" t="b">
        <f t="shared" si="14"/>
        <v>1</v>
      </c>
    </row>
    <row r="178" spans="1:22" x14ac:dyDescent="0.25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TRUNC(VLOOKUP(P178,'Color codes'!$A:$E,3,FALSE)*(0.25 + 0.75*Q178/40))</f>
        <v>219</v>
      </c>
      <c r="T178">
        <f>TRUNC(VLOOKUP(P178,'Color codes'!$A:$E,4,FALSE)*(0.25 + 0.75*Q178/40))</f>
        <v>92</v>
      </c>
      <c r="U178">
        <f>TRUNC(VLOOKUP(P178,'Color codes'!$A:$E,5,FALSE)*(0.25 + 0.75*Q178/40))</f>
        <v>89</v>
      </c>
      <c r="V178" t="b">
        <f t="shared" si="14"/>
        <v>1</v>
      </c>
    </row>
    <row r="179" spans="1:22" x14ac:dyDescent="0.25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TRUNC(VLOOKUP(P179,'Color codes'!$A:$E,3,FALSE)*(0.25 + 0.75*Q179/40))</f>
        <v>204</v>
      </c>
      <c r="T179">
        <f>TRUNC(VLOOKUP(P179,'Color codes'!$A:$E,4,FALSE)*(0.25 + 0.75*Q179/40))</f>
        <v>85</v>
      </c>
      <c r="U179">
        <f>TRUNC(VLOOKUP(P179,'Color codes'!$A:$E,5,FALSE)*(0.25 + 0.75*Q179/40))</f>
        <v>83</v>
      </c>
      <c r="V179" t="b">
        <f t="shared" si="14"/>
        <v>1</v>
      </c>
    </row>
    <row r="180" spans="1:22" x14ac:dyDescent="0.25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TRUNC(VLOOKUP(P180,'Color codes'!$A:$E,3,FALSE)*(0.25 + 0.75*Q180/40))</f>
        <v>189</v>
      </c>
      <c r="T180">
        <f>TRUNC(VLOOKUP(P180,'Color codes'!$A:$E,4,FALSE)*(0.25 + 0.75*Q180/40))</f>
        <v>79</v>
      </c>
      <c r="U180">
        <f>TRUNC(VLOOKUP(P180,'Color codes'!$A:$E,5,FALSE)*(0.25 + 0.75*Q180/40))</f>
        <v>77</v>
      </c>
      <c r="V180" t="b">
        <f t="shared" si="14"/>
        <v>1</v>
      </c>
    </row>
    <row r="181" spans="1:22" x14ac:dyDescent="0.25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TRUNC(VLOOKUP(P181,'Color codes'!$A:$E,3,FALSE)*(0.25 + 0.75*Q181/40))</f>
        <v>175</v>
      </c>
      <c r="T181">
        <f>TRUNC(VLOOKUP(P181,'Color codes'!$A:$E,4,FALSE)*(0.25 + 0.75*Q181/40))</f>
        <v>73</v>
      </c>
      <c r="U181">
        <f>TRUNC(VLOOKUP(P181,'Color codes'!$A:$E,5,FALSE)*(0.25 + 0.75*Q181/40))</f>
        <v>71</v>
      </c>
      <c r="V181" t="b">
        <f t="shared" si="14"/>
        <v>0</v>
      </c>
    </row>
    <row r="182" spans="1:22" x14ac:dyDescent="0.25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TRUNC(VLOOKUP(P182,'Color codes'!$A:$E,3,FALSE)*(0.25 + 0.75*Q182/40))</f>
        <v>162</v>
      </c>
      <c r="T182">
        <f>TRUNC(VLOOKUP(P182,'Color codes'!$A:$E,4,FALSE)*(0.25 + 0.75*Q182/40))</f>
        <v>68</v>
      </c>
      <c r="U182">
        <f>TRUNC(VLOOKUP(P182,'Color codes'!$A:$E,5,FALSE)*(0.25 + 0.75*Q182/40))</f>
        <v>66</v>
      </c>
      <c r="V182" t="b">
        <f t="shared" si="14"/>
        <v>0</v>
      </c>
    </row>
    <row r="183" spans="1:22" x14ac:dyDescent="0.25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TRUNC(VLOOKUP(P183,'Color codes'!$A:$E,3,FALSE)*(0.25 + 0.75*Q183/40))</f>
        <v>148</v>
      </c>
      <c r="T183">
        <f>TRUNC(VLOOKUP(P183,'Color codes'!$A:$E,4,FALSE)*(0.25 + 0.75*Q183/40))</f>
        <v>62</v>
      </c>
      <c r="U183">
        <f>TRUNC(VLOOKUP(P183,'Color codes'!$A:$E,5,FALSE)*(0.25 + 0.75*Q183/40))</f>
        <v>60</v>
      </c>
      <c r="V183" t="b">
        <f t="shared" si="14"/>
        <v>0</v>
      </c>
    </row>
    <row r="184" spans="1:22" x14ac:dyDescent="0.25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TRUNC(VLOOKUP(P184,'Color codes'!$A:$E,3,FALSE)*(0.25 + 0.75*Q184/40))</f>
        <v>57</v>
      </c>
      <c r="T184">
        <f>TRUNC(VLOOKUP(P184,'Color codes'!$A:$E,4,FALSE)*(0.25 + 0.75*Q184/40))</f>
        <v>95</v>
      </c>
      <c r="U184">
        <f>TRUNC(VLOOKUP(P184,'Color codes'!$A:$E,5,FALSE)*(0.25 + 0.75*Q184/40))</f>
        <v>137</v>
      </c>
      <c r="V184" t="b">
        <f t="shared" si="14"/>
        <v>0</v>
      </c>
    </row>
    <row r="185" spans="1:22" x14ac:dyDescent="0.25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TRUNC(VLOOKUP(P185,'Color codes'!$A:$E,3,FALSE)*(0.25 + 0.75*Q185/40))</f>
        <v>54</v>
      </c>
      <c r="T185">
        <f>TRUNC(VLOOKUP(P185,'Color codes'!$A:$E,4,FALSE)*(0.25 + 0.75*Q185/40))</f>
        <v>89</v>
      </c>
      <c r="U185">
        <f>TRUNC(VLOOKUP(P185,'Color codes'!$A:$E,5,FALSE)*(0.25 + 0.75*Q185/40))</f>
        <v>130</v>
      </c>
      <c r="V185" t="b">
        <f t="shared" si="14"/>
        <v>1</v>
      </c>
    </row>
    <row r="186" spans="1:22" x14ac:dyDescent="0.25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TRUNC(VLOOKUP(P186,'Color codes'!$A:$E,3,FALSE)*(0.25 + 0.75*Q186/40))</f>
        <v>219</v>
      </c>
      <c r="T186">
        <f>TRUNC(VLOOKUP(P186,'Color codes'!$A:$E,4,FALSE)*(0.25 + 0.75*Q186/40))</f>
        <v>92</v>
      </c>
      <c r="U186">
        <f>TRUNC(VLOOKUP(P186,'Color codes'!$A:$E,5,FALSE)*(0.25 + 0.75*Q186/40))</f>
        <v>89</v>
      </c>
      <c r="V186" t="b">
        <f t="shared" si="14"/>
        <v>1</v>
      </c>
    </row>
    <row r="187" spans="1:22" x14ac:dyDescent="0.25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TRUNC(VLOOKUP(P187,'Color codes'!$A:$E,3,FALSE)*(0.25 + 0.75*Q187/40))</f>
        <v>204</v>
      </c>
      <c r="T187">
        <f>TRUNC(VLOOKUP(P187,'Color codes'!$A:$E,4,FALSE)*(0.25 + 0.75*Q187/40))</f>
        <v>85</v>
      </c>
      <c r="U187">
        <f>TRUNC(VLOOKUP(P187,'Color codes'!$A:$E,5,FALSE)*(0.25 + 0.75*Q187/40))</f>
        <v>83</v>
      </c>
      <c r="V187" t="b">
        <f t="shared" si="14"/>
        <v>1</v>
      </c>
    </row>
    <row r="188" spans="1:22" x14ac:dyDescent="0.25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TRUNC(VLOOKUP(P188,'Color codes'!$A:$E,3,FALSE)*(0.25 + 0.75*Q188/40))</f>
        <v>190</v>
      </c>
      <c r="T188">
        <f>TRUNC(VLOOKUP(P188,'Color codes'!$A:$E,4,FALSE)*(0.25 + 0.75*Q188/40))</f>
        <v>79</v>
      </c>
      <c r="U188">
        <f>TRUNC(VLOOKUP(P188,'Color codes'!$A:$E,5,FALSE)*(0.25 + 0.75*Q188/40))</f>
        <v>77</v>
      </c>
      <c r="V188" t="b">
        <f t="shared" si="14"/>
        <v>1</v>
      </c>
    </row>
    <row r="189" spans="1:22" x14ac:dyDescent="0.25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TRUNC(VLOOKUP(P189,'Color codes'!$A:$E,3,FALSE)*(0.25 + 0.75*Q189/40))</f>
        <v>175</v>
      </c>
      <c r="T189">
        <f>TRUNC(VLOOKUP(P189,'Color codes'!$A:$E,4,FALSE)*(0.25 + 0.75*Q189/40))</f>
        <v>73</v>
      </c>
      <c r="U189">
        <f>TRUNC(VLOOKUP(P189,'Color codes'!$A:$E,5,FALSE)*(0.25 + 0.75*Q189/40))</f>
        <v>71</v>
      </c>
      <c r="V189" t="b">
        <f t="shared" si="14"/>
        <v>1</v>
      </c>
    </row>
    <row r="190" spans="1:22" x14ac:dyDescent="0.25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TRUNC(VLOOKUP(P190,'Color codes'!$A:$E,3,FALSE)*(0.25 + 0.75*Q190/40))</f>
        <v>162</v>
      </c>
      <c r="T190">
        <f>TRUNC(VLOOKUP(P190,'Color codes'!$A:$E,4,FALSE)*(0.25 + 0.75*Q190/40))</f>
        <v>68</v>
      </c>
      <c r="U190">
        <f>TRUNC(VLOOKUP(P190,'Color codes'!$A:$E,5,FALSE)*(0.25 + 0.75*Q190/40))</f>
        <v>66</v>
      </c>
      <c r="V190" t="b">
        <f t="shared" si="14"/>
        <v>1</v>
      </c>
    </row>
    <row r="191" spans="1:22" x14ac:dyDescent="0.25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TRUNC(VLOOKUP(P191,'Color codes'!$A:$E,3,FALSE)*(0.25 + 0.75*Q191/40))</f>
        <v>148</v>
      </c>
      <c r="T191">
        <f>TRUNC(VLOOKUP(P191,'Color codes'!$A:$E,4,FALSE)*(0.25 + 0.75*Q191/40))</f>
        <v>62</v>
      </c>
      <c r="U191">
        <f>TRUNC(VLOOKUP(P191,'Color codes'!$A:$E,5,FALSE)*(0.25 + 0.75*Q191/40))</f>
        <v>60</v>
      </c>
      <c r="V191" t="b">
        <f t="shared" si="14"/>
        <v>1</v>
      </c>
    </row>
    <row r="192" spans="1:22" x14ac:dyDescent="0.25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TRUNC(VLOOKUP(P192,'Color codes'!$A:$E,3,FALSE)*(0.25 + 0.75*Q192/40))</f>
        <v>136</v>
      </c>
      <c r="T192">
        <f>TRUNC(VLOOKUP(P192,'Color codes'!$A:$E,4,FALSE)*(0.25 + 0.75*Q192/40))</f>
        <v>57</v>
      </c>
      <c r="U192">
        <f>TRUNC(VLOOKUP(P192,'Color codes'!$A:$E,5,FALSE)*(0.25 + 0.75*Q192/40))</f>
        <v>55</v>
      </c>
      <c r="V192" t="b">
        <f t="shared" si="14"/>
        <v>0</v>
      </c>
    </row>
    <row r="193" spans="1:22" x14ac:dyDescent="0.25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TRUNC(VLOOKUP(P193,'Color codes'!$A:$E,3,FALSE)*(0.25 + 0.75*Q193/40))</f>
        <v>124</v>
      </c>
      <c r="T193">
        <f>TRUNC(VLOOKUP(P193,'Color codes'!$A:$E,4,FALSE)*(0.25 + 0.75*Q193/40))</f>
        <v>52</v>
      </c>
      <c r="U193">
        <f>TRUNC(VLOOKUP(P193,'Color codes'!$A:$E,5,FALSE)*(0.25 + 0.75*Q193/40))</f>
        <v>50</v>
      </c>
      <c r="V193" t="b">
        <f t="shared" si="14"/>
        <v>0</v>
      </c>
    </row>
    <row r="194" spans="1:22" x14ac:dyDescent="0.25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TRUNC(VLOOKUP(P194,'Color codes'!$A:$E,3,FALSE)*(0.25 + 0.75*Q194/40))</f>
        <v>219</v>
      </c>
      <c r="T194">
        <f>TRUNC(VLOOKUP(P194,'Color codes'!$A:$E,4,FALSE)*(0.25 + 0.75*Q194/40))</f>
        <v>92</v>
      </c>
      <c r="U194">
        <f>TRUNC(VLOOKUP(P194,'Color codes'!$A:$E,5,FALSE)*(0.25 + 0.75*Q194/40))</f>
        <v>89</v>
      </c>
      <c r="V194" t="b">
        <f t="shared" si="14"/>
        <v>0</v>
      </c>
    </row>
    <row r="195" spans="1:22" x14ac:dyDescent="0.25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TRUNC(VLOOKUP(P195,'Color codes'!$A:$E,3,FALSE)*(0.25 + 0.75*Q195/40))</f>
        <v>86</v>
      </c>
      <c r="T195">
        <f>TRUNC(VLOOKUP(P195,'Color codes'!$A:$E,4,FALSE)*(0.25 + 0.75*Q195/40))</f>
        <v>142</v>
      </c>
      <c r="U195">
        <f>TRUNC(VLOOKUP(P195,'Color codes'!$A:$E,5,FALSE)*(0.25 + 0.75*Q195/40))</f>
        <v>205</v>
      </c>
      <c r="V195" t="b">
        <f t="shared" si="14"/>
        <v>0</v>
      </c>
    </row>
    <row r="196" spans="1:22" x14ac:dyDescent="0.25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TRUNC(VLOOKUP(P196,'Color codes'!$A:$E,3,FALSE)*(0.25 + 0.75*Q196/40))</f>
        <v>80</v>
      </c>
      <c r="T196">
        <f>TRUNC(VLOOKUP(P196,'Color codes'!$A:$E,4,FALSE)*(0.25 + 0.75*Q196/40))</f>
        <v>133</v>
      </c>
      <c r="U196">
        <f>TRUNC(VLOOKUP(P196,'Color codes'!$A:$E,5,FALSE)*(0.25 + 0.75*Q196/40))</f>
        <v>192</v>
      </c>
      <c r="V196" t="b">
        <f t="shared" si="14"/>
        <v>0</v>
      </c>
    </row>
    <row r="197" spans="1:22" x14ac:dyDescent="0.25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TRUNC(VLOOKUP(P197,'Color codes'!$A:$E,3,FALSE)*(0.25 + 0.75*Q197/40))</f>
        <v>75</v>
      </c>
      <c r="T197">
        <f>TRUNC(VLOOKUP(P197,'Color codes'!$A:$E,4,FALSE)*(0.25 + 0.75*Q197/40))</f>
        <v>124</v>
      </c>
      <c r="U197">
        <f>TRUNC(VLOOKUP(P197,'Color codes'!$A:$E,5,FALSE)*(0.25 + 0.75*Q197/40))</f>
        <v>180</v>
      </c>
      <c r="V197" t="b">
        <f t="shared" si="14"/>
        <v>0</v>
      </c>
    </row>
    <row r="198" spans="1:22" x14ac:dyDescent="0.25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TRUNC(VLOOKUP(P198,'Color codes'!$A:$E,3,FALSE)*(0.25 + 0.75*Q198/40))</f>
        <v>71</v>
      </c>
      <c r="T198">
        <f>TRUNC(VLOOKUP(P198,'Color codes'!$A:$E,4,FALSE)*(0.25 + 0.75*Q198/40))</f>
        <v>116</v>
      </c>
      <c r="U198">
        <f>TRUNC(VLOOKUP(P198,'Color codes'!$A:$E,5,FALSE)*(0.25 + 0.75*Q198/40))</f>
        <v>169</v>
      </c>
      <c r="V198" t="b">
        <f t="shared" si="14"/>
        <v>1</v>
      </c>
    </row>
    <row r="199" spans="1:22" x14ac:dyDescent="0.25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TRUNC(VLOOKUP(P199,'Color codes'!$A:$E,3,FALSE)*(0.25 + 0.75*Q199/40))</f>
        <v>67</v>
      </c>
      <c r="T199">
        <f>TRUNC(VLOOKUP(P199,'Color codes'!$A:$E,4,FALSE)*(0.25 + 0.75*Q199/40))</f>
        <v>111</v>
      </c>
      <c r="U199">
        <f>TRUNC(VLOOKUP(P199,'Color codes'!$A:$E,5,FALSE)*(0.25 + 0.75*Q199/40))</f>
        <v>161</v>
      </c>
      <c r="V199" t="b">
        <f t="shared" si="14"/>
        <v>1</v>
      </c>
    </row>
    <row r="200" spans="1:22" x14ac:dyDescent="0.25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TRUNC(VLOOKUP(P200,'Color codes'!$A:$E,3,FALSE)*(0.25 + 0.75*Q200/40))</f>
        <v>65</v>
      </c>
      <c r="T200">
        <f>TRUNC(VLOOKUP(P200,'Color codes'!$A:$E,4,FALSE)*(0.25 + 0.75*Q200/40))</f>
        <v>107</v>
      </c>
      <c r="U200">
        <f>TRUNC(VLOOKUP(P200,'Color codes'!$A:$E,5,FALSE)*(0.25 + 0.75*Q200/40))</f>
        <v>155</v>
      </c>
      <c r="V200" t="b">
        <f t="shared" si="14"/>
        <v>1</v>
      </c>
    </row>
    <row r="201" spans="1:22" x14ac:dyDescent="0.25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TRUNC(VLOOKUP(P201,'Color codes'!$A:$E,3,FALSE)*(0.25 + 0.75*Q201/40))</f>
        <v>63</v>
      </c>
      <c r="T201">
        <f>TRUNC(VLOOKUP(P201,'Color codes'!$A:$E,4,FALSE)*(0.25 + 0.75*Q201/40))</f>
        <v>104</v>
      </c>
      <c r="U201">
        <f>TRUNC(VLOOKUP(P201,'Color codes'!$A:$E,5,FALSE)*(0.25 + 0.75*Q201/40))</f>
        <v>150</v>
      </c>
      <c r="V201" t="b">
        <f t="shared" si="14"/>
        <v>1</v>
      </c>
    </row>
    <row r="202" spans="1:22" x14ac:dyDescent="0.25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TRUNC(VLOOKUP(P202,'Color codes'!$A:$E,3,FALSE)*(0.25 + 0.75*Q202/40))</f>
        <v>219</v>
      </c>
      <c r="T202">
        <f>TRUNC(VLOOKUP(P202,'Color codes'!$A:$E,4,FALSE)*(0.25 + 0.75*Q202/40))</f>
        <v>92</v>
      </c>
      <c r="U202">
        <f>TRUNC(VLOOKUP(P202,'Color codes'!$A:$E,5,FALSE)*(0.25 + 0.75*Q202/40))</f>
        <v>89</v>
      </c>
      <c r="V202" t="b">
        <f t="shared" si="14"/>
        <v>0</v>
      </c>
    </row>
    <row r="203" spans="1:22" x14ac:dyDescent="0.25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TRUNC(VLOOKUP(P203,'Color codes'!$A:$E,3,FALSE)*(0.25 + 0.75*Q203/40))</f>
        <v>204</v>
      </c>
      <c r="T203">
        <f>TRUNC(VLOOKUP(P203,'Color codes'!$A:$E,4,FALSE)*(0.25 + 0.75*Q203/40))</f>
        <v>85</v>
      </c>
      <c r="U203">
        <f>TRUNC(VLOOKUP(P203,'Color codes'!$A:$E,5,FALSE)*(0.25 + 0.75*Q203/40))</f>
        <v>83</v>
      </c>
      <c r="V203" t="b">
        <f t="shared" si="14"/>
        <v>0</v>
      </c>
    </row>
    <row r="204" spans="1:22" x14ac:dyDescent="0.25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TRUNC(VLOOKUP(P204,'Color codes'!$A:$E,3,FALSE)*(0.25 + 0.75*Q204/40))</f>
        <v>190</v>
      </c>
      <c r="T204">
        <f>TRUNC(VLOOKUP(P204,'Color codes'!$A:$E,4,FALSE)*(0.25 + 0.75*Q204/40))</f>
        <v>79</v>
      </c>
      <c r="U204">
        <f>TRUNC(VLOOKUP(P204,'Color codes'!$A:$E,5,FALSE)*(0.25 + 0.75*Q204/40))</f>
        <v>77</v>
      </c>
      <c r="V204" t="b">
        <f t="shared" si="14"/>
        <v>0</v>
      </c>
    </row>
    <row r="205" spans="1:22" x14ac:dyDescent="0.25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TRUNC(VLOOKUP(P205,'Color codes'!$A:$E,3,FALSE)*(0.25 + 0.75*Q205/40))</f>
        <v>175</v>
      </c>
      <c r="T205">
        <f>TRUNC(VLOOKUP(P205,'Color codes'!$A:$E,4,FALSE)*(0.25 + 0.75*Q205/40))</f>
        <v>73</v>
      </c>
      <c r="U205">
        <f>TRUNC(VLOOKUP(P205,'Color codes'!$A:$E,5,FALSE)*(0.25 + 0.75*Q205/40))</f>
        <v>71</v>
      </c>
      <c r="V205" t="b">
        <f t="shared" si="14"/>
        <v>0</v>
      </c>
    </row>
    <row r="206" spans="1:22" x14ac:dyDescent="0.25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TRUNC(VLOOKUP(P206,'Color codes'!$A:$E,3,FALSE)*(0.25 + 0.75*Q206/40))</f>
        <v>162</v>
      </c>
      <c r="T206">
        <f>TRUNC(VLOOKUP(P206,'Color codes'!$A:$E,4,FALSE)*(0.25 + 0.75*Q206/40))</f>
        <v>68</v>
      </c>
      <c r="U206">
        <f>TRUNC(VLOOKUP(P206,'Color codes'!$A:$E,5,FALSE)*(0.25 + 0.75*Q206/40))</f>
        <v>66</v>
      </c>
      <c r="V206" t="b">
        <f t="shared" si="14"/>
        <v>0</v>
      </c>
    </row>
    <row r="207" spans="1:22" x14ac:dyDescent="0.25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TRUNC(VLOOKUP(P207,'Color codes'!$A:$E,3,FALSE)*(0.25 + 0.75*Q207/40))</f>
        <v>148</v>
      </c>
      <c r="T207">
        <f>TRUNC(VLOOKUP(P207,'Color codes'!$A:$E,4,FALSE)*(0.25 + 0.75*Q207/40))</f>
        <v>62</v>
      </c>
      <c r="U207">
        <f>TRUNC(VLOOKUP(P207,'Color codes'!$A:$E,5,FALSE)*(0.25 + 0.75*Q207/40))</f>
        <v>60</v>
      </c>
      <c r="V207" t="b">
        <f t="shared" si="14"/>
        <v>0</v>
      </c>
    </row>
    <row r="208" spans="1:22" x14ac:dyDescent="0.25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TRUNC(VLOOKUP(P208,'Color codes'!$A:$E,3,FALSE)*(0.25 + 0.75*Q208/40))</f>
        <v>58</v>
      </c>
      <c r="T208">
        <f>TRUNC(VLOOKUP(P208,'Color codes'!$A:$E,4,FALSE)*(0.25 + 0.75*Q208/40))</f>
        <v>96</v>
      </c>
      <c r="U208">
        <f>TRUNC(VLOOKUP(P208,'Color codes'!$A:$E,5,FALSE)*(0.25 + 0.75*Q208/40))</f>
        <v>139</v>
      </c>
      <c r="V208" t="b">
        <f t="shared" si="14"/>
        <v>0</v>
      </c>
    </row>
    <row r="209" spans="1:22" x14ac:dyDescent="0.25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TRUNC(VLOOKUP(P209,'Color codes'!$A:$E,3,FALSE)*(0.25 + 0.75*Q209/40))</f>
        <v>55</v>
      </c>
      <c r="T209">
        <f>TRUNC(VLOOKUP(P209,'Color codes'!$A:$E,4,FALSE)*(0.25 + 0.75*Q209/40))</f>
        <v>91</v>
      </c>
      <c r="U209">
        <f>TRUNC(VLOOKUP(P209,'Color codes'!$A:$E,5,FALSE)*(0.25 + 0.75*Q209/40))</f>
        <v>133</v>
      </c>
      <c r="V209" t="b">
        <f t="shared" si="14"/>
        <v>1</v>
      </c>
    </row>
    <row r="210" spans="1:22" x14ac:dyDescent="0.25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TRUNC(VLOOKUP(P210,'Color codes'!$A:$E,3,FALSE)*(0.25 + 0.75*Q210/40))</f>
        <v>220</v>
      </c>
      <c r="T210">
        <f>TRUNC(VLOOKUP(P210,'Color codes'!$A:$E,4,FALSE)*(0.25 + 0.75*Q210/40))</f>
        <v>92</v>
      </c>
      <c r="U210">
        <f>TRUNC(VLOOKUP(P210,'Color codes'!$A:$E,5,FALSE)*(0.25 + 0.75*Q210/40))</f>
        <v>89</v>
      </c>
      <c r="V210" t="b">
        <f t="shared" si="14"/>
        <v>1</v>
      </c>
    </row>
    <row r="211" spans="1:22" x14ac:dyDescent="0.25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TRUNC(VLOOKUP(P211,'Color codes'!$A:$E,3,FALSE)*(0.25 + 0.75*Q211/40))</f>
        <v>204</v>
      </c>
      <c r="T211">
        <f>TRUNC(VLOOKUP(P211,'Color codes'!$A:$E,4,FALSE)*(0.25 + 0.75*Q211/40))</f>
        <v>85</v>
      </c>
      <c r="U211">
        <f>TRUNC(VLOOKUP(P211,'Color codes'!$A:$E,5,FALSE)*(0.25 + 0.75*Q211/40))</f>
        <v>83</v>
      </c>
      <c r="V211" t="b">
        <f t="shared" si="14"/>
        <v>1</v>
      </c>
    </row>
    <row r="212" spans="1:22" x14ac:dyDescent="0.25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TRUNC(VLOOKUP(P212,'Color codes'!$A:$E,3,FALSE)*(0.25 + 0.75*Q212/40))</f>
        <v>190</v>
      </c>
      <c r="T212">
        <f>TRUNC(VLOOKUP(P212,'Color codes'!$A:$E,4,FALSE)*(0.25 + 0.75*Q212/40))</f>
        <v>79</v>
      </c>
      <c r="U212">
        <f>TRUNC(VLOOKUP(P212,'Color codes'!$A:$E,5,FALSE)*(0.25 + 0.75*Q212/40))</f>
        <v>77</v>
      </c>
      <c r="V212" t="b">
        <f t="shared" si="14"/>
        <v>1</v>
      </c>
    </row>
    <row r="213" spans="1:22" x14ac:dyDescent="0.25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TRUNC(VLOOKUP(P213,'Color codes'!$A:$E,3,FALSE)*(0.25 + 0.75*Q213/40))</f>
        <v>175</v>
      </c>
      <c r="T213">
        <f>TRUNC(VLOOKUP(P213,'Color codes'!$A:$E,4,FALSE)*(0.25 + 0.75*Q213/40))</f>
        <v>73</v>
      </c>
      <c r="U213">
        <f>TRUNC(VLOOKUP(P213,'Color codes'!$A:$E,5,FALSE)*(0.25 + 0.75*Q213/40))</f>
        <v>71</v>
      </c>
      <c r="V213" t="b">
        <f t="shared" si="14"/>
        <v>1</v>
      </c>
    </row>
    <row r="214" spans="1:22" x14ac:dyDescent="0.25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TRUNC(VLOOKUP(P214,'Color codes'!$A:$E,3,FALSE)*(0.25 + 0.75*Q214/40))</f>
        <v>161</v>
      </c>
      <c r="T214">
        <f>TRUNC(VLOOKUP(P214,'Color codes'!$A:$E,4,FALSE)*(0.25 + 0.75*Q214/40))</f>
        <v>67</v>
      </c>
      <c r="U214">
        <f>TRUNC(VLOOKUP(P214,'Color codes'!$A:$E,5,FALSE)*(0.25 + 0.75*Q214/40))</f>
        <v>66</v>
      </c>
      <c r="V214" t="b">
        <f t="shared" si="14"/>
        <v>1</v>
      </c>
    </row>
    <row r="215" spans="1:22" x14ac:dyDescent="0.25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TRUNC(VLOOKUP(P215,'Color codes'!$A:$E,3,FALSE)*(0.25 + 0.75*Q215/40))</f>
        <v>148</v>
      </c>
      <c r="T215">
        <f>TRUNC(VLOOKUP(P215,'Color codes'!$A:$E,4,FALSE)*(0.25 + 0.75*Q215/40))</f>
        <v>62</v>
      </c>
      <c r="U215">
        <f>TRUNC(VLOOKUP(P215,'Color codes'!$A:$E,5,FALSE)*(0.25 + 0.75*Q215/40))</f>
        <v>60</v>
      </c>
      <c r="V215" t="b">
        <f t="shared" si="14"/>
        <v>1</v>
      </c>
    </row>
    <row r="216" spans="1:22" x14ac:dyDescent="0.25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TRUNC(VLOOKUP(P216,'Color codes'!$A:$E,3,FALSE)*(0.25 + 0.75*Q216/40))</f>
        <v>135</v>
      </c>
      <c r="T216">
        <f>TRUNC(VLOOKUP(P216,'Color codes'!$A:$E,4,FALSE)*(0.25 + 0.75*Q216/40))</f>
        <v>56</v>
      </c>
      <c r="U216">
        <f>TRUNC(VLOOKUP(P216,'Color codes'!$A:$E,5,FALSE)*(0.25 + 0.75*Q216/40))</f>
        <v>55</v>
      </c>
      <c r="V216" t="b">
        <f t="shared" si="14"/>
        <v>0</v>
      </c>
    </row>
    <row r="217" spans="1:22" x14ac:dyDescent="0.25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TRUNC(VLOOKUP(P217,'Color codes'!$A:$E,3,FALSE)*(0.25 + 0.75*Q217/40))</f>
        <v>124</v>
      </c>
      <c r="T217">
        <f>TRUNC(VLOOKUP(P217,'Color codes'!$A:$E,4,FALSE)*(0.25 + 0.75*Q217/40))</f>
        <v>52</v>
      </c>
      <c r="U217">
        <f>TRUNC(VLOOKUP(P217,'Color codes'!$A:$E,5,FALSE)*(0.25 + 0.75*Q217/40))</f>
        <v>50</v>
      </c>
      <c r="V217" t="b">
        <f t="shared" si="14"/>
        <v>1</v>
      </c>
    </row>
    <row r="218" spans="1:22" x14ac:dyDescent="0.25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TRUNC(VLOOKUP(P218,'Color codes'!$A:$E,3,FALSE)*(0.25 + 0.75*Q218/40))</f>
        <v>219</v>
      </c>
      <c r="T218">
        <f>TRUNC(VLOOKUP(P218,'Color codes'!$A:$E,4,FALSE)*(0.25 + 0.75*Q218/40))</f>
        <v>92</v>
      </c>
      <c r="U218">
        <f>TRUNC(VLOOKUP(P218,'Color codes'!$A:$E,5,FALSE)*(0.25 + 0.75*Q218/40))</f>
        <v>89</v>
      </c>
      <c r="V218" t="b">
        <f t="shared" si="14"/>
        <v>1</v>
      </c>
    </row>
    <row r="219" spans="1:22" x14ac:dyDescent="0.25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TRUNC(VLOOKUP(P219,'Color codes'!$A:$E,3,FALSE)*(0.25 + 0.75*Q219/40))</f>
        <v>204</v>
      </c>
      <c r="T219">
        <f>TRUNC(VLOOKUP(P219,'Color codes'!$A:$E,4,FALSE)*(0.25 + 0.75*Q219/40))</f>
        <v>85</v>
      </c>
      <c r="U219">
        <f>TRUNC(VLOOKUP(P219,'Color codes'!$A:$E,5,FALSE)*(0.25 + 0.75*Q219/40))</f>
        <v>83</v>
      </c>
      <c r="V219" t="b">
        <f t="shared" si="14"/>
        <v>1</v>
      </c>
    </row>
    <row r="220" spans="1:22" x14ac:dyDescent="0.25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TRUNC(VLOOKUP(P220,'Color codes'!$A:$E,3,FALSE)*(0.25 + 0.75*Q220/40))</f>
        <v>190</v>
      </c>
      <c r="T220">
        <f>TRUNC(VLOOKUP(P220,'Color codes'!$A:$E,4,FALSE)*(0.25 + 0.75*Q220/40))</f>
        <v>79</v>
      </c>
      <c r="U220">
        <f>TRUNC(VLOOKUP(P220,'Color codes'!$A:$E,5,FALSE)*(0.25 + 0.75*Q220/40))</f>
        <v>77</v>
      </c>
      <c r="V220" t="b">
        <f t="shared" si="14"/>
        <v>1</v>
      </c>
    </row>
    <row r="221" spans="1:22" x14ac:dyDescent="0.25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TRUNC(VLOOKUP(P221,'Color codes'!$A:$E,3,FALSE)*(0.25 + 0.75*Q221/40))</f>
        <v>175</v>
      </c>
      <c r="T221">
        <f>TRUNC(VLOOKUP(P221,'Color codes'!$A:$E,4,FALSE)*(0.25 + 0.75*Q221/40))</f>
        <v>73</v>
      </c>
      <c r="U221">
        <f>TRUNC(VLOOKUP(P221,'Color codes'!$A:$E,5,FALSE)*(0.25 + 0.75*Q221/40))</f>
        <v>71</v>
      </c>
      <c r="V221" t="b">
        <f t="shared" si="14"/>
        <v>1</v>
      </c>
    </row>
    <row r="222" spans="1:22" x14ac:dyDescent="0.25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TRUNC(VLOOKUP(P222,'Color codes'!$A:$E,3,FALSE)*(0.25 + 0.75*Q222/40))</f>
        <v>161</v>
      </c>
      <c r="T222">
        <f>TRUNC(VLOOKUP(P222,'Color codes'!$A:$E,4,FALSE)*(0.25 + 0.75*Q222/40))</f>
        <v>67</v>
      </c>
      <c r="U222">
        <f>TRUNC(VLOOKUP(P222,'Color codes'!$A:$E,5,FALSE)*(0.25 + 0.75*Q222/40))</f>
        <v>65</v>
      </c>
      <c r="V222" t="b">
        <f t="shared" si="14"/>
        <v>1</v>
      </c>
    </row>
    <row r="223" spans="1:22" x14ac:dyDescent="0.25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TRUNC(VLOOKUP(P223,'Color codes'!$A:$E,3,FALSE)*(0.25 + 0.75*Q223/40))</f>
        <v>148</v>
      </c>
      <c r="T223">
        <f>TRUNC(VLOOKUP(P223,'Color codes'!$A:$E,4,FALSE)*(0.25 + 0.75*Q223/40))</f>
        <v>62</v>
      </c>
      <c r="U223">
        <f>TRUNC(VLOOKUP(P223,'Color codes'!$A:$E,5,FALSE)*(0.25 + 0.75*Q223/40))</f>
        <v>60</v>
      </c>
      <c r="V223" t="b">
        <f t="shared" si="14"/>
        <v>1</v>
      </c>
    </row>
    <row r="224" spans="1:22" x14ac:dyDescent="0.25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TRUNC(VLOOKUP(P224,'Color codes'!$A:$E,3,FALSE)*(0.25 + 0.75*Q224/40))</f>
        <v>135</v>
      </c>
      <c r="T224">
        <f>TRUNC(VLOOKUP(P224,'Color codes'!$A:$E,4,FALSE)*(0.25 + 0.75*Q224/40))</f>
        <v>57</v>
      </c>
      <c r="U224">
        <f>TRUNC(VLOOKUP(P224,'Color codes'!$A:$E,5,FALSE)*(0.25 + 0.75*Q224/40))</f>
        <v>55</v>
      </c>
      <c r="V224" t="b">
        <f t="shared" si="14"/>
        <v>1</v>
      </c>
    </row>
    <row r="225" spans="1:22" x14ac:dyDescent="0.25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TRUNC(VLOOKUP(P225,'Color codes'!$A:$E,3,FALSE)*(0.25 + 0.75*Q225/40))</f>
        <v>123</v>
      </c>
      <c r="T225">
        <f>TRUNC(VLOOKUP(P225,'Color codes'!$A:$E,4,FALSE)*(0.25 + 0.75*Q225/40))</f>
        <v>51</v>
      </c>
      <c r="U225">
        <f>TRUNC(VLOOKUP(P225,'Color codes'!$A:$E,5,FALSE)*(0.25 + 0.75*Q225/40))</f>
        <v>50</v>
      </c>
      <c r="V225" t="b">
        <f t="shared" si="14"/>
        <v>1</v>
      </c>
    </row>
    <row r="226" spans="1:22" x14ac:dyDescent="0.25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TRUNC(VLOOKUP(P226,'Color codes'!$A:$E,3,FALSE)*(0.25 + 0.75*Q226/40))</f>
        <v>219</v>
      </c>
      <c r="T226">
        <f>TRUNC(VLOOKUP(P226,'Color codes'!$A:$E,4,FALSE)*(0.25 + 0.75*Q226/40))</f>
        <v>92</v>
      </c>
      <c r="U226">
        <f>TRUNC(VLOOKUP(P226,'Color codes'!$A:$E,5,FALSE)*(0.25 + 0.75*Q226/40))</f>
        <v>89</v>
      </c>
      <c r="V226" t="b">
        <f t="shared" si="14"/>
        <v>0</v>
      </c>
    </row>
    <row r="227" spans="1:22" x14ac:dyDescent="0.25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TRUNC(VLOOKUP(P227,'Color codes'!$A:$E,3,FALSE)*(0.25 + 0.75*Q227/40))</f>
        <v>85</v>
      </c>
      <c r="T227">
        <f>TRUNC(VLOOKUP(P227,'Color codes'!$A:$E,4,FALSE)*(0.25 + 0.75*Q227/40))</f>
        <v>141</v>
      </c>
      <c r="U227">
        <f>TRUNC(VLOOKUP(P227,'Color codes'!$A:$E,5,FALSE)*(0.25 + 0.75*Q227/40))</f>
        <v>204</v>
      </c>
      <c r="V227" t="b">
        <f t="shared" si="14"/>
        <v>0</v>
      </c>
    </row>
    <row r="228" spans="1:22" x14ac:dyDescent="0.25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TRUNC(VLOOKUP(P228,'Color codes'!$A:$E,3,FALSE)*(0.25 + 0.75*Q228/40))</f>
        <v>80</v>
      </c>
      <c r="T228">
        <f>TRUNC(VLOOKUP(P228,'Color codes'!$A:$E,4,FALSE)*(0.25 + 0.75*Q228/40))</f>
        <v>132</v>
      </c>
      <c r="U228">
        <f>TRUNC(VLOOKUP(P228,'Color codes'!$A:$E,5,FALSE)*(0.25 + 0.75*Q228/40))</f>
        <v>191</v>
      </c>
      <c r="V228" t="b">
        <f t="shared" si="14"/>
        <v>0</v>
      </c>
    </row>
    <row r="229" spans="1:22" x14ac:dyDescent="0.25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TRUNC(VLOOKUP(P229,'Color codes'!$A:$E,3,FALSE)*(0.25 + 0.75*Q229/40))</f>
        <v>75</v>
      </c>
      <c r="T229">
        <f>TRUNC(VLOOKUP(P229,'Color codes'!$A:$E,4,FALSE)*(0.25 + 0.75*Q229/40))</f>
        <v>123</v>
      </c>
      <c r="U229">
        <f>TRUNC(VLOOKUP(P229,'Color codes'!$A:$E,5,FALSE)*(0.25 + 0.75*Q229/40))</f>
        <v>179</v>
      </c>
      <c r="V229" t="b">
        <f t="shared" si="14"/>
        <v>0</v>
      </c>
    </row>
    <row r="230" spans="1:22" x14ac:dyDescent="0.25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TRUNC(VLOOKUP(P230,'Color codes'!$A:$E,3,FALSE)*(0.25 + 0.75*Q230/40))</f>
        <v>69</v>
      </c>
      <c r="T230">
        <f>TRUNC(VLOOKUP(P230,'Color codes'!$A:$E,4,FALSE)*(0.25 + 0.75*Q230/40))</f>
        <v>115</v>
      </c>
      <c r="U230">
        <f>TRUNC(VLOOKUP(P230,'Color codes'!$A:$E,5,FALSE)*(0.25 + 0.75*Q230/40))</f>
        <v>166</v>
      </c>
      <c r="V230" t="b">
        <f t="shared" ref="V230:V293" si="18">(ABS(N230-O230)  &gt; 1)</f>
        <v>0</v>
      </c>
    </row>
    <row r="231" spans="1:22" x14ac:dyDescent="0.25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TRUNC(VLOOKUP(P231,'Color codes'!$A:$E,3,FALSE)*(0.25 + 0.75*Q231/40))</f>
        <v>65</v>
      </c>
      <c r="T231">
        <f>TRUNC(VLOOKUP(P231,'Color codes'!$A:$E,4,FALSE)*(0.25 + 0.75*Q231/40))</f>
        <v>108</v>
      </c>
      <c r="U231">
        <f>TRUNC(VLOOKUP(P231,'Color codes'!$A:$E,5,FALSE)*(0.25 + 0.75*Q231/40))</f>
        <v>157</v>
      </c>
      <c r="V231" t="b">
        <f t="shared" si="18"/>
        <v>1</v>
      </c>
    </row>
    <row r="232" spans="1:22" x14ac:dyDescent="0.25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TRUNC(VLOOKUP(P232,'Color codes'!$A:$E,3,FALSE)*(0.25 + 0.75*Q232/40))</f>
        <v>63</v>
      </c>
      <c r="T232">
        <f>TRUNC(VLOOKUP(P232,'Color codes'!$A:$E,4,FALSE)*(0.25 + 0.75*Q232/40))</f>
        <v>103</v>
      </c>
      <c r="U232">
        <f>TRUNC(VLOOKUP(P232,'Color codes'!$A:$E,5,FALSE)*(0.25 + 0.75*Q232/40))</f>
        <v>150</v>
      </c>
      <c r="V232" t="b">
        <f t="shared" si="18"/>
        <v>1</v>
      </c>
    </row>
    <row r="233" spans="1:22" x14ac:dyDescent="0.25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TRUNC(VLOOKUP(P233,'Color codes'!$A:$E,3,FALSE)*(0.25 + 0.75*Q233/40))</f>
        <v>61</v>
      </c>
      <c r="T233">
        <f>TRUNC(VLOOKUP(P233,'Color codes'!$A:$E,4,FALSE)*(0.25 + 0.75*Q233/40))</f>
        <v>101</v>
      </c>
      <c r="U233">
        <f>TRUNC(VLOOKUP(P233,'Color codes'!$A:$E,5,FALSE)*(0.25 + 0.75*Q233/40))</f>
        <v>146</v>
      </c>
      <c r="V233" t="b">
        <f t="shared" si="18"/>
        <v>1</v>
      </c>
    </row>
    <row r="234" spans="1:22" x14ac:dyDescent="0.25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TRUNC(VLOOKUP(P234,'Color codes'!$A:$E,3,FALSE)*(0.25 + 0.75*Q234/40))</f>
        <v>219</v>
      </c>
      <c r="T234">
        <f>TRUNC(VLOOKUP(P234,'Color codes'!$A:$E,4,FALSE)*(0.25 + 0.75*Q234/40))</f>
        <v>92</v>
      </c>
      <c r="U234">
        <f>TRUNC(VLOOKUP(P234,'Color codes'!$A:$E,5,FALSE)*(0.25 + 0.75*Q234/40))</f>
        <v>89</v>
      </c>
      <c r="V234" t="b">
        <f t="shared" si="18"/>
        <v>0</v>
      </c>
    </row>
    <row r="235" spans="1:22" x14ac:dyDescent="0.25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TRUNC(VLOOKUP(P235,'Color codes'!$A:$E,3,FALSE)*(0.25 + 0.75*Q235/40))</f>
        <v>204</v>
      </c>
      <c r="T235">
        <f>TRUNC(VLOOKUP(P235,'Color codes'!$A:$E,4,FALSE)*(0.25 + 0.75*Q235/40))</f>
        <v>85</v>
      </c>
      <c r="U235">
        <f>TRUNC(VLOOKUP(P235,'Color codes'!$A:$E,5,FALSE)*(0.25 + 0.75*Q235/40))</f>
        <v>83</v>
      </c>
      <c r="V235" t="b">
        <f t="shared" si="18"/>
        <v>0</v>
      </c>
    </row>
    <row r="236" spans="1:22" x14ac:dyDescent="0.25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TRUNC(VLOOKUP(P236,'Color codes'!$A:$E,3,FALSE)*(0.25 + 0.75*Q236/40))</f>
        <v>190</v>
      </c>
      <c r="T236">
        <f>TRUNC(VLOOKUP(P236,'Color codes'!$A:$E,4,FALSE)*(0.25 + 0.75*Q236/40))</f>
        <v>79</v>
      </c>
      <c r="U236">
        <f>TRUNC(VLOOKUP(P236,'Color codes'!$A:$E,5,FALSE)*(0.25 + 0.75*Q236/40))</f>
        <v>77</v>
      </c>
      <c r="V236" t="b">
        <f t="shared" si="18"/>
        <v>0</v>
      </c>
    </row>
    <row r="237" spans="1:22" x14ac:dyDescent="0.25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TRUNC(VLOOKUP(P237,'Color codes'!$A:$E,3,FALSE)*(0.25 + 0.75*Q237/40))</f>
        <v>175</v>
      </c>
      <c r="T237">
        <f>TRUNC(VLOOKUP(P237,'Color codes'!$A:$E,4,FALSE)*(0.25 + 0.75*Q237/40))</f>
        <v>73</v>
      </c>
      <c r="U237">
        <f>TRUNC(VLOOKUP(P237,'Color codes'!$A:$E,5,FALSE)*(0.25 + 0.75*Q237/40))</f>
        <v>71</v>
      </c>
      <c r="V237" t="b">
        <f t="shared" si="18"/>
        <v>0</v>
      </c>
    </row>
    <row r="238" spans="1:22" x14ac:dyDescent="0.25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TRUNC(VLOOKUP(P238,'Color codes'!$A:$E,3,FALSE)*(0.25 + 0.75*Q238/40))</f>
        <v>162</v>
      </c>
      <c r="T238">
        <f>TRUNC(VLOOKUP(P238,'Color codes'!$A:$E,4,FALSE)*(0.25 + 0.75*Q238/40))</f>
        <v>68</v>
      </c>
      <c r="U238">
        <f>TRUNC(VLOOKUP(P238,'Color codes'!$A:$E,5,FALSE)*(0.25 + 0.75*Q238/40))</f>
        <v>66</v>
      </c>
      <c r="V238" t="b">
        <f t="shared" si="18"/>
        <v>0</v>
      </c>
    </row>
    <row r="239" spans="1:22" x14ac:dyDescent="0.25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TRUNC(VLOOKUP(P239,'Color codes'!$A:$E,3,FALSE)*(0.25 + 0.75*Q239/40))</f>
        <v>62</v>
      </c>
      <c r="T239">
        <f>TRUNC(VLOOKUP(P239,'Color codes'!$A:$E,4,FALSE)*(0.25 + 0.75*Q239/40))</f>
        <v>103</v>
      </c>
      <c r="U239">
        <f>TRUNC(VLOOKUP(P239,'Color codes'!$A:$E,5,FALSE)*(0.25 + 0.75*Q239/40))</f>
        <v>149</v>
      </c>
      <c r="V239" t="b">
        <f t="shared" si="18"/>
        <v>0</v>
      </c>
    </row>
    <row r="240" spans="1:22" x14ac:dyDescent="0.25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TRUNC(VLOOKUP(P240,'Color codes'!$A:$E,3,FALSE)*(0.25 + 0.75*Q240/40))</f>
        <v>58</v>
      </c>
      <c r="T240">
        <f>TRUNC(VLOOKUP(P240,'Color codes'!$A:$E,4,FALSE)*(0.25 + 0.75*Q240/40))</f>
        <v>96</v>
      </c>
      <c r="U240">
        <f>TRUNC(VLOOKUP(P240,'Color codes'!$A:$E,5,FALSE)*(0.25 + 0.75*Q240/40))</f>
        <v>139</v>
      </c>
      <c r="V240" t="b">
        <f t="shared" si="18"/>
        <v>0</v>
      </c>
    </row>
    <row r="241" spans="1:22" x14ac:dyDescent="0.25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TRUNC(VLOOKUP(P241,'Color codes'!$A:$E,3,FALSE)*(0.25 + 0.75*Q241/40))</f>
        <v>56</v>
      </c>
      <c r="T241">
        <f>TRUNC(VLOOKUP(P241,'Color codes'!$A:$E,4,FALSE)*(0.25 + 0.75*Q241/40))</f>
        <v>92</v>
      </c>
      <c r="U241">
        <f>TRUNC(VLOOKUP(P241,'Color codes'!$A:$E,5,FALSE)*(0.25 + 0.75*Q241/40))</f>
        <v>133</v>
      </c>
      <c r="V241" t="b">
        <f t="shared" si="18"/>
        <v>1</v>
      </c>
    </row>
    <row r="242" spans="1:22" x14ac:dyDescent="0.25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TRUNC(VLOOKUP(P242,'Color codes'!$A:$E,3,FALSE)*(0.25 + 0.75*Q242/40))</f>
        <v>219</v>
      </c>
      <c r="T242">
        <f>TRUNC(VLOOKUP(P242,'Color codes'!$A:$E,4,FALSE)*(0.25 + 0.75*Q242/40))</f>
        <v>92</v>
      </c>
      <c r="U242">
        <f>TRUNC(VLOOKUP(P242,'Color codes'!$A:$E,5,FALSE)*(0.25 + 0.75*Q242/40))</f>
        <v>89</v>
      </c>
      <c r="V242" t="b">
        <f t="shared" si="18"/>
        <v>1</v>
      </c>
    </row>
    <row r="243" spans="1:22" x14ac:dyDescent="0.25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TRUNC(VLOOKUP(P243,'Color codes'!$A:$E,3,FALSE)*(0.25 + 0.75*Q243/40))</f>
        <v>204</v>
      </c>
      <c r="T243">
        <f>TRUNC(VLOOKUP(P243,'Color codes'!$A:$E,4,FALSE)*(0.25 + 0.75*Q243/40))</f>
        <v>85</v>
      </c>
      <c r="U243">
        <f>TRUNC(VLOOKUP(P243,'Color codes'!$A:$E,5,FALSE)*(0.25 + 0.75*Q243/40))</f>
        <v>83</v>
      </c>
      <c r="V243" t="b">
        <f t="shared" si="18"/>
        <v>1</v>
      </c>
    </row>
    <row r="244" spans="1:22" x14ac:dyDescent="0.25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TRUNC(VLOOKUP(P244,'Color codes'!$A:$E,3,FALSE)*(0.25 + 0.75*Q244/40))</f>
        <v>190</v>
      </c>
      <c r="T244">
        <f>TRUNC(VLOOKUP(P244,'Color codes'!$A:$E,4,FALSE)*(0.25 + 0.75*Q244/40))</f>
        <v>79</v>
      </c>
      <c r="U244">
        <f>TRUNC(VLOOKUP(P244,'Color codes'!$A:$E,5,FALSE)*(0.25 + 0.75*Q244/40))</f>
        <v>77</v>
      </c>
      <c r="V244" t="b">
        <f t="shared" si="18"/>
        <v>1</v>
      </c>
    </row>
    <row r="245" spans="1:22" x14ac:dyDescent="0.25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TRUNC(VLOOKUP(P245,'Color codes'!$A:$E,3,FALSE)*(0.25 + 0.75*Q245/40))</f>
        <v>175</v>
      </c>
      <c r="T245">
        <f>TRUNC(VLOOKUP(P245,'Color codes'!$A:$E,4,FALSE)*(0.25 + 0.75*Q245/40))</f>
        <v>73</v>
      </c>
      <c r="U245">
        <f>TRUNC(VLOOKUP(P245,'Color codes'!$A:$E,5,FALSE)*(0.25 + 0.75*Q245/40))</f>
        <v>71</v>
      </c>
      <c r="V245" t="b">
        <f t="shared" si="18"/>
        <v>0</v>
      </c>
    </row>
    <row r="246" spans="1:22" x14ac:dyDescent="0.25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TRUNC(VLOOKUP(P246,'Color codes'!$A:$E,3,FALSE)*(0.25 + 0.75*Q246/40))</f>
        <v>161</v>
      </c>
      <c r="T246">
        <f>TRUNC(VLOOKUP(P246,'Color codes'!$A:$E,4,FALSE)*(0.25 + 0.75*Q246/40))</f>
        <v>67</v>
      </c>
      <c r="U246">
        <f>TRUNC(VLOOKUP(P246,'Color codes'!$A:$E,5,FALSE)*(0.25 + 0.75*Q246/40))</f>
        <v>66</v>
      </c>
      <c r="V246" t="b">
        <f t="shared" si="18"/>
        <v>0</v>
      </c>
    </row>
    <row r="247" spans="1:22" x14ac:dyDescent="0.25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TRUNC(VLOOKUP(P247,'Color codes'!$A:$E,3,FALSE)*(0.25 + 0.75*Q247/40))</f>
        <v>148</v>
      </c>
      <c r="T247">
        <f>TRUNC(VLOOKUP(P247,'Color codes'!$A:$E,4,FALSE)*(0.25 + 0.75*Q247/40))</f>
        <v>62</v>
      </c>
      <c r="U247">
        <f>TRUNC(VLOOKUP(P247,'Color codes'!$A:$E,5,FALSE)*(0.25 + 0.75*Q247/40))</f>
        <v>60</v>
      </c>
      <c r="V247" t="b">
        <f t="shared" si="18"/>
        <v>0</v>
      </c>
    </row>
    <row r="248" spans="1:22" x14ac:dyDescent="0.25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TRUNC(VLOOKUP(P248,'Color codes'!$A:$E,3,FALSE)*(0.25 + 0.75*Q248/40))</f>
        <v>57</v>
      </c>
      <c r="T248">
        <f>TRUNC(VLOOKUP(P248,'Color codes'!$A:$E,4,FALSE)*(0.25 + 0.75*Q248/40))</f>
        <v>94</v>
      </c>
      <c r="U248">
        <f>TRUNC(VLOOKUP(P248,'Color codes'!$A:$E,5,FALSE)*(0.25 + 0.75*Q248/40))</f>
        <v>137</v>
      </c>
      <c r="V248" t="b">
        <f t="shared" si="18"/>
        <v>0</v>
      </c>
    </row>
    <row r="249" spans="1:22" x14ac:dyDescent="0.25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TRUNC(VLOOKUP(P249,'Color codes'!$A:$E,3,FALSE)*(0.25 + 0.75*Q249/40))</f>
        <v>54</v>
      </c>
      <c r="T249">
        <f>TRUNC(VLOOKUP(P249,'Color codes'!$A:$E,4,FALSE)*(0.25 + 0.75*Q249/40))</f>
        <v>89</v>
      </c>
      <c r="U249">
        <f>TRUNC(VLOOKUP(P249,'Color codes'!$A:$E,5,FALSE)*(0.25 + 0.75*Q249/40))</f>
        <v>129</v>
      </c>
      <c r="V249" t="b">
        <f t="shared" si="18"/>
        <v>1</v>
      </c>
    </row>
    <row r="250" spans="1:22" x14ac:dyDescent="0.25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TRUNC(VLOOKUP(P250,'Color codes'!$A:$E,3,FALSE)*(0.25 + 0.75*Q250/40))</f>
        <v>219</v>
      </c>
      <c r="T250">
        <f>TRUNC(VLOOKUP(P250,'Color codes'!$A:$E,4,FALSE)*(0.25 + 0.75*Q250/40))</f>
        <v>92</v>
      </c>
      <c r="U250">
        <f>TRUNC(VLOOKUP(P250,'Color codes'!$A:$E,5,FALSE)*(0.25 + 0.75*Q250/40))</f>
        <v>89</v>
      </c>
      <c r="V250" t="b">
        <f t="shared" si="18"/>
        <v>1</v>
      </c>
    </row>
    <row r="251" spans="1:22" x14ac:dyDescent="0.25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TRUNC(VLOOKUP(P251,'Color codes'!$A:$E,3,FALSE)*(0.25 + 0.75*Q251/40))</f>
        <v>204</v>
      </c>
      <c r="T251">
        <f>TRUNC(VLOOKUP(P251,'Color codes'!$A:$E,4,FALSE)*(0.25 + 0.75*Q251/40))</f>
        <v>85</v>
      </c>
      <c r="U251">
        <f>TRUNC(VLOOKUP(P251,'Color codes'!$A:$E,5,FALSE)*(0.25 + 0.75*Q251/40))</f>
        <v>83</v>
      </c>
      <c r="V251" t="b">
        <f t="shared" si="18"/>
        <v>1</v>
      </c>
    </row>
    <row r="252" spans="1:22" x14ac:dyDescent="0.25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TRUNC(VLOOKUP(P252,'Color codes'!$A:$E,3,FALSE)*(0.25 + 0.75*Q252/40))</f>
        <v>189</v>
      </c>
      <c r="T252">
        <f>TRUNC(VLOOKUP(P252,'Color codes'!$A:$E,4,FALSE)*(0.25 + 0.75*Q252/40))</f>
        <v>79</v>
      </c>
      <c r="U252">
        <f>TRUNC(VLOOKUP(P252,'Color codes'!$A:$E,5,FALSE)*(0.25 + 0.75*Q252/40))</f>
        <v>77</v>
      </c>
      <c r="V252" t="b">
        <f t="shared" si="18"/>
        <v>1</v>
      </c>
    </row>
    <row r="253" spans="1:22" x14ac:dyDescent="0.25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TRUNC(VLOOKUP(P253,'Color codes'!$A:$E,3,FALSE)*(0.25 + 0.75*Q253/40))</f>
        <v>175</v>
      </c>
      <c r="T253">
        <f>TRUNC(VLOOKUP(P253,'Color codes'!$A:$E,4,FALSE)*(0.25 + 0.75*Q253/40))</f>
        <v>73</v>
      </c>
      <c r="U253">
        <f>TRUNC(VLOOKUP(P253,'Color codes'!$A:$E,5,FALSE)*(0.25 + 0.75*Q253/40))</f>
        <v>71</v>
      </c>
      <c r="V253" t="b">
        <f t="shared" si="18"/>
        <v>1</v>
      </c>
    </row>
    <row r="254" spans="1:22" x14ac:dyDescent="0.25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TRUNC(VLOOKUP(P254,'Color codes'!$A:$E,3,FALSE)*(0.25 + 0.75*Q254/40))</f>
        <v>162</v>
      </c>
      <c r="T254">
        <f>TRUNC(VLOOKUP(P254,'Color codes'!$A:$E,4,FALSE)*(0.25 + 0.75*Q254/40))</f>
        <v>68</v>
      </c>
      <c r="U254">
        <f>TRUNC(VLOOKUP(P254,'Color codes'!$A:$E,5,FALSE)*(0.25 + 0.75*Q254/40))</f>
        <v>66</v>
      </c>
      <c r="V254" t="b">
        <f t="shared" si="18"/>
        <v>1</v>
      </c>
    </row>
    <row r="255" spans="1:22" x14ac:dyDescent="0.25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TRUNC(VLOOKUP(P255,'Color codes'!$A:$E,3,FALSE)*(0.25 + 0.75*Q255/40))</f>
        <v>148</v>
      </c>
      <c r="T255">
        <f>TRUNC(VLOOKUP(P255,'Color codes'!$A:$E,4,FALSE)*(0.25 + 0.75*Q255/40))</f>
        <v>62</v>
      </c>
      <c r="U255">
        <f>TRUNC(VLOOKUP(P255,'Color codes'!$A:$E,5,FALSE)*(0.25 + 0.75*Q255/40))</f>
        <v>60</v>
      </c>
      <c r="V255" t="b">
        <f t="shared" si="18"/>
        <v>1</v>
      </c>
    </row>
    <row r="256" spans="1:22" x14ac:dyDescent="0.25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TRUNC(VLOOKUP(P256,'Color codes'!$A:$E,3,FALSE)*(0.25 + 0.75*Q256/40))</f>
        <v>135</v>
      </c>
      <c r="T256">
        <f>TRUNC(VLOOKUP(P256,'Color codes'!$A:$E,4,FALSE)*(0.25 + 0.75*Q256/40))</f>
        <v>56</v>
      </c>
      <c r="U256">
        <f>TRUNC(VLOOKUP(P256,'Color codes'!$A:$E,5,FALSE)*(0.25 + 0.75*Q256/40))</f>
        <v>55</v>
      </c>
      <c r="V256" t="b">
        <f t="shared" si="18"/>
        <v>0</v>
      </c>
    </row>
    <row r="257" spans="1:22" x14ac:dyDescent="0.25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TRUNC(VLOOKUP(P257,'Color codes'!$A:$E,3,FALSE)*(0.25 + 0.75*Q257/40))</f>
        <v>52</v>
      </c>
      <c r="T257">
        <f>TRUNC(VLOOKUP(P257,'Color codes'!$A:$E,4,FALSE)*(0.25 + 0.75*Q257/40))</f>
        <v>87</v>
      </c>
      <c r="U257">
        <f>TRUNC(VLOOKUP(P257,'Color codes'!$A:$E,5,FALSE)*(0.25 + 0.75*Q257/40))</f>
        <v>126</v>
      </c>
      <c r="V257" t="b">
        <f t="shared" si="18"/>
        <v>0</v>
      </c>
    </row>
    <row r="258" spans="1:22" x14ac:dyDescent="0.25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TRUNC(VLOOKUP(P258,'Color codes'!$A:$E,3,FALSE)*(0.25 + 0.75*Q258/40))</f>
        <v>254</v>
      </c>
      <c r="T258">
        <f>TRUNC(VLOOKUP(P258,'Color codes'!$A:$E,4,FALSE)*(0.25 + 0.75*Q258/40))</f>
        <v>106</v>
      </c>
      <c r="U258">
        <f>TRUNC(VLOOKUP(P258,'Color codes'!$A:$E,5,FALSE)*(0.25 + 0.75*Q258/40))</f>
        <v>103</v>
      </c>
      <c r="V258" t="b">
        <f t="shared" si="18"/>
        <v>1</v>
      </c>
    </row>
    <row r="259" spans="1:22" x14ac:dyDescent="0.25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TRUNC(VLOOKUP(P259,'Color codes'!$A:$E,3,FALSE)*(0.25 + 0.75*Q259/40))</f>
        <v>239</v>
      </c>
      <c r="T259">
        <f>TRUNC(VLOOKUP(P259,'Color codes'!$A:$E,4,FALSE)*(0.25 + 0.75*Q259/40))</f>
        <v>100</v>
      </c>
      <c r="U259">
        <f>TRUNC(VLOOKUP(P259,'Color codes'!$A:$E,5,FALSE)*(0.25 + 0.75*Q259/40))</f>
        <v>97</v>
      </c>
      <c r="V259" t="b">
        <f t="shared" si="18"/>
        <v>1</v>
      </c>
    </row>
    <row r="260" spans="1:22" x14ac:dyDescent="0.25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TRUNC(VLOOKUP(P260,'Color codes'!$A:$E,3,FALSE)*(0.25 + 0.75*Q260/40))</f>
        <v>224</v>
      </c>
      <c r="T260">
        <f>TRUNC(VLOOKUP(P260,'Color codes'!$A:$E,4,FALSE)*(0.25 + 0.75*Q260/40))</f>
        <v>94</v>
      </c>
      <c r="U260">
        <f>TRUNC(VLOOKUP(P260,'Color codes'!$A:$E,5,FALSE)*(0.25 + 0.75*Q260/40))</f>
        <v>91</v>
      </c>
      <c r="V260" t="b">
        <f t="shared" si="18"/>
        <v>1</v>
      </c>
    </row>
    <row r="261" spans="1:22" x14ac:dyDescent="0.25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TRUNC(VLOOKUP(P261,'Color codes'!$A:$E,3,FALSE)*(0.25 + 0.75*Q261/40))</f>
        <v>88</v>
      </c>
      <c r="T261">
        <f>TRUNC(VLOOKUP(P261,'Color codes'!$A:$E,4,FALSE)*(0.25 + 0.75*Q261/40))</f>
        <v>146</v>
      </c>
      <c r="U261">
        <f>TRUNC(VLOOKUP(P261,'Color codes'!$A:$E,5,FALSE)*(0.25 + 0.75*Q261/40))</f>
        <v>211</v>
      </c>
      <c r="V261" t="b">
        <f t="shared" si="18"/>
        <v>0</v>
      </c>
    </row>
    <row r="262" spans="1:22" x14ac:dyDescent="0.25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TRUNC(VLOOKUP(P262,'Color codes'!$A:$E,3,FALSE)*(0.25 + 0.75*Q262/40))</f>
        <v>85</v>
      </c>
      <c r="T262">
        <f>TRUNC(VLOOKUP(P262,'Color codes'!$A:$E,4,FALSE)*(0.25 + 0.75*Q262/40))</f>
        <v>140</v>
      </c>
      <c r="U262">
        <f>TRUNC(VLOOKUP(P262,'Color codes'!$A:$E,5,FALSE)*(0.25 + 0.75*Q262/40))</f>
        <v>204</v>
      </c>
      <c r="V262" t="b">
        <f t="shared" si="18"/>
        <v>1</v>
      </c>
    </row>
    <row r="263" spans="1:22" x14ac:dyDescent="0.25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TRUNC(VLOOKUP(P263,'Color codes'!$A:$E,3,FALSE)*(0.25 + 0.75*Q263/40))</f>
        <v>79</v>
      </c>
      <c r="T263">
        <f>TRUNC(VLOOKUP(P263,'Color codes'!$A:$E,4,FALSE)*(0.25 + 0.75*Q263/40))</f>
        <v>131</v>
      </c>
      <c r="U263">
        <f>TRUNC(VLOOKUP(P263,'Color codes'!$A:$E,5,FALSE)*(0.25 + 0.75*Q263/40))</f>
        <v>189</v>
      </c>
      <c r="V263" t="b">
        <f t="shared" si="18"/>
        <v>1</v>
      </c>
    </row>
    <row r="264" spans="1:22" x14ac:dyDescent="0.25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TRUNC(VLOOKUP(P264,'Color codes'!$A:$E,3,FALSE)*(0.25 + 0.75*Q264/40))</f>
        <v>73</v>
      </c>
      <c r="T264">
        <f>TRUNC(VLOOKUP(P264,'Color codes'!$A:$E,4,FALSE)*(0.25 + 0.75*Q264/40))</f>
        <v>120</v>
      </c>
      <c r="U264">
        <f>TRUNC(VLOOKUP(P264,'Color codes'!$A:$E,5,FALSE)*(0.25 + 0.75*Q264/40))</f>
        <v>175</v>
      </c>
      <c r="V264" t="b">
        <f t="shared" si="18"/>
        <v>1</v>
      </c>
    </row>
    <row r="265" spans="1:22" x14ac:dyDescent="0.25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TRUNC(VLOOKUP(P265,'Color codes'!$A:$E,3,FALSE)*(0.25 + 0.75*Q265/40))</f>
        <v>66</v>
      </c>
      <c r="T265">
        <f>TRUNC(VLOOKUP(P265,'Color codes'!$A:$E,4,FALSE)*(0.25 + 0.75*Q265/40))</f>
        <v>109</v>
      </c>
      <c r="U265">
        <f>TRUNC(VLOOKUP(P265,'Color codes'!$A:$E,5,FALSE)*(0.25 + 0.75*Q265/40))</f>
        <v>158</v>
      </c>
      <c r="V265" t="b">
        <f t="shared" si="18"/>
        <v>0</v>
      </c>
    </row>
    <row r="266" spans="1:22" x14ac:dyDescent="0.25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TRUNC(VLOOKUP(P266,'Color codes'!$A:$E,3,FALSE)*(0.25 + 0.75*Q266/40))</f>
        <v>253</v>
      </c>
      <c r="T266">
        <f>TRUNC(VLOOKUP(P266,'Color codes'!$A:$E,4,FALSE)*(0.25 + 0.75*Q266/40))</f>
        <v>106</v>
      </c>
      <c r="U266">
        <f>TRUNC(VLOOKUP(P266,'Color codes'!$A:$E,5,FALSE)*(0.25 + 0.75*Q266/40))</f>
        <v>103</v>
      </c>
      <c r="V266" t="b">
        <f t="shared" si="18"/>
        <v>1</v>
      </c>
    </row>
    <row r="267" spans="1:22" x14ac:dyDescent="0.25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TRUNC(VLOOKUP(P267,'Color codes'!$A:$E,3,FALSE)*(0.25 + 0.75*Q267/40))</f>
        <v>238</v>
      </c>
      <c r="T267">
        <f>TRUNC(VLOOKUP(P267,'Color codes'!$A:$E,4,FALSE)*(0.25 + 0.75*Q267/40))</f>
        <v>100</v>
      </c>
      <c r="U267">
        <f>TRUNC(VLOOKUP(P267,'Color codes'!$A:$E,5,FALSE)*(0.25 + 0.75*Q267/40))</f>
        <v>97</v>
      </c>
      <c r="V267" t="b">
        <f t="shared" si="18"/>
        <v>1</v>
      </c>
    </row>
    <row r="268" spans="1:22" x14ac:dyDescent="0.25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TRUNC(VLOOKUP(P268,'Color codes'!$A:$E,3,FALSE)*(0.25 + 0.75*Q268/40))</f>
        <v>224</v>
      </c>
      <c r="T268">
        <f>TRUNC(VLOOKUP(P268,'Color codes'!$A:$E,4,FALSE)*(0.25 + 0.75*Q268/40))</f>
        <v>94</v>
      </c>
      <c r="U268">
        <f>TRUNC(VLOOKUP(P268,'Color codes'!$A:$E,5,FALSE)*(0.25 + 0.75*Q268/40))</f>
        <v>91</v>
      </c>
      <c r="V268" t="b">
        <f t="shared" si="18"/>
        <v>1</v>
      </c>
    </row>
    <row r="269" spans="1:22" x14ac:dyDescent="0.25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TRUNC(VLOOKUP(P269,'Color codes'!$A:$E,3,FALSE)*(0.25 + 0.75*Q269/40))</f>
        <v>210</v>
      </c>
      <c r="T269">
        <f>TRUNC(VLOOKUP(P269,'Color codes'!$A:$E,4,FALSE)*(0.25 + 0.75*Q269/40))</f>
        <v>88</v>
      </c>
      <c r="U269">
        <f>TRUNC(VLOOKUP(P269,'Color codes'!$A:$E,5,FALSE)*(0.25 + 0.75*Q269/40))</f>
        <v>85</v>
      </c>
      <c r="V269" t="b">
        <f t="shared" si="18"/>
        <v>1</v>
      </c>
    </row>
    <row r="270" spans="1:22" x14ac:dyDescent="0.25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TRUNC(VLOOKUP(P270,'Color codes'!$A:$E,3,FALSE)*(0.25 + 0.75*Q270/40))</f>
        <v>196</v>
      </c>
      <c r="T270">
        <f>TRUNC(VLOOKUP(P270,'Color codes'!$A:$E,4,FALSE)*(0.25 + 0.75*Q270/40))</f>
        <v>82</v>
      </c>
      <c r="U270">
        <f>TRUNC(VLOOKUP(P270,'Color codes'!$A:$E,5,FALSE)*(0.25 + 0.75*Q270/40))</f>
        <v>80</v>
      </c>
      <c r="V270" t="b">
        <f t="shared" si="18"/>
        <v>1</v>
      </c>
    </row>
    <row r="271" spans="1:22" x14ac:dyDescent="0.25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TRUNC(VLOOKUP(P271,'Color codes'!$A:$E,3,FALSE)*(0.25 + 0.75*Q271/40))</f>
        <v>182</v>
      </c>
      <c r="T271">
        <f>TRUNC(VLOOKUP(P271,'Color codes'!$A:$E,4,FALSE)*(0.25 + 0.75*Q271/40))</f>
        <v>76</v>
      </c>
      <c r="U271">
        <f>TRUNC(VLOOKUP(P271,'Color codes'!$A:$E,5,FALSE)*(0.25 + 0.75*Q271/40))</f>
        <v>74</v>
      </c>
      <c r="V271" t="b">
        <f t="shared" si="18"/>
        <v>0</v>
      </c>
    </row>
    <row r="272" spans="1:22" x14ac:dyDescent="0.25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TRUNC(VLOOKUP(P272,'Color codes'!$A:$E,3,FALSE)*(0.25 + 0.75*Q272/40))</f>
        <v>168</v>
      </c>
      <c r="T272">
        <f>TRUNC(VLOOKUP(P272,'Color codes'!$A:$E,4,FALSE)*(0.25 + 0.75*Q272/40))</f>
        <v>70</v>
      </c>
      <c r="U272">
        <f>TRUNC(VLOOKUP(P272,'Color codes'!$A:$E,5,FALSE)*(0.25 + 0.75*Q272/40))</f>
        <v>68</v>
      </c>
      <c r="V272" t="b">
        <f t="shared" si="18"/>
        <v>0</v>
      </c>
    </row>
    <row r="273" spans="1:22" x14ac:dyDescent="0.25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TRUNC(VLOOKUP(P273,'Color codes'!$A:$E,3,FALSE)*(0.25 + 0.75*Q273/40))</f>
        <v>154</v>
      </c>
      <c r="T273">
        <f>TRUNC(VLOOKUP(P273,'Color codes'!$A:$E,4,FALSE)*(0.25 + 0.75*Q273/40))</f>
        <v>64</v>
      </c>
      <c r="U273">
        <f>TRUNC(VLOOKUP(P273,'Color codes'!$A:$E,5,FALSE)*(0.25 + 0.75*Q273/40))</f>
        <v>62</v>
      </c>
      <c r="V273" t="b">
        <f t="shared" si="18"/>
        <v>1</v>
      </c>
    </row>
    <row r="274" spans="1:22" x14ac:dyDescent="0.25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TRUNC(VLOOKUP(P274,'Color codes'!$A:$E,3,FALSE)*(0.25 + 0.75*Q274/40))</f>
        <v>254</v>
      </c>
      <c r="T274">
        <f>TRUNC(VLOOKUP(P274,'Color codes'!$A:$E,4,FALSE)*(0.25 + 0.75*Q274/40))</f>
        <v>106</v>
      </c>
      <c r="U274">
        <f>TRUNC(VLOOKUP(P274,'Color codes'!$A:$E,5,FALSE)*(0.25 + 0.75*Q274/40))</f>
        <v>103</v>
      </c>
      <c r="V274" t="b">
        <f t="shared" si="18"/>
        <v>1</v>
      </c>
    </row>
    <row r="275" spans="1:22" x14ac:dyDescent="0.25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TRUNC(VLOOKUP(P275,'Color codes'!$A:$E,3,FALSE)*(0.25 + 0.75*Q275/40))</f>
        <v>239</v>
      </c>
      <c r="T275">
        <f>TRUNC(VLOOKUP(P275,'Color codes'!$A:$E,4,FALSE)*(0.25 + 0.75*Q275/40))</f>
        <v>100</v>
      </c>
      <c r="U275">
        <f>TRUNC(VLOOKUP(P275,'Color codes'!$A:$E,5,FALSE)*(0.25 + 0.75*Q275/40))</f>
        <v>97</v>
      </c>
      <c r="V275" t="b">
        <f t="shared" si="18"/>
        <v>1</v>
      </c>
    </row>
    <row r="276" spans="1:22" x14ac:dyDescent="0.25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TRUNC(VLOOKUP(P276,'Color codes'!$A:$E,3,FALSE)*(0.25 + 0.75*Q276/40))</f>
        <v>224</v>
      </c>
      <c r="T276">
        <f>TRUNC(VLOOKUP(P276,'Color codes'!$A:$E,4,FALSE)*(0.25 + 0.75*Q276/40))</f>
        <v>94</v>
      </c>
      <c r="U276">
        <f>TRUNC(VLOOKUP(P276,'Color codes'!$A:$E,5,FALSE)*(0.25 + 0.75*Q276/40))</f>
        <v>91</v>
      </c>
      <c r="V276" t="b">
        <f t="shared" si="18"/>
        <v>1</v>
      </c>
    </row>
    <row r="277" spans="1:22" x14ac:dyDescent="0.25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TRUNC(VLOOKUP(P277,'Color codes'!$A:$E,3,FALSE)*(0.25 + 0.75*Q277/40))</f>
        <v>210</v>
      </c>
      <c r="T277">
        <f>TRUNC(VLOOKUP(P277,'Color codes'!$A:$E,4,FALSE)*(0.25 + 0.75*Q277/40))</f>
        <v>88</v>
      </c>
      <c r="U277">
        <f>TRUNC(VLOOKUP(P277,'Color codes'!$A:$E,5,FALSE)*(0.25 + 0.75*Q277/40))</f>
        <v>85</v>
      </c>
      <c r="V277" t="b">
        <f t="shared" si="18"/>
        <v>1</v>
      </c>
    </row>
    <row r="278" spans="1:22" x14ac:dyDescent="0.25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TRUNC(VLOOKUP(P278,'Color codes'!$A:$E,3,FALSE)*(0.25 + 0.75*Q278/40))</f>
        <v>196</v>
      </c>
      <c r="T278">
        <f>TRUNC(VLOOKUP(P278,'Color codes'!$A:$E,4,FALSE)*(0.25 + 0.75*Q278/40))</f>
        <v>82</v>
      </c>
      <c r="U278">
        <f>TRUNC(VLOOKUP(P278,'Color codes'!$A:$E,5,FALSE)*(0.25 + 0.75*Q278/40))</f>
        <v>80</v>
      </c>
      <c r="V278" t="b">
        <f t="shared" si="18"/>
        <v>1</v>
      </c>
    </row>
    <row r="279" spans="1:22" x14ac:dyDescent="0.25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TRUNC(VLOOKUP(P279,'Color codes'!$A:$E,3,FALSE)*(0.25 + 0.75*Q279/40))</f>
        <v>182</v>
      </c>
      <c r="T279">
        <f>TRUNC(VLOOKUP(P279,'Color codes'!$A:$E,4,FALSE)*(0.25 + 0.75*Q279/40))</f>
        <v>76</v>
      </c>
      <c r="U279">
        <f>TRUNC(VLOOKUP(P279,'Color codes'!$A:$E,5,FALSE)*(0.25 + 0.75*Q279/40))</f>
        <v>74</v>
      </c>
      <c r="V279" t="b">
        <f t="shared" si="18"/>
        <v>1</v>
      </c>
    </row>
    <row r="280" spans="1:22" x14ac:dyDescent="0.25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TRUNC(VLOOKUP(P280,'Color codes'!$A:$E,3,FALSE)*(0.25 + 0.75*Q280/40))</f>
        <v>168</v>
      </c>
      <c r="T280">
        <f>TRUNC(VLOOKUP(P280,'Color codes'!$A:$E,4,FALSE)*(0.25 + 0.75*Q280/40))</f>
        <v>70</v>
      </c>
      <c r="U280">
        <f>TRUNC(VLOOKUP(P280,'Color codes'!$A:$E,5,FALSE)*(0.25 + 0.75*Q280/40))</f>
        <v>68</v>
      </c>
      <c r="V280" t="b">
        <f t="shared" si="18"/>
        <v>1</v>
      </c>
    </row>
    <row r="281" spans="1:22" x14ac:dyDescent="0.25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TRUNC(VLOOKUP(P281,'Color codes'!$A:$E,3,FALSE)*(0.25 + 0.75*Q281/40))</f>
        <v>154</v>
      </c>
      <c r="T281">
        <f>TRUNC(VLOOKUP(P281,'Color codes'!$A:$E,4,FALSE)*(0.25 + 0.75*Q281/40))</f>
        <v>64</v>
      </c>
      <c r="U281">
        <f>TRUNC(VLOOKUP(P281,'Color codes'!$A:$E,5,FALSE)*(0.25 + 0.75*Q281/40))</f>
        <v>62</v>
      </c>
      <c r="V281" t="b">
        <f t="shared" si="18"/>
        <v>0</v>
      </c>
    </row>
    <row r="282" spans="1:22" x14ac:dyDescent="0.25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TRUNC(VLOOKUP(P282,'Color codes'!$A:$E,3,FALSE)*(0.25 + 0.75*Q282/40))</f>
        <v>253</v>
      </c>
      <c r="T282">
        <f>TRUNC(VLOOKUP(P282,'Color codes'!$A:$E,4,FALSE)*(0.25 + 0.75*Q282/40))</f>
        <v>106</v>
      </c>
      <c r="U282">
        <f>TRUNC(VLOOKUP(P282,'Color codes'!$A:$E,5,FALSE)*(0.25 + 0.75*Q282/40))</f>
        <v>103</v>
      </c>
      <c r="V282" t="b">
        <f t="shared" si="18"/>
        <v>1</v>
      </c>
    </row>
    <row r="283" spans="1:22" x14ac:dyDescent="0.25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TRUNC(VLOOKUP(P283,'Color codes'!$A:$E,3,FALSE)*(0.25 + 0.75*Q283/40))</f>
        <v>239</v>
      </c>
      <c r="T283">
        <f>TRUNC(VLOOKUP(P283,'Color codes'!$A:$E,4,FALSE)*(0.25 + 0.75*Q283/40))</f>
        <v>100</v>
      </c>
      <c r="U283">
        <f>TRUNC(VLOOKUP(P283,'Color codes'!$A:$E,5,FALSE)*(0.25 + 0.75*Q283/40))</f>
        <v>97</v>
      </c>
      <c r="V283" t="b">
        <f t="shared" si="18"/>
        <v>1</v>
      </c>
    </row>
    <row r="284" spans="1:22" x14ac:dyDescent="0.25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TRUNC(VLOOKUP(P284,'Color codes'!$A:$E,3,FALSE)*(0.25 + 0.75*Q284/40))</f>
        <v>224</v>
      </c>
      <c r="T284">
        <f>TRUNC(VLOOKUP(P284,'Color codes'!$A:$E,4,FALSE)*(0.25 + 0.75*Q284/40))</f>
        <v>94</v>
      </c>
      <c r="U284">
        <f>TRUNC(VLOOKUP(P284,'Color codes'!$A:$E,5,FALSE)*(0.25 + 0.75*Q284/40))</f>
        <v>91</v>
      </c>
      <c r="V284" t="b">
        <f t="shared" si="18"/>
        <v>1</v>
      </c>
    </row>
    <row r="285" spans="1:22" x14ac:dyDescent="0.25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TRUNC(VLOOKUP(P285,'Color codes'!$A:$E,3,FALSE)*(0.25 + 0.75*Q285/40))</f>
        <v>210</v>
      </c>
      <c r="T285">
        <f>TRUNC(VLOOKUP(P285,'Color codes'!$A:$E,4,FALSE)*(0.25 + 0.75*Q285/40))</f>
        <v>88</v>
      </c>
      <c r="U285">
        <f>TRUNC(VLOOKUP(P285,'Color codes'!$A:$E,5,FALSE)*(0.25 + 0.75*Q285/40))</f>
        <v>85</v>
      </c>
      <c r="V285" t="b">
        <f t="shared" si="18"/>
        <v>1</v>
      </c>
    </row>
    <row r="286" spans="1:22" x14ac:dyDescent="0.25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TRUNC(VLOOKUP(P286,'Color codes'!$A:$E,3,FALSE)*(0.25 + 0.75*Q286/40))</f>
        <v>196</v>
      </c>
      <c r="T286">
        <f>TRUNC(VLOOKUP(P286,'Color codes'!$A:$E,4,FALSE)*(0.25 + 0.75*Q286/40))</f>
        <v>82</v>
      </c>
      <c r="U286">
        <f>TRUNC(VLOOKUP(P286,'Color codes'!$A:$E,5,FALSE)*(0.25 + 0.75*Q286/40))</f>
        <v>80</v>
      </c>
      <c r="V286" t="b">
        <f t="shared" si="18"/>
        <v>1</v>
      </c>
    </row>
    <row r="287" spans="1:22" x14ac:dyDescent="0.25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TRUNC(VLOOKUP(P287,'Color codes'!$A:$E,3,FALSE)*(0.25 + 0.75*Q287/40))</f>
        <v>182</v>
      </c>
      <c r="T287">
        <f>TRUNC(VLOOKUP(P287,'Color codes'!$A:$E,4,FALSE)*(0.25 + 0.75*Q287/40))</f>
        <v>76</v>
      </c>
      <c r="U287">
        <f>TRUNC(VLOOKUP(P287,'Color codes'!$A:$E,5,FALSE)*(0.25 + 0.75*Q287/40))</f>
        <v>74</v>
      </c>
      <c r="V287" t="b">
        <f t="shared" si="18"/>
        <v>1</v>
      </c>
    </row>
    <row r="288" spans="1:22" x14ac:dyDescent="0.25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TRUNC(VLOOKUP(P288,'Color codes'!$A:$E,3,FALSE)*(0.25 + 0.75*Q288/40))</f>
        <v>168</v>
      </c>
      <c r="T288">
        <f>TRUNC(VLOOKUP(P288,'Color codes'!$A:$E,4,FALSE)*(0.25 + 0.75*Q288/40))</f>
        <v>70</v>
      </c>
      <c r="U288">
        <f>TRUNC(VLOOKUP(P288,'Color codes'!$A:$E,5,FALSE)*(0.25 + 0.75*Q288/40))</f>
        <v>68</v>
      </c>
      <c r="V288" t="b">
        <f t="shared" si="18"/>
        <v>1</v>
      </c>
    </row>
    <row r="289" spans="1:22" x14ac:dyDescent="0.25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TRUNC(VLOOKUP(P289,'Color codes'!$A:$E,3,FALSE)*(0.25 + 0.75*Q289/40))</f>
        <v>154</v>
      </c>
      <c r="T289">
        <f>TRUNC(VLOOKUP(P289,'Color codes'!$A:$E,4,FALSE)*(0.25 + 0.75*Q289/40))</f>
        <v>64</v>
      </c>
      <c r="U289">
        <f>TRUNC(VLOOKUP(P289,'Color codes'!$A:$E,5,FALSE)*(0.25 + 0.75*Q289/40))</f>
        <v>62</v>
      </c>
      <c r="V289" t="b">
        <f t="shared" si="18"/>
        <v>1</v>
      </c>
    </row>
    <row r="290" spans="1:22" x14ac:dyDescent="0.25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TRUNC(VLOOKUP(P290,'Color codes'!$A:$E,3,FALSE)*(0.25 + 0.75*Q290/40))</f>
        <v>253</v>
      </c>
      <c r="T290">
        <f>TRUNC(VLOOKUP(P290,'Color codes'!$A:$E,4,FALSE)*(0.25 + 0.75*Q290/40))</f>
        <v>106</v>
      </c>
      <c r="U290">
        <f>TRUNC(VLOOKUP(P290,'Color codes'!$A:$E,5,FALSE)*(0.25 + 0.75*Q290/40))</f>
        <v>103</v>
      </c>
      <c r="V290" t="b">
        <f t="shared" si="18"/>
        <v>1</v>
      </c>
    </row>
    <row r="291" spans="1:22" x14ac:dyDescent="0.25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TRUNC(VLOOKUP(P291,'Color codes'!$A:$E,3,FALSE)*(0.25 + 0.75*Q291/40))</f>
        <v>239</v>
      </c>
      <c r="T291">
        <f>TRUNC(VLOOKUP(P291,'Color codes'!$A:$E,4,FALSE)*(0.25 + 0.75*Q291/40))</f>
        <v>100</v>
      </c>
      <c r="U291">
        <f>TRUNC(VLOOKUP(P291,'Color codes'!$A:$E,5,FALSE)*(0.25 + 0.75*Q291/40))</f>
        <v>97</v>
      </c>
      <c r="V291" t="b">
        <f t="shared" si="18"/>
        <v>1</v>
      </c>
    </row>
    <row r="292" spans="1:22" x14ac:dyDescent="0.25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TRUNC(VLOOKUP(P292,'Color codes'!$A:$E,3,FALSE)*(0.25 + 0.75*Q292/40))</f>
        <v>225</v>
      </c>
      <c r="T292">
        <f>TRUNC(VLOOKUP(P292,'Color codes'!$A:$E,4,FALSE)*(0.25 + 0.75*Q292/40))</f>
        <v>94</v>
      </c>
      <c r="U292">
        <f>TRUNC(VLOOKUP(P292,'Color codes'!$A:$E,5,FALSE)*(0.25 + 0.75*Q292/40))</f>
        <v>91</v>
      </c>
      <c r="V292" t="b">
        <f t="shared" si="18"/>
        <v>0</v>
      </c>
    </row>
    <row r="293" spans="1:22" x14ac:dyDescent="0.25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TRUNC(VLOOKUP(P293,'Color codes'!$A:$E,3,FALSE)*(0.25 + 0.75*Q293/40))</f>
        <v>90</v>
      </c>
      <c r="T293">
        <f>TRUNC(VLOOKUP(P293,'Color codes'!$A:$E,4,FALSE)*(0.25 + 0.75*Q293/40))</f>
        <v>148</v>
      </c>
      <c r="U293">
        <f>TRUNC(VLOOKUP(P293,'Color codes'!$A:$E,5,FALSE)*(0.25 + 0.75*Q293/40))</f>
        <v>215</v>
      </c>
      <c r="V293" t="b">
        <f t="shared" si="18"/>
        <v>0</v>
      </c>
    </row>
    <row r="294" spans="1:22" x14ac:dyDescent="0.25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TRUNC(VLOOKUP(P294,'Color codes'!$A:$E,3,FALSE)*(0.25 + 0.75*Q294/40))</f>
        <v>85</v>
      </c>
      <c r="T294">
        <f>TRUNC(VLOOKUP(P294,'Color codes'!$A:$E,4,FALSE)*(0.25 + 0.75*Q294/40))</f>
        <v>141</v>
      </c>
      <c r="U294">
        <f>TRUNC(VLOOKUP(P294,'Color codes'!$A:$E,5,FALSE)*(0.25 + 0.75*Q294/40))</f>
        <v>204</v>
      </c>
      <c r="V294" t="b">
        <f t="shared" ref="V294:V357" si="22">(ABS(N294-O294)  &gt; 1)</f>
        <v>1</v>
      </c>
    </row>
    <row r="295" spans="1:22" x14ac:dyDescent="0.25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TRUNC(VLOOKUP(P295,'Color codes'!$A:$E,3,FALSE)*(0.25 + 0.75*Q295/40))</f>
        <v>82</v>
      </c>
      <c r="T295">
        <f>TRUNC(VLOOKUP(P295,'Color codes'!$A:$E,4,FALSE)*(0.25 + 0.75*Q295/40))</f>
        <v>135</v>
      </c>
      <c r="U295">
        <f>TRUNC(VLOOKUP(P295,'Color codes'!$A:$E,5,FALSE)*(0.25 + 0.75*Q295/40))</f>
        <v>195</v>
      </c>
      <c r="V295" t="b">
        <f t="shared" si="22"/>
        <v>1</v>
      </c>
    </row>
    <row r="296" spans="1:22" x14ac:dyDescent="0.25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TRUNC(VLOOKUP(P296,'Color codes'!$A:$E,3,FALSE)*(0.25 + 0.75*Q296/40))</f>
        <v>77</v>
      </c>
      <c r="T296">
        <f>TRUNC(VLOOKUP(P296,'Color codes'!$A:$E,4,FALSE)*(0.25 + 0.75*Q296/40))</f>
        <v>126</v>
      </c>
      <c r="U296">
        <f>TRUNC(VLOOKUP(P296,'Color codes'!$A:$E,5,FALSE)*(0.25 + 0.75*Q296/40))</f>
        <v>183</v>
      </c>
      <c r="V296" t="b">
        <f t="shared" si="22"/>
        <v>1</v>
      </c>
    </row>
    <row r="297" spans="1:22" x14ac:dyDescent="0.25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TRUNC(VLOOKUP(P297,'Color codes'!$A:$E,3,FALSE)*(0.25 + 0.75*Q297/40))</f>
        <v>72</v>
      </c>
      <c r="T297">
        <f>TRUNC(VLOOKUP(P297,'Color codes'!$A:$E,4,FALSE)*(0.25 + 0.75*Q297/40))</f>
        <v>119</v>
      </c>
      <c r="U297">
        <f>TRUNC(VLOOKUP(P297,'Color codes'!$A:$E,5,FALSE)*(0.25 + 0.75*Q297/40))</f>
        <v>172</v>
      </c>
      <c r="V297" t="b">
        <f t="shared" si="22"/>
        <v>1</v>
      </c>
    </row>
    <row r="298" spans="1:22" x14ac:dyDescent="0.25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TRUNC(VLOOKUP(P298,'Color codes'!$A:$E,3,FALSE)*(0.25 + 0.75*Q298/40))</f>
        <v>253</v>
      </c>
      <c r="T298">
        <f>TRUNC(VLOOKUP(P298,'Color codes'!$A:$E,4,FALSE)*(0.25 + 0.75*Q298/40))</f>
        <v>106</v>
      </c>
      <c r="U298">
        <f>TRUNC(VLOOKUP(P298,'Color codes'!$A:$E,5,FALSE)*(0.25 + 0.75*Q298/40))</f>
        <v>103</v>
      </c>
      <c r="V298" t="b">
        <f t="shared" si="22"/>
        <v>1</v>
      </c>
    </row>
    <row r="299" spans="1:22" x14ac:dyDescent="0.25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TRUNC(VLOOKUP(P299,'Color codes'!$A:$E,3,FALSE)*(0.25 + 0.75*Q299/40))</f>
        <v>239</v>
      </c>
      <c r="T299">
        <f>TRUNC(VLOOKUP(P299,'Color codes'!$A:$E,4,FALSE)*(0.25 + 0.75*Q299/40))</f>
        <v>100</v>
      </c>
      <c r="U299">
        <f>TRUNC(VLOOKUP(P299,'Color codes'!$A:$E,5,FALSE)*(0.25 + 0.75*Q299/40))</f>
        <v>97</v>
      </c>
      <c r="V299" t="b">
        <f t="shared" si="22"/>
        <v>1</v>
      </c>
    </row>
    <row r="300" spans="1:22" x14ac:dyDescent="0.25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TRUNC(VLOOKUP(P300,'Color codes'!$A:$E,3,FALSE)*(0.25 + 0.75*Q300/40))</f>
        <v>224</v>
      </c>
      <c r="T300">
        <f>TRUNC(VLOOKUP(P300,'Color codes'!$A:$E,4,FALSE)*(0.25 + 0.75*Q300/40))</f>
        <v>94</v>
      </c>
      <c r="U300">
        <f>TRUNC(VLOOKUP(P300,'Color codes'!$A:$E,5,FALSE)*(0.25 + 0.75*Q300/40))</f>
        <v>91</v>
      </c>
      <c r="V300" t="b">
        <f t="shared" si="22"/>
        <v>1</v>
      </c>
    </row>
    <row r="301" spans="1:22" x14ac:dyDescent="0.25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TRUNC(VLOOKUP(P301,'Color codes'!$A:$E,3,FALSE)*(0.25 + 0.75*Q301/40))</f>
        <v>210</v>
      </c>
      <c r="T301">
        <f>TRUNC(VLOOKUP(P301,'Color codes'!$A:$E,4,FALSE)*(0.25 + 0.75*Q301/40))</f>
        <v>88</v>
      </c>
      <c r="U301">
        <f>TRUNC(VLOOKUP(P301,'Color codes'!$A:$E,5,FALSE)*(0.25 + 0.75*Q301/40))</f>
        <v>85</v>
      </c>
      <c r="V301" t="b">
        <f t="shared" si="22"/>
        <v>1</v>
      </c>
    </row>
    <row r="302" spans="1:22" x14ac:dyDescent="0.25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TRUNC(VLOOKUP(P302,'Color codes'!$A:$E,3,FALSE)*(0.25 + 0.75*Q302/40))</f>
        <v>196</v>
      </c>
      <c r="T302">
        <f>TRUNC(VLOOKUP(P302,'Color codes'!$A:$E,4,FALSE)*(0.25 + 0.75*Q302/40))</f>
        <v>82</v>
      </c>
      <c r="U302">
        <f>TRUNC(VLOOKUP(P302,'Color codes'!$A:$E,5,FALSE)*(0.25 + 0.75*Q302/40))</f>
        <v>80</v>
      </c>
      <c r="V302" t="b">
        <f t="shared" si="22"/>
        <v>1</v>
      </c>
    </row>
    <row r="303" spans="1:22" x14ac:dyDescent="0.25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TRUNC(VLOOKUP(P303,'Color codes'!$A:$E,3,FALSE)*(0.25 + 0.75*Q303/40))</f>
        <v>183</v>
      </c>
      <c r="T303">
        <f>TRUNC(VLOOKUP(P303,'Color codes'!$A:$E,4,FALSE)*(0.25 + 0.75*Q303/40))</f>
        <v>76</v>
      </c>
      <c r="U303">
        <f>TRUNC(VLOOKUP(P303,'Color codes'!$A:$E,5,FALSE)*(0.25 + 0.75*Q303/40))</f>
        <v>74</v>
      </c>
      <c r="V303" t="b">
        <f t="shared" si="22"/>
        <v>0</v>
      </c>
    </row>
    <row r="304" spans="1:22" x14ac:dyDescent="0.25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TRUNC(VLOOKUP(P304,'Color codes'!$A:$E,3,FALSE)*(0.25 + 0.75*Q304/40))</f>
        <v>70</v>
      </c>
      <c r="T304">
        <f>TRUNC(VLOOKUP(P304,'Color codes'!$A:$E,4,FALSE)*(0.25 + 0.75*Q304/40))</f>
        <v>116</v>
      </c>
      <c r="U304">
        <f>TRUNC(VLOOKUP(P304,'Color codes'!$A:$E,5,FALSE)*(0.25 + 0.75*Q304/40))</f>
        <v>168</v>
      </c>
      <c r="V304" t="b">
        <f t="shared" si="22"/>
        <v>0</v>
      </c>
    </row>
    <row r="305" spans="1:22" x14ac:dyDescent="0.25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TRUNC(VLOOKUP(P305,'Color codes'!$A:$E,3,FALSE)*(0.25 + 0.75*Q305/40))</f>
        <v>66</v>
      </c>
      <c r="T305">
        <f>TRUNC(VLOOKUP(P305,'Color codes'!$A:$E,4,FALSE)*(0.25 + 0.75*Q305/40))</f>
        <v>108</v>
      </c>
      <c r="U305">
        <f>TRUNC(VLOOKUP(P305,'Color codes'!$A:$E,5,FALSE)*(0.25 + 0.75*Q305/40))</f>
        <v>157</v>
      </c>
      <c r="V305" t="b">
        <f t="shared" si="22"/>
        <v>0</v>
      </c>
    </row>
    <row r="306" spans="1:22" x14ac:dyDescent="0.25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TRUNC(VLOOKUP(P306,'Color codes'!$A:$E,3,FALSE)*(0.25 + 0.75*Q306/40))</f>
        <v>253</v>
      </c>
      <c r="T306">
        <f>TRUNC(VLOOKUP(P306,'Color codes'!$A:$E,4,FALSE)*(0.25 + 0.75*Q306/40))</f>
        <v>106</v>
      </c>
      <c r="U306">
        <f>TRUNC(VLOOKUP(P306,'Color codes'!$A:$E,5,FALSE)*(0.25 + 0.75*Q306/40))</f>
        <v>103</v>
      </c>
      <c r="V306" t="b">
        <f t="shared" si="22"/>
        <v>1</v>
      </c>
    </row>
    <row r="307" spans="1:22" x14ac:dyDescent="0.25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TRUNC(VLOOKUP(P307,'Color codes'!$A:$E,3,FALSE)*(0.25 + 0.75*Q307/40))</f>
        <v>238</v>
      </c>
      <c r="T307">
        <f>TRUNC(VLOOKUP(P307,'Color codes'!$A:$E,4,FALSE)*(0.25 + 0.75*Q307/40))</f>
        <v>100</v>
      </c>
      <c r="U307">
        <f>TRUNC(VLOOKUP(P307,'Color codes'!$A:$E,5,FALSE)*(0.25 + 0.75*Q307/40))</f>
        <v>97</v>
      </c>
      <c r="V307" t="b">
        <f t="shared" si="22"/>
        <v>1</v>
      </c>
    </row>
    <row r="308" spans="1:22" x14ac:dyDescent="0.25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TRUNC(VLOOKUP(P308,'Color codes'!$A:$E,3,FALSE)*(0.25 + 0.75*Q308/40))</f>
        <v>223</v>
      </c>
      <c r="T308">
        <f>TRUNC(VLOOKUP(P308,'Color codes'!$A:$E,4,FALSE)*(0.25 + 0.75*Q308/40))</f>
        <v>93</v>
      </c>
      <c r="U308">
        <f>TRUNC(VLOOKUP(P308,'Color codes'!$A:$E,5,FALSE)*(0.25 + 0.75*Q308/40))</f>
        <v>91</v>
      </c>
      <c r="V308" t="b">
        <f t="shared" si="22"/>
        <v>1</v>
      </c>
    </row>
    <row r="309" spans="1:22" x14ac:dyDescent="0.25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TRUNC(VLOOKUP(P309,'Color codes'!$A:$E,3,FALSE)*(0.25 + 0.75*Q309/40))</f>
        <v>210</v>
      </c>
      <c r="T309">
        <f>TRUNC(VLOOKUP(P309,'Color codes'!$A:$E,4,FALSE)*(0.25 + 0.75*Q309/40))</f>
        <v>88</v>
      </c>
      <c r="U309">
        <f>TRUNC(VLOOKUP(P309,'Color codes'!$A:$E,5,FALSE)*(0.25 + 0.75*Q309/40))</f>
        <v>85</v>
      </c>
      <c r="V309" t="b">
        <f t="shared" si="22"/>
        <v>1</v>
      </c>
    </row>
    <row r="310" spans="1:22" x14ac:dyDescent="0.25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TRUNC(VLOOKUP(P310,'Color codes'!$A:$E,3,FALSE)*(0.25 + 0.75*Q310/40))</f>
        <v>196</v>
      </c>
      <c r="T310">
        <f>TRUNC(VLOOKUP(P310,'Color codes'!$A:$E,4,FALSE)*(0.25 + 0.75*Q310/40))</f>
        <v>82</v>
      </c>
      <c r="U310">
        <f>TRUNC(VLOOKUP(P310,'Color codes'!$A:$E,5,FALSE)*(0.25 + 0.75*Q310/40))</f>
        <v>80</v>
      </c>
      <c r="V310" t="b">
        <f t="shared" si="22"/>
        <v>1</v>
      </c>
    </row>
    <row r="311" spans="1:22" x14ac:dyDescent="0.25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TRUNC(VLOOKUP(P311,'Color codes'!$A:$E,3,FALSE)*(0.25 + 0.75*Q311/40))</f>
        <v>182</v>
      </c>
      <c r="T311">
        <f>TRUNC(VLOOKUP(P311,'Color codes'!$A:$E,4,FALSE)*(0.25 + 0.75*Q311/40))</f>
        <v>76</v>
      </c>
      <c r="U311">
        <f>TRUNC(VLOOKUP(P311,'Color codes'!$A:$E,5,FALSE)*(0.25 + 0.75*Q311/40))</f>
        <v>74</v>
      </c>
      <c r="V311" t="b">
        <f t="shared" si="22"/>
        <v>1</v>
      </c>
    </row>
    <row r="312" spans="1:22" x14ac:dyDescent="0.25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TRUNC(VLOOKUP(P312,'Color codes'!$A:$E,3,FALSE)*(0.25 + 0.75*Q312/40))</f>
        <v>168</v>
      </c>
      <c r="T312">
        <f>TRUNC(VLOOKUP(P312,'Color codes'!$A:$E,4,FALSE)*(0.25 + 0.75*Q312/40))</f>
        <v>70</v>
      </c>
      <c r="U312">
        <f>TRUNC(VLOOKUP(P312,'Color codes'!$A:$E,5,FALSE)*(0.25 + 0.75*Q312/40))</f>
        <v>68</v>
      </c>
      <c r="V312" t="b">
        <f t="shared" si="22"/>
        <v>0</v>
      </c>
    </row>
    <row r="313" spans="1:22" x14ac:dyDescent="0.25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TRUNC(VLOOKUP(P313,'Color codes'!$A:$E,3,FALSE)*(0.25 + 0.75*Q313/40))</f>
        <v>64</v>
      </c>
      <c r="T313">
        <f>TRUNC(VLOOKUP(P313,'Color codes'!$A:$E,4,FALSE)*(0.25 + 0.75*Q313/40))</f>
        <v>106</v>
      </c>
      <c r="U313">
        <f>TRUNC(VLOOKUP(P313,'Color codes'!$A:$E,5,FALSE)*(0.25 + 0.75*Q313/40))</f>
        <v>154</v>
      </c>
      <c r="V313" t="b">
        <f t="shared" si="22"/>
        <v>0</v>
      </c>
    </row>
    <row r="314" spans="1:22" x14ac:dyDescent="0.25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TRUNC(VLOOKUP(P314,'Color codes'!$A:$E,3,FALSE)*(0.25 + 0.75*Q314/40))</f>
        <v>254</v>
      </c>
      <c r="T314">
        <f>TRUNC(VLOOKUP(P314,'Color codes'!$A:$E,4,FALSE)*(0.25 + 0.75*Q314/40))</f>
        <v>106</v>
      </c>
      <c r="U314">
        <f>TRUNC(VLOOKUP(P314,'Color codes'!$A:$E,5,FALSE)*(0.25 + 0.75*Q314/40))</f>
        <v>103</v>
      </c>
      <c r="V314" t="b">
        <f t="shared" si="22"/>
        <v>1</v>
      </c>
    </row>
    <row r="315" spans="1:22" x14ac:dyDescent="0.25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TRUNC(VLOOKUP(P315,'Color codes'!$A:$E,3,FALSE)*(0.25 + 0.75*Q315/40))</f>
        <v>239</v>
      </c>
      <c r="T315">
        <f>TRUNC(VLOOKUP(P315,'Color codes'!$A:$E,4,FALSE)*(0.25 + 0.75*Q315/40))</f>
        <v>100</v>
      </c>
      <c r="U315">
        <f>TRUNC(VLOOKUP(P315,'Color codes'!$A:$E,5,FALSE)*(0.25 + 0.75*Q315/40))</f>
        <v>97</v>
      </c>
      <c r="V315" t="b">
        <f t="shared" si="22"/>
        <v>1</v>
      </c>
    </row>
    <row r="316" spans="1:22" x14ac:dyDescent="0.25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TRUNC(VLOOKUP(P316,'Color codes'!$A:$E,3,FALSE)*(0.25 + 0.75*Q316/40))</f>
        <v>223</v>
      </c>
      <c r="T316">
        <f>TRUNC(VLOOKUP(P316,'Color codes'!$A:$E,4,FALSE)*(0.25 + 0.75*Q316/40))</f>
        <v>93</v>
      </c>
      <c r="U316">
        <f>TRUNC(VLOOKUP(P316,'Color codes'!$A:$E,5,FALSE)*(0.25 + 0.75*Q316/40))</f>
        <v>91</v>
      </c>
      <c r="V316" t="b">
        <f t="shared" si="22"/>
        <v>1</v>
      </c>
    </row>
    <row r="317" spans="1:22" x14ac:dyDescent="0.25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TRUNC(VLOOKUP(P317,'Color codes'!$A:$E,3,FALSE)*(0.25 + 0.75*Q317/40))</f>
        <v>210</v>
      </c>
      <c r="T317">
        <f>TRUNC(VLOOKUP(P317,'Color codes'!$A:$E,4,FALSE)*(0.25 + 0.75*Q317/40))</f>
        <v>88</v>
      </c>
      <c r="U317">
        <f>TRUNC(VLOOKUP(P317,'Color codes'!$A:$E,5,FALSE)*(0.25 + 0.75*Q317/40))</f>
        <v>85</v>
      </c>
      <c r="V317" t="b">
        <f t="shared" si="22"/>
        <v>1</v>
      </c>
    </row>
    <row r="318" spans="1:22" x14ac:dyDescent="0.25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TRUNC(VLOOKUP(P318,'Color codes'!$A:$E,3,FALSE)*(0.25 + 0.75*Q318/40))</f>
        <v>195</v>
      </c>
      <c r="T318">
        <f>TRUNC(VLOOKUP(P318,'Color codes'!$A:$E,4,FALSE)*(0.25 + 0.75*Q318/40))</f>
        <v>82</v>
      </c>
      <c r="U318">
        <f>TRUNC(VLOOKUP(P318,'Color codes'!$A:$E,5,FALSE)*(0.25 + 0.75*Q318/40))</f>
        <v>79</v>
      </c>
      <c r="V318" t="b">
        <f t="shared" si="22"/>
        <v>1</v>
      </c>
    </row>
    <row r="319" spans="1:22" x14ac:dyDescent="0.25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TRUNC(VLOOKUP(P319,'Color codes'!$A:$E,3,FALSE)*(0.25 + 0.75*Q319/40))</f>
        <v>182</v>
      </c>
      <c r="T319">
        <f>TRUNC(VLOOKUP(P319,'Color codes'!$A:$E,4,FALSE)*(0.25 + 0.75*Q319/40))</f>
        <v>76</v>
      </c>
      <c r="U319">
        <f>TRUNC(VLOOKUP(P319,'Color codes'!$A:$E,5,FALSE)*(0.25 + 0.75*Q319/40))</f>
        <v>74</v>
      </c>
      <c r="V319" t="b">
        <f t="shared" si="22"/>
        <v>1</v>
      </c>
    </row>
    <row r="320" spans="1:22" x14ac:dyDescent="0.25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TRUNC(VLOOKUP(P320,'Color codes'!$A:$E,3,FALSE)*(0.25 + 0.75*Q320/40))</f>
        <v>168</v>
      </c>
      <c r="T320">
        <f>TRUNC(VLOOKUP(P320,'Color codes'!$A:$E,4,FALSE)*(0.25 + 0.75*Q320/40))</f>
        <v>70</v>
      </c>
      <c r="U320">
        <f>TRUNC(VLOOKUP(P320,'Color codes'!$A:$E,5,FALSE)*(0.25 + 0.75*Q320/40))</f>
        <v>68</v>
      </c>
      <c r="V320" t="b">
        <f t="shared" si="22"/>
        <v>1</v>
      </c>
    </row>
    <row r="321" spans="1:22" x14ac:dyDescent="0.25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TRUNC(VLOOKUP(P321,'Color codes'!$A:$E,3,FALSE)*(0.25 + 0.75*Q321/40))</f>
        <v>154</v>
      </c>
      <c r="T321">
        <f>TRUNC(VLOOKUP(P321,'Color codes'!$A:$E,4,FALSE)*(0.25 + 0.75*Q321/40))</f>
        <v>64</v>
      </c>
      <c r="U321">
        <f>TRUNC(VLOOKUP(P321,'Color codes'!$A:$E,5,FALSE)*(0.25 + 0.75*Q321/40))</f>
        <v>63</v>
      </c>
      <c r="V321" t="b">
        <f t="shared" si="22"/>
        <v>1</v>
      </c>
    </row>
    <row r="322" spans="1:22" x14ac:dyDescent="0.25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TRUNC(VLOOKUP(P322,'Color codes'!$A:$E,3,FALSE)*(0.25 + 0.75*Q322/40))</f>
        <v>254</v>
      </c>
      <c r="T322">
        <f>TRUNC(VLOOKUP(P322,'Color codes'!$A:$E,4,FALSE)*(0.25 + 0.75*Q322/40))</f>
        <v>106</v>
      </c>
      <c r="U322">
        <f>TRUNC(VLOOKUP(P322,'Color codes'!$A:$E,5,FALSE)*(0.25 + 0.75*Q322/40))</f>
        <v>103</v>
      </c>
      <c r="V322" t="b">
        <f t="shared" si="22"/>
        <v>1</v>
      </c>
    </row>
    <row r="323" spans="1:22" x14ac:dyDescent="0.25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TRUNC(VLOOKUP(P323,'Color codes'!$A:$E,3,FALSE)*(0.25 + 0.75*Q323/40))</f>
        <v>238</v>
      </c>
      <c r="T323">
        <f>TRUNC(VLOOKUP(P323,'Color codes'!$A:$E,4,FALSE)*(0.25 + 0.75*Q323/40))</f>
        <v>100</v>
      </c>
      <c r="U323">
        <f>TRUNC(VLOOKUP(P323,'Color codes'!$A:$E,5,FALSE)*(0.25 + 0.75*Q323/40))</f>
        <v>97</v>
      </c>
      <c r="V323" t="b">
        <f t="shared" si="22"/>
        <v>1</v>
      </c>
    </row>
    <row r="324" spans="1:22" x14ac:dyDescent="0.25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TRUNC(VLOOKUP(P324,'Color codes'!$A:$E,3,FALSE)*(0.25 + 0.75*Q324/40))</f>
        <v>225</v>
      </c>
      <c r="T324">
        <f>TRUNC(VLOOKUP(P324,'Color codes'!$A:$E,4,FALSE)*(0.25 + 0.75*Q324/40))</f>
        <v>94</v>
      </c>
      <c r="U324">
        <f>TRUNC(VLOOKUP(P324,'Color codes'!$A:$E,5,FALSE)*(0.25 + 0.75*Q324/40))</f>
        <v>91</v>
      </c>
      <c r="V324" t="b">
        <f t="shared" si="22"/>
        <v>0</v>
      </c>
    </row>
    <row r="325" spans="1:22" x14ac:dyDescent="0.25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TRUNC(VLOOKUP(P325,'Color codes'!$A:$E,3,FALSE)*(0.25 + 0.75*Q325/40))</f>
        <v>90</v>
      </c>
      <c r="T325">
        <f>TRUNC(VLOOKUP(P325,'Color codes'!$A:$E,4,FALSE)*(0.25 + 0.75*Q325/40))</f>
        <v>149</v>
      </c>
      <c r="U325">
        <f>TRUNC(VLOOKUP(P325,'Color codes'!$A:$E,5,FALSE)*(0.25 + 0.75*Q325/40))</f>
        <v>216</v>
      </c>
      <c r="V325" t="b">
        <f t="shared" si="22"/>
        <v>1</v>
      </c>
    </row>
    <row r="326" spans="1:22" x14ac:dyDescent="0.25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TRUNC(VLOOKUP(P326,'Color codes'!$A:$E,3,FALSE)*(0.25 + 0.75*Q326/40))</f>
        <v>87</v>
      </c>
      <c r="T326">
        <f>TRUNC(VLOOKUP(P326,'Color codes'!$A:$E,4,FALSE)*(0.25 + 0.75*Q326/40))</f>
        <v>144</v>
      </c>
      <c r="U326">
        <f>TRUNC(VLOOKUP(P326,'Color codes'!$A:$E,5,FALSE)*(0.25 + 0.75*Q326/40))</f>
        <v>209</v>
      </c>
      <c r="V326" t="b">
        <f t="shared" si="22"/>
        <v>1</v>
      </c>
    </row>
    <row r="327" spans="1:22" x14ac:dyDescent="0.25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TRUNC(VLOOKUP(P327,'Color codes'!$A:$E,3,FALSE)*(0.25 + 0.75*Q327/40))</f>
        <v>85</v>
      </c>
      <c r="T327">
        <f>TRUNC(VLOOKUP(P327,'Color codes'!$A:$E,4,FALSE)*(0.25 + 0.75*Q327/40))</f>
        <v>140</v>
      </c>
      <c r="U327">
        <f>TRUNC(VLOOKUP(P327,'Color codes'!$A:$E,5,FALSE)*(0.25 + 0.75*Q327/40))</f>
        <v>203</v>
      </c>
      <c r="V327" t="b">
        <f t="shared" si="22"/>
        <v>1</v>
      </c>
    </row>
    <row r="328" spans="1:22" x14ac:dyDescent="0.25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TRUNC(VLOOKUP(P328,'Color codes'!$A:$E,3,FALSE)*(0.25 + 0.75*Q328/40))</f>
        <v>76</v>
      </c>
      <c r="T328">
        <f>TRUNC(VLOOKUP(P328,'Color codes'!$A:$E,4,FALSE)*(0.25 + 0.75*Q328/40))</f>
        <v>126</v>
      </c>
      <c r="U328">
        <f>TRUNC(VLOOKUP(P328,'Color codes'!$A:$E,5,FALSE)*(0.25 + 0.75*Q328/40))</f>
        <v>182</v>
      </c>
      <c r="V328" t="b">
        <f t="shared" si="22"/>
        <v>1</v>
      </c>
    </row>
    <row r="329" spans="1:22" x14ac:dyDescent="0.25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TRUNC(VLOOKUP(P329,'Color codes'!$A:$E,3,FALSE)*(0.25 + 0.75*Q329/40))</f>
        <v>81</v>
      </c>
      <c r="T329">
        <f>TRUNC(VLOOKUP(P329,'Color codes'!$A:$E,4,FALSE)*(0.25 + 0.75*Q329/40))</f>
        <v>133</v>
      </c>
      <c r="U329">
        <f>TRUNC(VLOOKUP(P329,'Color codes'!$A:$E,5,FALSE)*(0.25 + 0.75*Q329/40))</f>
        <v>193</v>
      </c>
      <c r="V329" t="b">
        <f t="shared" si="22"/>
        <v>1</v>
      </c>
    </row>
    <row r="330" spans="1:22" x14ac:dyDescent="0.25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TRUNC(VLOOKUP(P330,'Color codes'!$A:$E,3,FALSE)*(0.25 + 0.75*Q330/40))</f>
        <v>253</v>
      </c>
      <c r="T330">
        <f>TRUNC(VLOOKUP(P330,'Color codes'!$A:$E,4,FALSE)*(0.25 + 0.75*Q330/40))</f>
        <v>106</v>
      </c>
      <c r="U330">
        <f>TRUNC(VLOOKUP(P330,'Color codes'!$A:$E,5,FALSE)*(0.25 + 0.75*Q330/40))</f>
        <v>103</v>
      </c>
      <c r="V330" t="b">
        <f t="shared" si="22"/>
        <v>1</v>
      </c>
    </row>
    <row r="331" spans="1:22" x14ac:dyDescent="0.25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TRUNC(VLOOKUP(P331,'Color codes'!$A:$E,3,FALSE)*(0.25 + 0.75*Q331/40))</f>
        <v>239</v>
      </c>
      <c r="T331">
        <f>TRUNC(VLOOKUP(P331,'Color codes'!$A:$E,4,FALSE)*(0.25 + 0.75*Q331/40))</f>
        <v>100</v>
      </c>
      <c r="U331">
        <f>TRUNC(VLOOKUP(P331,'Color codes'!$A:$E,5,FALSE)*(0.25 + 0.75*Q331/40))</f>
        <v>97</v>
      </c>
      <c r="V331" t="b">
        <f t="shared" si="22"/>
        <v>1</v>
      </c>
    </row>
    <row r="332" spans="1:22" x14ac:dyDescent="0.25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TRUNC(VLOOKUP(P332,'Color codes'!$A:$E,3,FALSE)*(0.25 + 0.75*Q332/40))</f>
        <v>224</v>
      </c>
      <c r="T332">
        <f>TRUNC(VLOOKUP(P332,'Color codes'!$A:$E,4,FALSE)*(0.25 + 0.75*Q332/40))</f>
        <v>94</v>
      </c>
      <c r="U332">
        <f>TRUNC(VLOOKUP(P332,'Color codes'!$A:$E,5,FALSE)*(0.25 + 0.75*Q332/40))</f>
        <v>91</v>
      </c>
      <c r="V332" t="b">
        <f t="shared" si="22"/>
        <v>1</v>
      </c>
    </row>
    <row r="333" spans="1:22" x14ac:dyDescent="0.25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TRUNC(VLOOKUP(P333,'Color codes'!$A:$E,3,FALSE)*(0.25 + 0.75*Q333/40))</f>
        <v>210</v>
      </c>
      <c r="T333">
        <f>TRUNC(VLOOKUP(P333,'Color codes'!$A:$E,4,FALSE)*(0.25 + 0.75*Q333/40))</f>
        <v>88</v>
      </c>
      <c r="U333">
        <f>TRUNC(VLOOKUP(P333,'Color codes'!$A:$E,5,FALSE)*(0.25 + 0.75*Q333/40))</f>
        <v>85</v>
      </c>
      <c r="V333" t="b">
        <f t="shared" si="22"/>
        <v>1</v>
      </c>
    </row>
    <row r="334" spans="1:22" x14ac:dyDescent="0.25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TRUNC(VLOOKUP(P334,'Color codes'!$A:$E,3,FALSE)*(0.25 + 0.75*Q334/40))</f>
        <v>196</v>
      </c>
      <c r="T334">
        <f>TRUNC(VLOOKUP(P334,'Color codes'!$A:$E,4,FALSE)*(0.25 + 0.75*Q334/40))</f>
        <v>82</v>
      </c>
      <c r="U334">
        <f>TRUNC(VLOOKUP(P334,'Color codes'!$A:$E,5,FALSE)*(0.25 + 0.75*Q334/40))</f>
        <v>80</v>
      </c>
      <c r="V334" t="b">
        <f t="shared" si="22"/>
        <v>0</v>
      </c>
    </row>
    <row r="335" spans="1:22" x14ac:dyDescent="0.25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TRUNC(VLOOKUP(P335,'Color codes'!$A:$E,3,FALSE)*(0.25 + 0.75*Q335/40))</f>
        <v>182</v>
      </c>
      <c r="T335">
        <f>TRUNC(VLOOKUP(P335,'Color codes'!$A:$E,4,FALSE)*(0.25 + 0.75*Q335/40))</f>
        <v>76</v>
      </c>
      <c r="U335">
        <f>TRUNC(VLOOKUP(P335,'Color codes'!$A:$E,5,FALSE)*(0.25 + 0.75*Q335/40))</f>
        <v>74</v>
      </c>
      <c r="V335" t="b">
        <f t="shared" si="22"/>
        <v>0</v>
      </c>
    </row>
    <row r="336" spans="1:22" x14ac:dyDescent="0.25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TRUNC(VLOOKUP(P336,'Color codes'!$A:$E,3,FALSE)*(0.25 + 0.75*Q336/40))</f>
        <v>72</v>
      </c>
      <c r="T336">
        <f>TRUNC(VLOOKUP(P336,'Color codes'!$A:$E,4,FALSE)*(0.25 + 0.75*Q336/40))</f>
        <v>118</v>
      </c>
      <c r="U336">
        <f>TRUNC(VLOOKUP(P336,'Color codes'!$A:$E,5,FALSE)*(0.25 + 0.75*Q336/40))</f>
        <v>172</v>
      </c>
      <c r="V336" t="b">
        <f t="shared" si="22"/>
        <v>0</v>
      </c>
    </row>
    <row r="337" spans="1:22" x14ac:dyDescent="0.25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TRUNC(VLOOKUP(P337,'Color codes'!$A:$E,3,FALSE)*(0.25 + 0.75*Q337/40))</f>
        <v>66</v>
      </c>
      <c r="T337">
        <f>TRUNC(VLOOKUP(P337,'Color codes'!$A:$E,4,FALSE)*(0.25 + 0.75*Q337/40))</f>
        <v>110</v>
      </c>
      <c r="U337">
        <f>TRUNC(VLOOKUP(P337,'Color codes'!$A:$E,5,FALSE)*(0.25 + 0.75*Q337/40))</f>
        <v>159</v>
      </c>
      <c r="V337" t="b">
        <f t="shared" si="22"/>
        <v>1</v>
      </c>
    </row>
    <row r="338" spans="1:22" x14ac:dyDescent="0.25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TRUNC(VLOOKUP(P338,'Color codes'!$A:$E,3,FALSE)*(0.25 + 0.75*Q338/40))</f>
        <v>253</v>
      </c>
      <c r="T338">
        <f>TRUNC(VLOOKUP(P338,'Color codes'!$A:$E,4,FALSE)*(0.25 + 0.75*Q338/40))</f>
        <v>106</v>
      </c>
      <c r="U338">
        <f>TRUNC(VLOOKUP(P338,'Color codes'!$A:$E,5,FALSE)*(0.25 + 0.75*Q338/40))</f>
        <v>103</v>
      </c>
      <c r="V338" t="b">
        <f t="shared" si="22"/>
        <v>1</v>
      </c>
    </row>
    <row r="339" spans="1:22" x14ac:dyDescent="0.25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TRUNC(VLOOKUP(P339,'Color codes'!$A:$E,3,FALSE)*(0.25 + 0.75*Q339/40))</f>
        <v>239</v>
      </c>
      <c r="T339">
        <f>TRUNC(VLOOKUP(P339,'Color codes'!$A:$E,4,FALSE)*(0.25 + 0.75*Q339/40))</f>
        <v>100</v>
      </c>
      <c r="U339">
        <f>TRUNC(VLOOKUP(P339,'Color codes'!$A:$E,5,FALSE)*(0.25 + 0.75*Q339/40))</f>
        <v>97</v>
      </c>
      <c r="V339" t="b">
        <f t="shared" si="22"/>
        <v>1</v>
      </c>
    </row>
    <row r="340" spans="1:22" x14ac:dyDescent="0.25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TRUNC(VLOOKUP(P340,'Color codes'!$A:$E,3,FALSE)*(0.25 + 0.75*Q340/40))</f>
        <v>224</v>
      </c>
      <c r="T340">
        <f>TRUNC(VLOOKUP(P340,'Color codes'!$A:$E,4,FALSE)*(0.25 + 0.75*Q340/40))</f>
        <v>94</v>
      </c>
      <c r="U340">
        <f>TRUNC(VLOOKUP(P340,'Color codes'!$A:$E,5,FALSE)*(0.25 + 0.75*Q340/40))</f>
        <v>91</v>
      </c>
      <c r="V340" t="b">
        <f t="shared" si="22"/>
        <v>1</v>
      </c>
    </row>
    <row r="341" spans="1:22" x14ac:dyDescent="0.25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TRUNC(VLOOKUP(P341,'Color codes'!$A:$E,3,FALSE)*(0.25 + 0.75*Q341/40))</f>
        <v>210</v>
      </c>
      <c r="T341">
        <f>TRUNC(VLOOKUP(P341,'Color codes'!$A:$E,4,FALSE)*(0.25 + 0.75*Q341/40))</f>
        <v>88</v>
      </c>
      <c r="U341">
        <f>TRUNC(VLOOKUP(P341,'Color codes'!$A:$E,5,FALSE)*(0.25 + 0.75*Q341/40))</f>
        <v>85</v>
      </c>
      <c r="V341" t="b">
        <f t="shared" si="22"/>
        <v>1</v>
      </c>
    </row>
    <row r="342" spans="1:22" x14ac:dyDescent="0.25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TRUNC(VLOOKUP(P342,'Color codes'!$A:$E,3,FALSE)*(0.25 + 0.75*Q342/40))</f>
        <v>196</v>
      </c>
      <c r="T342">
        <f>TRUNC(VLOOKUP(P342,'Color codes'!$A:$E,4,FALSE)*(0.25 + 0.75*Q342/40))</f>
        <v>82</v>
      </c>
      <c r="U342">
        <f>TRUNC(VLOOKUP(P342,'Color codes'!$A:$E,5,FALSE)*(0.25 + 0.75*Q342/40))</f>
        <v>80</v>
      </c>
      <c r="V342" t="b">
        <f t="shared" si="22"/>
        <v>1</v>
      </c>
    </row>
    <row r="343" spans="1:22" x14ac:dyDescent="0.25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TRUNC(VLOOKUP(P343,'Color codes'!$A:$E,3,FALSE)*(0.25 + 0.75*Q343/40))</f>
        <v>182</v>
      </c>
      <c r="T343">
        <f>TRUNC(VLOOKUP(P343,'Color codes'!$A:$E,4,FALSE)*(0.25 + 0.75*Q343/40))</f>
        <v>76</v>
      </c>
      <c r="U343">
        <f>TRUNC(VLOOKUP(P343,'Color codes'!$A:$E,5,FALSE)*(0.25 + 0.75*Q343/40))</f>
        <v>74</v>
      </c>
      <c r="V343" t="b">
        <f t="shared" si="22"/>
        <v>1</v>
      </c>
    </row>
    <row r="344" spans="1:22" x14ac:dyDescent="0.25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TRUNC(VLOOKUP(P344,'Color codes'!$A:$E,3,FALSE)*(0.25 + 0.75*Q344/40))</f>
        <v>168</v>
      </c>
      <c r="T344">
        <f>TRUNC(VLOOKUP(P344,'Color codes'!$A:$E,4,FALSE)*(0.25 + 0.75*Q344/40))</f>
        <v>70</v>
      </c>
      <c r="U344">
        <f>TRUNC(VLOOKUP(P344,'Color codes'!$A:$E,5,FALSE)*(0.25 + 0.75*Q344/40))</f>
        <v>68</v>
      </c>
      <c r="V344" t="b">
        <f t="shared" si="22"/>
        <v>1</v>
      </c>
    </row>
    <row r="345" spans="1:22" x14ac:dyDescent="0.25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TRUNC(VLOOKUP(P345,'Color codes'!$A:$E,3,FALSE)*(0.25 + 0.75*Q345/40))</f>
        <v>153</v>
      </c>
      <c r="T345">
        <f>TRUNC(VLOOKUP(P345,'Color codes'!$A:$E,4,FALSE)*(0.25 + 0.75*Q345/40))</f>
        <v>64</v>
      </c>
      <c r="U345">
        <f>TRUNC(VLOOKUP(P345,'Color codes'!$A:$E,5,FALSE)*(0.25 + 0.75*Q345/40))</f>
        <v>62</v>
      </c>
      <c r="V345" t="b">
        <f t="shared" si="22"/>
        <v>1</v>
      </c>
    </row>
    <row r="346" spans="1:22" x14ac:dyDescent="0.25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TRUNC(VLOOKUP(P346,'Color codes'!$A:$E,3,FALSE)*(0.25 + 0.75*Q346/40))</f>
        <v>253</v>
      </c>
      <c r="T346">
        <f>TRUNC(VLOOKUP(P346,'Color codes'!$A:$E,4,FALSE)*(0.25 + 0.75*Q346/40))</f>
        <v>106</v>
      </c>
      <c r="U346">
        <f>TRUNC(VLOOKUP(P346,'Color codes'!$A:$E,5,FALSE)*(0.25 + 0.75*Q346/40))</f>
        <v>103</v>
      </c>
      <c r="V346" t="b">
        <f t="shared" si="22"/>
        <v>1</v>
      </c>
    </row>
    <row r="347" spans="1:22" x14ac:dyDescent="0.25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TRUNC(VLOOKUP(P347,'Color codes'!$A:$E,3,FALSE)*(0.25 + 0.75*Q347/40))</f>
        <v>239</v>
      </c>
      <c r="T347">
        <f>TRUNC(VLOOKUP(P347,'Color codes'!$A:$E,4,FALSE)*(0.25 + 0.75*Q347/40))</f>
        <v>100</v>
      </c>
      <c r="U347">
        <f>TRUNC(VLOOKUP(P347,'Color codes'!$A:$E,5,FALSE)*(0.25 + 0.75*Q347/40))</f>
        <v>97</v>
      </c>
      <c r="V347" t="b">
        <f t="shared" si="22"/>
        <v>1</v>
      </c>
    </row>
    <row r="348" spans="1:22" x14ac:dyDescent="0.25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TRUNC(VLOOKUP(P348,'Color codes'!$A:$E,3,FALSE)*(0.25 + 0.75*Q348/40))</f>
        <v>224</v>
      </c>
      <c r="T348">
        <f>TRUNC(VLOOKUP(P348,'Color codes'!$A:$E,4,FALSE)*(0.25 + 0.75*Q348/40))</f>
        <v>94</v>
      </c>
      <c r="U348">
        <f>TRUNC(VLOOKUP(P348,'Color codes'!$A:$E,5,FALSE)*(0.25 + 0.75*Q348/40))</f>
        <v>91</v>
      </c>
      <c r="V348" t="b">
        <f t="shared" si="22"/>
        <v>1</v>
      </c>
    </row>
    <row r="349" spans="1:22" x14ac:dyDescent="0.25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TRUNC(VLOOKUP(P349,'Color codes'!$A:$E,3,FALSE)*(0.25 + 0.75*Q349/40))</f>
        <v>210</v>
      </c>
      <c r="T349">
        <f>TRUNC(VLOOKUP(P349,'Color codes'!$A:$E,4,FALSE)*(0.25 + 0.75*Q349/40))</f>
        <v>88</v>
      </c>
      <c r="U349">
        <f>TRUNC(VLOOKUP(P349,'Color codes'!$A:$E,5,FALSE)*(0.25 + 0.75*Q349/40))</f>
        <v>85</v>
      </c>
      <c r="V349" t="b">
        <f t="shared" si="22"/>
        <v>1</v>
      </c>
    </row>
    <row r="350" spans="1:22" x14ac:dyDescent="0.25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TRUNC(VLOOKUP(P350,'Color codes'!$A:$E,3,FALSE)*(0.25 + 0.75*Q350/40))</f>
        <v>196</v>
      </c>
      <c r="T350">
        <f>TRUNC(VLOOKUP(P350,'Color codes'!$A:$E,4,FALSE)*(0.25 + 0.75*Q350/40))</f>
        <v>82</v>
      </c>
      <c r="U350">
        <f>TRUNC(VLOOKUP(P350,'Color codes'!$A:$E,5,FALSE)*(0.25 + 0.75*Q350/40))</f>
        <v>80</v>
      </c>
      <c r="V350" t="b">
        <f t="shared" si="22"/>
        <v>1</v>
      </c>
    </row>
    <row r="351" spans="1:22" x14ac:dyDescent="0.25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TRUNC(VLOOKUP(P351,'Color codes'!$A:$E,3,FALSE)*(0.25 + 0.75*Q351/40))</f>
        <v>182</v>
      </c>
      <c r="T351">
        <f>TRUNC(VLOOKUP(P351,'Color codes'!$A:$E,4,FALSE)*(0.25 + 0.75*Q351/40))</f>
        <v>76</v>
      </c>
      <c r="U351">
        <f>TRUNC(VLOOKUP(P351,'Color codes'!$A:$E,5,FALSE)*(0.25 + 0.75*Q351/40))</f>
        <v>74</v>
      </c>
      <c r="V351" t="b">
        <f t="shared" si="22"/>
        <v>1</v>
      </c>
    </row>
    <row r="352" spans="1:22" x14ac:dyDescent="0.25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TRUNC(VLOOKUP(P352,'Color codes'!$A:$E,3,FALSE)*(0.25 + 0.75*Q352/40))</f>
        <v>169</v>
      </c>
      <c r="T352">
        <f>TRUNC(VLOOKUP(P352,'Color codes'!$A:$E,4,FALSE)*(0.25 + 0.75*Q352/40))</f>
        <v>71</v>
      </c>
      <c r="U352">
        <f>TRUNC(VLOOKUP(P352,'Color codes'!$A:$E,5,FALSE)*(0.25 + 0.75*Q352/40))</f>
        <v>69</v>
      </c>
      <c r="V352" t="b">
        <f t="shared" si="22"/>
        <v>1</v>
      </c>
    </row>
    <row r="353" spans="1:22" x14ac:dyDescent="0.25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TRUNC(VLOOKUP(P353,'Color codes'!$A:$E,3,FALSE)*(0.25 + 0.75*Q353/40))</f>
        <v>153</v>
      </c>
      <c r="T353">
        <f>TRUNC(VLOOKUP(P353,'Color codes'!$A:$E,4,FALSE)*(0.25 + 0.75*Q353/40))</f>
        <v>64</v>
      </c>
      <c r="U353">
        <f>TRUNC(VLOOKUP(P353,'Color codes'!$A:$E,5,FALSE)*(0.25 + 0.75*Q353/40))</f>
        <v>62</v>
      </c>
      <c r="V353" t="b">
        <f t="shared" si="22"/>
        <v>1</v>
      </c>
    </row>
    <row r="354" spans="1:22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TRUNC(VLOOKUP(P354,'Color codes'!$A:$E,3,FALSE)*(0.25 + 0.75*Q354/40))</f>
        <v>253</v>
      </c>
      <c r="T354">
        <f>TRUNC(VLOOKUP(P354,'Color codes'!$A:$E,4,FALSE)*(0.25 + 0.75*Q354/40))</f>
        <v>106</v>
      </c>
      <c r="U354">
        <f>TRUNC(VLOOKUP(P354,'Color codes'!$A:$E,5,FALSE)*(0.25 + 0.75*Q354/40))</f>
        <v>103</v>
      </c>
      <c r="V354" t="b">
        <f t="shared" si="22"/>
        <v>1</v>
      </c>
    </row>
    <row r="355" spans="1:22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TRUNC(VLOOKUP(P355,'Color codes'!$A:$E,3,FALSE)*(0.25 + 0.75*Q355/40))</f>
        <v>239</v>
      </c>
      <c r="T355">
        <f>TRUNC(VLOOKUP(P355,'Color codes'!$A:$E,4,FALSE)*(0.25 + 0.75*Q355/40))</f>
        <v>100</v>
      </c>
      <c r="U355">
        <f>TRUNC(VLOOKUP(P355,'Color codes'!$A:$E,5,FALSE)*(0.25 + 0.75*Q355/40))</f>
        <v>97</v>
      </c>
      <c r="V355" t="b">
        <f t="shared" si="22"/>
        <v>1</v>
      </c>
    </row>
    <row r="356" spans="1:22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TRUNC(VLOOKUP(P356,'Color codes'!$A:$E,3,FALSE)*(0.25 + 0.75*Q356/40))</f>
        <v>224</v>
      </c>
      <c r="T356">
        <f>TRUNC(VLOOKUP(P356,'Color codes'!$A:$E,4,FALSE)*(0.25 + 0.75*Q356/40))</f>
        <v>94</v>
      </c>
      <c r="U356">
        <f>TRUNC(VLOOKUP(P356,'Color codes'!$A:$E,5,FALSE)*(0.25 + 0.75*Q356/40))</f>
        <v>91</v>
      </c>
      <c r="V356" t="b">
        <f t="shared" si="22"/>
        <v>0</v>
      </c>
    </row>
    <row r="357" spans="1:22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TRUNC(VLOOKUP(P357,'Color codes'!$A:$E,3,FALSE)*(0.25 + 0.75*Q357/40))</f>
        <v>89</v>
      </c>
      <c r="T357">
        <f>TRUNC(VLOOKUP(P357,'Color codes'!$A:$E,4,FALSE)*(0.25 + 0.75*Q357/40))</f>
        <v>146</v>
      </c>
      <c r="U357">
        <f>TRUNC(VLOOKUP(P357,'Color codes'!$A:$E,5,FALSE)*(0.25 + 0.75*Q357/40))</f>
        <v>212</v>
      </c>
      <c r="V357" t="b">
        <f t="shared" si="22"/>
        <v>0</v>
      </c>
    </row>
    <row r="358" spans="1:22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TRUNC(VLOOKUP(P358,'Color codes'!$A:$E,3,FALSE)*(0.25 + 0.75*Q358/40))</f>
        <v>86</v>
      </c>
      <c r="T358">
        <f>TRUNC(VLOOKUP(P358,'Color codes'!$A:$E,4,FALSE)*(0.25 + 0.75*Q358/40))</f>
        <v>141</v>
      </c>
      <c r="U358">
        <f>TRUNC(VLOOKUP(P358,'Color codes'!$A:$E,5,FALSE)*(0.25 + 0.75*Q358/40))</f>
        <v>205</v>
      </c>
      <c r="V358" t="b">
        <f t="shared" ref="V358:V421" si="26">(ABS(N358-O358)  &gt; 1)</f>
        <v>1</v>
      </c>
    </row>
    <row r="359" spans="1:22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TRUNC(VLOOKUP(P359,'Color codes'!$A:$E,3,FALSE)*(0.25 + 0.75*Q359/40))</f>
        <v>82</v>
      </c>
      <c r="T359">
        <f>TRUNC(VLOOKUP(P359,'Color codes'!$A:$E,4,FALSE)*(0.25 + 0.75*Q359/40))</f>
        <v>135</v>
      </c>
      <c r="U359">
        <f>TRUNC(VLOOKUP(P359,'Color codes'!$A:$E,5,FALSE)*(0.25 + 0.75*Q359/40))</f>
        <v>196</v>
      </c>
      <c r="V359" t="b">
        <f t="shared" si="26"/>
        <v>1</v>
      </c>
    </row>
    <row r="360" spans="1:22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TRUNC(VLOOKUP(P360,'Color codes'!$A:$E,3,FALSE)*(0.25 + 0.75*Q360/40))</f>
        <v>73</v>
      </c>
      <c r="T360">
        <f>TRUNC(VLOOKUP(P360,'Color codes'!$A:$E,4,FALSE)*(0.25 + 0.75*Q360/40))</f>
        <v>120</v>
      </c>
      <c r="U360">
        <f>TRUNC(VLOOKUP(P360,'Color codes'!$A:$E,5,FALSE)*(0.25 + 0.75*Q360/40))</f>
        <v>174</v>
      </c>
      <c r="V360" t="b">
        <f t="shared" si="26"/>
        <v>1</v>
      </c>
    </row>
    <row r="361" spans="1:22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TRUNC(VLOOKUP(P361,'Color codes'!$A:$E,3,FALSE)*(0.25 + 0.75*Q361/40))</f>
        <v>69</v>
      </c>
      <c r="T361">
        <f>TRUNC(VLOOKUP(P361,'Color codes'!$A:$E,4,FALSE)*(0.25 + 0.75*Q361/40))</f>
        <v>114</v>
      </c>
      <c r="U361">
        <f>TRUNC(VLOOKUP(P361,'Color codes'!$A:$E,5,FALSE)*(0.25 + 0.75*Q361/40))</f>
        <v>166</v>
      </c>
      <c r="V361" t="b">
        <f t="shared" si="26"/>
        <v>1</v>
      </c>
    </row>
    <row r="362" spans="1:22" x14ac:dyDescent="0.25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TRUNC(VLOOKUP(P362,'Color codes'!$A:$E,3,FALSE)*(0.25 + 0.75*Q362/40))</f>
        <v>254</v>
      </c>
      <c r="T362">
        <f>TRUNC(VLOOKUP(P362,'Color codes'!$A:$E,4,FALSE)*(0.25 + 0.75*Q362/40))</f>
        <v>106</v>
      </c>
      <c r="U362">
        <f>TRUNC(VLOOKUP(P362,'Color codes'!$A:$E,5,FALSE)*(0.25 + 0.75*Q362/40))</f>
        <v>103</v>
      </c>
      <c r="V362" t="b">
        <f t="shared" si="26"/>
        <v>1</v>
      </c>
    </row>
    <row r="363" spans="1:22" x14ac:dyDescent="0.25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TRUNC(VLOOKUP(P363,'Color codes'!$A:$E,3,FALSE)*(0.25 + 0.75*Q363/40))</f>
        <v>239</v>
      </c>
      <c r="T363">
        <f>TRUNC(VLOOKUP(P363,'Color codes'!$A:$E,4,FALSE)*(0.25 + 0.75*Q363/40))</f>
        <v>100</v>
      </c>
      <c r="U363">
        <f>TRUNC(VLOOKUP(P363,'Color codes'!$A:$E,5,FALSE)*(0.25 + 0.75*Q363/40))</f>
        <v>97</v>
      </c>
      <c r="V363" t="b">
        <f t="shared" si="26"/>
        <v>1</v>
      </c>
    </row>
    <row r="364" spans="1:22" x14ac:dyDescent="0.25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TRUNC(VLOOKUP(P364,'Color codes'!$A:$E,3,FALSE)*(0.25 + 0.75*Q364/40))</f>
        <v>224</v>
      </c>
      <c r="T364">
        <f>TRUNC(VLOOKUP(P364,'Color codes'!$A:$E,4,FALSE)*(0.25 + 0.75*Q364/40))</f>
        <v>94</v>
      </c>
      <c r="U364">
        <f>TRUNC(VLOOKUP(P364,'Color codes'!$A:$E,5,FALSE)*(0.25 + 0.75*Q364/40))</f>
        <v>91</v>
      </c>
      <c r="V364" t="b">
        <f t="shared" si="26"/>
        <v>1</v>
      </c>
    </row>
    <row r="365" spans="1:22" x14ac:dyDescent="0.25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TRUNC(VLOOKUP(P365,'Color codes'!$A:$E,3,FALSE)*(0.25 + 0.75*Q365/40))</f>
        <v>210</v>
      </c>
      <c r="T365">
        <f>TRUNC(VLOOKUP(P365,'Color codes'!$A:$E,4,FALSE)*(0.25 + 0.75*Q365/40))</f>
        <v>88</v>
      </c>
      <c r="U365">
        <f>TRUNC(VLOOKUP(P365,'Color codes'!$A:$E,5,FALSE)*(0.25 + 0.75*Q365/40))</f>
        <v>85</v>
      </c>
      <c r="V365" t="b">
        <f t="shared" si="26"/>
        <v>1</v>
      </c>
    </row>
    <row r="366" spans="1:22" x14ac:dyDescent="0.25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TRUNC(VLOOKUP(P366,'Color codes'!$A:$E,3,FALSE)*(0.25 + 0.75*Q366/40))</f>
        <v>196</v>
      </c>
      <c r="T366">
        <f>TRUNC(VLOOKUP(P366,'Color codes'!$A:$E,4,FALSE)*(0.25 + 0.75*Q366/40))</f>
        <v>82</v>
      </c>
      <c r="U366">
        <f>TRUNC(VLOOKUP(P366,'Color codes'!$A:$E,5,FALSE)*(0.25 + 0.75*Q366/40))</f>
        <v>80</v>
      </c>
      <c r="V366" t="b">
        <f t="shared" si="26"/>
        <v>1</v>
      </c>
    </row>
    <row r="367" spans="1:22" x14ac:dyDescent="0.25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TRUNC(VLOOKUP(P367,'Color codes'!$A:$E,3,FALSE)*(0.25 + 0.75*Q367/40))</f>
        <v>182</v>
      </c>
      <c r="T367">
        <f>TRUNC(VLOOKUP(P367,'Color codes'!$A:$E,4,FALSE)*(0.25 + 0.75*Q367/40))</f>
        <v>76</v>
      </c>
      <c r="U367">
        <f>TRUNC(VLOOKUP(P367,'Color codes'!$A:$E,5,FALSE)*(0.25 + 0.75*Q367/40))</f>
        <v>74</v>
      </c>
      <c r="V367" t="b">
        <f t="shared" si="26"/>
        <v>0</v>
      </c>
    </row>
    <row r="368" spans="1:22" x14ac:dyDescent="0.25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TRUNC(VLOOKUP(P368,'Color codes'!$A:$E,3,FALSE)*(0.25 + 0.75*Q368/40))</f>
        <v>168</v>
      </c>
      <c r="T368">
        <f>TRUNC(VLOOKUP(P368,'Color codes'!$A:$E,4,FALSE)*(0.25 + 0.75*Q368/40))</f>
        <v>70</v>
      </c>
      <c r="U368">
        <f>TRUNC(VLOOKUP(P368,'Color codes'!$A:$E,5,FALSE)*(0.25 + 0.75*Q368/40))</f>
        <v>68</v>
      </c>
      <c r="V368" t="b">
        <f t="shared" si="26"/>
        <v>0</v>
      </c>
    </row>
    <row r="369" spans="1:22" x14ac:dyDescent="0.25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TRUNC(VLOOKUP(P369,'Color codes'!$A:$E,3,FALSE)*(0.25 + 0.75*Q369/40))</f>
        <v>66</v>
      </c>
      <c r="T369">
        <f>TRUNC(VLOOKUP(P369,'Color codes'!$A:$E,4,FALSE)*(0.25 + 0.75*Q369/40))</f>
        <v>109</v>
      </c>
      <c r="U369">
        <f>TRUNC(VLOOKUP(P369,'Color codes'!$A:$E,5,FALSE)*(0.25 + 0.75*Q369/40))</f>
        <v>158</v>
      </c>
      <c r="V369" t="b">
        <f t="shared" si="26"/>
        <v>0</v>
      </c>
    </row>
    <row r="370" spans="1:22" x14ac:dyDescent="0.25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TRUNC(VLOOKUP(P370,'Color codes'!$A:$E,3,FALSE)*(0.25 + 0.75*Q370/40))</f>
        <v>253</v>
      </c>
      <c r="T370">
        <f>TRUNC(VLOOKUP(P370,'Color codes'!$A:$E,4,FALSE)*(0.25 + 0.75*Q370/40))</f>
        <v>106</v>
      </c>
      <c r="U370">
        <f>TRUNC(VLOOKUP(P370,'Color codes'!$A:$E,5,FALSE)*(0.25 + 0.75*Q370/40))</f>
        <v>103</v>
      </c>
      <c r="V370" t="b">
        <f t="shared" si="26"/>
        <v>1</v>
      </c>
    </row>
    <row r="371" spans="1:22" x14ac:dyDescent="0.25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TRUNC(VLOOKUP(P371,'Color codes'!$A:$E,3,FALSE)*(0.25 + 0.75*Q371/40))</f>
        <v>239</v>
      </c>
      <c r="T371">
        <f>TRUNC(VLOOKUP(P371,'Color codes'!$A:$E,4,FALSE)*(0.25 + 0.75*Q371/40))</f>
        <v>100</v>
      </c>
      <c r="U371">
        <f>TRUNC(VLOOKUP(P371,'Color codes'!$A:$E,5,FALSE)*(0.25 + 0.75*Q371/40))</f>
        <v>97</v>
      </c>
      <c r="V371" t="b">
        <f t="shared" si="26"/>
        <v>1</v>
      </c>
    </row>
    <row r="372" spans="1:22" x14ac:dyDescent="0.25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TRUNC(VLOOKUP(P372,'Color codes'!$A:$E,3,FALSE)*(0.25 + 0.75*Q372/40))</f>
        <v>224</v>
      </c>
      <c r="T372">
        <f>TRUNC(VLOOKUP(P372,'Color codes'!$A:$E,4,FALSE)*(0.25 + 0.75*Q372/40))</f>
        <v>94</v>
      </c>
      <c r="U372">
        <f>TRUNC(VLOOKUP(P372,'Color codes'!$A:$E,5,FALSE)*(0.25 + 0.75*Q372/40))</f>
        <v>91</v>
      </c>
      <c r="V372" t="b">
        <f t="shared" si="26"/>
        <v>1</v>
      </c>
    </row>
    <row r="373" spans="1:22" x14ac:dyDescent="0.25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TRUNC(VLOOKUP(P373,'Color codes'!$A:$E,3,FALSE)*(0.25 + 0.75*Q373/40))</f>
        <v>209</v>
      </c>
      <c r="T373">
        <f>TRUNC(VLOOKUP(P373,'Color codes'!$A:$E,4,FALSE)*(0.25 + 0.75*Q373/40))</f>
        <v>88</v>
      </c>
      <c r="U373">
        <f>TRUNC(VLOOKUP(P373,'Color codes'!$A:$E,5,FALSE)*(0.25 + 0.75*Q373/40))</f>
        <v>85</v>
      </c>
      <c r="V373" t="b">
        <f t="shared" si="26"/>
        <v>1</v>
      </c>
    </row>
    <row r="374" spans="1:22" x14ac:dyDescent="0.25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TRUNC(VLOOKUP(P374,'Color codes'!$A:$E,3,FALSE)*(0.25 + 0.75*Q374/40))</f>
        <v>196</v>
      </c>
      <c r="T374">
        <f>TRUNC(VLOOKUP(P374,'Color codes'!$A:$E,4,FALSE)*(0.25 + 0.75*Q374/40))</f>
        <v>82</v>
      </c>
      <c r="U374">
        <f>TRUNC(VLOOKUP(P374,'Color codes'!$A:$E,5,FALSE)*(0.25 + 0.75*Q374/40))</f>
        <v>80</v>
      </c>
      <c r="V374" t="b">
        <f t="shared" si="26"/>
        <v>1</v>
      </c>
    </row>
    <row r="375" spans="1:22" x14ac:dyDescent="0.25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TRUNC(VLOOKUP(P375,'Color codes'!$A:$E,3,FALSE)*(0.25 + 0.75*Q375/40))</f>
        <v>182</v>
      </c>
      <c r="T375">
        <f>TRUNC(VLOOKUP(P375,'Color codes'!$A:$E,4,FALSE)*(0.25 + 0.75*Q375/40))</f>
        <v>76</v>
      </c>
      <c r="U375">
        <f>TRUNC(VLOOKUP(P375,'Color codes'!$A:$E,5,FALSE)*(0.25 + 0.75*Q375/40))</f>
        <v>74</v>
      </c>
      <c r="V375" t="b">
        <f t="shared" si="26"/>
        <v>1</v>
      </c>
    </row>
    <row r="376" spans="1:22" x14ac:dyDescent="0.25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TRUNC(VLOOKUP(P376,'Color codes'!$A:$E,3,FALSE)*(0.25 + 0.75*Q376/40))</f>
        <v>168</v>
      </c>
      <c r="T376">
        <f>TRUNC(VLOOKUP(P376,'Color codes'!$A:$E,4,FALSE)*(0.25 + 0.75*Q376/40))</f>
        <v>70</v>
      </c>
      <c r="U376">
        <f>TRUNC(VLOOKUP(P376,'Color codes'!$A:$E,5,FALSE)*(0.25 + 0.75*Q376/40))</f>
        <v>68</v>
      </c>
      <c r="V376" t="b">
        <f t="shared" si="26"/>
        <v>1</v>
      </c>
    </row>
    <row r="377" spans="1:22" x14ac:dyDescent="0.25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TRUNC(VLOOKUP(P377,'Color codes'!$A:$E,3,FALSE)*(0.25 + 0.75*Q377/40))</f>
        <v>153</v>
      </c>
      <c r="T377">
        <f>TRUNC(VLOOKUP(P377,'Color codes'!$A:$E,4,FALSE)*(0.25 + 0.75*Q377/40))</f>
        <v>64</v>
      </c>
      <c r="U377">
        <f>TRUNC(VLOOKUP(P377,'Color codes'!$A:$E,5,FALSE)*(0.25 + 0.75*Q377/40))</f>
        <v>62</v>
      </c>
      <c r="V377" t="b">
        <f t="shared" si="26"/>
        <v>0</v>
      </c>
    </row>
    <row r="378" spans="1:22" x14ac:dyDescent="0.25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TRUNC(VLOOKUP(P378,'Color codes'!$A:$E,3,FALSE)*(0.25 + 0.75*Q378/40))</f>
        <v>253</v>
      </c>
      <c r="T378">
        <f>TRUNC(VLOOKUP(P378,'Color codes'!$A:$E,4,FALSE)*(0.25 + 0.75*Q378/40))</f>
        <v>106</v>
      </c>
      <c r="U378">
        <f>TRUNC(VLOOKUP(P378,'Color codes'!$A:$E,5,FALSE)*(0.25 + 0.75*Q378/40))</f>
        <v>103</v>
      </c>
      <c r="V378" t="b">
        <f t="shared" si="26"/>
        <v>1</v>
      </c>
    </row>
    <row r="379" spans="1:22" x14ac:dyDescent="0.25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TRUNC(VLOOKUP(P379,'Color codes'!$A:$E,3,FALSE)*(0.25 + 0.75*Q379/40))</f>
        <v>239</v>
      </c>
      <c r="T379">
        <f>TRUNC(VLOOKUP(P379,'Color codes'!$A:$E,4,FALSE)*(0.25 + 0.75*Q379/40))</f>
        <v>100</v>
      </c>
      <c r="U379">
        <f>TRUNC(VLOOKUP(P379,'Color codes'!$A:$E,5,FALSE)*(0.25 + 0.75*Q379/40))</f>
        <v>97</v>
      </c>
      <c r="V379" t="b">
        <f t="shared" si="26"/>
        <v>1</v>
      </c>
    </row>
    <row r="380" spans="1:22" x14ac:dyDescent="0.25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TRUNC(VLOOKUP(P380,'Color codes'!$A:$E,3,FALSE)*(0.25 + 0.75*Q380/40))</f>
        <v>225</v>
      </c>
      <c r="T380">
        <f>TRUNC(VLOOKUP(P380,'Color codes'!$A:$E,4,FALSE)*(0.25 + 0.75*Q380/40))</f>
        <v>94</v>
      </c>
      <c r="U380">
        <f>TRUNC(VLOOKUP(P380,'Color codes'!$A:$E,5,FALSE)*(0.25 + 0.75*Q380/40))</f>
        <v>91</v>
      </c>
      <c r="V380" t="b">
        <f t="shared" si="26"/>
        <v>1</v>
      </c>
    </row>
    <row r="381" spans="1:22" x14ac:dyDescent="0.25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TRUNC(VLOOKUP(P381,'Color codes'!$A:$E,3,FALSE)*(0.25 + 0.75*Q381/40))</f>
        <v>210</v>
      </c>
      <c r="T381">
        <f>TRUNC(VLOOKUP(P381,'Color codes'!$A:$E,4,FALSE)*(0.25 + 0.75*Q381/40))</f>
        <v>88</v>
      </c>
      <c r="U381">
        <f>TRUNC(VLOOKUP(P381,'Color codes'!$A:$E,5,FALSE)*(0.25 + 0.75*Q381/40))</f>
        <v>85</v>
      </c>
      <c r="V381" t="b">
        <f t="shared" si="26"/>
        <v>1</v>
      </c>
    </row>
    <row r="382" spans="1:22" x14ac:dyDescent="0.25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TRUNC(VLOOKUP(P382,'Color codes'!$A:$E,3,FALSE)*(0.25 + 0.75*Q382/40))</f>
        <v>196</v>
      </c>
      <c r="T382">
        <f>TRUNC(VLOOKUP(P382,'Color codes'!$A:$E,4,FALSE)*(0.25 + 0.75*Q382/40))</f>
        <v>82</v>
      </c>
      <c r="U382">
        <f>TRUNC(VLOOKUP(P382,'Color codes'!$A:$E,5,FALSE)*(0.25 + 0.75*Q382/40))</f>
        <v>80</v>
      </c>
      <c r="V382" t="b">
        <f t="shared" si="26"/>
        <v>1</v>
      </c>
    </row>
    <row r="383" spans="1:22" x14ac:dyDescent="0.25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TRUNC(VLOOKUP(P383,'Color codes'!$A:$E,3,FALSE)*(0.25 + 0.75*Q383/40))</f>
        <v>182</v>
      </c>
      <c r="T383">
        <f>TRUNC(VLOOKUP(P383,'Color codes'!$A:$E,4,FALSE)*(0.25 + 0.75*Q383/40))</f>
        <v>76</v>
      </c>
      <c r="U383">
        <f>TRUNC(VLOOKUP(P383,'Color codes'!$A:$E,5,FALSE)*(0.25 + 0.75*Q383/40))</f>
        <v>74</v>
      </c>
      <c r="V383" t="b">
        <f t="shared" si="26"/>
        <v>1</v>
      </c>
    </row>
    <row r="384" spans="1:22" x14ac:dyDescent="0.25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TRUNC(VLOOKUP(P384,'Color codes'!$A:$E,3,FALSE)*(0.25 + 0.75*Q384/40))</f>
        <v>168</v>
      </c>
      <c r="T384">
        <f>TRUNC(VLOOKUP(P384,'Color codes'!$A:$E,4,FALSE)*(0.25 + 0.75*Q384/40))</f>
        <v>70</v>
      </c>
      <c r="U384">
        <f>TRUNC(VLOOKUP(P384,'Color codes'!$A:$E,5,FALSE)*(0.25 + 0.75*Q384/40))</f>
        <v>68</v>
      </c>
      <c r="V384" t="b">
        <f t="shared" si="26"/>
        <v>1</v>
      </c>
    </row>
    <row r="385" spans="1:22" x14ac:dyDescent="0.25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TRUNC(VLOOKUP(P385,'Color codes'!$A:$E,3,FALSE)*(0.25 + 0.75*Q385/40))</f>
        <v>154</v>
      </c>
      <c r="T385">
        <f>TRUNC(VLOOKUP(P385,'Color codes'!$A:$E,4,FALSE)*(0.25 + 0.75*Q385/40))</f>
        <v>64</v>
      </c>
      <c r="U385">
        <f>TRUNC(VLOOKUP(P385,'Color codes'!$A:$E,5,FALSE)*(0.25 + 0.75*Q385/40))</f>
        <v>62</v>
      </c>
      <c r="V385" t="b">
        <f t="shared" si="26"/>
        <v>1</v>
      </c>
    </row>
    <row r="386" spans="1:22" x14ac:dyDescent="0.25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TRUNC(VLOOKUP(P386,'Color codes'!$A:$E,3,FALSE)*(0.25 + 0.75*Q386/40))</f>
        <v>228</v>
      </c>
      <c r="T386">
        <f>TRUNC(VLOOKUP(P386,'Color codes'!$A:$E,4,FALSE)*(0.25 + 0.75*Q386/40))</f>
        <v>95</v>
      </c>
      <c r="U386">
        <f>TRUNC(VLOOKUP(P386,'Color codes'!$A:$E,5,FALSE)*(0.25 + 0.75*Q386/40))</f>
        <v>93</v>
      </c>
      <c r="V386" t="b">
        <f t="shared" si="26"/>
        <v>0</v>
      </c>
    </row>
    <row r="387" spans="1:22" x14ac:dyDescent="0.25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TRUNC(VLOOKUP(P387,'Color codes'!$A:$E,3,FALSE)*(0.25 + 0.75*Q387/40))</f>
        <v>216</v>
      </c>
      <c r="T387">
        <f>TRUNC(VLOOKUP(P387,'Color codes'!$A:$E,4,FALSE)*(0.25 + 0.75*Q387/40))</f>
        <v>90</v>
      </c>
      <c r="U387">
        <f>TRUNC(VLOOKUP(P387,'Color codes'!$A:$E,5,FALSE)*(0.25 + 0.75*Q387/40))</f>
        <v>88</v>
      </c>
      <c r="V387" t="b">
        <f t="shared" si="26"/>
        <v>0</v>
      </c>
    </row>
    <row r="388" spans="1:22" x14ac:dyDescent="0.25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TRUNC(VLOOKUP(P388,'Color codes'!$A:$E,3,FALSE)*(0.25 + 0.75*Q388/40))</f>
        <v>203</v>
      </c>
      <c r="T388">
        <f>TRUNC(VLOOKUP(P388,'Color codes'!$A:$E,4,FALSE)*(0.25 + 0.75*Q388/40))</f>
        <v>85</v>
      </c>
      <c r="U388">
        <f>TRUNC(VLOOKUP(P388,'Color codes'!$A:$E,5,FALSE)*(0.25 + 0.75*Q388/40))</f>
        <v>83</v>
      </c>
      <c r="V388" t="b">
        <f t="shared" si="26"/>
        <v>0</v>
      </c>
    </row>
    <row r="389" spans="1:22" x14ac:dyDescent="0.25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TRUNC(VLOOKUP(P389,'Color codes'!$A:$E,3,FALSE)*(0.25 + 0.75*Q389/40))</f>
        <v>190</v>
      </c>
      <c r="T389">
        <f>TRUNC(VLOOKUP(P389,'Color codes'!$A:$E,4,FALSE)*(0.25 + 0.75*Q389/40))</f>
        <v>80</v>
      </c>
      <c r="U389">
        <f>TRUNC(VLOOKUP(P389,'Color codes'!$A:$E,5,FALSE)*(0.25 + 0.75*Q389/40))</f>
        <v>77</v>
      </c>
      <c r="V389" t="b">
        <f t="shared" si="26"/>
        <v>0</v>
      </c>
    </row>
    <row r="390" spans="1:22" x14ac:dyDescent="0.25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TRUNC(VLOOKUP(P390,'Color codes'!$A:$E,3,FALSE)*(0.25 + 0.75*Q390/40))</f>
        <v>75</v>
      </c>
      <c r="T390">
        <f>TRUNC(VLOOKUP(P390,'Color codes'!$A:$E,4,FALSE)*(0.25 + 0.75*Q390/40))</f>
        <v>123</v>
      </c>
      <c r="U390">
        <f>TRUNC(VLOOKUP(P390,'Color codes'!$A:$E,5,FALSE)*(0.25 + 0.75*Q390/40))</f>
        <v>179</v>
      </c>
      <c r="V390" t="b">
        <f t="shared" si="26"/>
        <v>0</v>
      </c>
    </row>
    <row r="391" spans="1:22" x14ac:dyDescent="0.25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TRUNC(VLOOKUP(P391,'Color codes'!$A:$E,3,FALSE)*(0.25 + 0.75*Q391/40))</f>
        <v>71</v>
      </c>
      <c r="T391">
        <f>TRUNC(VLOOKUP(P391,'Color codes'!$A:$E,4,FALSE)*(0.25 + 0.75*Q391/40))</f>
        <v>116</v>
      </c>
      <c r="U391">
        <f>TRUNC(VLOOKUP(P391,'Color codes'!$A:$E,5,FALSE)*(0.25 + 0.75*Q391/40))</f>
        <v>169</v>
      </c>
      <c r="V391" t="b">
        <f t="shared" si="26"/>
        <v>0</v>
      </c>
    </row>
    <row r="392" spans="1:22" x14ac:dyDescent="0.25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TRUNC(VLOOKUP(P392,'Color codes'!$A:$E,3,FALSE)*(0.25 + 0.75*Q392/40))</f>
        <v>68</v>
      </c>
      <c r="T392">
        <f>TRUNC(VLOOKUP(P392,'Color codes'!$A:$E,4,FALSE)*(0.25 + 0.75*Q392/40))</f>
        <v>113</v>
      </c>
      <c r="U392">
        <f>TRUNC(VLOOKUP(P392,'Color codes'!$A:$E,5,FALSE)*(0.25 + 0.75*Q392/40))</f>
        <v>164</v>
      </c>
      <c r="V392" t="b">
        <f t="shared" si="26"/>
        <v>1</v>
      </c>
    </row>
    <row r="393" spans="1:22" x14ac:dyDescent="0.25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TRUNC(VLOOKUP(P393,'Color codes'!$A:$E,3,FALSE)*(0.25 + 0.75*Q393/40))</f>
        <v>67</v>
      </c>
      <c r="T393">
        <f>TRUNC(VLOOKUP(P393,'Color codes'!$A:$E,4,FALSE)*(0.25 + 0.75*Q393/40))</f>
        <v>111</v>
      </c>
      <c r="U393">
        <f>TRUNC(VLOOKUP(P393,'Color codes'!$A:$E,5,FALSE)*(0.25 + 0.75*Q393/40))</f>
        <v>161</v>
      </c>
      <c r="V393" t="b">
        <f t="shared" si="26"/>
        <v>1</v>
      </c>
    </row>
    <row r="394" spans="1:22" x14ac:dyDescent="0.25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TRUNC(VLOOKUP(P394,'Color codes'!$A:$E,3,FALSE)*(0.25 + 0.75*Q394/40))</f>
        <v>228</v>
      </c>
      <c r="T394">
        <f>TRUNC(VLOOKUP(P394,'Color codes'!$A:$E,4,FALSE)*(0.25 + 0.75*Q394/40))</f>
        <v>95</v>
      </c>
      <c r="U394">
        <f>TRUNC(VLOOKUP(P394,'Color codes'!$A:$E,5,FALSE)*(0.25 + 0.75*Q394/40))</f>
        <v>93</v>
      </c>
      <c r="V394" t="b">
        <f t="shared" si="26"/>
        <v>1</v>
      </c>
    </row>
    <row r="395" spans="1:22" x14ac:dyDescent="0.25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TRUNC(VLOOKUP(P395,'Color codes'!$A:$E,3,FALSE)*(0.25 + 0.75*Q395/40))</f>
        <v>216</v>
      </c>
      <c r="T395">
        <f>TRUNC(VLOOKUP(P395,'Color codes'!$A:$E,4,FALSE)*(0.25 + 0.75*Q395/40))</f>
        <v>90</v>
      </c>
      <c r="U395">
        <f>TRUNC(VLOOKUP(P395,'Color codes'!$A:$E,5,FALSE)*(0.25 + 0.75*Q395/40))</f>
        <v>88</v>
      </c>
      <c r="V395" t="b">
        <f t="shared" si="26"/>
        <v>1</v>
      </c>
    </row>
    <row r="396" spans="1:22" x14ac:dyDescent="0.25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TRUNC(VLOOKUP(P396,'Color codes'!$A:$E,3,FALSE)*(0.25 + 0.75*Q396/40))</f>
        <v>203</v>
      </c>
      <c r="T396">
        <f>TRUNC(VLOOKUP(P396,'Color codes'!$A:$E,4,FALSE)*(0.25 + 0.75*Q396/40))</f>
        <v>85</v>
      </c>
      <c r="U396">
        <f>TRUNC(VLOOKUP(P396,'Color codes'!$A:$E,5,FALSE)*(0.25 + 0.75*Q396/40))</f>
        <v>82</v>
      </c>
      <c r="V396" t="b">
        <f t="shared" si="26"/>
        <v>1</v>
      </c>
    </row>
    <row r="397" spans="1:22" x14ac:dyDescent="0.25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TRUNC(VLOOKUP(P397,'Color codes'!$A:$E,3,FALSE)*(0.25 + 0.75*Q397/40))</f>
        <v>191</v>
      </c>
      <c r="T397">
        <f>TRUNC(VLOOKUP(P397,'Color codes'!$A:$E,4,FALSE)*(0.25 + 0.75*Q397/40))</f>
        <v>80</v>
      </c>
      <c r="U397">
        <f>TRUNC(VLOOKUP(P397,'Color codes'!$A:$E,5,FALSE)*(0.25 + 0.75*Q397/40))</f>
        <v>77</v>
      </c>
      <c r="V397" t="b">
        <f t="shared" si="26"/>
        <v>1</v>
      </c>
    </row>
    <row r="398" spans="1:22" x14ac:dyDescent="0.25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TRUNC(VLOOKUP(P398,'Color codes'!$A:$E,3,FALSE)*(0.25 + 0.75*Q398/40))</f>
        <v>178</v>
      </c>
      <c r="T398">
        <f>TRUNC(VLOOKUP(P398,'Color codes'!$A:$E,4,FALSE)*(0.25 + 0.75*Q398/40))</f>
        <v>74</v>
      </c>
      <c r="U398">
        <f>TRUNC(VLOOKUP(P398,'Color codes'!$A:$E,5,FALSE)*(0.25 + 0.75*Q398/40))</f>
        <v>72</v>
      </c>
      <c r="V398" t="b">
        <f t="shared" si="26"/>
        <v>1</v>
      </c>
    </row>
    <row r="399" spans="1:22" x14ac:dyDescent="0.25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TRUNC(VLOOKUP(P399,'Color codes'!$A:$E,3,FALSE)*(0.25 + 0.75*Q399/40))</f>
        <v>166</v>
      </c>
      <c r="T399">
        <f>TRUNC(VLOOKUP(P399,'Color codes'!$A:$E,4,FALSE)*(0.25 + 0.75*Q399/40))</f>
        <v>69</v>
      </c>
      <c r="U399">
        <f>TRUNC(VLOOKUP(P399,'Color codes'!$A:$E,5,FALSE)*(0.25 + 0.75*Q399/40))</f>
        <v>67</v>
      </c>
      <c r="V399" t="b">
        <f t="shared" si="26"/>
        <v>0</v>
      </c>
    </row>
    <row r="400" spans="1:22" x14ac:dyDescent="0.25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TRUNC(VLOOKUP(P400,'Color codes'!$A:$E,3,FALSE)*(0.25 + 0.75*Q400/40))</f>
        <v>154</v>
      </c>
      <c r="T400">
        <f>TRUNC(VLOOKUP(P400,'Color codes'!$A:$E,4,FALSE)*(0.25 + 0.75*Q400/40))</f>
        <v>64</v>
      </c>
      <c r="U400">
        <f>TRUNC(VLOOKUP(P400,'Color codes'!$A:$E,5,FALSE)*(0.25 + 0.75*Q400/40))</f>
        <v>63</v>
      </c>
      <c r="V400" t="b">
        <f t="shared" si="26"/>
        <v>0</v>
      </c>
    </row>
    <row r="401" spans="1:22" x14ac:dyDescent="0.25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TRUNC(VLOOKUP(P401,'Color codes'!$A:$E,3,FALSE)*(0.25 + 0.75*Q401/40))</f>
        <v>61</v>
      </c>
      <c r="T401">
        <f>TRUNC(VLOOKUP(P401,'Color codes'!$A:$E,4,FALSE)*(0.25 + 0.75*Q401/40))</f>
        <v>100</v>
      </c>
      <c r="U401">
        <f>TRUNC(VLOOKUP(P401,'Color codes'!$A:$E,5,FALSE)*(0.25 + 0.75*Q401/40))</f>
        <v>146</v>
      </c>
      <c r="V401" t="b">
        <f t="shared" si="26"/>
        <v>0</v>
      </c>
    </row>
    <row r="402" spans="1:22" x14ac:dyDescent="0.25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TRUNC(VLOOKUP(P402,'Color codes'!$A:$E,3,FALSE)*(0.25 + 0.75*Q402/40))</f>
        <v>228</v>
      </c>
      <c r="T402">
        <f>TRUNC(VLOOKUP(P402,'Color codes'!$A:$E,4,FALSE)*(0.25 + 0.75*Q402/40))</f>
        <v>95</v>
      </c>
      <c r="U402">
        <f>TRUNC(VLOOKUP(P402,'Color codes'!$A:$E,5,FALSE)*(0.25 + 0.75*Q402/40))</f>
        <v>93</v>
      </c>
      <c r="V402" t="b">
        <f t="shared" si="26"/>
        <v>1</v>
      </c>
    </row>
    <row r="403" spans="1:22" x14ac:dyDescent="0.25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TRUNC(VLOOKUP(P403,'Color codes'!$A:$E,3,FALSE)*(0.25 + 0.75*Q403/40))</f>
        <v>216</v>
      </c>
      <c r="T403">
        <f>TRUNC(VLOOKUP(P403,'Color codes'!$A:$E,4,FALSE)*(0.25 + 0.75*Q403/40))</f>
        <v>90</v>
      </c>
      <c r="U403">
        <f>TRUNC(VLOOKUP(P403,'Color codes'!$A:$E,5,FALSE)*(0.25 + 0.75*Q403/40))</f>
        <v>88</v>
      </c>
      <c r="V403" t="b">
        <f t="shared" si="26"/>
        <v>1</v>
      </c>
    </row>
    <row r="404" spans="1:22" x14ac:dyDescent="0.25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TRUNC(VLOOKUP(P404,'Color codes'!$A:$E,3,FALSE)*(0.25 + 0.75*Q404/40))</f>
        <v>203</v>
      </c>
      <c r="T404">
        <f>TRUNC(VLOOKUP(P404,'Color codes'!$A:$E,4,FALSE)*(0.25 + 0.75*Q404/40))</f>
        <v>85</v>
      </c>
      <c r="U404">
        <f>TRUNC(VLOOKUP(P404,'Color codes'!$A:$E,5,FALSE)*(0.25 + 0.75*Q404/40))</f>
        <v>82</v>
      </c>
      <c r="V404" t="b">
        <f t="shared" si="26"/>
        <v>1</v>
      </c>
    </row>
    <row r="405" spans="1:22" x14ac:dyDescent="0.25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TRUNC(VLOOKUP(P405,'Color codes'!$A:$E,3,FALSE)*(0.25 + 0.75*Q405/40))</f>
        <v>190</v>
      </c>
      <c r="T405">
        <f>TRUNC(VLOOKUP(P405,'Color codes'!$A:$E,4,FALSE)*(0.25 + 0.75*Q405/40))</f>
        <v>80</v>
      </c>
      <c r="U405">
        <f>TRUNC(VLOOKUP(P405,'Color codes'!$A:$E,5,FALSE)*(0.25 + 0.75*Q405/40))</f>
        <v>77</v>
      </c>
      <c r="V405" t="b">
        <f t="shared" si="26"/>
        <v>1</v>
      </c>
    </row>
    <row r="406" spans="1:22" x14ac:dyDescent="0.25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TRUNC(VLOOKUP(P406,'Color codes'!$A:$E,3,FALSE)*(0.25 + 0.75*Q406/40))</f>
        <v>178</v>
      </c>
      <c r="T406">
        <f>TRUNC(VLOOKUP(P406,'Color codes'!$A:$E,4,FALSE)*(0.25 + 0.75*Q406/40))</f>
        <v>74</v>
      </c>
      <c r="U406">
        <f>TRUNC(VLOOKUP(P406,'Color codes'!$A:$E,5,FALSE)*(0.25 + 0.75*Q406/40))</f>
        <v>72</v>
      </c>
      <c r="V406" t="b">
        <f t="shared" si="26"/>
        <v>1</v>
      </c>
    </row>
    <row r="407" spans="1:22" x14ac:dyDescent="0.25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TRUNC(VLOOKUP(P407,'Color codes'!$A:$E,3,FALSE)*(0.25 + 0.75*Q407/40))</f>
        <v>166</v>
      </c>
      <c r="T407">
        <f>TRUNC(VLOOKUP(P407,'Color codes'!$A:$E,4,FALSE)*(0.25 + 0.75*Q407/40))</f>
        <v>69</v>
      </c>
      <c r="U407">
        <f>TRUNC(VLOOKUP(P407,'Color codes'!$A:$E,5,FALSE)*(0.25 + 0.75*Q407/40))</f>
        <v>67</v>
      </c>
      <c r="V407" t="b">
        <f t="shared" si="26"/>
        <v>0</v>
      </c>
    </row>
    <row r="408" spans="1:22" x14ac:dyDescent="0.25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TRUNC(VLOOKUP(P408,'Color codes'!$A:$E,3,FALSE)*(0.25 + 0.75*Q408/40))</f>
        <v>154</v>
      </c>
      <c r="T408">
        <f>TRUNC(VLOOKUP(P408,'Color codes'!$A:$E,4,FALSE)*(0.25 + 0.75*Q408/40))</f>
        <v>64</v>
      </c>
      <c r="U408">
        <f>TRUNC(VLOOKUP(P408,'Color codes'!$A:$E,5,FALSE)*(0.25 + 0.75*Q408/40))</f>
        <v>63</v>
      </c>
      <c r="V408" t="b">
        <f t="shared" si="26"/>
        <v>0</v>
      </c>
    </row>
    <row r="409" spans="1:22" x14ac:dyDescent="0.25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TRUNC(VLOOKUP(P409,'Color codes'!$A:$E,3,FALSE)*(0.25 + 0.75*Q409/40))</f>
        <v>62</v>
      </c>
      <c r="T409">
        <f>TRUNC(VLOOKUP(P409,'Color codes'!$A:$E,4,FALSE)*(0.25 + 0.75*Q409/40))</f>
        <v>102</v>
      </c>
      <c r="U409">
        <f>TRUNC(VLOOKUP(P409,'Color codes'!$A:$E,5,FALSE)*(0.25 + 0.75*Q409/40))</f>
        <v>147</v>
      </c>
      <c r="V409" t="b">
        <f t="shared" si="26"/>
        <v>0</v>
      </c>
    </row>
    <row r="410" spans="1:22" x14ac:dyDescent="0.25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TRUNC(VLOOKUP(P410,'Color codes'!$A:$E,3,FALSE)*(0.25 + 0.75*Q410/40))</f>
        <v>228</v>
      </c>
      <c r="T410">
        <f>TRUNC(VLOOKUP(P410,'Color codes'!$A:$E,4,FALSE)*(0.25 + 0.75*Q410/40))</f>
        <v>95</v>
      </c>
      <c r="U410">
        <f>TRUNC(VLOOKUP(P410,'Color codes'!$A:$E,5,FALSE)*(0.25 + 0.75*Q410/40))</f>
        <v>93</v>
      </c>
      <c r="V410" t="b">
        <f t="shared" si="26"/>
        <v>1</v>
      </c>
    </row>
    <row r="411" spans="1:22" x14ac:dyDescent="0.25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TRUNC(VLOOKUP(P411,'Color codes'!$A:$E,3,FALSE)*(0.25 + 0.75*Q411/40))</f>
        <v>215</v>
      </c>
      <c r="T411">
        <f>TRUNC(VLOOKUP(P411,'Color codes'!$A:$E,4,FALSE)*(0.25 + 0.75*Q411/40))</f>
        <v>90</v>
      </c>
      <c r="U411">
        <f>TRUNC(VLOOKUP(P411,'Color codes'!$A:$E,5,FALSE)*(0.25 + 0.75*Q411/40))</f>
        <v>88</v>
      </c>
      <c r="V411" t="b">
        <f t="shared" si="26"/>
        <v>1</v>
      </c>
    </row>
    <row r="412" spans="1:22" x14ac:dyDescent="0.25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TRUNC(VLOOKUP(P412,'Color codes'!$A:$E,3,FALSE)*(0.25 + 0.75*Q412/40))</f>
        <v>203</v>
      </c>
      <c r="T412">
        <f>TRUNC(VLOOKUP(P412,'Color codes'!$A:$E,4,FALSE)*(0.25 + 0.75*Q412/40))</f>
        <v>85</v>
      </c>
      <c r="U412">
        <f>TRUNC(VLOOKUP(P412,'Color codes'!$A:$E,5,FALSE)*(0.25 + 0.75*Q412/40))</f>
        <v>82</v>
      </c>
      <c r="V412" t="b">
        <f t="shared" si="26"/>
        <v>1</v>
      </c>
    </row>
    <row r="413" spans="1:22" x14ac:dyDescent="0.25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TRUNC(VLOOKUP(P413,'Color codes'!$A:$E,3,FALSE)*(0.25 + 0.75*Q413/40))</f>
        <v>190</v>
      </c>
      <c r="T413">
        <f>TRUNC(VLOOKUP(P413,'Color codes'!$A:$E,4,FALSE)*(0.25 + 0.75*Q413/40))</f>
        <v>80</v>
      </c>
      <c r="U413">
        <f>TRUNC(VLOOKUP(P413,'Color codes'!$A:$E,5,FALSE)*(0.25 + 0.75*Q413/40))</f>
        <v>77</v>
      </c>
      <c r="V413" t="b">
        <f t="shared" si="26"/>
        <v>1</v>
      </c>
    </row>
    <row r="414" spans="1:22" x14ac:dyDescent="0.25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TRUNC(VLOOKUP(P414,'Color codes'!$A:$E,3,FALSE)*(0.25 + 0.75*Q414/40))</f>
        <v>178</v>
      </c>
      <c r="T414">
        <f>TRUNC(VLOOKUP(P414,'Color codes'!$A:$E,4,FALSE)*(0.25 + 0.75*Q414/40))</f>
        <v>74</v>
      </c>
      <c r="U414">
        <f>TRUNC(VLOOKUP(P414,'Color codes'!$A:$E,5,FALSE)*(0.25 + 0.75*Q414/40))</f>
        <v>72</v>
      </c>
      <c r="V414" t="b">
        <f t="shared" si="26"/>
        <v>1</v>
      </c>
    </row>
    <row r="415" spans="1:22" x14ac:dyDescent="0.25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TRUNC(VLOOKUP(P415,'Color codes'!$A:$E,3,FALSE)*(0.25 + 0.75*Q415/40))</f>
        <v>166</v>
      </c>
      <c r="T415">
        <f>TRUNC(VLOOKUP(P415,'Color codes'!$A:$E,4,FALSE)*(0.25 + 0.75*Q415/40))</f>
        <v>69</v>
      </c>
      <c r="U415">
        <f>TRUNC(VLOOKUP(P415,'Color codes'!$A:$E,5,FALSE)*(0.25 + 0.75*Q415/40))</f>
        <v>67</v>
      </c>
      <c r="V415" t="b">
        <f t="shared" si="26"/>
        <v>1</v>
      </c>
    </row>
    <row r="416" spans="1:22" x14ac:dyDescent="0.25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TRUNC(VLOOKUP(P416,'Color codes'!$A:$E,3,FALSE)*(0.25 + 0.75*Q416/40))</f>
        <v>154</v>
      </c>
      <c r="T416">
        <f>TRUNC(VLOOKUP(P416,'Color codes'!$A:$E,4,FALSE)*(0.25 + 0.75*Q416/40))</f>
        <v>64</v>
      </c>
      <c r="U416">
        <f>TRUNC(VLOOKUP(P416,'Color codes'!$A:$E,5,FALSE)*(0.25 + 0.75*Q416/40))</f>
        <v>62</v>
      </c>
      <c r="V416" t="b">
        <f t="shared" si="26"/>
        <v>0</v>
      </c>
    </row>
    <row r="417" spans="1:22" x14ac:dyDescent="0.25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TRUNC(VLOOKUP(P417,'Color codes'!$A:$E,3,FALSE)*(0.25 + 0.75*Q417/40))</f>
        <v>60</v>
      </c>
      <c r="T417">
        <f>TRUNC(VLOOKUP(P417,'Color codes'!$A:$E,4,FALSE)*(0.25 + 0.75*Q417/40))</f>
        <v>99</v>
      </c>
      <c r="U417">
        <f>TRUNC(VLOOKUP(P417,'Color codes'!$A:$E,5,FALSE)*(0.25 + 0.75*Q417/40))</f>
        <v>143</v>
      </c>
      <c r="V417" t="b">
        <f t="shared" si="26"/>
        <v>0</v>
      </c>
    </row>
    <row r="418" spans="1:22" x14ac:dyDescent="0.25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TRUNC(VLOOKUP(P418,'Color codes'!$A:$E,3,FALSE)*(0.25 + 0.75*Q418/40))</f>
        <v>228</v>
      </c>
      <c r="T418">
        <f>TRUNC(VLOOKUP(P418,'Color codes'!$A:$E,4,FALSE)*(0.25 + 0.75*Q418/40))</f>
        <v>95</v>
      </c>
      <c r="U418">
        <f>TRUNC(VLOOKUP(P418,'Color codes'!$A:$E,5,FALSE)*(0.25 + 0.75*Q418/40))</f>
        <v>93</v>
      </c>
      <c r="V418" t="b">
        <f t="shared" si="26"/>
        <v>0</v>
      </c>
    </row>
    <row r="419" spans="1:22" x14ac:dyDescent="0.25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TRUNC(VLOOKUP(P419,'Color codes'!$A:$E,3,FALSE)*(0.25 + 0.75*Q419/40))</f>
        <v>215</v>
      </c>
      <c r="T419">
        <f>TRUNC(VLOOKUP(P419,'Color codes'!$A:$E,4,FALSE)*(0.25 + 0.75*Q419/40))</f>
        <v>90</v>
      </c>
      <c r="U419">
        <f>TRUNC(VLOOKUP(P419,'Color codes'!$A:$E,5,FALSE)*(0.25 + 0.75*Q419/40))</f>
        <v>88</v>
      </c>
      <c r="V419" t="b">
        <f t="shared" si="26"/>
        <v>0</v>
      </c>
    </row>
    <row r="420" spans="1:22" x14ac:dyDescent="0.25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TRUNC(VLOOKUP(P420,'Color codes'!$A:$E,3,FALSE)*(0.25 + 0.75*Q420/40))</f>
        <v>85</v>
      </c>
      <c r="T420">
        <f>TRUNC(VLOOKUP(P420,'Color codes'!$A:$E,4,FALSE)*(0.25 + 0.75*Q420/40))</f>
        <v>140</v>
      </c>
      <c r="U420">
        <f>TRUNC(VLOOKUP(P420,'Color codes'!$A:$E,5,FALSE)*(0.25 + 0.75*Q420/40))</f>
        <v>203</v>
      </c>
      <c r="V420" t="b">
        <f t="shared" si="26"/>
        <v>0</v>
      </c>
    </row>
    <row r="421" spans="1:22" x14ac:dyDescent="0.25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TRUNC(VLOOKUP(P421,'Color codes'!$A:$E,3,FALSE)*(0.25 + 0.75*Q421/40))</f>
        <v>81</v>
      </c>
      <c r="T421">
        <f>TRUNC(VLOOKUP(P421,'Color codes'!$A:$E,4,FALSE)*(0.25 + 0.75*Q421/40))</f>
        <v>133</v>
      </c>
      <c r="U421">
        <f>TRUNC(VLOOKUP(P421,'Color codes'!$A:$E,5,FALSE)*(0.25 + 0.75*Q421/40))</f>
        <v>193</v>
      </c>
      <c r="V421" t="b">
        <f t="shared" si="26"/>
        <v>0</v>
      </c>
    </row>
    <row r="422" spans="1:22" x14ac:dyDescent="0.25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TRUNC(VLOOKUP(P422,'Color codes'!$A:$E,3,FALSE)*(0.25 + 0.75*Q422/40))</f>
        <v>77</v>
      </c>
      <c r="T422">
        <f>TRUNC(VLOOKUP(P422,'Color codes'!$A:$E,4,FALSE)*(0.25 + 0.75*Q422/40))</f>
        <v>127</v>
      </c>
      <c r="U422">
        <f>TRUNC(VLOOKUP(P422,'Color codes'!$A:$E,5,FALSE)*(0.25 + 0.75*Q422/40))</f>
        <v>184</v>
      </c>
      <c r="V422" t="b">
        <f t="shared" ref="V422:V485" si="32">(ABS(N422-O422)  &gt; 1)</f>
        <v>1</v>
      </c>
    </row>
    <row r="423" spans="1:22" x14ac:dyDescent="0.25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TRUNC(VLOOKUP(P423,'Color codes'!$A:$E,3,FALSE)*(0.25 + 0.75*Q423/40))</f>
        <v>74</v>
      </c>
      <c r="T423">
        <f>TRUNC(VLOOKUP(P423,'Color codes'!$A:$E,4,FALSE)*(0.25 + 0.75*Q423/40))</f>
        <v>122</v>
      </c>
      <c r="U423">
        <f>TRUNC(VLOOKUP(P423,'Color codes'!$A:$E,5,FALSE)*(0.25 + 0.75*Q423/40))</f>
        <v>177</v>
      </c>
      <c r="V423" t="b">
        <f t="shared" si="32"/>
        <v>1</v>
      </c>
    </row>
    <row r="424" spans="1:22" x14ac:dyDescent="0.25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TRUNC(VLOOKUP(P424,'Color codes'!$A:$E,3,FALSE)*(0.25 + 0.75*Q424/40))</f>
        <v>72</v>
      </c>
      <c r="T424">
        <f>TRUNC(VLOOKUP(P424,'Color codes'!$A:$E,4,FALSE)*(0.25 + 0.75*Q424/40))</f>
        <v>119</v>
      </c>
      <c r="U424">
        <f>TRUNC(VLOOKUP(P424,'Color codes'!$A:$E,5,FALSE)*(0.25 + 0.75*Q424/40))</f>
        <v>172</v>
      </c>
      <c r="V424" t="b">
        <f t="shared" si="32"/>
        <v>1</v>
      </c>
    </row>
    <row r="425" spans="1:22" x14ac:dyDescent="0.25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TRUNC(VLOOKUP(P425,'Color codes'!$A:$E,3,FALSE)*(0.25 + 0.75*Q425/40))</f>
        <v>72</v>
      </c>
      <c r="T425">
        <f>TRUNC(VLOOKUP(P425,'Color codes'!$A:$E,4,FALSE)*(0.25 + 0.75*Q425/40))</f>
        <v>119</v>
      </c>
      <c r="U425">
        <f>TRUNC(VLOOKUP(P425,'Color codes'!$A:$E,5,FALSE)*(0.25 + 0.75*Q425/40))</f>
        <v>172</v>
      </c>
      <c r="V425" t="b">
        <f t="shared" si="32"/>
        <v>1</v>
      </c>
    </row>
    <row r="426" spans="1:22" x14ac:dyDescent="0.25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TRUNC(VLOOKUP(P426,'Color codes'!$A:$E,3,FALSE)*(0.25 + 0.75*Q426/40))</f>
        <v>228</v>
      </c>
      <c r="T426">
        <f>TRUNC(VLOOKUP(P426,'Color codes'!$A:$E,4,FALSE)*(0.25 + 0.75*Q426/40))</f>
        <v>95</v>
      </c>
      <c r="U426">
        <f>TRUNC(VLOOKUP(P426,'Color codes'!$A:$E,5,FALSE)*(0.25 + 0.75*Q426/40))</f>
        <v>93</v>
      </c>
      <c r="V426" t="b">
        <f t="shared" si="32"/>
        <v>1</v>
      </c>
    </row>
    <row r="427" spans="1:22" x14ac:dyDescent="0.25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TRUNC(VLOOKUP(P427,'Color codes'!$A:$E,3,FALSE)*(0.25 + 0.75*Q427/40))</f>
        <v>215</v>
      </c>
      <c r="T427">
        <f>TRUNC(VLOOKUP(P427,'Color codes'!$A:$E,4,FALSE)*(0.25 + 0.75*Q427/40))</f>
        <v>90</v>
      </c>
      <c r="U427">
        <f>TRUNC(VLOOKUP(P427,'Color codes'!$A:$E,5,FALSE)*(0.25 + 0.75*Q427/40))</f>
        <v>88</v>
      </c>
      <c r="V427" t="b">
        <f t="shared" si="32"/>
        <v>1</v>
      </c>
    </row>
    <row r="428" spans="1:22" x14ac:dyDescent="0.25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TRUNC(VLOOKUP(P428,'Color codes'!$A:$E,3,FALSE)*(0.25 + 0.75*Q428/40))</f>
        <v>203</v>
      </c>
      <c r="T428">
        <f>TRUNC(VLOOKUP(P428,'Color codes'!$A:$E,4,FALSE)*(0.25 + 0.75*Q428/40))</f>
        <v>85</v>
      </c>
      <c r="U428">
        <f>TRUNC(VLOOKUP(P428,'Color codes'!$A:$E,5,FALSE)*(0.25 + 0.75*Q428/40))</f>
        <v>82</v>
      </c>
      <c r="V428" t="b">
        <f t="shared" si="32"/>
        <v>1</v>
      </c>
    </row>
    <row r="429" spans="1:22" x14ac:dyDescent="0.25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TRUNC(VLOOKUP(P429,'Color codes'!$A:$E,3,FALSE)*(0.25 + 0.75*Q429/40))</f>
        <v>190</v>
      </c>
      <c r="T429">
        <f>TRUNC(VLOOKUP(P429,'Color codes'!$A:$E,4,FALSE)*(0.25 + 0.75*Q429/40))</f>
        <v>80</v>
      </c>
      <c r="U429">
        <f>TRUNC(VLOOKUP(P429,'Color codes'!$A:$E,5,FALSE)*(0.25 + 0.75*Q429/40))</f>
        <v>77</v>
      </c>
      <c r="V429" t="b">
        <f t="shared" si="32"/>
        <v>0</v>
      </c>
    </row>
    <row r="430" spans="1:22" x14ac:dyDescent="0.25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TRUNC(VLOOKUP(P430,'Color codes'!$A:$E,3,FALSE)*(0.25 + 0.75*Q430/40))</f>
        <v>178</v>
      </c>
      <c r="T430">
        <f>TRUNC(VLOOKUP(P430,'Color codes'!$A:$E,4,FALSE)*(0.25 + 0.75*Q430/40))</f>
        <v>74</v>
      </c>
      <c r="U430">
        <f>TRUNC(VLOOKUP(P430,'Color codes'!$A:$E,5,FALSE)*(0.25 + 0.75*Q430/40))</f>
        <v>72</v>
      </c>
      <c r="V430" t="b">
        <f t="shared" si="32"/>
        <v>0</v>
      </c>
    </row>
    <row r="431" spans="1:22" x14ac:dyDescent="0.25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TRUNC(VLOOKUP(P431,'Color codes'!$A:$E,3,FALSE)*(0.25 + 0.75*Q431/40))</f>
        <v>166</v>
      </c>
      <c r="T431">
        <f>TRUNC(VLOOKUP(P431,'Color codes'!$A:$E,4,FALSE)*(0.25 + 0.75*Q431/40))</f>
        <v>69</v>
      </c>
      <c r="U431">
        <f>TRUNC(VLOOKUP(P431,'Color codes'!$A:$E,5,FALSE)*(0.25 + 0.75*Q431/40))</f>
        <v>67</v>
      </c>
      <c r="V431" t="b">
        <f t="shared" si="32"/>
        <v>0</v>
      </c>
    </row>
    <row r="432" spans="1:22" x14ac:dyDescent="0.25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TRUNC(VLOOKUP(P432,'Color codes'!$A:$E,3,FALSE)*(0.25 + 0.75*Q432/40))</f>
        <v>66</v>
      </c>
      <c r="T432">
        <f>TRUNC(VLOOKUP(P432,'Color codes'!$A:$E,4,FALSE)*(0.25 + 0.75*Q432/40))</f>
        <v>109</v>
      </c>
      <c r="U432">
        <f>TRUNC(VLOOKUP(P432,'Color codes'!$A:$E,5,FALSE)*(0.25 + 0.75*Q432/40))</f>
        <v>158</v>
      </c>
      <c r="V432" t="b">
        <f t="shared" si="32"/>
        <v>0</v>
      </c>
    </row>
    <row r="433" spans="1:22" x14ac:dyDescent="0.25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TRUNC(VLOOKUP(P433,'Color codes'!$A:$E,3,FALSE)*(0.25 + 0.75*Q433/40))</f>
        <v>63</v>
      </c>
      <c r="T433">
        <f>TRUNC(VLOOKUP(P433,'Color codes'!$A:$E,4,FALSE)*(0.25 + 0.75*Q433/40))</f>
        <v>105</v>
      </c>
      <c r="U433">
        <f>TRUNC(VLOOKUP(P433,'Color codes'!$A:$E,5,FALSE)*(0.25 + 0.75*Q433/40))</f>
        <v>152</v>
      </c>
      <c r="V433" t="b">
        <f t="shared" si="32"/>
        <v>1</v>
      </c>
    </row>
    <row r="434" spans="1:22" x14ac:dyDescent="0.25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TRUNC(VLOOKUP(P434,'Color codes'!$A:$E,3,FALSE)*(0.25 + 0.75*Q434/40))</f>
        <v>228</v>
      </c>
      <c r="T434">
        <f>TRUNC(VLOOKUP(P434,'Color codes'!$A:$E,4,FALSE)*(0.25 + 0.75*Q434/40))</f>
        <v>96</v>
      </c>
      <c r="U434">
        <f>TRUNC(VLOOKUP(P434,'Color codes'!$A:$E,5,FALSE)*(0.25 + 0.75*Q434/40))</f>
        <v>93</v>
      </c>
      <c r="V434" t="b">
        <f t="shared" si="32"/>
        <v>1</v>
      </c>
    </row>
    <row r="435" spans="1:22" x14ac:dyDescent="0.25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TRUNC(VLOOKUP(P435,'Color codes'!$A:$E,3,FALSE)*(0.25 + 0.75*Q435/40))</f>
        <v>215</v>
      </c>
      <c r="T435">
        <f>TRUNC(VLOOKUP(P435,'Color codes'!$A:$E,4,FALSE)*(0.25 + 0.75*Q435/40))</f>
        <v>90</v>
      </c>
      <c r="U435">
        <f>TRUNC(VLOOKUP(P435,'Color codes'!$A:$E,5,FALSE)*(0.25 + 0.75*Q435/40))</f>
        <v>88</v>
      </c>
      <c r="V435" t="b">
        <f t="shared" si="32"/>
        <v>1</v>
      </c>
    </row>
    <row r="436" spans="1:22" x14ac:dyDescent="0.25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TRUNC(VLOOKUP(P436,'Color codes'!$A:$E,3,FALSE)*(0.25 + 0.75*Q436/40))</f>
        <v>203</v>
      </c>
      <c r="T436">
        <f>TRUNC(VLOOKUP(P436,'Color codes'!$A:$E,4,FALSE)*(0.25 + 0.75*Q436/40))</f>
        <v>85</v>
      </c>
      <c r="U436">
        <f>TRUNC(VLOOKUP(P436,'Color codes'!$A:$E,5,FALSE)*(0.25 + 0.75*Q436/40))</f>
        <v>82</v>
      </c>
      <c r="V436" t="b">
        <f t="shared" si="32"/>
        <v>1</v>
      </c>
    </row>
    <row r="437" spans="1:22" x14ac:dyDescent="0.25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TRUNC(VLOOKUP(P437,'Color codes'!$A:$E,3,FALSE)*(0.25 + 0.75*Q437/40))</f>
        <v>190</v>
      </c>
      <c r="T437">
        <f>TRUNC(VLOOKUP(P437,'Color codes'!$A:$E,4,FALSE)*(0.25 + 0.75*Q437/40))</f>
        <v>80</v>
      </c>
      <c r="U437">
        <f>TRUNC(VLOOKUP(P437,'Color codes'!$A:$E,5,FALSE)*(0.25 + 0.75*Q437/40))</f>
        <v>77</v>
      </c>
      <c r="V437" t="b">
        <f t="shared" si="32"/>
        <v>1</v>
      </c>
    </row>
    <row r="438" spans="1:22" x14ac:dyDescent="0.25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TRUNC(VLOOKUP(P438,'Color codes'!$A:$E,3,FALSE)*(0.25 + 0.75*Q438/40))</f>
        <v>178</v>
      </c>
      <c r="T438">
        <f>TRUNC(VLOOKUP(P438,'Color codes'!$A:$E,4,FALSE)*(0.25 + 0.75*Q438/40))</f>
        <v>74</v>
      </c>
      <c r="U438">
        <f>TRUNC(VLOOKUP(P438,'Color codes'!$A:$E,5,FALSE)*(0.25 + 0.75*Q438/40))</f>
        <v>72</v>
      </c>
      <c r="V438" t="b">
        <f t="shared" si="32"/>
        <v>1</v>
      </c>
    </row>
    <row r="439" spans="1:22" x14ac:dyDescent="0.25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TRUNC(VLOOKUP(P439,'Color codes'!$A:$E,3,FALSE)*(0.25 + 0.75*Q439/40))</f>
        <v>166</v>
      </c>
      <c r="T439">
        <f>TRUNC(VLOOKUP(P439,'Color codes'!$A:$E,4,FALSE)*(0.25 + 0.75*Q439/40))</f>
        <v>69</v>
      </c>
      <c r="U439">
        <f>TRUNC(VLOOKUP(P439,'Color codes'!$A:$E,5,FALSE)*(0.25 + 0.75*Q439/40))</f>
        <v>67</v>
      </c>
      <c r="V439" t="b">
        <f t="shared" si="32"/>
        <v>0</v>
      </c>
    </row>
    <row r="440" spans="1:22" x14ac:dyDescent="0.25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TRUNC(VLOOKUP(P440,'Color codes'!$A:$E,3,FALSE)*(0.25 + 0.75*Q440/40))</f>
        <v>66</v>
      </c>
      <c r="T440">
        <f>TRUNC(VLOOKUP(P440,'Color codes'!$A:$E,4,FALSE)*(0.25 + 0.75*Q440/40))</f>
        <v>108</v>
      </c>
      <c r="U440">
        <f>TRUNC(VLOOKUP(P440,'Color codes'!$A:$E,5,FALSE)*(0.25 + 0.75*Q440/40))</f>
        <v>157</v>
      </c>
      <c r="V440" t="b">
        <f t="shared" si="32"/>
        <v>0</v>
      </c>
    </row>
    <row r="441" spans="1:22" x14ac:dyDescent="0.25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TRUNC(VLOOKUP(P441,'Color codes'!$A:$E,3,FALSE)*(0.25 + 0.75*Q441/40))</f>
        <v>63</v>
      </c>
      <c r="T441">
        <f>TRUNC(VLOOKUP(P441,'Color codes'!$A:$E,4,FALSE)*(0.25 + 0.75*Q441/40))</f>
        <v>104</v>
      </c>
      <c r="U441">
        <f>TRUNC(VLOOKUP(P441,'Color codes'!$A:$E,5,FALSE)*(0.25 + 0.75*Q441/40))</f>
        <v>151</v>
      </c>
      <c r="V441" t="b">
        <f t="shared" si="32"/>
        <v>1</v>
      </c>
    </row>
    <row r="442" spans="1:22" x14ac:dyDescent="0.25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TRUNC(VLOOKUP(P442,'Color codes'!$A:$E,3,FALSE)*(0.25 + 0.75*Q442/40))</f>
        <v>228</v>
      </c>
      <c r="T442">
        <f>TRUNC(VLOOKUP(P442,'Color codes'!$A:$E,4,FALSE)*(0.25 + 0.75*Q442/40))</f>
        <v>95</v>
      </c>
      <c r="U442">
        <f>TRUNC(VLOOKUP(P442,'Color codes'!$A:$E,5,FALSE)*(0.25 + 0.75*Q442/40))</f>
        <v>93</v>
      </c>
      <c r="V442" t="b">
        <f t="shared" si="32"/>
        <v>1</v>
      </c>
    </row>
    <row r="443" spans="1:22" x14ac:dyDescent="0.25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TRUNC(VLOOKUP(P443,'Color codes'!$A:$E,3,FALSE)*(0.25 + 0.75*Q443/40))</f>
        <v>215</v>
      </c>
      <c r="T443">
        <f>TRUNC(VLOOKUP(P443,'Color codes'!$A:$E,4,FALSE)*(0.25 + 0.75*Q443/40))</f>
        <v>90</v>
      </c>
      <c r="U443">
        <f>TRUNC(VLOOKUP(P443,'Color codes'!$A:$E,5,FALSE)*(0.25 + 0.75*Q443/40))</f>
        <v>88</v>
      </c>
      <c r="V443" t="b">
        <f t="shared" si="32"/>
        <v>1</v>
      </c>
    </row>
    <row r="444" spans="1:22" x14ac:dyDescent="0.25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TRUNC(VLOOKUP(P444,'Color codes'!$A:$E,3,FALSE)*(0.25 + 0.75*Q444/40))</f>
        <v>203</v>
      </c>
      <c r="T444">
        <f>TRUNC(VLOOKUP(P444,'Color codes'!$A:$E,4,FALSE)*(0.25 + 0.75*Q444/40))</f>
        <v>85</v>
      </c>
      <c r="U444">
        <f>TRUNC(VLOOKUP(P444,'Color codes'!$A:$E,5,FALSE)*(0.25 + 0.75*Q444/40))</f>
        <v>82</v>
      </c>
      <c r="V444" t="b">
        <f t="shared" si="32"/>
        <v>1</v>
      </c>
    </row>
    <row r="445" spans="1:22" x14ac:dyDescent="0.25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TRUNC(VLOOKUP(P445,'Color codes'!$A:$E,3,FALSE)*(0.25 + 0.75*Q445/40))</f>
        <v>190</v>
      </c>
      <c r="T445">
        <f>TRUNC(VLOOKUP(P445,'Color codes'!$A:$E,4,FALSE)*(0.25 + 0.75*Q445/40))</f>
        <v>80</v>
      </c>
      <c r="U445">
        <f>TRUNC(VLOOKUP(P445,'Color codes'!$A:$E,5,FALSE)*(0.25 + 0.75*Q445/40))</f>
        <v>77</v>
      </c>
      <c r="V445" t="b">
        <f t="shared" si="32"/>
        <v>1</v>
      </c>
    </row>
    <row r="446" spans="1:22" x14ac:dyDescent="0.25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TRUNC(VLOOKUP(P446,'Color codes'!$A:$E,3,FALSE)*(0.25 + 0.75*Q446/40))</f>
        <v>178</v>
      </c>
      <c r="T446">
        <f>TRUNC(VLOOKUP(P446,'Color codes'!$A:$E,4,FALSE)*(0.25 + 0.75*Q446/40))</f>
        <v>75</v>
      </c>
      <c r="U446">
        <f>TRUNC(VLOOKUP(P446,'Color codes'!$A:$E,5,FALSE)*(0.25 + 0.75*Q446/40))</f>
        <v>72</v>
      </c>
      <c r="V446" t="b">
        <f t="shared" si="32"/>
        <v>1</v>
      </c>
    </row>
    <row r="447" spans="1:22" x14ac:dyDescent="0.25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TRUNC(VLOOKUP(P447,'Color codes'!$A:$E,3,FALSE)*(0.25 + 0.75*Q447/40))</f>
        <v>166</v>
      </c>
      <c r="T447">
        <f>TRUNC(VLOOKUP(P447,'Color codes'!$A:$E,4,FALSE)*(0.25 + 0.75*Q447/40))</f>
        <v>69</v>
      </c>
      <c r="U447">
        <f>TRUNC(VLOOKUP(P447,'Color codes'!$A:$E,5,FALSE)*(0.25 + 0.75*Q447/40))</f>
        <v>68</v>
      </c>
      <c r="V447" t="b">
        <f t="shared" si="32"/>
        <v>1</v>
      </c>
    </row>
    <row r="448" spans="1:22" x14ac:dyDescent="0.25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TRUNC(VLOOKUP(P448,'Color codes'!$A:$E,3,FALSE)*(0.25 + 0.75*Q448/40))</f>
        <v>154</v>
      </c>
      <c r="T448">
        <f>TRUNC(VLOOKUP(P448,'Color codes'!$A:$E,4,FALSE)*(0.25 + 0.75*Q448/40))</f>
        <v>64</v>
      </c>
      <c r="U448">
        <f>TRUNC(VLOOKUP(P448,'Color codes'!$A:$E,5,FALSE)*(0.25 + 0.75*Q448/40))</f>
        <v>63</v>
      </c>
      <c r="V448" t="b">
        <f t="shared" si="32"/>
        <v>0</v>
      </c>
    </row>
    <row r="449" spans="1:22" x14ac:dyDescent="0.25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TRUNC(VLOOKUP(P449,'Color codes'!$A:$E,3,FALSE)*(0.25 + 0.75*Q449/40))</f>
        <v>60</v>
      </c>
      <c r="T449">
        <f>TRUNC(VLOOKUP(P449,'Color codes'!$A:$E,4,FALSE)*(0.25 + 0.75*Q449/40))</f>
        <v>99</v>
      </c>
      <c r="U449">
        <f>TRUNC(VLOOKUP(P449,'Color codes'!$A:$E,5,FALSE)*(0.25 + 0.75*Q449/40))</f>
        <v>144</v>
      </c>
      <c r="V449" t="b">
        <f t="shared" si="32"/>
        <v>0</v>
      </c>
    </row>
    <row r="450" spans="1:22" x14ac:dyDescent="0.25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TRUNC(VLOOKUP(P450,'Color codes'!$A:$E,3,FALSE)*(0.25 + 0.75*Q450/40))</f>
        <v>228</v>
      </c>
      <c r="T450">
        <f>TRUNC(VLOOKUP(P450,'Color codes'!$A:$E,4,FALSE)*(0.25 + 0.75*Q450/40))</f>
        <v>96</v>
      </c>
      <c r="U450">
        <f>TRUNC(VLOOKUP(P450,'Color codes'!$A:$E,5,FALSE)*(0.25 + 0.75*Q450/40))</f>
        <v>93</v>
      </c>
      <c r="V450" t="b">
        <f t="shared" si="32"/>
        <v>0</v>
      </c>
    </row>
    <row r="451" spans="1:22" x14ac:dyDescent="0.25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TRUNC(VLOOKUP(P451,'Color codes'!$A:$E,3,FALSE)*(0.25 + 0.75*Q451/40))</f>
        <v>216</v>
      </c>
      <c r="T451">
        <f>TRUNC(VLOOKUP(P451,'Color codes'!$A:$E,4,FALSE)*(0.25 + 0.75*Q451/40))</f>
        <v>90</v>
      </c>
      <c r="U451">
        <f>TRUNC(VLOOKUP(P451,'Color codes'!$A:$E,5,FALSE)*(0.25 + 0.75*Q451/40))</f>
        <v>88</v>
      </c>
      <c r="V451" t="b">
        <f t="shared" si="32"/>
        <v>0</v>
      </c>
    </row>
    <row r="452" spans="1:22" x14ac:dyDescent="0.25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TRUNC(VLOOKUP(P452,'Color codes'!$A:$E,3,FALSE)*(0.25 + 0.75*Q452/40))</f>
        <v>85</v>
      </c>
      <c r="T452">
        <f>TRUNC(VLOOKUP(P452,'Color codes'!$A:$E,4,FALSE)*(0.25 + 0.75*Q452/40))</f>
        <v>140</v>
      </c>
      <c r="U452">
        <f>TRUNC(VLOOKUP(P452,'Color codes'!$A:$E,5,FALSE)*(0.25 + 0.75*Q452/40))</f>
        <v>203</v>
      </c>
      <c r="V452" t="b">
        <f t="shared" si="32"/>
        <v>0</v>
      </c>
    </row>
    <row r="453" spans="1:22" x14ac:dyDescent="0.25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TRUNC(VLOOKUP(P453,'Color codes'!$A:$E,3,FALSE)*(0.25 + 0.75*Q453/40))</f>
        <v>81</v>
      </c>
      <c r="T453">
        <f>TRUNC(VLOOKUP(P453,'Color codes'!$A:$E,4,FALSE)*(0.25 + 0.75*Q453/40))</f>
        <v>134</v>
      </c>
      <c r="U453">
        <f>TRUNC(VLOOKUP(P453,'Color codes'!$A:$E,5,FALSE)*(0.25 + 0.75*Q453/40))</f>
        <v>194</v>
      </c>
      <c r="V453" t="b">
        <f t="shared" si="32"/>
        <v>0</v>
      </c>
    </row>
    <row r="454" spans="1:22" x14ac:dyDescent="0.25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TRUNC(VLOOKUP(P454,'Color codes'!$A:$E,3,FALSE)*(0.25 + 0.75*Q454/40))</f>
        <v>78</v>
      </c>
      <c r="T454">
        <f>TRUNC(VLOOKUP(P454,'Color codes'!$A:$E,4,FALSE)*(0.25 + 0.75*Q454/40))</f>
        <v>128</v>
      </c>
      <c r="U454">
        <f>TRUNC(VLOOKUP(P454,'Color codes'!$A:$E,5,FALSE)*(0.25 + 0.75*Q454/40))</f>
        <v>186</v>
      </c>
      <c r="V454" t="b">
        <f t="shared" si="32"/>
        <v>1</v>
      </c>
    </row>
    <row r="455" spans="1:22" x14ac:dyDescent="0.25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TRUNC(VLOOKUP(P455,'Color codes'!$A:$E,3,FALSE)*(0.25 + 0.75*Q455/40))</f>
        <v>74</v>
      </c>
      <c r="T455">
        <f>TRUNC(VLOOKUP(P455,'Color codes'!$A:$E,4,FALSE)*(0.25 + 0.75*Q455/40))</f>
        <v>123</v>
      </c>
      <c r="U455">
        <f>TRUNC(VLOOKUP(P455,'Color codes'!$A:$E,5,FALSE)*(0.25 + 0.75*Q455/40))</f>
        <v>178</v>
      </c>
      <c r="V455" t="b">
        <f t="shared" si="32"/>
        <v>1</v>
      </c>
    </row>
    <row r="456" spans="1:22" x14ac:dyDescent="0.25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TRUNC(VLOOKUP(P456,'Color codes'!$A:$E,3,FALSE)*(0.25 + 0.75*Q456/40))</f>
        <v>73</v>
      </c>
      <c r="T456">
        <f>TRUNC(VLOOKUP(P456,'Color codes'!$A:$E,4,FALSE)*(0.25 + 0.75*Q456/40))</f>
        <v>121</v>
      </c>
      <c r="U456">
        <f>TRUNC(VLOOKUP(P456,'Color codes'!$A:$E,5,FALSE)*(0.25 + 0.75*Q456/40))</f>
        <v>176</v>
      </c>
      <c r="V456" t="b">
        <f t="shared" si="32"/>
        <v>1</v>
      </c>
    </row>
    <row r="457" spans="1:22" x14ac:dyDescent="0.25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TRUNC(VLOOKUP(P457,'Color codes'!$A:$E,3,FALSE)*(0.25 + 0.75*Q457/40))</f>
        <v>71</v>
      </c>
      <c r="T457">
        <f>TRUNC(VLOOKUP(P457,'Color codes'!$A:$E,4,FALSE)*(0.25 + 0.75*Q457/40))</f>
        <v>118</v>
      </c>
      <c r="U457">
        <f>TRUNC(VLOOKUP(P457,'Color codes'!$A:$E,5,FALSE)*(0.25 + 0.75*Q457/40))</f>
        <v>171</v>
      </c>
      <c r="V457" t="b">
        <f t="shared" si="32"/>
        <v>1</v>
      </c>
    </row>
    <row r="458" spans="1:22" x14ac:dyDescent="0.25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TRUNC(VLOOKUP(P458,'Color codes'!$A:$E,3,FALSE)*(0.25 + 0.75*Q458/40))</f>
        <v>228</v>
      </c>
      <c r="T458">
        <f>TRUNC(VLOOKUP(P458,'Color codes'!$A:$E,4,FALSE)*(0.25 + 0.75*Q458/40))</f>
        <v>95</v>
      </c>
      <c r="U458">
        <f>TRUNC(VLOOKUP(P458,'Color codes'!$A:$E,5,FALSE)*(0.25 + 0.75*Q458/40))</f>
        <v>93</v>
      </c>
      <c r="V458" t="b">
        <f t="shared" si="32"/>
        <v>1</v>
      </c>
    </row>
    <row r="459" spans="1:22" x14ac:dyDescent="0.25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TRUNC(VLOOKUP(P459,'Color codes'!$A:$E,3,FALSE)*(0.25 + 0.75*Q459/40))</f>
        <v>215</v>
      </c>
      <c r="T459">
        <f>TRUNC(VLOOKUP(P459,'Color codes'!$A:$E,4,FALSE)*(0.25 + 0.75*Q459/40))</f>
        <v>90</v>
      </c>
      <c r="U459">
        <f>TRUNC(VLOOKUP(P459,'Color codes'!$A:$E,5,FALSE)*(0.25 + 0.75*Q459/40))</f>
        <v>88</v>
      </c>
      <c r="V459" t="b">
        <f t="shared" si="32"/>
        <v>1</v>
      </c>
    </row>
    <row r="460" spans="1:22" x14ac:dyDescent="0.25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TRUNC(VLOOKUP(P460,'Color codes'!$A:$E,3,FALSE)*(0.25 + 0.75*Q460/40))</f>
        <v>203</v>
      </c>
      <c r="T460">
        <f>TRUNC(VLOOKUP(P460,'Color codes'!$A:$E,4,FALSE)*(0.25 + 0.75*Q460/40))</f>
        <v>85</v>
      </c>
      <c r="U460">
        <f>TRUNC(VLOOKUP(P460,'Color codes'!$A:$E,5,FALSE)*(0.25 + 0.75*Q460/40))</f>
        <v>82</v>
      </c>
      <c r="V460" t="b">
        <f t="shared" si="32"/>
        <v>1</v>
      </c>
    </row>
    <row r="461" spans="1:22" x14ac:dyDescent="0.25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TRUNC(VLOOKUP(P461,'Color codes'!$A:$E,3,FALSE)*(0.25 + 0.75*Q461/40))</f>
        <v>191</v>
      </c>
      <c r="T461">
        <f>TRUNC(VLOOKUP(P461,'Color codes'!$A:$E,4,FALSE)*(0.25 + 0.75*Q461/40))</f>
        <v>80</v>
      </c>
      <c r="U461">
        <f>TRUNC(VLOOKUP(P461,'Color codes'!$A:$E,5,FALSE)*(0.25 + 0.75*Q461/40))</f>
        <v>77</v>
      </c>
      <c r="V461" t="b">
        <f t="shared" si="32"/>
        <v>1</v>
      </c>
    </row>
    <row r="462" spans="1:22" x14ac:dyDescent="0.25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TRUNC(VLOOKUP(P462,'Color codes'!$A:$E,3,FALSE)*(0.25 + 0.75*Q462/40))</f>
        <v>178</v>
      </c>
      <c r="T462">
        <f>TRUNC(VLOOKUP(P462,'Color codes'!$A:$E,4,FALSE)*(0.25 + 0.75*Q462/40))</f>
        <v>74</v>
      </c>
      <c r="U462">
        <f>TRUNC(VLOOKUP(P462,'Color codes'!$A:$E,5,FALSE)*(0.25 + 0.75*Q462/40))</f>
        <v>72</v>
      </c>
      <c r="V462" t="b">
        <f t="shared" si="32"/>
        <v>0</v>
      </c>
    </row>
    <row r="463" spans="1:22" x14ac:dyDescent="0.25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TRUNC(VLOOKUP(P463,'Color codes'!$A:$E,3,FALSE)*(0.25 + 0.75*Q463/40))</f>
        <v>166</v>
      </c>
      <c r="T463">
        <f>TRUNC(VLOOKUP(P463,'Color codes'!$A:$E,4,FALSE)*(0.25 + 0.75*Q463/40))</f>
        <v>69</v>
      </c>
      <c r="U463">
        <f>TRUNC(VLOOKUP(P463,'Color codes'!$A:$E,5,FALSE)*(0.25 + 0.75*Q463/40))</f>
        <v>67</v>
      </c>
      <c r="V463" t="b">
        <f t="shared" si="32"/>
        <v>0</v>
      </c>
    </row>
    <row r="464" spans="1:22" x14ac:dyDescent="0.25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TRUNC(VLOOKUP(P464,'Color codes'!$A:$E,3,FALSE)*(0.25 + 0.75*Q464/40))</f>
        <v>66</v>
      </c>
      <c r="T464">
        <f>TRUNC(VLOOKUP(P464,'Color codes'!$A:$E,4,FALSE)*(0.25 + 0.75*Q464/40))</f>
        <v>110</v>
      </c>
      <c r="U464">
        <f>TRUNC(VLOOKUP(P464,'Color codes'!$A:$E,5,FALSE)*(0.25 + 0.75*Q464/40))</f>
        <v>159</v>
      </c>
      <c r="V464" t="b">
        <f t="shared" si="32"/>
        <v>1</v>
      </c>
    </row>
    <row r="465" spans="1:22" x14ac:dyDescent="0.25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TRUNC(VLOOKUP(P465,'Color codes'!$A:$E,3,FALSE)*(0.25 + 0.75*Q465/40))</f>
        <v>63</v>
      </c>
      <c r="T465">
        <f>TRUNC(VLOOKUP(P465,'Color codes'!$A:$E,4,FALSE)*(0.25 + 0.75*Q465/40))</f>
        <v>103</v>
      </c>
      <c r="U465">
        <f>TRUNC(VLOOKUP(P465,'Color codes'!$A:$E,5,FALSE)*(0.25 + 0.75*Q465/40))</f>
        <v>150</v>
      </c>
      <c r="V465" t="b">
        <f t="shared" si="32"/>
        <v>1</v>
      </c>
    </row>
    <row r="466" spans="1:22" x14ac:dyDescent="0.25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TRUNC(VLOOKUP(P466,'Color codes'!$A:$E,3,FALSE)*(0.25 + 0.75*Q466/40))</f>
        <v>228</v>
      </c>
      <c r="T466">
        <f>TRUNC(VLOOKUP(P466,'Color codes'!$A:$E,4,FALSE)*(0.25 + 0.75*Q466/40))</f>
        <v>95</v>
      </c>
      <c r="U466">
        <f>TRUNC(VLOOKUP(P466,'Color codes'!$A:$E,5,FALSE)*(0.25 + 0.75*Q466/40))</f>
        <v>93</v>
      </c>
      <c r="V466" t="b">
        <f t="shared" si="32"/>
        <v>1</v>
      </c>
    </row>
    <row r="467" spans="1:22" x14ac:dyDescent="0.25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TRUNC(VLOOKUP(P467,'Color codes'!$A:$E,3,FALSE)*(0.25 + 0.75*Q467/40))</f>
        <v>215</v>
      </c>
      <c r="T467">
        <f>TRUNC(VLOOKUP(P467,'Color codes'!$A:$E,4,FALSE)*(0.25 + 0.75*Q467/40))</f>
        <v>90</v>
      </c>
      <c r="U467">
        <f>TRUNC(VLOOKUP(P467,'Color codes'!$A:$E,5,FALSE)*(0.25 + 0.75*Q467/40))</f>
        <v>87</v>
      </c>
      <c r="V467" t="b">
        <f t="shared" si="32"/>
        <v>1</v>
      </c>
    </row>
    <row r="468" spans="1:22" x14ac:dyDescent="0.25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TRUNC(VLOOKUP(P468,'Color codes'!$A:$E,3,FALSE)*(0.25 + 0.75*Q468/40))</f>
        <v>203</v>
      </c>
      <c r="T468">
        <f>TRUNC(VLOOKUP(P468,'Color codes'!$A:$E,4,FALSE)*(0.25 + 0.75*Q468/40))</f>
        <v>85</v>
      </c>
      <c r="U468">
        <f>TRUNC(VLOOKUP(P468,'Color codes'!$A:$E,5,FALSE)*(0.25 + 0.75*Q468/40))</f>
        <v>83</v>
      </c>
      <c r="V468" t="b">
        <f t="shared" si="32"/>
        <v>1</v>
      </c>
    </row>
    <row r="469" spans="1:22" x14ac:dyDescent="0.25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TRUNC(VLOOKUP(P469,'Color codes'!$A:$E,3,FALSE)*(0.25 + 0.75*Q469/40))</f>
        <v>190</v>
      </c>
      <c r="T469">
        <f>TRUNC(VLOOKUP(P469,'Color codes'!$A:$E,4,FALSE)*(0.25 + 0.75*Q469/40))</f>
        <v>79</v>
      </c>
      <c r="U469">
        <f>TRUNC(VLOOKUP(P469,'Color codes'!$A:$E,5,FALSE)*(0.25 + 0.75*Q469/40))</f>
        <v>77</v>
      </c>
      <c r="V469" t="b">
        <f t="shared" si="32"/>
        <v>1</v>
      </c>
    </row>
    <row r="470" spans="1:22" x14ac:dyDescent="0.25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TRUNC(VLOOKUP(P470,'Color codes'!$A:$E,3,FALSE)*(0.25 + 0.75*Q470/40))</f>
        <v>178</v>
      </c>
      <c r="T470">
        <f>TRUNC(VLOOKUP(P470,'Color codes'!$A:$E,4,FALSE)*(0.25 + 0.75*Q470/40))</f>
        <v>74</v>
      </c>
      <c r="U470">
        <f>TRUNC(VLOOKUP(P470,'Color codes'!$A:$E,5,FALSE)*(0.25 + 0.75*Q470/40))</f>
        <v>72</v>
      </c>
      <c r="V470" t="b">
        <f t="shared" si="32"/>
        <v>1</v>
      </c>
    </row>
    <row r="471" spans="1:22" x14ac:dyDescent="0.25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TRUNC(VLOOKUP(P471,'Color codes'!$A:$E,3,FALSE)*(0.25 + 0.75*Q471/40))</f>
        <v>166</v>
      </c>
      <c r="T471">
        <f>TRUNC(VLOOKUP(P471,'Color codes'!$A:$E,4,FALSE)*(0.25 + 0.75*Q471/40))</f>
        <v>69</v>
      </c>
      <c r="U471">
        <f>TRUNC(VLOOKUP(P471,'Color codes'!$A:$E,5,FALSE)*(0.25 + 0.75*Q471/40))</f>
        <v>67</v>
      </c>
      <c r="V471" t="b">
        <f t="shared" si="32"/>
        <v>0</v>
      </c>
    </row>
    <row r="472" spans="1:22" x14ac:dyDescent="0.25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TRUNC(VLOOKUP(P472,'Color codes'!$A:$E,3,FALSE)*(0.25 + 0.75*Q472/40))</f>
        <v>154</v>
      </c>
      <c r="T472">
        <f>TRUNC(VLOOKUP(P472,'Color codes'!$A:$E,4,FALSE)*(0.25 + 0.75*Q472/40))</f>
        <v>64</v>
      </c>
      <c r="U472">
        <f>TRUNC(VLOOKUP(P472,'Color codes'!$A:$E,5,FALSE)*(0.25 + 0.75*Q472/40))</f>
        <v>63</v>
      </c>
      <c r="V472" t="b">
        <f t="shared" si="32"/>
        <v>0</v>
      </c>
    </row>
    <row r="473" spans="1:22" x14ac:dyDescent="0.25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TRUNC(VLOOKUP(P473,'Color codes'!$A:$E,3,FALSE)*(0.25 + 0.75*Q473/40))</f>
        <v>143</v>
      </c>
      <c r="T473">
        <f>TRUNC(VLOOKUP(P473,'Color codes'!$A:$E,4,FALSE)*(0.25 + 0.75*Q473/40))</f>
        <v>60</v>
      </c>
      <c r="U473">
        <f>TRUNC(VLOOKUP(P473,'Color codes'!$A:$E,5,FALSE)*(0.25 + 0.75*Q473/40))</f>
        <v>58</v>
      </c>
      <c r="V473" t="b">
        <f t="shared" si="32"/>
        <v>0</v>
      </c>
    </row>
    <row r="474" spans="1:22" x14ac:dyDescent="0.25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TRUNC(VLOOKUP(P474,'Color codes'!$A:$E,3,FALSE)*(0.25 + 0.75*Q474/40))</f>
        <v>228</v>
      </c>
      <c r="T474">
        <f>TRUNC(VLOOKUP(P474,'Color codes'!$A:$E,4,FALSE)*(0.25 + 0.75*Q474/40))</f>
        <v>96</v>
      </c>
      <c r="U474">
        <f>TRUNC(VLOOKUP(P474,'Color codes'!$A:$E,5,FALSE)*(0.25 + 0.75*Q474/40))</f>
        <v>93</v>
      </c>
      <c r="V474" t="b">
        <f t="shared" si="32"/>
        <v>1</v>
      </c>
    </row>
    <row r="475" spans="1:22" x14ac:dyDescent="0.25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TRUNC(VLOOKUP(P475,'Color codes'!$A:$E,3,FALSE)*(0.25 + 0.75*Q475/40))</f>
        <v>216</v>
      </c>
      <c r="T475">
        <f>TRUNC(VLOOKUP(P475,'Color codes'!$A:$E,4,FALSE)*(0.25 + 0.75*Q475/40))</f>
        <v>90</v>
      </c>
      <c r="U475">
        <f>TRUNC(VLOOKUP(P475,'Color codes'!$A:$E,5,FALSE)*(0.25 + 0.75*Q475/40))</f>
        <v>88</v>
      </c>
      <c r="V475" t="b">
        <f t="shared" si="32"/>
        <v>1</v>
      </c>
    </row>
    <row r="476" spans="1:22" x14ac:dyDescent="0.25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TRUNC(VLOOKUP(P476,'Color codes'!$A:$E,3,FALSE)*(0.25 + 0.75*Q476/40))</f>
        <v>203</v>
      </c>
      <c r="T476">
        <f>TRUNC(VLOOKUP(P476,'Color codes'!$A:$E,4,FALSE)*(0.25 + 0.75*Q476/40))</f>
        <v>85</v>
      </c>
      <c r="U476">
        <f>TRUNC(VLOOKUP(P476,'Color codes'!$A:$E,5,FALSE)*(0.25 + 0.75*Q476/40))</f>
        <v>82</v>
      </c>
      <c r="V476" t="b">
        <f t="shared" si="32"/>
        <v>1</v>
      </c>
    </row>
    <row r="477" spans="1:22" x14ac:dyDescent="0.25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TRUNC(VLOOKUP(P477,'Color codes'!$A:$E,3,FALSE)*(0.25 + 0.75*Q477/40))</f>
        <v>190</v>
      </c>
      <c r="T477">
        <f>TRUNC(VLOOKUP(P477,'Color codes'!$A:$E,4,FALSE)*(0.25 + 0.75*Q477/40))</f>
        <v>79</v>
      </c>
      <c r="U477">
        <f>TRUNC(VLOOKUP(P477,'Color codes'!$A:$E,5,FALSE)*(0.25 + 0.75*Q477/40))</f>
        <v>77</v>
      </c>
      <c r="V477" t="b">
        <f t="shared" si="32"/>
        <v>1</v>
      </c>
    </row>
    <row r="478" spans="1:22" x14ac:dyDescent="0.25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TRUNC(VLOOKUP(P478,'Color codes'!$A:$E,3,FALSE)*(0.25 + 0.75*Q478/40))</f>
        <v>178</v>
      </c>
      <c r="T478">
        <f>TRUNC(VLOOKUP(P478,'Color codes'!$A:$E,4,FALSE)*(0.25 + 0.75*Q478/40))</f>
        <v>74</v>
      </c>
      <c r="U478">
        <f>TRUNC(VLOOKUP(P478,'Color codes'!$A:$E,5,FALSE)*(0.25 + 0.75*Q478/40))</f>
        <v>72</v>
      </c>
      <c r="V478" t="b">
        <f t="shared" si="32"/>
        <v>1</v>
      </c>
    </row>
    <row r="479" spans="1:22" x14ac:dyDescent="0.25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TRUNC(VLOOKUP(P479,'Color codes'!$A:$E,3,FALSE)*(0.25 + 0.75*Q479/40))</f>
        <v>165</v>
      </c>
      <c r="T479">
        <f>TRUNC(VLOOKUP(P479,'Color codes'!$A:$E,4,FALSE)*(0.25 + 0.75*Q479/40))</f>
        <v>69</v>
      </c>
      <c r="U479">
        <f>TRUNC(VLOOKUP(P479,'Color codes'!$A:$E,5,FALSE)*(0.25 + 0.75*Q479/40))</f>
        <v>67</v>
      </c>
      <c r="V479" t="b">
        <f t="shared" si="32"/>
        <v>1</v>
      </c>
    </row>
    <row r="480" spans="1:22" x14ac:dyDescent="0.25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TRUNC(VLOOKUP(P480,'Color codes'!$A:$E,3,FALSE)*(0.25 + 0.75*Q480/40))</f>
        <v>154</v>
      </c>
      <c r="T480">
        <f>TRUNC(VLOOKUP(P480,'Color codes'!$A:$E,4,FALSE)*(0.25 + 0.75*Q480/40))</f>
        <v>64</v>
      </c>
      <c r="U480">
        <f>TRUNC(VLOOKUP(P480,'Color codes'!$A:$E,5,FALSE)*(0.25 + 0.75*Q480/40))</f>
        <v>63</v>
      </c>
      <c r="V480" t="b">
        <f t="shared" si="32"/>
        <v>1</v>
      </c>
    </row>
    <row r="481" spans="1:22" x14ac:dyDescent="0.25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TRUNC(VLOOKUP(P481,'Color codes'!$A:$E,3,FALSE)*(0.25 + 0.75*Q481/40))</f>
        <v>143</v>
      </c>
      <c r="T481">
        <f>TRUNC(VLOOKUP(P481,'Color codes'!$A:$E,4,FALSE)*(0.25 + 0.75*Q481/40))</f>
        <v>60</v>
      </c>
      <c r="U481">
        <f>TRUNC(VLOOKUP(P481,'Color codes'!$A:$E,5,FALSE)*(0.25 + 0.75*Q481/40))</f>
        <v>58</v>
      </c>
      <c r="V481" t="b">
        <f t="shared" si="32"/>
        <v>0</v>
      </c>
    </row>
    <row r="482" spans="1:22" x14ac:dyDescent="0.25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TRUNC(VLOOKUP(P482,'Color codes'!$A:$E,3,FALSE)*(0.25 + 0.75*Q482/40))</f>
        <v>228</v>
      </c>
      <c r="T482">
        <f>TRUNC(VLOOKUP(P482,'Color codes'!$A:$E,4,FALSE)*(0.25 + 0.75*Q482/40))</f>
        <v>96</v>
      </c>
      <c r="U482">
        <f>TRUNC(VLOOKUP(P482,'Color codes'!$A:$E,5,FALSE)*(0.25 + 0.75*Q482/40))</f>
        <v>93</v>
      </c>
      <c r="V482" t="b">
        <f t="shared" si="32"/>
        <v>1</v>
      </c>
    </row>
    <row r="483" spans="1:22" x14ac:dyDescent="0.25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TRUNC(VLOOKUP(P483,'Color codes'!$A:$E,3,FALSE)*(0.25 + 0.75*Q483/40))</f>
        <v>216</v>
      </c>
      <c r="T483">
        <f>TRUNC(VLOOKUP(P483,'Color codes'!$A:$E,4,FALSE)*(0.25 + 0.75*Q483/40))</f>
        <v>90</v>
      </c>
      <c r="U483">
        <f>TRUNC(VLOOKUP(P483,'Color codes'!$A:$E,5,FALSE)*(0.25 + 0.75*Q483/40))</f>
        <v>88</v>
      </c>
      <c r="V483" t="b">
        <f t="shared" si="32"/>
        <v>0</v>
      </c>
    </row>
    <row r="484" spans="1:22" x14ac:dyDescent="0.25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TRUNC(VLOOKUP(P484,'Color codes'!$A:$E,3,FALSE)*(0.25 + 0.75*Q484/40))</f>
        <v>203</v>
      </c>
      <c r="T484">
        <f>TRUNC(VLOOKUP(P484,'Color codes'!$A:$E,4,FALSE)*(0.25 + 0.75*Q484/40))</f>
        <v>85</v>
      </c>
      <c r="U484">
        <f>TRUNC(VLOOKUP(P484,'Color codes'!$A:$E,5,FALSE)*(0.25 + 0.75*Q484/40))</f>
        <v>82</v>
      </c>
      <c r="V484" t="b">
        <f t="shared" si="32"/>
        <v>0</v>
      </c>
    </row>
    <row r="485" spans="1:22" x14ac:dyDescent="0.25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TRUNC(VLOOKUP(P485,'Color codes'!$A:$E,3,FALSE)*(0.25 + 0.75*Q485/40))</f>
        <v>80</v>
      </c>
      <c r="T485">
        <f>TRUNC(VLOOKUP(P485,'Color codes'!$A:$E,4,FALSE)*(0.25 + 0.75*Q485/40))</f>
        <v>132</v>
      </c>
      <c r="U485">
        <f>TRUNC(VLOOKUP(P485,'Color codes'!$A:$E,5,FALSE)*(0.25 + 0.75*Q485/40))</f>
        <v>192</v>
      </c>
      <c r="V485" t="b">
        <f t="shared" si="32"/>
        <v>0</v>
      </c>
    </row>
    <row r="486" spans="1:22" x14ac:dyDescent="0.25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TRUNC(VLOOKUP(P486,'Color codes'!$A:$E,3,FALSE)*(0.25 + 0.75*Q486/40))</f>
        <v>76</v>
      </c>
      <c r="T486">
        <f>TRUNC(VLOOKUP(P486,'Color codes'!$A:$E,4,FALSE)*(0.25 + 0.75*Q486/40))</f>
        <v>126</v>
      </c>
      <c r="U486">
        <f>TRUNC(VLOOKUP(P486,'Color codes'!$A:$E,5,FALSE)*(0.25 + 0.75*Q486/40))</f>
        <v>182</v>
      </c>
      <c r="V486" t="b">
        <f t="shared" ref="V486:V513" si="36">(ABS(N486-O486)  &gt; 1)</f>
        <v>0</v>
      </c>
    </row>
    <row r="487" spans="1:22" x14ac:dyDescent="0.25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TRUNC(VLOOKUP(P487,'Color codes'!$A:$E,3,FALSE)*(0.25 + 0.75*Q487/40))</f>
        <v>73</v>
      </c>
      <c r="T487">
        <f>TRUNC(VLOOKUP(P487,'Color codes'!$A:$E,4,FALSE)*(0.25 + 0.75*Q487/40))</f>
        <v>120</v>
      </c>
      <c r="U487">
        <f>TRUNC(VLOOKUP(P487,'Color codes'!$A:$E,5,FALSE)*(0.25 + 0.75*Q487/40))</f>
        <v>174</v>
      </c>
      <c r="V487" t="b">
        <f t="shared" si="36"/>
        <v>1</v>
      </c>
    </row>
    <row r="488" spans="1:22" x14ac:dyDescent="0.25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TRUNC(VLOOKUP(P488,'Color codes'!$A:$E,3,FALSE)*(0.25 + 0.75*Q488/40))</f>
        <v>70</v>
      </c>
      <c r="T488">
        <f>TRUNC(VLOOKUP(P488,'Color codes'!$A:$E,4,FALSE)*(0.25 + 0.75*Q488/40))</f>
        <v>116</v>
      </c>
      <c r="U488">
        <f>TRUNC(VLOOKUP(P488,'Color codes'!$A:$E,5,FALSE)*(0.25 + 0.75*Q488/40))</f>
        <v>168</v>
      </c>
      <c r="V488" t="b">
        <f t="shared" si="36"/>
        <v>1</v>
      </c>
    </row>
    <row r="489" spans="1:22" x14ac:dyDescent="0.25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TRUNC(VLOOKUP(P489,'Color codes'!$A:$E,3,FALSE)*(0.25 + 0.75*Q489/40))</f>
        <v>69</v>
      </c>
      <c r="T489">
        <f>TRUNC(VLOOKUP(P489,'Color codes'!$A:$E,4,FALSE)*(0.25 + 0.75*Q489/40))</f>
        <v>114</v>
      </c>
      <c r="U489">
        <f>TRUNC(VLOOKUP(P489,'Color codes'!$A:$E,5,FALSE)*(0.25 + 0.75*Q489/40))</f>
        <v>166</v>
      </c>
      <c r="V489" t="b">
        <f t="shared" si="36"/>
        <v>1</v>
      </c>
    </row>
    <row r="490" spans="1:22" x14ac:dyDescent="0.25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TRUNC(VLOOKUP(P490,'Color codes'!$A:$E,3,FALSE)*(0.25 + 0.75*Q490/40))</f>
        <v>228</v>
      </c>
      <c r="T490">
        <f>TRUNC(VLOOKUP(P490,'Color codes'!$A:$E,4,FALSE)*(0.25 + 0.75*Q490/40))</f>
        <v>95</v>
      </c>
      <c r="U490">
        <f>TRUNC(VLOOKUP(P490,'Color codes'!$A:$E,5,FALSE)*(0.25 + 0.75*Q490/40))</f>
        <v>93</v>
      </c>
      <c r="V490" t="b">
        <f t="shared" si="36"/>
        <v>1</v>
      </c>
    </row>
    <row r="491" spans="1:22" x14ac:dyDescent="0.25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TRUNC(VLOOKUP(P491,'Color codes'!$A:$E,3,FALSE)*(0.25 + 0.75*Q491/40))</f>
        <v>215</v>
      </c>
      <c r="T491">
        <f>TRUNC(VLOOKUP(P491,'Color codes'!$A:$E,4,FALSE)*(0.25 + 0.75*Q491/40))</f>
        <v>90</v>
      </c>
      <c r="U491">
        <f>TRUNC(VLOOKUP(P491,'Color codes'!$A:$E,5,FALSE)*(0.25 + 0.75*Q491/40))</f>
        <v>88</v>
      </c>
      <c r="V491" t="b">
        <f t="shared" si="36"/>
        <v>1</v>
      </c>
    </row>
    <row r="492" spans="1:22" x14ac:dyDescent="0.25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TRUNC(VLOOKUP(P492,'Color codes'!$A:$E,3,FALSE)*(0.25 + 0.75*Q492/40))</f>
        <v>203</v>
      </c>
      <c r="T492">
        <f>TRUNC(VLOOKUP(P492,'Color codes'!$A:$E,4,FALSE)*(0.25 + 0.75*Q492/40))</f>
        <v>85</v>
      </c>
      <c r="U492">
        <f>TRUNC(VLOOKUP(P492,'Color codes'!$A:$E,5,FALSE)*(0.25 + 0.75*Q492/40))</f>
        <v>82</v>
      </c>
      <c r="V492" t="b">
        <f t="shared" si="36"/>
        <v>1</v>
      </c>
    </row>
    <row r="493" spans="1:22" x14ac:dyDescent="0.25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TRUNC(VLOOKUP(P493,'Color codes'!$A:$E,3,FALSE)*(0.25 + 0.75*Q493/40))</f>
        <v>190</v>
      </c>
      <c r="T493">
        <f>TRUNC(VLOOKUP(P493,'Color codes'!$A:$E,4,FALSE)*(0.25 + 0.75*Q493/40))</f>
        <v>80</v>
      </c>
      <c r="U493">
        <f>TRUNC(VLOOKUP(P493,'Color codes'!$A:$E,5,FALSE)*(0.25 + 0.75*Q493/40))</f>
        <v>77</v>
      </c>
      <c r="V493" t="b">
        <f t="shared" si="36"/>
        <v>1</v>
      </c>
    </row>
    <row r="494" spans="1:22" x14ac:dyDescent="0.25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TRUNC(VLOOKUP(P494,'Color codes'!$A:$E,3,FALSE)*(0.25 + 0.75*Q494/40))</f>
        <v>178</v>
      </c>
      <c r="T494">
        <f>TRUNC(VLOOKUP(P494,'Color codes'!$A:$E,4,FALSE)*(0.25 + 0.75*Q494/40))</f>
        <v>75</v>
      </c>
      <c r="U494">
        <f>TRUNC(VLOOKUP(P494,'Color codes'!$A:$E,5,FALSE)*(0.25 + 0.75*Q494/40))</f>
        <v>72</v>
      </c>
      <c r="V494" t="b">
        <f t="shared" si="36"/>
        <v>0</v>
      </c>
    </row>
    <row r="495" spans="1:22" x14ac:dyDescent="0.25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TRUNC(VLOOKUP(P495,'Color codes'!$A:$E,3,FALSE)*(0.25 + 0.75*Q495/40))</f>
        <v>166</v>
      </c>
      <c r="T495">
        <f>TRUNC(VLOOKUP(P495,'Color codes'!$A:$E,4,FALSE)*(0.25 + 0.75*Q495/40))</f>
        <v>69</v>
      </c>
      <c r="U495">
        <f>TRUNC(VLOOKUP(P495,'Color codes'!$A:$E,5,FALSE)*(0.25 + 0.75*Q495/40))</f>
        <v>67</v>
      </c>
      <c r="V495" t="b">
        <f t="shared" si="36"/>
        <v>0</v>
      </c>
    </row>
    <row r="496" spans="1:22" x14ac:dyDescent="0.25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TRUNC(VLOOKUP(P496,'Color codes'!$A:$E,3,FALSE)*(0.25 + 0.75*Q496/40))</f>
        <v>66</v>
      </c>
      <c r="T496">
        <f>TRUNC(VLOOKUP(P496,'Color codes'!$A:$E,4,FALSE)*(0.25 + 0.75*Q496/40))</f>
        <v>108</v>
      </c>
      <c r="U496">
        <f>TRUNC(VLOOKUP(P496,'Color codes'!$A:$E,5,FALSE)*(0.25 + 0.75*Q496/40))</f>
        <v>157</v>
      </c>
      <c r="V496" t="b">
        <f t="shared" si="36"/>
        <v>0</v>
      </c>
    </row>
    <row r="497" spans="1:22" x14ac:dyDescent="0.25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TRUNC(VLOOKUP(P497,'Color codes'!$A:$E,3,FALSE)*(0.25 + 0.75*Q497/40))</f>
        <v>63</v>
      </c>
      <c r="T497">
        <f>TRUNC(VLOOKUP(P497,'Color codes'!$A:$E,4,FALSE)*(0.25 + 0.75*Q497/40))</f>
        <v>104</v>
      </c>
      <c r="U497">
        <f>TRUNC(VLOOKUP(P497,'Color codes'!$A:$E,5,FALSE)*(0.25 + 0.75*Q497/40))</f>
        <v>151</v>
      </c>
      <c r="V497" t="b">
        <f t="shared" si="36"/>
        <v>1</v>
      </c>
    </row>
    <row r="498" spans="1:22" x14ac:dyDescent="0.25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TRUNC(VLOOKUP(P498,'Color codes'!$A:$E,3,FALSE)*(0.25 + 0.75*Q498/40))</f>
        <v>228</v>
      </c>
      <c r="T498">
        <f>TRUNC(VLOOKUP(P498,'Color codes'!$A:$E,4,FALSE)*(0.25 + 0.75*Q498/40))</f>
        <v>95</v>
      </c>
      <c r="U498">
        <f>TRUNC(VLOOKUP(P498,'Color codes'!$A:$E,5,FALSE)*(0.25 + 0.75*Q498/40))</f>
        <v>93</v>
      </c>
      <c r="V498" t="b">
        <f t="shared" si="36"/>
        <v>1</v>
      </c>
    </row>
    <row r="499" spans="1:22" x14ac:dyDescent="0.25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TRUNC(VLOOKUP(P499,'Color codes'!$A:$E,3,FALSE)*(0.25 + 0.75*Q499/40))</f>
        <v>215</v>
      </c>
      <c r="T499">
        <f>TRUNC(VLOOKUP(P499,'Color codes'!$A:$E,4,FALSE)*(0.25 + 0.75*Q499/40))</f>
        <v>90</v>
      </c>
      <c r="U499">
        <f>TRUNC(VLOOKUP(P499,'Color codes'!$A:$E,5,FALSE)*(0.25 + 0.75*Q499/40))</f>
        <v>88</v>
      </c>
      <c r="V499" t="b">
        <f t="shared" si="36"/>
        <v>1</v>
      </c>
    </row>
    <row r="500" spans="1:22" x14ac:dyDescent="0.25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TRUNC(VLOOKUP(P500,'Color codes'!$A:$E,3,FALSE)*(0.25 + 0.75*Q500/40))</f>
        <v>203</v>
      </c>
      <c r="T500">
        <f>TRUNC(VLOOKUP(P500,'Color codes'!$A:$E,4,FALSE)*(0.25 + 0.75*Q500/40))</f>
        <v>85</v>
      </c>
      <c r="U500">
        <f>TRUNC(VLOOKUP(P500,'Color codes'!$A:$E,5,FALSE)*(0.25 + 0.75*Q500/40))</f>
        <v>82</v>
      </c>
      <c r="V500" t="b">
        <f t="shared" si="36"/>
        <v>1</v>
      </c>
    </row>
    <row r="501" spans="1:22" x14ac:dyDescent="0.25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TRUNC(VLOOKUP(P501,'Color codes'!$A:$E,3,FALSE)*(0.25 + 0.75*Q501/40))</f>
        <v>190</v>
      </c>
      <c r="T501">
        <f>TRUNC(VLOOKUP(P501,'Color codes'!$A:$E,4,FALSE)*(0.25 + 0.75*Q501/40))</f>
        <v>80</v>
      </c>
      <c r="U501">
        <f>TRUNC(VLOOKUP(P501,'Color codes'!$A:$E,5,FALSE)*(0.25 + 0.75*Q501/40))</f>
        <v>77</v>
      </c>
      <c r="V501" t="b">
        <f t="shared" si="36"/>
        <v>1</v>
      </c>
    </row>
    <row r="502" spans="1:22" x14ac:dyDescent="0.25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TRUNC(VLOOKUP(P502,'Color codes'!$A:$E,3,FALSE)*(0.25 + 0.75*Q502/40))</f>
        <v>178</v>
      </c>
      <c r="T502">
        <f>TRUNC(VLOOKUP(P502,'Color codes'!$A:$E,4,FALSE)*(0.25 + 0.75*Q502/40))</f>
        <v>74</v>
      </c>
      <c r="U502">
        <f>TRUNC(VLOOKUP(P502,'Color codes'!$A:$E,5,FALSE)*(0.25 + 0.75*Q502/40))</f>
        <v>72</v>
      </c>
      <c r="V502" t="b">
        <f t="shared" si="36"/>
        <v>1</v>
      </c>
    </row>
    <row r="503" spans="1:22" x14ac:dyDescent="0.25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TRUNC(VLOOKUP(P503,'Color codes'!$A:$E,3,FALSE)*(0.25 + 0.75*Q503/40))</f>
        <v>166</v>
      </c>
      <c r="T503">
        <f>TRUNC(VLOOKUP(P503,'Color codes'!$A:$E,4,FALSE)*(0.25 + 0.75*Q503/40))</f>
        <v>69</v>
      </c>
      <c r="U503">
        <f>TRUNC(VLOOKUP(P503,'Color codes'!$A:$E,5,FALSE)*(0.25 + 0.75*Q503/40))</f>
        <v>67</v>
      </c>
      <c r="V503" t="b">
        <f t="shared" si="36"/>
        <v>0</v>
      </c>
    </row>
    <row r="504" spans="1:22" x14ac:dyDescent="0.25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TRUNC(VLOOKUP(P504,'Color codes'!$A:$E,3,FALSE)*(0.25 + 0.75*Q504/40))</f>
        <v>66</v>
      </c>
      <c r="T504">
        <f>TRUNC(VLOOKUP(P504,'Color codes'!$A:$E,4,FALSE)*(0.25 + 0.75*Q504/40))</f>
        <v>109</v>
      </c>
      <c r="U504">
        <f>TRUNC(VLOOKUP(P504,'Color codes'!$A:$E,5,FALSE)*(0.25 + 0.75*Q504/40))</f>
        <v>157</v>
      </c>
      <c r="V504" t="b">
        <f t="shared" si="36"/>
        <v>0</v>
      </c>
    </row>
    <row r="505" spans="1:22" x14ac:dyDescent="0.25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TRUNC(VLOOKUP(P505,'Color codes'!$A:$E,3,FALSE)*(0.25 + 0.75*Q505/40))</f>
        <v>63</v>
      </c>
      <c r="T505">
        <f>TRUNC(VLOOKUP(P505,'Color codes'!$A:$E,4,FALSE)*(0.25 + 0.75*Q505/40))</f>
        <v>104</v>
      </c>
      <c r="U505">
        <f>TRUNC(VLOOKUP(P505,'Color codes'!$A:$E,5,FALSE)*(0.25 + 0.75*Q505/40))</f>
        <v>151</v>
      </c>
      <c r="V505" t="b">
        <f t="shared" si="36"/>
        <v>1</v>
      </c>
    </row>
    <row r="506" spans="1:22" x14ac:dyDescent="0.25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TRUNC(VLOOKUP(P506,'Color codes'!$A:$E,3,FALSE)*(0.25 + 0.75*Q506/40))</f>
        <v>228</v>
      </c>
      <c r="T506">
        <f>TRUNC(VLOOKUP(P506,'Color codes'!$A:$E,4,FALSE)*(0.25 + 0.75*Q506/40))</f>
        <v>95</v>
      </c>
      <c r="U506">
        <f>TRUNC(VLOOKUP(P506,'Color codes'!$A:$E,5,FALSE)*(0.25 + 0.75*Q506/40))</f>
        <v>93</v>
      </c>
      <c r="V506" t="b">
        <f t="shared" si="36"/>
        <v>1</v>
      </c>
    </row>
    <row r="507" spans="1:22" x14ac:dyDescent="0.25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TRUNC(VLOOKUP(P507,'Color codes'!$A:$E,3,FALSE)*(0.25 + 0.75*Q507/40))</f>
        <v>215</v>
      </c>
      <c r="T507">
        <f>TRUNC(VLOOKUP(P507,'Color codes'!$A:$E,4,FALSE)*(0.25 + 0.75*Q507/40))</f>
        <v>90</v>
      </c>
      <c r="U507">
        <f>TRUNC(VLOOKUP(P507,'Color codes'!$A:$E,5,FALSE)*(0.25 + 0.75*Q507/40))</f>
        <v>87</v>
      </c>
      <c r="V507" t="b">
        <f t="shared" si="36"/>
        <v>1</v>
      </c>
    </row>
    <row r="508" spans="1:22" x14ac:dyDescent="0.25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TRUNC(VLOOKUP(P508,'Color codes'!$A:$E,3,FALSE)*(0.25 + 0.75*Q508/40))</f>
        <v>203</v>
      </c>
      <c r="T508">
        <f>TRUNC(VLOOKUP(P508,'Color codes'!$A:$E,4,FALSE)*(0.25 + 0.75*Q508/40))</f>
        <v>85</v>
      </c>
      <c r="U508">
        <f>TRUNC(VLOOKUP(P508,'Color codes'!$A:$E,5,FALSE)*(0.25 + 0.75*Q508/40))</f>
        <v>83</v>
      </c>
      <c r="V508" t="b">
        <f t="shared" si="36"/>
        <v>1</v>
      </c>
    </row>
    <row r="509" spans="1:22" x14ac:dyDescent="0.25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TRUNC(VLOOKUP(P509,'Color codes'!$A:$E,3,FALSE)*(0.25 + 0.75*Q509/40))</f>
        <v>190</v>
      </c>
      <c r="T509">
        <f>TRUNC(VLOOKUP(P509,'Color codes'!$A:$E,4,FALSE)*(0.25 + 0.75*Q509/40))</f>
        <v>80</v>
      </c>
      <c r="U509">
        <f>TRUNC(VLOOKUP(P509,'Color codes'!$A:$E,5,FALSE)*(0.25 + 0.75*Q509/40))</f>
        <v>77</v>
      </c>
      <c r="V509" t="b">
        <f t="shared" si="36"/>
        <v>1</v>
      </c>
    </row>
    <row r="510" spans="1:22" x14ac:dyDescent="0.25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TRUNC(VLOOKUP(P510,'Color codes'!$A:$E,3,FALSE)*(0.25 + 0.75*Q510/40))</f>
        <v>178</v>
      </c>
      <c r="T510">
        <f>TRUNC(VLOOKUP(P510,'Color codes'!$A:$E,4,FALSE)*(0.25 + 0.75*Q510/40))</f>
        <v>74</v>
      </c>
      <c r="U510">
        <f>TRUNC(VLOOKUP(P510,'Color codes'!$A:$E,5,FALSE)*(0.25 + 0.75*Q510/40))</f>
        <v>72</v>
      </c>
      <c r="V510" t="b">
        <f t="shared" si="36"/>
        <v>1</v>
      </c>
    </row>
    <row r="511" spans="1:22" x14ac:dyDescent="0.25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TRUNC(VLOOKUP(P511,'Color codes'!$A:$E,3,FALSE)*(0.25 + 0.75*Q511/40))</f>
        <v>166</v>
      </c>
      <c r="T511">
        <f>TRUNC(VLOOKUP(P511,'Color codes'!$A:$E,4,FALSE)*(0.25 + 0.75*Q511/40))</f>
        <v>69</v>
      </c>
      <c r="U511">
        <f>TRUNC(VLOOKUP(P511,'Color codes'!$A:$E,5,FALSE)*(0.25 + 0.75*Q511/40))</f>
        <v>67</v>
      </c>
      <c r="V511" t="b">
        <f t="shared" si="36"/>
        <v>0</v>
      </c>
    </row>
    <row r="512" spans="1:22" x14ac:dyDescent="0.25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TRUNC(VLOOKUP(P512,'Color codes'!$A:$E,3,FALSE)*(0.25 + 0.75*Q512/40))</f>
        <v>154</v>
      </c>
      <c r="T512">
        <f>TRUNC(VLOOKUP(P512,'Color codes'!$A:$E,4,FALSE)*(0.25 + 0.75*Q512/40))</f>
        <v>64</v>
      </c>
      <c r="U512">
        <f>TRUNC(VLOOKUP(P512,'Color codes'!$A:$E,5,FALSE)*(0.25 + 0.75*Q512/40))</f>
        <v>63</v>
      </c>
      <c r="V512" t="b">
        <f t="shared" si="36"/>
        <v>0</v>
      </c>
    </row>
    <row r="513" spans="1:22" x14ac:dyDescent="0.25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TRUNC(VLOOKUP(P513,'Color codes'!$A:$E,3,FALSE)*(0.25 + 0.75*Q513/40))</f>
        <v>61</v>
      </c>
      <c r="T513">
        <f>TRUNC(VLOOKUP(P513,'Color codes'!$A:$E,4,FALSE)*(0.25 + 0.75*Q513/40))</f>
        <v>101</v>
      </c>
      <c r="U513">
        <f>TRUNC(VLOOKUP(P513,'Color codes'!$A:$E,5,FALSE)*(0.25 + 0.75*Q513/40))</f>
        <v>147</v>
      </c>
      <c r="V513" t="b">
        <f t="shared" si="36"/>
        <v>0</v>
      </c>
    </row>
    <row r="514" spans="1:22" x14ac:dyDescent="0.25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TRUNC(VLOOKUP(P514,'Color codes'!$A:$E,3,FALSE)*(0.25 + 0.75*Q514/40))</f>
        <v>67</v>
      </c>
      <c r="T514">
        <f>TRUNC(VLOOKUP(P514,'Color codes'!$A:$E,4,FALSE)*(0.25 + 0.75*Q514/40))</f>
        <v>111</v>
      </c>
      <c r="U514">
        <f>TRUNC(VLOOKUP(P514,'Color codes'!$A:$E,5,FALSE)*(0.25 + 0.75*Q514/40))</f>
        <v>161</v>
      </c>
      <c r="V514" t="b">
        <f t="shared" ref="V514:V577" si="38">(ABS(N514-O514)  &gt; 1)</f>
        <v>1</v>
      </c>
    </row>
    <row r="515" spans="1:22" x14ac:dyDescent="0.25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TRUNC(VLOOKUP(P515,'Color codes'!$A:$E,3,FALSE)*(0.25 + 0.75*Q515/40))</f>
        <v>55</v>
      </c>
      <c r="T515">
        <f>TRUNC(VLOOKUP(P515,'Color codes'!$A:$E,4,FALSE)*(0.25 + 0.75*Q515/40))</f>
        <v>91</v>
      </c>
      <c r="U515">
        <f>TRUNC(VLOOKUP(P515,'Color codes'!$A:$E,5,FALSE)*(0.25 + 0.75*Q515/40))</f>
        <v>133</v>
      </c>
      <c r="V515" t="b">
        <f t="shared" si="38"/>
        <v>1</v>
      </c>
    </row>
    <row r="516" spans="1:22" x14ac:dyDescent="0.25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TRUNC(VLOOKUP(P516,'Color codes'!$A:$E,3,FALSE)*(0.25 + 0.75*Q516/40))</f>
        <v>58</v>
      </c>
      <c r="T516">
        <f>TRUNC(VLOOKUP(P516,'Color codes'!$A:$E,4,FALSE)*(0.25 + 0.75*Q516/40))</f>
        <v>96</v>
      </c>
      <c r="U516">
        <f>TRUNC(VLOOKUP(P516,'Color codes'!$A:$E,5,FALSE)*(0.25 + 0.75*Q516/40))</f>
        <v>139</v>
      </c>
      <c r="V516" t="b">
        <f t="shared" si="38"/>
        <v>1</v>
      </c>
    </row>
    <row r="517" spans="1:22" x14ac:dyDescent="0.25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TRUNC(VLOOKUP(P517,'Color codes'!$A:$E,3,FALSE)*(0.25 + 0.75*Q517/40))</f>
        <v>55</v>
      </c>
      <c r="T517">
        <f>TRUNC(VLOOKUP(P517,'Color codes'!$A:$E,4,FALSE)*(0.25 + 0.75*Q517/40))</f>
        <v>91</v>
      </c>
      <c r="U517">
        <f>TRUNC(VLOOKUP(P517,'Color codes'!$A:$E,5,FALSE)*(0.25 + 0.75*Q517/40))</f>
        <v>132</v>
      </c>
      <c r="V517" t="b">
        <f t="shared" si="38"/>
        <v>1</v>
      </c>
    </row>
    <row r="518" spans="1:22" x14ac:dyDescent="0.25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TRUNC(VLOOKUP(P518,'Color codes'!$A:$E,3,FALSE)*(0.25 + 0.75*Q518/40))</f>
        <v>67</v>
      </c>
      <c r="T518">
        <f>TRUNC(VLOOKUP(P518,'Color codes'!$A:$E,4,FALSE)*(0.25 + 0.75*Q518/40))</f>
        <v>111</v>
      </c>
      <c r="U518">
        <f>TRUNC(VLOOKUP(P518,'Color codes'!$A:$E,5,FALSE)*(0.25 + 0.75*Q518/40))</f>
        <v>161</v>
      </c>
      <c r="V518" t="b">
        <f t="shared" si="38"/>
        <v>1</v>
      </c>
    </row>
    <row r="519" spans="1:22" x14ac:dyDescent="0.25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TRUNC(VLOOKUP(P519,'Color codes'!$A:$E,3,FALSE)*(0.25 + 0.75*Q519/40))</f>
        <v>55</v>
      </c>
      <c r="T519">
        <f>TRUNC(VLOOKUP(P519,'Color codes'!$A:$E,4,FALSE)*(0.25 + 0.75*Q519/40))</f>
        <v>90</v>
      </c>
      <c r="U519">
        <f>TRUNC(VLOOKUP(P519,'Color codes'!$A:$E,5,FALSE)*(0.25 + 0.75*Q519/40))</f>
        <v>131</v>
      </c>
      <c r="V519" t="b">
        <f t="shared" si="38"/>
        <v>1</v>
      </c>
    </row>
    <row r="520" spans="1:22" x14ac:dyDescent="0.25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TRUNC(VLOOKUP(P520,'Color codes'!$A:$E,3,FALSE)*(0.25 + 0.75*Q520/40))</f>
        <v>55</v>
      </c>
      <c r="T520">
        <f>TRUNC(VLOOKUP(P520,'Color codes'!$A:$E,4,FALSE)*(0.25 + 0.75*Q520/40))</f>
        <v>91</v>
      </c>
      <c r="U520">
        <f>TRUNC(VLOOKUP(P520,'Color codes'!$A:$E,5,FALSE)*(0.25 + 0.75*Q520/40))</f>
        <v>132</v>
      </c>
      <c r="V520" t="b">
        <f t="shared" si="38"/>
        <v>1</v>
      </c>
    </row>
    <row r="521" spans="1:22" x14ac:dyDescent="0.25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TRUNC(VLOOKUP(P521,'Color codes'!$A:$E,3,FALSE)*(0.25 + 0.75*Q521/40))</f>
        <v>52</v>
      </c>
      <c r="T521">
        <f>TRUNC(VLOOKUP(P521,'Color codes'!$A:$E,4,FALSE)*(0.25 + 0.75*Q521/40))</f>
        <v>87</v>
      </c>
      <c r="U521">
        <f>TRUNC(VLOOKUP(P521,'Color codes'!$A:$E,5,FALSE)*(0.25 + 0.75*Q521/40))</f>
        <v>126</v>
      </c>
      <c r="V521" t="b">
        <f t="shared" si="38"/>
        <v>0</v>
      </c>
    </row>
    <row r="522" spans="1:22" x14ac:dyDescent="0.25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TRUNC(VLOOKUP(P522,'Color codes'!$A:$E,3,FALSE)*(0.25 + 0.75*Q522/40))</f>
        <v>71</v>
      </c>
      <c r="T522">
        <f>TRUNC(VLOOKUP(P522,'Color codes'!$A:$E,4,FALSE)*(0.25 + 0.75*Q522/40))</f>
        <v>118</v>
      </c>
      <c r="U522">
        <f>TRUNC(VLOOKUP(P522,'Color codes'!$A:$E,5,FALSE)*(0.25 + 0.75*Q522/40))</f>
        <v>171</v>
      </c>
      <c r="V522" t="b">
        <f t="shared" si="38"/>
        <v>1</v>
      </c>
    </row>
    <row r="523" spans="1:22" x14ac:dyDescent="0.25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TRUNC(VLOOKUP(P523,'Color codes'!$A:$E,3,FALSE)*(0.25 + 0.75*Q523/40))</f>
        <v>56</v>
      </c>
      <c r="T523">
        <f>TRUNC(VLOOKUP(P523,'Color codes'!$A:$E,4,FALSE)*(0.25 + 0.75*Q523/40))</f>
        <v>92</v>
      </c>
      <c r="U523">
        <f>TRUNC(VLOOKUP(P523,'Color codes'!$A:$E,5,FALSE)*(0.25 + 0.75*Q523/40))</f>
        <v>134</v>
      </c>
      <c r="V523" t="b">
        <f t="shared" si="38"/>
        <v>1</v>
      </c>
    </row>
    <row r="524" spans="1:22" x14ac:dyDescent="0.25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TRUNC(VLOOKUP(P524,'Color codes'!$A:$E,3,FALSE)*(0.25 + 0.75*Q524/40))</f>
        <v>56</v>
      </c>
      <c r="T524">
        <f>TRUNC(VLOOKUP(P524,'Color codes'!$A:$E,4,FALSE)*(0.25 + 0.75*Q524/40))</f>
        <v>93</v>
      </c>
      <c r="U524">
        <f>TRUNC(VLOOKUP(P524,'Color codes'!$A:$E,5,FALSE)*(0.25 + 0.75*Q524/40))</f>
        <v>135</v>
      </c>
      <c r="V524" t="b">
        <f t="shared" si="38"/>
        <v>1</v>
      </c>
    </row>
    <row r="525" spans="1:22" x14ac:dyDescent="0.25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TRUNC(VLOOKUP(P525,'Color codes'!$A:$E,3,FALSE)*(0.25 + 0.75*Q525/40))</f>
        <v>53</v>
      </c>
      <c r="T525">
        <f>TRUNC(VLOOKUP(P525,'Color codes'!$A:$E,4,FALSE)*(0.25 + 0.75*Q525/40))</f>
        <v>88</v>
      </c>
      <c r="U525">
        <f>TRUNC(VLOOKUP(P525,'Color codes'!$A:$E,5,FALSE)*(0.25 + 0.75*Q525/40))</f>
        <v>127</v>
      </c>
      <c r="V525" t="b">
        <f t="shared" si="38"/>
        <v>0</v>
      </c>
    </row>
    <row r="526" spans="1:22" x14ac:dyDescent="0.25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TRUNC(VLOOKUP(P526,'Color codes'!$A:$E,3,FALSE)*(0.25 + 0.75*Q526/40))</f>
        <v>57</v>
      </c>
      <c r="T526">
        <f>TRUNC(VLOOKUP(P526,'Color codes'!$A:$E,4,FALSE)*(0.25 + 0.75*Q526/40))</f>
        <v>94</v>
      </c>
      <c r="U526">
        <f>TRUNC(VLOOKUP(P526,'Color codes'!$A:$E,5,FALSE)*(0.25 + 0.75*Q526/40))</f>
        <v>137</v>
      </c>
      <c r="V526" t="b">
        <f t="shared" si="38"/>
        <v>1</v>
      </c>
    </row>
    <row r="527" spans="1:22" x14ac:dyDescent="0.25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TRUNC(VLOOKUP(P527,'Color codes'!$A:$E,3,FALSE)*(0.25 + 0.75*Q527/40))</f>
        <v>123</v>
      </c>
      <c r="T527">
        <f>TRUNC(VLOOKUP(P527,'Color codes'!$A:$E,4,FALSE)*(0.25 + 0.75*Q527/40))</f>
        <v>51</v>
      </c>
      <c r="U527">
        <f>TRUNC(VLOOKUP(P527,'Color codes'!$A:$E,5,FALSE)*(0.25 + 0.75*Q527/40))</f>
        <v>50</v>
      </c>
      <c r="V527" t="b">
        <f t="shared" si="38"/>
        <v>0</v>
      </c>
    </row>
    <row r="528" spans="1:22" x14ac:dyDescent="0.25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TRUNC(VLOOKUP(P528,'Color codes'!$A:$E,3,FALSE)*(0.25 + 0.75*Q528/40))</f>
        <v>123</v>
      </c>
      <c r="T528">
        <f>TRUNC(VLOOKUP(P528,'Color codes'!$A:$E,4,FALSE)*(0.25 + 0.75*Q528/40))</f>
        <v>51</v>
      </c>
      <c r="U528">
        <f>TRUNC(VLOOKUP(P528,'Color codes'!$A:$E,5,FALSE)*(0.25 + 0.75*Q528/40))</f>
        <v>50</v>
      </c>
      <c r="V528" t="b">
        <f t="shared" si="38"/>
        <v>1</v>
      </c>
    </row>
    <row r="529" spans="1:22" x14ac:dyDescent="0.25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TRUNC(VLOOKUP(P529,'Color codes'!$A:$E,3,FALSE)*(0.25 + 0.75*Q529/40))</f>
        <v>123</v>
      </c>
      <c r="T529">
        <f>TRUNC(VLOOKUP(P529,'Color codes'!$A:$E,4,FALSE)*(0.25 + 0.75*Q529/40))</f>
        <v>51</v>
      </c>
      <c r="U529">
        <f>TRUNC(VLOOKUP(P529,'Color codes'!$A:$E,5,FALSE)*(0.25 + 0.75*Q529/40))</f>
        <v>50</v>
      </c>
      <c r="V529" t="b">
        <f t="shared" si="38"/>
        <v>1</v>
      </c>
    </row>
    <row r="530" spans="1:22" x14ac:dyDescent="0.25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TRUNC(VLOOKUP(P530,'Color codes'!$A:$E,3,FALSE)*(0.25 + 0.75*Q530/40))</f>
        <v>68</v>
      </c>
      <c r="T530">
        <f>TRUNC(VLOOKUP(P530,'Color codes'!$A:$E,4,FALSE)*(0.25 + 0.75*Q530/40))</f>
        <v>113</v>
      </c>
      <c r="U530">
        <f>TRUNC(VLOOKUP(P530,'Color codes'!$A:$E,5,FALSE)*(0.25 + 0.75*Q530/40))</f>
        <v>163</v>
      </c>
      <c r="V530" t="b">
        <f t="shared" si="38"/>
        <v>1</v>
      </c>
    </row>
    <row r="531" spans="1:22" x14ac:dyDescent="0.25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TRUNC(VLOOKUP(P531,'Color codes'!$A:$E,3,FALSE)*(0.25 + 0.75*Q531/40))</f>
        <v>59</v>
      </c>
      <c r="T531">
        <f>TRUNC(VLOOKUP(P531,'Color codes'!$A:$E,4,FALSE)*(0.25 + 0.75*Q531/40))</f>
        <v>98</v>
      </c>
      <c r="U531">
        <f>TRUNC(VLOOKUP(P531,'Color codes'!$A:$E,5,FALSE)*(0.25 + 0.75*Q531/40))</f>
        <v>142</v>
      </c>
      <c r="V531" t="b">
        <f t="shared" si="38"/>
        <v>1</v>
      </c>
    </row>
    <row r="532" spans="1:22" x14ac:dyDescent="0.25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TRUNC(VLOOKUP(P532,'Color codes'!$A:$E,3,FALSE)*(0.25 + 0.75*Q532/40))</f>
        <v>61</v>
      </c>
      <c r="T532">
        <f>TRUNC(VLOOKUP(P532,'Color codes'!$A:$E,4,FALSE)*(0.25 + 0.75*Q532/40))</f>
        <v>100</v>
      </c>
      <c r="U532">
        <f>TRUNC(VLOOKUP(P532,'Color codes'!$A:$E,5,FALSE)*(0.25 + 0.75*Q532/40))</f>
        <v>145</v>
      </c>
      <c r="V532" t="b">
        <f t="shared" si="38"/>
        <v>1</v>
      </c>
    </row>
    <row r="533" spans="1:22" x14ac:dyDescent="0.25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TRUNC(VLOOKUP(P533,'Color codes'!$A:$E,3,FALSE)*(0.25 + 0.75*Q533/40))</f>
        <v>130</v>
      </c>
      <c r="T533">
        <f>TRUNC(VLOOKUP(P533,'Color codes'!$A:$E,4,FALSE)*(0.25 + 0.75*Q533/40))</f>
        <v>54</v>
      </c>
      <c r="U533">
        <f>TRUNC(VLOOKUP(P533,'Color codes'!$A:$E,5,FALSE)*(0.25 + 0.75*Q533/40))</f>
        <v>53</v>
      </c>
      <c r="V533" t="b">
        <f t="shared" si="38"/>
        <v>0</v>
      </c>
    </row>
    <row r="534" spans="1:22" x14ac:dyDescent="0.25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TRUNC(VLOOKUP(P534,'Color codes'!$A:$E,3,FALSE)*(0.25 + 0.75*Q534/40))</f>
        <v>71</v>
      </c>
      <c r="T534">
        <f>TRUNC(VLOOKUP(P534,'Color codes'!$A:$E,4,FALSE)*(0.25 + 0.75*Q534/40))</f>
        <v>117</v>
      </c>
      <c r="U534">
        <f>TRUNC(VLOOKUP(P534,'Color codes'!$A:$E,5,FALSE)*(0.25 + 0.75*Q534/40))</f>
        <v>170</v>
      </c>
      <c r="V534" t="b">
        <f t="shared" si="38"/>
        <v>1</v>
      </c>
    </row>
    <row r="535" spans="1:22" x14ac:dyDescent="0.25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TRUNC(VLOOKUP(P535,'Color codes'!$A:$E,3,FALSE)*(0.25 + 0.75*Q535/40))</f>
        <v>56</v>
      </c>
      <c r="T535">
        <f>TRUNC(VLOOKUP(P535,'Color codes'!$A:$E,4,FALSE)*(0.25 + 0.75*Q535/40))</f>
        <v>93</v>
      </c>
      <c r="U535">
        <f>TRUNC(VLOOKUP(P535,'Color codes'!$A:$E,5,FALSE)*(0.25 + 0.75*Q535/40))</f>
        <v>135</v>
      </c>
      <c r="V535" t="b">
        <f t="shared" si="38"/>
        <v>1</v>
      </c>
    </row>
    <row r="536" spans="1:22" x14ac:dyDescent="0.25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TRUNC(VLOOKUP(P536,'Color codes'!$A:$E,3,FALSE)*(0.25 + 0.75*Q536/40))</f>
        <v>57</v>
      </c>
      <c r="T536">
        <f>TRUNC(VLOOKUP(P536,'Color codes'!$A:$E,4,FALSE)*(0.25 + 0.75*Q536/40))</f>
        <v>95</v>
      </c>
      <c r="U536">
        <f>TRUNC(VLOOKUP(P536,'Color codes'!$A:$E,5,FALSE)*(0.25 + 0.75*Q536/40))</f>
        <v>137</v>
      </c>
      <c r="V536" t="b">
        <f t="shared" si="38"/>
        <v>1</v>
      </c>
    </row>
    <row r="537" spans="1:22" x14ac:dyDescent="0.25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TRUNC(VLOOKUP(P537,'Color codes'!$A:$E,3,FALSE)*(0.25 + 0.75*Q537/40))</f>
        <v>55</v>
      </c>
      <c r="T537">
        <f>TRUNC(VLOOKUP(P537,'Color codes'!$A:$E,4,FALSE)*(0.25 + 0.75*Q537/40))</f>
        <v>90</v>
      </c>
      <c r="U537">
        <f>TRUNC(VLOOKUP(P537,'Color codes'!$A:$E,5,FALSE)*(0.25 + 0.75*Q537/40))</f>
        <v>131</v>
      </c>
      <c r="V537" t="b">
        <f t="shared" si="38"/>
        <v>0</v>
      </c>
    </row>
    <row r="538" spans="1:22" x14ac:dyDescent="0.25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TRUNC(VLOOKUP(P538,'Color codes'!$A:$E,3,FALSE)*(0.25 + 0.75*Q538/40))</f>
        <v>73</v>
      </c>
      <c r="T538">
        <f>TRUNC(VLOOKUP(P538,'Color codes'!$A:$E,4,FALSE)*(0.25 + 0.75*Q538/40))</f>
        <v>120</v>
      </c>
      <c r="U538">
        <f>TRUNC(VLOOKUP(P538,'Color codes'!$A:$E,5,FALSE)*(0.25 + 0.75*Q538/40))</f>
        <v>174</v>
      </c>
      <c r="V538" t="b">
        <f t="shared" si="38"/>
        <v>1</v>
      </c>
    </row>
    <row r="539" spans="1:22" x14ac:dyDescent="0.25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TRUNC(VLOOKUP(P539,'Color codes'!$A:$E,3,FALSE)*(0.25 + 0.75*Q539/40))</f>
        <v>58</v>
      </c>
      <c r="T539">
        <f>TRUNC(VLOOKUP(P539,'Color codes'!$A:$E,4,FALSE)*(0.25 + 0.75*Q539/40))</f>
        <v>95</v>
      </c>
      <c r="U539">
        <f>TRUNC(VLOOKUP(P539,'Color codes'!$A:$E,5,FALSE)*(0.25 + 0.75*Q539/40))</f>
        <v>138</v>
      </c>
      <c r="V539" t="b">
        <f t="shared" si="38"/>
        <v>1</v>
      </c>
    </row>
    <row r="540" spans="1:22" x14ac:dyDescent="0.25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TRUNC(VLOOKUP(P540,'Color codes'!$A:$E,3,FALSE)*(0.25 + 0.75*Q540/40))</f>
        <v>58</v>
      </c>
      <c r="T540">
        <f>TRUNC(VLOOKUP(P540,'Color codes'!$A:$E,4,FALSE)*(0.25 + 0.75*Q540/40))</f>
        <v>95</v>
      </c>
      <c r="U540">
        <f>TRUNC(VLOOKUP(P540,'Color codes'!$A:$E,5,FALSE)*(0.25 + 0.75*Q540/40))</f>
        <v>138</v>
      </c>
      <c r="V540" t="b">
        <f t="shared" si="38"/>
        <v>1</v>
      </c>
    </row>
    <row r="541" spans="1:22" x14ac:dyDescent="0.25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TRUNC(VLOOKUP(P541,'Color codes'!$A:$E,3,FALSE)*(0.25 + 0.75*Q541/40))</f>
        <v>129</v>
      </c>
      <c r="T541">
        <f>TRUNC(VLOOKUP(P541,'Color codes'!$A:$E,4,FALSE)*(0.25 + 0.75*Q541/40))</f>
        <v>54</v>
      </c>
      <c r="U541">
        <f>TRUNC(VLOOKUP(P541,'Color codes'!$A:$E,5,FALSE)*(0.25 + 0.75*Q541/40))</f>
        <v>52</v>
      </c>
      <c r="V541" t="b">
        <f t="shared" si="38"/>
        <v>0</v>
      </c>
    </row>
    <row r="542" spans="1:22" x14ac:dyDescent="0.25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TRUNC(VLOOKUP(P542,'Color codes'!$A:$E,3,FALSE)*(0.25 + 0.75*Q542/40))</f>
        <v>110</v>
      </c>
      <c r="T542">
        <f>TRUNC(VLOOKUP(P542,'Color codes'!$A:$E,4,FALSE)*(0.25 + 0.75*Q542/40))</f>
        <v>131</v>
      </c>
      <c r="U542">
        <f>TRUNC(VLOOKUP(P542,'Color codes'!$A:$E,5,FALSE)*(0.25 + 0.75*Q542/40))</f>
        <v>63</v>
      </c>
      <c r="V542" t="b">
        <f t="shared" si="38"/>
        <v>0</v>
      </c>
    </row>
    <row r="543" spans="1:22" x14ac:dyDescent="0.25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TRUNC(VLOOKUP(P543,'Color codes'!$A:$E,3,FALSE)*(0.25 + 0.75*Q543/40))</f>
        <v>129</v>
      </c>
      <c r="T543">
        <f>TRUNC(VLOOKUP(P543,'Color codes'!$A:$E,4,FALSE)*(0.25 + 0.75*Q543/40))</f>
        <v>54</v>
      </c>
      <c r="U543">
        <f>TRUNC(VLOOKUP(P543,'Color codes'!$A:$E,5,FALSE)*(0.25 + 0.75*Q543/40))</f>
        <v>52</v>
      </c>
      <c r="V543" t="b">
        <f t="shared" si="38"/>
        <v>1</v>
      </c>
    </row>
    <row r="544" spans="1:22" x14ac:dyDescent="0.25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TRUNC(VLOOKUP(P544,'Color codes'!$A:$E,3,FALSE)*(0.25 + 0.75*Q544/40))</f>
        <v>129</v>
      </c>
      <c r="T544">
        <f>TRUNC(VLOOKUP(P544,'Color codes'!$A:$E,4,FALSE)*(0.25 + 0.75*Q544/40))</f>
        <v>54</v>
      </c>
      <c r="U544">
        <f>TRUNC(VLOOKUP(P544,'Color codes'!$A:$E,5,FALSE)*(0.25 + 0.75*Q544/40))</f>
        <v>52</v>
      </c>
      <c r="V544" t="b">
        <f t="shared" si="38"/>
        <v>1</v>
      </c>
    </row>
    <row r="545" spans="1:22" x14ac:dyDescent="0.25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TRUNC(VLOOKUP(P545,'Color codes'!$A:$E,3,FALSE)*(0.25 + 0.75*Q545/40))</f>
        <v>129</v>
      </c>
      <c r="T545">
        <f>TRUNC(VLOOKUP(P545,'Color codes'!$A:$E,4,FALSE)*(0.25 + 0.75*Q545/40))</f>
        <v>54</v>
      </c>
      <c r="U545">
        <f>TRUNC(VLOOKUP(P545,'Color codes'!$A:$E,5,FALSE)*(0.25 + 0.75*Q545/40))</f>
        <v>52</v>
      </c>
      <c r="V545" t="b">
        <f t="shared" si="38"/>
        <v>1</v>
      </c>
    </row>
    <row r="546" spans="1:22" x14ac:dyDescent="0.25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TRUNC(VLOOKUP(P546,'Color codes'!$A:$E,3,FALSE)*(0.25 + 0.75*Q546/40))</f>
        <v>64</v>
      </c>
      <c r="T546">
        <f>TRUNC(VLOOKUP(P546,'Color codes'!$A:$E,4,FALSE)*(0.25 + 0.75*Q546/40))</f>
        <v>105</v>
      </c>
      <c r="U546">
        <f>TRUNC(VLOOKUP(P546,'Color codes'!$A:$E,5,FALSE)*(0.25 + 0.75*Q546/40))</f>
        <v>153</v>
      </c>
      <c r="V546" t="b">
        <f t="shared" si="38"/>
        <v>1</v>
      </c>
    </row>
    <row r="547" spans="1:22" x14ac:dyDescent="0.25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TRUNC(VLOOKUP(P547,'Color codes'!$A:$E,3,FALSE)*(0.25 + 0.75*Q547/40))</f>
        <v>57</v>
      </c>
      <c r="T547">
        <f>TRUNC(VLOOKUP(P547,'Color codes'!$A:$E,4,FALSE)*(0.25 + 0.75*Q547/40))</f>
        <v>94</v>
      </c>
      <c r="U547">
        <f>TRUNC(VLOOKUP(P547,'Color codes'!$A:$E,5,FALSE)*(0.25 + 0.75*Q547/40))</f>
        <v>136</v>
      </c>
      <c r="V547" t="b">
        <f t="shared" si="38"/>
        <v>1</v>
      </c>
    </row>
    <row r="548" spans="1:22" x14ac:dyDescent="0.25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TRUNC(VLOOKUP(P548,'Color codes'!$A:$E,3,FALSE)*(0.25 + 0.75*Q548/40))</f>
        <v>54</v>
      </c>
      <c r="T548">
        <f>TRUNC(VLOOKUP(P548,'Color codes'!$A:$E,4,FALSE)*(0.25 + 0.75*Q548/40))</f>
        <v>90</v>
      </c>
      <c r="U548">
        <f>TRUNC(VLOOKUP(P548,'Color codes'!$A:$E,5,FALSE)*(0.25 + 0.75*Q548/40))</f>
        <v>130</v>
      </c>
      <c r="V548" t="b">
        <f t="shared" si="38"/>
        <v>1</v>
      </c>
    </row>
    <row r="549" spans="1:22" x14ac:dyDescent="0.25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TRUNC(VLOOKUP(P549,'Color codes'!$A:$E,3,FALSE)*(0.25 + 0.75*Q549/40))</f>
        <v>122</v>
      </c>
      <c r="T549">
        <f>TRUNC(VLOOKUP(P549,'Color codes'!$A:$E,4,FALSE)*(0.25 + 0.75*Q549/40))</f>
        <v>51</v>
      </c>
      <c r="U549">
        <f>TRUNC(VLOOKUP(P549,'Color codes'!$A:$E,5,FALSE)*(0.25 + 0.75*Q549/40))</f>
        <v>49</v>
      </c>
      <c r="V549" t="b">
        <f t="shared" si="38"/>
        <v>0</v>
      </c>
    </row>
    <row r="550" spans="1:22" x14ac:dyDescent="0.25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TRUNC(VLOOKUP(P550,'Color codes'!$A:$E,3,FALSE)*(0.25 + 0.75*Q550/40))</f>
        <v>64</v>
      </c>
      <c r="T550">
        <f>TRUNC(VLOOKUP(P550,'Color codes'!$A:$E,4,FALSE)*(0.25 + 0.75*Q550/40))</f>
        <v>106</v>
      </c>
      <c r="U550">
        <f>TRUNC(VLOOKUP(P550,'Color codes'!$A:$E,5,FALSE)*(0.25 + 0.75*Q550/40))</f>
        <v>154</v>
      </c>
      <c r="V550" t="b">
        <f t="shared" si="38"/>
        <v>1</v>
      </c>
    </row>
    <row r="551" spans="1:22" x14ac:dyDescent="0.25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TRUNC(VLOOKUP(P551,'Color codes'!$A:$E,3,FALSE)*(0.25 + 0.75*Q551/40))</f>
        <v>121</v>
      </c>
      <c r="T551">
        <f>TRUNC(VLOOKUP(P551,'Color codes'!$A:$E,4,FALSE)*(0.25 + 0.75*Q551/40))</f>
        <v>51</v>
      </c>
      <c r="U551">
        <f>TRUNC(VLOOKUP(P551,'Color codes'!$A:$E,5,FALSE)*(0.25 + 0.75*Q551/40))</f>
        <v>49</v>
      </c>
      <c r="V551" t="b">
        <f t="shared" si="38"/>
        <v>0</v>
      </c>
    </row>
    <row r="552" spans="1:22" x14ac:dyDescent="0.25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TRUNC(VLOOKUP(P552,'Color codes'!$A:$E,3,FALSE)*(0.25 + 0.75*Q552/40))</f>
        <v>53</v>
      </c>
      <c r="T552">
        <f>TRUNC(VLOOKUP(P552,'Color codes'!$A:$E,4,FALSE)*(0.25 + 0.75*Q552/40))</f>
        <v>87</v>
      </c>
      <c r="U552">
        <f>TRUNC(VLOOKUP(P552,'Color codes'!$A:$E,5,FALSE)*(0.25 + 0.75*Q552/40))</f>
        <v>127</v>
      </c>
      <c r="V552" t="b">
        <f t="shared" si="38"/>
        <v>1</v>
      </c>
    </row>
    <row r="553" spans="1:22" x14ac:dyDescent="0.25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TRUNC(VLOOKUP(P553,'Color codes'!$A:$E,3,FALSE)*(0.25 + 0.75*Q553/40))</f>
        <v>122</v>
      </c>
      <c r="T553">
        <f>TRUNC(VLOOKUP(P553,'Color codes'!$A:$E,4,FALSE)*(0.25 + 0.75*Q553/40))</f>
        <v>51</v>
      </c>
      <c r="U553">
        <f>TRUNC(VLOOKUP(P553,'Color codes'!$A:$E,5,FALSE)*(0.25 + 0.75*Q553/40))</f>
        <v>49</v>
      </c>
      <c r="V553" t="b">
        <f t="shared" si="38"/>
        <v>0</v>
      </c>
    </row>
    <row r="554" spans="1:22" x14ac:dyDescent="0.25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TRUNC(VLOOKUP(P554,'Color codes'!$A:$E,3,FALSE)*(0.25 + 0.75*Q554/40))</f>
        <v>74</v>
      </c>
      <c r="T554">
        <f>TRUNC(VLOOKUP(P554,'Color codes'!$A:$E,4,FALSE)*(0.25 + 0.75*Q554/40))</f>
        <v>122</v>
      </c>
      <c r="U554">
        <f>TRUNC(VLOOKUP(P554,'Color codes'!$A:$E,5,FALSE)*(0.25 + 0.75*Q554/40))</f>
        <v>178</v>
      </c>
      <c r="V554" t="b">
        <f t="shared" si="38"/>
        <v>1</v>
      </c>
    </row>
    <row r="555" spans="1:22" x14ac:dyDescent="0.25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TRUNC(VLOOKUP(P555,'Color codes'!$A:$E,3,FALSE)*(0.25 + 0.75*Q555/40))</f>
        <v>56</v>
      </c>
      <c r="T555">
        <f>TRUNC(VLOOKUP(P555,'Color codes'!$A:$E,4,FALSE)*(0.25 + 0.75*Q555/40))</f>
        <v>92</v>
      </c>
      <c r="U555">
        <f>TRUNC(VLOOKUP(P555,'Color codes'!$A:$E,5,FALSE)*(0.25 + 0.75*Q555/40))</f>
        <v>133</v>
      </c>
      <c r="V555" t="b">
        <f t="shared" si="38"/>
        <v>1</v>
      </c>
    </row>
    <row r="556" spans="1:22" x14ac:dyDescent="0.25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TRUNC(VLOOKUP(P556,'Color codes'!$A:$E,3,FALSE)*(0.25 + 0.75*Q556/40))</f>
        <v>55</v>
      </c>
      <c r="T556">
        <f>TRUNC(VLOOKUP(P556,'Color codes'!$A:$E,4,FALSE)*(0.25 + 0.75*Q556/40))</f>
        <v>92</v>
      </c>
      <c r="U556">
        <f>TRUNC(VLOOKUP(P556,'Color codes'!$A:$E,5,FALSE)*(0.25 + 0.75*Q556/40))</f>
        <v>133</v>
      </c>
      <c r="V556" t="b">
        <f t="shared" si="38"/>
        <v>1</v>
      </c>
    </row>
    <row r="557" spans="1:22" x14ac:dyDescent="0.25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TRUNC(VLOOKUP(P557,'Color codes'!$A:$E,3,FALSE)*(0.25 + 0.75*Q557/40))</f>
        <v>52</v>
      </c>
      <c r="T557">
        <f>TRUNC(VLOOKUP(P557,'Color codes'!$A:$E,4,FALSE)*(0.25 + 0.75*Q557/40))</f>
        <v>86</v>
      </c>
      <c r="U557">
        <f>TRUNC(VLOOKUP(P557,'Color codes'!$A:$E,5,FALSE)*(0.25 + 0.75*Q557/40))</f>
        <v>125</v>
      </c>
      <c r="V557" t="b">
        <f t="shared" si="38"/>
        <v>0</v>
      </c>
    </row>
    <row r="558" spans="1:22" x14ac:dyDescent="0.25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TRUNC(VLOOKUP(P558,'Color codes'!$A:$E,3,FALSE)*(0.25 + 0.75*Q558/40))</f>
        <v>73</v>
      </c>
      <c r="T558">
        <f>TRUNC(VLOOKUP(P558,'Color codes'!$A:$E,4,FALSE)*(0.25 + 0.75*Q558/40))</f>
        <v>121</v>
      </c>
      <c r="U558">
        <f>TRUNC(VLOOKUP(P558,'Color codes'!$A:$E,5,FALSE)*(0.25 + 0.75*Q558/40))</f>
        <v>175</v>
      </c>
      <c r="V558" t="b">
        <f t="shared" si="38"/>
        <v>1</v>
      </c>
    </row>
    <row r="559" spans="1:22" x14ac:dyDescent="0.25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TRUNC(VLOOKUP(P559,'Color codes'!$A:$E,3,FALSE)*(0.25 + 0.75*Q559/40))</f>
        <v>58</v>
      </c>
      <c r="T559">
        <f>TRUNC(VLOOKUP(P559,'Color codes'!$A:$E,4,FALSE)*(0.25 + 0.75*Q559/40))</f>
        <v>96</v>
      </c>
      <c r="U559">
        <f>TRUNC(VLOOKUP(P559,'Color codes'!$A:$E,5,FALSE)*(0.25 + 0.75*Q559/40))</f>
        <v>140</v>
      </c>
      <c r="V559" t="b">
        <f t="shared" si="38"/>
        <v>1</v>
      </c>
    </row>
    <row r="560" spans="1:22" x14ac:dyDescent="0.25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TRUNC(VLOOKUP(P560,'Color codes'!$A:$E,3,FALSE)*(0.25 + 0.75*Q560/40))</f>
        <v>121</v>
      </c>
      <c r="T560">
        <f>TRUNC(VLOOKUP(P560,'Color codes'!$A:$E,4,FALSE)*(0.25 + 0.75*Q560/40))</f>
        <v>51</v>
      </c>
      <c r="U560">
        <f>TRUNC(VLOOKUP(P560,'Color codes'!$A:$E,5,FALSE)*(0.25 + 0.75*Q560/40))</f>
        <v>49</v>
      </c>
      <c r="V560" t="b">
        <f t="shared" si="38"/>
        <v>1</v>
      </c>
    </row>
    <row r="561" spans="1:22" x14ac:dyDescent="0.25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TRUNC(VLOOKUP(P561,'Color codes'!$A:$E,3,FALSE)*(0.25 + 0.75*Q561/40))</f>
        <v>121</v>
      </c>
      <c r="T561">
        <f>TRUNC(VLOOKUP(P561,'Color codes'!$A:$E,4,FALSE)*(0.25 + 0.75*Q561/40))</f>
        <v>51</v>
      </c>
      <c r="U561">
        <f>TRUNC(VLOOKUP(P561,'Color codes'!$A:$E,5,FALSE)*(0.25 + 0.75*Q561/40))</f>
        <v>49</v>
      </c>
      <c r="V561" t="b">
        <f t="shared" si="38"/>
        <v>1</v>
      </c>
    </row>
    <row r="562" spans="1:22" x14ac:dyDescent="0.25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TRUNC(VLOOKUP(P562,'Color codes'!$A:$E,3,FALSE)*(0.25 + 0.75*Q562/40))</f>
        <v>59</v>
      </c>
      <c r="T562">
        <f>TRUNC(VLOOKUP(P562,'Color codes'!$A:$E,4,FALSE)*(0.25 + 0.75*Q562/40))</f>
        <v>98</v>
      </c>
      <c r="U562">
        <f>TRUNC(VLOOKUP(P562,'Color codes'!$A:$E,5,FALSE)*(0.25 + 0.75*Q562/40))</f>
        <v>142</v>
      </c>
      <c r="V562" t="b">
        <f t="shared" si="38"/>
        <v>1</v>
      </c>
    </row>
    <row r="563" spans="1:22" x14ac:dyDescent="0.25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TRUNC(VLOOKUP(P563,'Color codes'!$A:$E,3,FALSE)*(0.25 + 0.75*Q563/40))</f>
        <v>52</v>
      </c>
      <c r="T563">
        <f>TRUNC(VLOOKUP(P563,'Color codes'!$A:$E,4,FALSE)*(0.25 + 0.75*Q563/40))</f>
        <v>86</v>
      </c>
      <c r="U563">
        <f>TRUNC(VLOOKUP(P563,'Color codes'!$A:$E,5,FALSE)*(0.25 + 0.75*Q563/40))</f>
        <v>124</v>
      </c>
      <c r="V563" t="b">
        <f t="shared" si="38"/>
        <v>1</v>
      </c>
    </row>
    <row r="564" spans="1:22" x14ac:dyDescent="0.25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TRUNC(VLOOKUP(P564,'Color codes'!$A:$E,3,FALSE)*(0.25 + 0.75*Q564/40))</f>
        <v>49</v>
      </c>
      <c r="T564">
        <f>TRUNC(VLOOKUP(P564,'Color codes'!$A:$E,4,FALSE)*(0.25 + 0.75*Q564/40))</f>
        <v>81</v>
      </c>
      <c r="U564">
        <f>TRUNC(VLOOKUP(P564,'Color codes'!$A:$E,5,FALSE)*(0.25 + 0.75*Q564/40))</f>
        <v>118</v>
      </c>
      <c r="V564" t="b">
        <f t="shared" si="38"/>
        <v>1</v>
      </c>
    </row>
    <row r="565" spans="1:22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TRUNC(VLOOKUP(P565,'Color codes'!$A:$E,3,FALSE)*(0.25 + 0.75*Q565/40))</f>
        <v>46</v>
      </c>
      <c r="T565">
        <f>TRUNC(VLOOKUP(P565,'Color codes'!$A:$E,4,FALSE)*(0.25 + 0.75*Q565/40))</f>
        <v>76</v>
      </c>
      <c r="U565">
        <f>TRUNC(VLOOKUP(P565,'Color codes'!$A:$E,5,FALSE)*(0.25 + 0.75*Q565/40))</f>
        <v>110</v>
      </c>
      <c r="V565" t="b">
        <f t="shared" si="38"/>
        <v>1</v>
      </c>
    </row>
    <row r="566" spans="1:22" x14ac:dyDescent="0.25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TRUNC(VLOOKUP(P566,'Color codes'!$A:$E,3,FALSE)*(0.25 + 0.75*Q566/40))</f>
        <v>60</v>
      </c>
      <c r="T566">
        <f>TRUNC(VLOOKUP(P566,'Color codes'!$A:$E,4,FALSE)*(0.25 + 0.75*Q566/40))</f>
        <v>99</v>
      </c>
      <c r="U566">
        <f>TRUNC(VLOOKUP(P566,'Color codes'!$A:$E,5,FALSE)*(0.25 + 0.75*Q566/40))</f>
        <v>144</v>
      </c>
      <c r="V566" t="b">
        <f t="shared" si="38"/>
        <v>1</v>
      </c>
    </row>
    <row r="567" spans="1:22" x14ac:dyDescent="0.25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TRUNC(VLOOKUP(P567,'Color codes'!$A:$E,3,FALSE)*(0.25 + 0.75*Q567/40))</f>
        <v>48</v>
      </c>
      <c r="T567">
        <f>TRUNC(VLOOKUP(P567,'Color codes'!$A:$E,4,FALSE)*(0.25 + 0.75*Q567/40))</f>
        <v>79</v>
      </c>
      <c r="U567">
        <f>TRUNC(VLOOKUP(P567,'Color codes'!$A:$E,5,FALSE)*(0.25 + 0.75*Q567/40))</f>
        <v>115</v>
      </c>
      <c r="V567" t="b">
        <f t="shared" si="38"/>
        <v>1</v>
      </c>
    </row>
    <row r="568" spans="1:22" x14ac:dyDescent="0.25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TRUNC(VLOOKUP(P568,'Color codes'!$A:$E,3,FALSE)*(0.25 + 0.75*Q568/40))</f>
        <v>47</v>
      </c>
      <c r="T568">
        <f>TRUNC(VLOOKUP(P568,'Color codes'!$A:$E,4,FALSE)*(0.25 + 0.75*Q568/40))</f>
        <v>77</v>
      </c>
      <c r="U568">
        <f>TRUNC(VLOOKUP(P568,'Color codes'!$A:$E,5,FALSE)*(0.25 + 0.75*Q568/40))</f>
        <v>112</v>
      </c>
      <c r="V568" t="b">
        <f t="shared" si="38"/>
        <v>1</v>
      </c>
    </row>
    <row r="569" spans="1:22" x14ac:dyDescent="0.25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TRUNC(VLOOKUP(P569,'Color codes'!$A:$E,3,FALSE)*(0.25 + 0.75*Q569/40))</f>
        <v>45</v>
      </c>
      <c r="T569">
        <f>TRUNC(VLOOKUP(P569,'Color codes'!$A:$E,4,FALSE)*(0.25 + 0.75*Q569/40))</f>
        <v>75</v>
      </c>
      <c r="U569">
        <f>TRUNC(VLOOKUP(P569,'Color codes'!$A:$E,5,FALSE)*(0.25 + 0.75*Q569/40))</f>
        <v>108</v>
      </c>
      <c r="V569" t="b">
        <f t="shared" si="38"/>
        <v>1</v>
      </c>
    </row>
    <row r="570" spans="1:22" x14ac:dyDescent="0.25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TRUNC(VLOOKUP(P570,'Color codes'!$A:$E,3,FALSE)*(0.25 + 0.75*Q570/40))</f>
        <v>65</v>
      </c>
      <c r="T570">
        <f>TRUNC(VLOOKUP(P570,'Color codes'!$A:$E,4,FALSE)*(0.25 + 0.75*Q570/40))</f>
        <v>107</v>
      </c>
      <c r="U570">
        <f>TRUNC(VLOOKUP(P570,'Color codes'!$A:$E,5,FALSE)*(0.25 + 0.75*Q570/40))</f>
        <v>155</v>
      </c>
      <c r="V570" t="b">
        <f t="shared" si="38"/>
        <v>1</v>
      </c>
    </row>
    <row r="571" spans="1:22" x14ac:dyDescent="0.25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TRUNC(VLOOKUP(P571,'Color codes'!$A:$E,3,FALSE)*(0.25 + 0.75*Q571/40))</f>
        <v>54</v>
      </c>
      <c r="T571">
        <f>TRUNC(VLOOKUP(P571,'Color codes'!$A:$E,4,FALSE)*(0.25 + 0.75*Q571/40))</f>
        <v>90</v>
      </c>
      <c r="U571">
        <f>TRUNC(VLOOKUP(P571,'Color codes'!$A:$E,5,FALSE)*(0.25 + 0.75*Q571/40))</f>
        <v>130</v>
      </c>
      <c r="V571" t="b">
        <f t="shared" si="38"/>
        <v>1</v>
      </c>
    </row>
    <row r="572" spans="1:22" x14ac:dyDescent="0.25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TRUNC(VLOOKUP(P572,'Color codes'!$A:$E,3,FALSE)*(0.25 + 0.75*Q572/40))</f>
        <v>50</v>
      </c>
      <c r="T572">
        <f>TRUNC(VLOOKUP(P572,'Color codes'!$A:$E,4,FALSE)*(0.25 + 0.75*Q572/40))</f>
        <v>82</v>
      </c>
      <c r="U572">
        <f>TRUNC(VLOOKUP(P572,'Color codes'!$A:$E,5,FALSE)*(0.25 + 0.75*Q572/40))</f>
        <v>119</v>
      </c>
      <c r="V572" t="b">
        <f t="shared" si="38"/>
        <v>1</v>
      </c>
    </row>
    <row r="573" spans="1:22" x14ac:dyDescent="0.25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TRUNC(VLOOKUP(P573,'Color codes'!$A:$E,3,FALSE)*(0.25 + 0.75*Q573/40))</f>
        <v>46</v>
      </c>
      <c r="T573">
        <f>TRUNC(VLOOKUP(P573,'Color codes'!$A:$E,4,FALSE)*(0.25 + 0.75*Q573/40))</f>
        <v>77</v>
      </c>
      <c r="U573">
        <f>TRUNC(VLOOKUP(P573,'Color codes'!$A:$E,5,FALSE)*(0.25 + 0.75*Q573/40))</f>
        <v>111</v>
      </c>
      <c r="V573" t="b">
        <f t="shared" si="38"/>
        <v>1</v>
      </c>
    </row>
    <row r="574" spans="1:22" x14ac:dyDescent="0.25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TRUNC(VLOOKUP(P574,'Color codes'!$A:$E,3,FALSE)*(0.25 + 0.75*Q574/40))</f>
        <v>58</v>
      </c>
      <c r="T574">
        <f>TRUNC(VLOOKUP(P574,'Color codes'!$A:$E,4,FALSE)*(0.25 + 0.75*Q574/40))</f>
        <v>96</v>
      </c>
      <c r="U574">
        <f>TRUNC(VLOOKUP(P574,'Color codes'!$A:$E,5,FALSE)*(0.25 + 0.75*Q574/40))</f>
        <v>139</v>
      </c>
      <c r="V574" t="b">
        <f t="shared" si="38"/>
        <v>1</v>
      </c>
    </row>
    <row r="575" spans="1:22" x14ac:dyDescent="0.25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TRUNC(VLOOKUP(P575,'Color codes'!$A:$E,3,FALSE)*(0.25 + 0.75*Q575/40))</f>
        <v>46</v>
      </c>
      <c r="T575">
        <f>TRUNC(VLOOKUP(P575,'Color codes'!$A:$E,4,FALSE)*(0.25 + 0.75*Q575/40))</f>
        <v>77</v>
      </c>
      <c r="U575">
        <f>TRUNC(VLOOKUP(P575,'Color codes'!$A:$E,5,FALSE)*(0.25 + 0.75*Q575/40))</f>
        <v>111</v>
      </c>
      <c r="V575" t="b">
        <f t="shared" si="38"/>
        <v>1</v>
      </c>
    </row>
    <row r="576" spans="1:22" x14ac:dyDescent="0.25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TRUNC(VLOOKUP(P576,'Color codes'!$A:$E,3,FALSE)*(0.25 + 0.75*Q576/40))</f>
        <v>101</v>
      </c>
      <c r="T576">
        <f>TRUNC(VLOOKUP(P576,'Color codes'!$A:$E,4,FALSE)*(0.25 + 0.75*Q576/40))</f>
        <v>42</v>
      </c>
      <c r="U576">
        <f>TRUNC(VLOOKUP(P576,'Color codes'!$A:$E,5,FALSE)*(0.25 + 0.75*Q576/40))</f>
        <v>41</v>
      </c>
      <c r="V576" t="b">
        <f t="shared" si="38"/>
        <v>0</v>
      </c>
    </row>
    <row r="577" spans="1:22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TRUNC(VLOOKUP(P577,'Color codes'!$A:$E,3,FALSE)*(0.25 + 0.75*Q577/40))</f>
        <v>101</v>
      </c>
      <c r="T577">
        <f>TRUNC(VLOOKUP(P577,'Color codes'!$A:$E,4,FALSE)*(0.25 + 0.75*Q577/40))</f>
        <v>42</v>
      </c>
      <c r="U577">
        <f>TRUNC(VLOOKUP(P577,'Color codes'!$A:$E,5,FALSE)*(0.25 + 0.75*Q577/40))</f>
        <v>41</v>
      </c>
      <c r="V577" t="b">
        <f t="shared" si="38"/>
        <v>1</v>
      </c>
    </row>
  </sheetData>
  <autoFilter ref="A1:V57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 x14ac:dyDescent="0.2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 x14ac:dyDescent="0.2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 x14ac:dyDescent="0.2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 x14ac:dyDescent="0.2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 x14ac:dyDescent="0.2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 x14ac:dyDescent="0.2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 x14ac:dyDescent="0.2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 x14ac:dyDescent="0.2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 x14ac:dyDescent="0.2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 x14ac:dyDescent="0.2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 x14ac:dyDescent="0.2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 x14ac:dyDescent="0.2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 x14ac:dyDescent="0.2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 x14ac:dyDescent="0.2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 x14ac:dyDescent="0.2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 x14ac:dyDescent="0.2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 x14ac:dyDescent="0.2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 x14ac:dyDescent="0.2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 x14ac:dyDescent="0.2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 x14ac:dyDescent="0.2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 x14ac:dyDescent="0.2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 x14ac:dyDescent="0.2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 x14ac:dyDescent="0.2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 x14ac:dyDescent="0.2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 x14ac:dyDescent="0.2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 x14ac:dyDescent="0.2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 x14ac:dyDescent="0.2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 x14ac:dyDescent="0.2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 x14ac:dyDescent="0.2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 x14ac:dyDescent="0.2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 x14ac:dyDescent="0.2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 x14ac:dyDescent="0.2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 x14ac:dyDescent="0.2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 x14ac:dyDescent="0.2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 x14ac:dyDescent="0.2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 x14ac:dyDescent="0.2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 x14ac:dyDescent="0.2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 x14ac:dyDescent="0.2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 x14ac:dyDescent="0.2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 x14ac:dyDescent="0.2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 x14ac:dyDescent="0.2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 x14ac:dyDescent="0.2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 x14ac:dyDescent="0.2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 x14ac:dyDescent="0.2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 x14ac:dyDescent="0.2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 x14ac:dyDescent="0.2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 x14ac:dyDescent="0.2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 x14ac:dyDescent="0.2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 x14ac:dyDescent="0.2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 x14ac:dyDescent="0.2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 x14ac:dyDescent="0.2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 x14ac:dyDescent="0.2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 x14ac:dyDescent="0.2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 x14ac:dyDescent="0.2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 x14ac:dyDescent="0.2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 x14ac:dyDescent="0.2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 x14ac:dyDescent="0.2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 x14ac:dyDescent="0.2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 x14ac:dyDescent="0.2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 x14ac:dyDescent="0.2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 x14ac:dyDescent="0.2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 x14ac:dyDescent="0.2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 x14ac:dyDescent="0.2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 x14ac:dyDescent="0.2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 x14ac:dyDescent="0.2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 x14ac:dyDescent="0.2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 x14ac:dyDescent="0.2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 x14ac:dyDescent="0.2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 x14ac:dyDescent="0.2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 x14ac:dyDescent="0.2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 x14ac:dyDescent="0.2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 x14ac:dyDescent="0.2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 x14ac:dyDescent="0.2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 x14ac:dyDescent="0.2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 x14ac:dyDescent="0.2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 x14ac:dyDescent="0.2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 x14ac:dyDescent="0.2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 x14ac:dyDescent="0.2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 x14ac:dyDescent="0.2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 x14ac:dyDescent="0.2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 x14ac:dyDescent="0.2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 x14ac:dyDescent="0.2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 x14ac:dyDescent="0.2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 x14ac:dyDescent="0.2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 x14ac:dyDescent="0.2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 x14ac:dyDescent="0.2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 x14ac:dyDescent="0.2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 x14ac:dyDescent="0.2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 x14ac:dyDescent="0.2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 x14ac:dyDescent="0.2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 x14ac:dyDescent="0.2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 x14ac:dyDescent="0.2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 x14ac:dyDescent="0.2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 x14ac:dyDescent="0.2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 x14ac:dyDescent="0.2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 x14ac:dyDescent="0.2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 x14ac:dyDescent="0.2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 x14ac:dyDescent="0.2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 x14ac:dyDescent="0.2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 x14ac:dyDescent="0.2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 x14ac:dyDescent="0.2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 x14ac:dyDescent="0.2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 x14ac:dyDescent="0.2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 x14ac:dyDescent="0.2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 x14ac:dyDescent="0.2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 x14ac:dyDescent="0.2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 x14ac:dyDescent="0.2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 x14ac:dyDescent="0.2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 x14ac:dyDescent="0.2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 x14ac:dyDescent="0.2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 x14ac:dyDescent="0.2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 x14ac:dyDescent="0.2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 x14ac:dyDescent="0.2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 x14ac:dyDescent="0.2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 x14ac:dyDescent="0.2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 x14ac:dyDescent="0.2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 x14ac:dyDescent="0.2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 x14ac:dyDescent="0.2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 x14ac:dyDescent="0.2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 x14ac:dyDescent="0.2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 x14ac:dyDescent="0.2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 x14ac:dyDescent="0.2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 x14ac:dyDescent="0.2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 x14ac:dyDescent="0.2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 x14ac:dyDescent="0.2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 x14ac:dyDescent="0.2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 x14ac:dyDescent="0.2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 x14ac:dyDescent="0.2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 x14ac:dyDescent="0.2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 x14ac:dyDescent="0.2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 x14ac:dyDescent="0.2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 x14ac:dyDescent="0.2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 x14ac:dyDescent="0.2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 x14ac:dyDescent="0.2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 x14ac:dyDescent="0.2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 x14ac:dyDescent="0.2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 x14ac:dyDescent="0.2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 x14ac:dyDescent="0.2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 x14ac:dyDescent="0.2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 x14ac:dyDescent="0.2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 x14ac:dyDescent="0.2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 x14ac:dyDescent="0.2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 x14ac:dyDescent="0.2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 x14ac:dyDescent="0.2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 x14ac:dyDescent="0.2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 x14ac:dyDescent="0.2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 x14ac:dyDescent="0.2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 x14ac:dyDescent="0.2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 x14ac:dyDescent="0.2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 x14ac:dyDescent="0.2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 x14ac:dyDescent="0.2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 x14ac:dyDescent="0.2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 x14ac:dyDescent="0.2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 x14ac:dyDescent="0.2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 x14ac:dyDescent="0.2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 x14ac:dyDescent="0.2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 x14ac:dyDescent="0.2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 x14ac:dyDescent="0.2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 x14ac:dyDescent="0.2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 x14ac:dyDescent="0.2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 x14ac:dyDescent="0.2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 x14ac:dyDescent="0.2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 x14ac:dyDescent="0.2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 x14ac:dyDescent="0.2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 x14ac:dyDescent="0.2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 x14ac:dyDescent="0.2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 x14ac:dyDescent="0.2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 x14ac:dyDescent="0.2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 x14ac:dyDescent="0.2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 x14ac:dyDescent="0.2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 x14ac:dyDescent="0.2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 x14ac:dyDescent="0.2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 x14ac:dyDescent="0.2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 x14ac:dyDescent="0.2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 x14ac:dyDescent="0.2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 x14ac:dyDescent="0.2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 x14ac:dyDescent="0.2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 x14ac:dyDescent="0.2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 x14ac:dyDescent="0.2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 x14ac:dyDescent="0.2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 x14ac:dyDescent="0.2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 x14ac:dyDescent="0.2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 x14ac:dyDescent="0.2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 x14ac:dyDescent="0.2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 x14ac:dyDescent="0.2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 x14ac:dyDescent="0.2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 x14ac:dyDescent="0.2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 x14ac:dyDescent="0.2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 x14ac:dyDescent="0.2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 x14ac:dyDescent="0.2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 x14ac:dyDescent="0.2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 x14ac:dyDescent="0.2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 x14ac:dyDescent="0.2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 x14ac:dyDescent="0.2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 x14ac:dyDescent="0.2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 x14ac:dyDescent="0.2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 x14ac:dyDescent="0.2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 x14ac:dyDescent="0.2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 x14ac:dyDescent="0.2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 x14ac:dyDescent="0.2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 x14ac:dyDescent="0.2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 x14ac:dyDescent="0.2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 x14ac:dyDescent="0.2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 x14ac:dyDescent="0.2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 x14ac:dyDescent="0.2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 x14ac:dyDescent="0.2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 x14ac:dyDescent="0.2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 x14ac:dyDescent="0.2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 x14ac:dyDescent="0.2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 x14ac:dyDescent="0.2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 x14ac:dyDescent="0.2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 x14ac:dyDescent="0.2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 x14ac:dyDescent="0.2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 x14ac:dyDescent="0.2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 x14ac:dyDescent="0.2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 x14ac:dyDescent="0.2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 x14ac:dyDescent="0.2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 x14ac:dyDescent="0.2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 x14ac:dyDescent="0.2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 x14ac:dyDescent="0.2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 x14ac:dyDescent="0.2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 x14ac:dyDescent="0.2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 x14ac:dyDescent="0.2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 x14ac:dyDescent="0.2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 x14ac:dyDescent="0.2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 x14ac:dyDescent="0.2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 x14ac:dyDescent="0.2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 x14ac:dyDescent="0.2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 x14ac:dyDescent="0.2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 x14ac:dyDescent="0.2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 x14ac:dyDescent="0.2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 x14ac:dyDescent="0.2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 x14ac:dyDescent="0.2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 x14ac:dyDescent="0.2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 x14ac:dyDescent="0.2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 x14ac:dyDescent="0.2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 x14ac:dyDescent="0.2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 x14ac:dyDescent="0.2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 x14ac:dyDescent="0.2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 x14ac:dyDescent="0.2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 x14ac:dyDescent="0.2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 x14ac:dyDescent="0.2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 x14ac:dyDescent="0.2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 x14ac:dyDescent="0.2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 x14ac:dyDescent="0.2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 x14ac:dyDescent="0.2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 x14ac:dyDescent="0.2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 x14ac:dyDescent="0.2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 x14ac:dyDescent="0.2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 x14ac:dyDescent="0.2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 x14ac:dyDescent="0.2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 x14ac:dyDescent="0.2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 x14ac:dyDescent="0.2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 x14ac:dyDescent="0.2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 x14ac:dyDescent="0.2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 x14ac:dyDescent="0.2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 x14ac:dyDescent="0.2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 x14ac:dyDescent="0.2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 x14ac:dyDescent="0.2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 x14ac:dyDescent="0.2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 x14ac:dyDescent="0.2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 x14ac:dyDescent="0.2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 x14ac:dyDescent="0.2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 x14ac:dyDescent="0.2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 x14ac:dyDescent="0.2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 x14ac:dyDescent="0.2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 x14ac:dyDescent="0.2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 x14ac:dyDescent="0.2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 x14ac:dyDescent="0.2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 x14ac:dyDescent="0.2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 x14ac:dyDescent="0.2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 x14ac:dyDescent="0.2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 x14ac:dyDescent="0.2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 x14ac:dyDescent="0.2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 x14ac:dyDescent="0.2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 x14ac:dyDescent="0.2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 x14ac:dyDescent="0.2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 x14ac:dyDescent="0.2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 x14ac:dyDescent="0.2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 x14ac:dyDescent="0.2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 x14ac:dyDescent="0.2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 x14ac:dyDescent="0.2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 x14ac:dyDescent="0.2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 x14ac:dyDescent="0.2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 x14ac:dyDescent="0.2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 x14ac:dyDescent="0.2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 x14ac:dyDescent="0.2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 x14ac:dyDescent="0.2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 x14ac:dyDescent="0.2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 x14ac:dyDescent="0.2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 x14ac:dyDescent="0.2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 x14ac:dyDescent="0.2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 x14ac:dyDescent="0.2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 x14ac:dyDescent="0.2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 x14ac:dyDescent="0.2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 x14ac:dyDescent="0.2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 x14ac:dyDescent="0.2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 x14ac:dyDescent="0.2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 x14ac:dyDescent="0.2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 x14ac:dyDescent="0.2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 x14ac:dyDescent="0.2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 x14ac:dyDescent="0.2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 x14ac:dyDescent="0.2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 x14ac:dyDescent="0.2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 x14ac:dyDescent="0.2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 x14ac:dyDescent="0.2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 x14ac:dyDescent="0.2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 x14ac:dyDescent="0.2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 x14ac:dyDescent="0.2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 x14ac:dyDescent="0.2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 x14ac:dyDescent="0.2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 x14ac:dyDescent="0.2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 x14ac:dyDescent="0.2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 x14ac:dyDescent="0.2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 x14ac:dyDescent="0.2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 x14ac:dyDescent="0.2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 x14ac:dyDescent="0.2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 x14ac:dyDescent="0.2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 x14ac:dyDescent="0.2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 x14ac:dyDescent="0.2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 x14ac:dyDescent="0.2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 x14ac:dyDescent="0.2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 x14ac:dyDescent="0.2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 x14ac:dyDescent="0.2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 x14ac:dyDescent="0.2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 x14ac:dyDescent="0.2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 x14ac:dyDescent="0.2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 x14ac:dyDescent="0.2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 x14ac:dyDescent="0.2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 x14ac:dyDescent="0.2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 x14ac:dyDescent="0.2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 x14ac:dyDescent="0.2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 x14ac:dyDescent="0.2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 x14ac:dyDescent="0.2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 x14ac:dyDescent="0.2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 x14ac:dyDescent="0.2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 x14ac:dyDescent="0.2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 x14ac:dyDescent="0.2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 x14ac:dyDescent="0.2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 x14ac:dyDescent="0.2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 x14ac:dyDescent="0.2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 x14ac:dyDescent="0.2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 x14ac:dyDescent="0.2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 x14ac:dyDescent="0.2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 x14ac:dyDescent="0.2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 x14ac:dyDescent="0.2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 x14ac:dyDescent="0.2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 x14ac:dyDescent="0.2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 x14ac:dyDescent="0.2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 x14ac:dyDescent="0.2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 x14ac:dyDescent="0.2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 x14ac:dyDescent="0.2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 x14ac:dyDescent="0.2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 x14ac:dyDescent="0.2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 x14ac:dyDescent="0.2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 x14ac:dyDescent="0.2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 x14ac:dyDescent="0.2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 x14ac:dyDescent="0.2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 x14ac:dyDescent="0.2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 x14ac:dyDescent="0.2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 x14ac:dyDescent="0.2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 x14ac:dyDescent="0.2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 x14ac:dyDescent="0.2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 x14ac:dyDescent="0.2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 x14ac:dyDescent="0.2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 x14ac:dyDescent="0.2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 x14ac:dyDescent="0.2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 x14ac:dyDescent="0.2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 x14ac:dyDescent="0.2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 x14ac:dyDescent="0.2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 x14ac:dyDescent="0.2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 x14ac:dyDescent="0.2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 x14ac:dyDescent="0.2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 x14ac:dyDescent="0.2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 x14ac:dyDescent="0.2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 x14ac:dyDescent="0.2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 x14ac:dyDescent="0.2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 x14ac:dyDescent="0.2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 x14ac:dyDescent="0.2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 x14ac:dyDescent="0.2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 x14ac:dyDescent="0.2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 x14ac:dyDescent="0.2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 x14ac:dyDescent="0.2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 x14ac:dyDescent="0.2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 x14ac:dyDescent="0.2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 x14ac:dyDescent="0.2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 x14ac:dyDescent="0.2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 x14ac:dyDescent="0.2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 x14ac:dyDescent="0.2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 x14ac:dyDescent="0.2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 x14ac:dyDescent="0.2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 x14ac:dyDescent="0.2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 x14ac:dyDescent="0.2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 x14ac:dyDescent="0.2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 x14ac:dyDescent="0.2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 x14ac:dyDescent="0.2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 x14ac:dyDescent="0.2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 x14ac:dyDescent="0.2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 x14ac:dyDescent="0.2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 x14ac:dyDescent="0.2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 x14ac:dyDescent="0.2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 x14ac:dyDescent="0.2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 x14ac:dyDescent="0.2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 x14ac:dyDescent="0.2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 x14ac:dyDescent="0.2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 x14ac:dyDescent="0.2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 x14ac:dyDescent="0.2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 x14ac:dyDescent="0.2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 x14ac:dyDescent="0.2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 x14ac:dyDescent="0.2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 x14ac:dyDescent="0.2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 x14ac:dyDescent="0.2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 x14ac:dyDescent="0.2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 x14ac:dyDescent="0.2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 x14ac:dyDescent="0.2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 x14ac:dyDescent="0.2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 x14ac:dyDescent="0.2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 x14ac:dyDescent="0.2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 x14ac:dyDescent="0.2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 x14ac:dyDescent="0.2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 x14ac:dyDescent="0.2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 x14ac:dyDescent="0.2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 x14ac:dyDescent="0.2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 x14ac:dyDescent="0.2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 x14ac:dyDescent="0.2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 x14ac:dyDescent="0.2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 x14ac:dyDescent="0.2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 x14ac:dyDescent="0.2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 x14ac:dyDescent="0.2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 x14ac:dyDescent="0.2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 x14ac:dyDescent="0.2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 x14ac:dyDescent="0.2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 x14ac:dyDescent="0.2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 x14ac:dyDescent="0.2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 x14ac:dyDescent="0.2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 x14ac:dyDescent="0.2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 x14ac:dyDescent="0.2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 x14ac:dyDescent="0.2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 x14ac:dyDescent="0.2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 x14ac:dyDescent="0.2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 x14ac:dyDescent="0.2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 x14ac:dyDescent="0.2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 x14ac:dyDescent="0.2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 x14ac:dyDescent="0.2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 x14ac:dyDescent="0.2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 x14ac:dyDescent="0.2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 x14ac:dyDescent="0.2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 x14ac:dyDescent="0.2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 x14ac:dyDescent="0.2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 x14ac:dyDescent="0.2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 x14ac:dyDescent="0.2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 x14ac:dyDescent="0.2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 x14ac:dyDescent="0.2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 x14ac:dyDescent="0.2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 x14ac:dyDescent="0.2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 x14ac:dyDescent="0.2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 x14ac:dyDescent="0.2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 x14ac:dyDescent="0.2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 x14ac:dyDescent="0.2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 x14ac:dyDescent="0.2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 x14ac:dyDescent="0.2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 x14ac:dyDescent="0.2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 x14ac:dyDescent="0.2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 x14ac:dyDescent="0.2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 x14ac:dyDescent="0.2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 x14ac:dyDescent="0.2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 x14ac:dyDescent="0.2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 x14ac:dyDescent="0.2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 x14ac:dyDescent="0.2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 x14ac:dyDescent="0.2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 x14ac:dyDescent="0.2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 x14ac:dyDescent="0.2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 x14ac:dyDescent="0.2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 x14ac:dyDescent="0.2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 x14ac:dyDescent="0.2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 x14ac:dyDescent="0.2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 x14ac:dyDescent="0.2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 x14ac:dyDescent="0.2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 x14ac:dyDescent="0.2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 x14ac:dyDescent="0.2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 x14ac:dyDescent="0.2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 x14ac:dyDescent="0.2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 x14ac:dyDescent="0.2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 x14ac:dyDescent="0.2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 x14ac:dyDescent="0.2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 x14ac:dyDescent="0.2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 x14ac:dyDescent="0.2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 x14ac:dyDescent="0.2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 x14ac:dyDescent="0.2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 x14ac:dyDescent="0.2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 x14ac:dyDescent="0.2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 x14ac:dyDescent="0.2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 x14ac:dyDescent="0.2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 x14ac:dyDescent="0.2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 x14ac:dyDescent="0.2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 x14ac:dyDescent="0.2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 x14ac:dyDescent="0.2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 x14ac:dyDescent="0.2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 x14ac:dyDescent="0.2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 x14ac:dyDescent="0.2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 x14ac:dyDescent="0.2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 x14ac:dyDescent="0.2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 x14ac:dyDescent="0.2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 x14ac:dyDescent="0.2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 x14ac:dyDescent="0.2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 x14ac:dyDescent="0.2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 x14ac:dyDescent="0.2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 x14ac:dyDescent="0.2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 x14ac:dyDescent="0.2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 x14ac:dyDescent="0.2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 x14ac:dyDescent="0.2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 x14ac:dyDescent="0.2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 x14ac:dyDescent="0.2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 x14ac:dyDescent="0.2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 x14ac:dyDescent="0.2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 x14ac:dyDescent="0.2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 x14ac:dyDescent="0.2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 x14ac:dyDescent="0.2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 x14ac:dyDescent="0.2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 x14ac:dyDescent="0.2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 x14ac:dyDescent="0.2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 x14ac:dyDescent="0.2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 x14ac:dyDescent="0.2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 x14ac:dyDescent="0.2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 x14ac:dyDescent="0.2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 x14ac:dyDescent="0.2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 x14ac:dyDescent="0.2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 x14ac:dyDescent="0.2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 x14ac:dyDescent="0.2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 x14ac:dyDescent="0.2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 x14ac:dyDescent="0.2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 x14ac:dyDescent="0.2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 x14ac:dyDescent="0.2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 x14ac:dyDescent="0.2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 x14ac:dyDescent="0.2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 x14ac:dyDescent="0.2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 x14ac:dyDescent="0.2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 x14ac:dyDescent="0.2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 x14ac:dyDescent="0.2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 x14ac:dyDescent="0.2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 x14ac:dyDescent="0.2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 x14ac:dyDescent="0.2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 x14ac:dyDescent="0.2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 x14ac:dyDescent="0.2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 x14ac:dyDescent="0.2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 x14ac:dyDescent="0.2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 x14ac:dyDescent="0.2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 x14ac:dyDescent="0.2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 x14ac:dyDescent="0.2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 x14ac:dyDescent="0.2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 x14ac:dyDescent="0.2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 x14ac:dyDescent="0.2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 x14ac:dyDescent="0.2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 x14ac:dyDescent="0.2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 x14ac:dyDescent="0.2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 x14ac:dyDescent="0.2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 x14ac:dyDescent="0.2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 x14ac:dyDescent="0.2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 x14ac:dyDescent="0.2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 x14ac:dyDescent="0.2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 x14ac:dyDescent="0.2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 x14ac:dyDescent="0.2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 x14ac:dyDescent="0.2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 x14ac:dyDescent="0.2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 x14ac:dyDescent="0.2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 x14ac:dyDescent="0.2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 x14ac:dyDescent="0.2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 x14ac:dyDescent="0.2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 x14ac:dyDescent="0.2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 x14ac:dyDescent="0.2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 x14ac:dyDescent="0.2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 x14ac:dyDescent="0.2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 x14ac:dyDescent="0.2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 x14ac:dyDescent="0.2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 x14ac:dyDescent="0.2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 x14ac:dyDescent="0.2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 x14ac:dyDescent="0.2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 x14ac:dyDescent="0.2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 x14ac:dyDescent="0.2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 x14ac:dyDescent="0.2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 x14ac:dyDescent="0.2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 x14ac:dyDescent="0.2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 x14ac:dyDescent="0.2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 x14ac:dyDescent="0.2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 x14ac:dyDescent="0.2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 x14ac:dyDescent="0.2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 x14ac:dyDescent="0.2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 x14ac:dyDescent="0.2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 x14ac:dyDescent="0.2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 x14ac:dyDescent="0.2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 x14ac:dyDescent="0.2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 x14ac:dyDescent="0.2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 x14ac:dyDescent="0.2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 x14ac:dyDescent="0.2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 x14ac:dyDescent="0.2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 x14ac:dyDescent="0.2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 x14ac:dyDescent="0.2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 x14ac:dyDescent="0.2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 x14ac:dyDescent="0.2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 x14ac:dyDescent="0.2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 x14ac:dyDescent="0.2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 x14ac:dyDescent="0.2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 x14ac:dyDescent="0.2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 x14ac:dyDescent="0.2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 x14ac:dyDescent="0.2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 x14ac:dyDescent="0.2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 x14ac:dyDescent="0.2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 x14ac:dyDescent="0.2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 x14ac:dyDescent="0.2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 x14ac:dyDescent="0.2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 x14ac:dyDescent="0.2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 x14ac:dyDescent="0.2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 x14ac:dyDescent="0.2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 x14ac:dyDescent="0.2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 x14ac:dyDescent="0.2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 x14ac:dyDescent="0.2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 x14ac:dyDescent="0.2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 x14ac:dyDescent="0.2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 x14ac:dyDescent="0.2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 x14ac:dyDescent="0.2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 x14ac:dyDescent="0.2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 x14ac:dyDescent="0.2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 x14ac:dyDescent="0.2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 x14ac:dyDescent="0.2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 x14ac:dyDescent="0.2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 x14ac:dyDescent="0.2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 x14ac:dyDescent="0.2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 x14ac:dyDescent="0.2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 x14ac:dyDescent="0.2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 x14ac:dyDescent="0.2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 x14ac:dyDescent="0.2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 x14ac:dyDescent="0.2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 x14ac:dyDescent="0.2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 x14ac:dyDescent="0.2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 x14ac:dyDescent="0.2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 x14ac:dyDescent="0.2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 x14ac:dyDescent="0.2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 x14ac:dyDescent="0.2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 x14ac:dyDescent="0.2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 x14ac:dyDescent="0.2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 x14ac:dyDescent="0.2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 x14ac:dyDescent="0.2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 x14ac:dyDescent="0.2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 x14ac:dyDescent="0.2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 x14ac:dyDescent="0.2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 x14ac:dyDescent="0.2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 x14ac:dyDescent="0.2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 x14ac:dyDescent="0.2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 x14ac:dyDescent="0.2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 x14ac:dyDescent="0.2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 x14ac:dyDescent="0.2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 x14ac:dyDescent="0.2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 x14ac:dyDescent="0.2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 x14ac:dyDescent="0.2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 x14ac:dyDescent="0.2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 x14ac:dyDescent="0.2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 x14ac:dyDescent="0.2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 x14ac:dyDescent="0.2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 x14ac:dyDescent="0.2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 x14ac:dyDescent="0.2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 x14ac:dyDescent="0.2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 x14ac:dyDescent="0.2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 x14ac:dyDescent="0.2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 x14ac:dyDescent="0.2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 x14ac:dyDescent="0.2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 x14ac:dyDescent="0.2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 x14ac:dyDescent="0.2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 x14ac:dyDescent="0.2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 x14ac:dyDescent="0.2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 x14ac:dyDescent="0.2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 x14ac:dyDescent="0.2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 x14ac:dyDescent="0.2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 x14ac:dyDescent="0.2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 x14ac:dyDescent="0.2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 x14ac:dyDescent="0.2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 x14ac:dyDescent="0.2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 x14ac:dyDescent="0.2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 x14ac:dyDescent="0.2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 x14ac:dyDescent="0.2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 x14ac:dyDescent="0.2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 x14ac:dyDescent="0.2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 x14ac:dyDescent="0.2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 x14ac:dyDescent="0.2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 x14ac:dyDescent="0.2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 x14ac:dyDescent="0.2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 x14ac:dyDescent="0.2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 x14ac:dyDescent="0.2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 x14ac:dyDescent="0.2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 x14ac:dyDescent="0.2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 x14ac:dyDescent="0.2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 x14ac:dyDescent="0.2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 x14ac:dyDescent="0.2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 x14ac:dyDescent="0.2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 x14ac:dyDescent="0.2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 x14ac:dyDescent="0.2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 x14ac:dyDescent="0.2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 x14ac:dyDescent="0.2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 x14ac:dyDescent="0.2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 x14ac:dyDescent="0.2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 x14ac:dyDescent="0.2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 x14ac:dyDescent="0.2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 x14ac:dyDescent="0.2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 x14ac:dyDescent="0.2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 x14ac:dyDescent="0.2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 x14ac:dyDescent="0.2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 x14ac:dyDescent="0.2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 x14ac:dyDescent="0.2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 x14ac:dyDescent="0.2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 x14ac:dyDescent="0.2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 x14ac:dyDescent="0.2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 x14ac:dyDescent="0.2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 x14ac:dyDescent="0.2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 x14ac:dyDescent="0.2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 x14ac:dyDescent="0.2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 x14ac:dyDescent="0.2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 x14ac:dyDescent="0.2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 x14ac:dyDescent="0.2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 x14ac:dyDescent="0.2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 x14ac:dyDescent="0.2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 x14ac:dyDescent="0.2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 x14ac:dyDescent="0.2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 x14ac:dyDescent="0.2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 x14ac:dyDescent="0.2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 x14ac:dyDescent="0.2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 x14ac:dyDescent="0.2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 x14ac:dyDescent="0.2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 x14ac:dyDescent="0.2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 x14ac:dyDescent="0.2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 x14ac:dyDescent="0.2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 x14ac:dyDescent="0.2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 x14ac:dyDescent="0.2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 x14ac:dyDescent="0.2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 x14ac:dyDescent="0.2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 x14ac:dyDescent="0.2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 x14ac:dyDescent="0.2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 x14ac:dyDescent="0.2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 x14ac:dyDescent="0.2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 x14ac:dyDescent="0.2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 x14ac:dyDescent="0.2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 x14ac:dyDescent="0.2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 x14ac:dyDescent="0.2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 x14ac:dyDescent="0.2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 x14ac:dyDescent="0.2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 x14ac:dyDescent="0.2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 x14ac:dyDescent="0.2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 x14ac:dyDescent="0.2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 x14ac:dyDescent="0.2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 x14ac:dyDescent="0.2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 x14ac:dyDescent="0.2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 x14ac:dyDescent="0.2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 x14ac:dyDescent="0.2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 x14ac:dyDescent="0.2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 x14ac:dyDescent="0.2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 x14ac:dyDescent="0.2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 x14ac:dyDescent="0.2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 x14ac:dyDescent="0.2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 x14ac:dyDescent="0.2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 x14ac:dyDescent="0.2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 x14ac:dyDescent="0.2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 x14ac:dyDescent="0.2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 x14ac:dyDescent="0.2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 x14ac:dyDescent="0.2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 x14ac:dyDescent="0.2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 x14ac:dyDescent="0.2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 x14ac:dyDescent="0.2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 x14ac:dyDescent="0.2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 x14ac:dyDescent="0.2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 x14ac:dyDescent="0.2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 x14ac:dyDescent="0.2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 x14ac:dyDescent="0.2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 x14ac:dyDescent="0.2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 x14ac:dyDescent="0.2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 x14ac:dyDescent="0.2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 x14ac:dyDescent="0.2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 x14ac:dyDescent="0.2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 x14ac:dyDescent="0.2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 x14ac:dyDescent="0.2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 x14ac:dyDescent="0.2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 x14ac:dyDescent="0.2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 x14ac:dyDescent="0.2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 x14ac:dyDescent="0.2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 x14ac:dyDescent="0.2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 x14ac:dyDescent="0.2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 x14ac:dyDescent="0.2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 x14ac:dyDescent="0.2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 x14ac:dyDescent="0.2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 x14ac:dyDescent="0.2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 x14ac:dyDescent="0.2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 x14ac:dyDescent="0.2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 x14ac:dyDescent="0.2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 x14ac:dyDescent="0.2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 x14ac:dyDescent="0.2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 x14ac:dyDescent="0.2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 x14ac:dyDescent="0.2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 x14ac:dyDescent="0.2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 x14ac:dyDescent="0.2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 x14ac:dyDescent="0.2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 x14ac:dyDescent="0.2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 x14ac:dyDescent="0.2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 x14ac:dyDescent="0.2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 x14ac:dyDescent="0.2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 x14ac:dyDescent="0.2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 x14ac:dyDescent="0.2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 x14ac:dyDescent="0.2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 x14ac:dyDescent="0.2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 x14ac:dyDescent="0.2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 x14ac:dyDescent="0.2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 x14ac:dyDescent="0.2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 x14ac:dyDescent="0.2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 x14ac:dyDescent="0.2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 x14ac:dyDescent="0.2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 x14ac:dyDescent="0.2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 x14ac:dyDescent="0.2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 x14ac:dyDescent="0.2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 x14ac:dyDescent="0.2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 x14ac:dyDescent="0.2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 x14ac:dyDescent="0.2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 x14ac:dyDescent="0.2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 x14ac:dyDescent="0.2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 x14ac:dyDescent="0.2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 x14ac:dyDescent="0.2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 x14ac:dyDescent="0.2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 x14ac:dyDescent="0.2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 x14ac:dyDescent="0.2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 x14ac:dyDescent="0.2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 x14ac:dyDescent="0.2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 x14ac:dyDescent="0.2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 x14ac:dyDescent="0.2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 x14ac:dyDescent="0.2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 x14ac:dyDescent="0.2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 x14ac:dyDescent="0.2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 x14ac:dyDescent="0.2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 x14ac:dyDescent="0.2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 x14ac:dyDescent="0.2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 x14ac:dyDescent="0.2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 x14ac:dyDescent="0.2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 x14ac:dyDescent="0.2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 x14ac:dyDescent="0.2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 x14ac:dyDescent="0.2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 x14ac:dyDescent="0.2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 x14ac:dyDescent="0.2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 x14ac:dyDescent="0.2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 x14ac:dyDescent="0.2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 x14ac:dyDescent="0.2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 x14ac:dyDescent="0.2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 x14ac:dyDescent="0.2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 x14ac:dyDescent="0.2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 x14ac:dyDescent="0.2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 x14ac:dyDescent="0.2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 x14ac:dyDescent="0.2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 x14ac:dyDescent="0.2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 x14ac:dyDescent="0.2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 x14ac:dyDescent="0.2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 x14ac:dyDescent="0.2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 x14ac:dyDescent="0.2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 x14ac:dyDescent="0.2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 x14ac:dyDescent="0.2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 x14ac:dyDescent="0.2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 x14ac:dyDescent="0.2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 x14ac:dyDescent="0.2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 x14ac:dyDescent="0.2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 x14ac:dyDescent="0.2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 x14ac:dyDescent="0.2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 x14ac:dyDescent="0.2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 x14ac:dyDescent="0.2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 x14ac:dyDescent="0.2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 x14ac:dyDescent="0.2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 x14ac:dyDescent="0.2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 x14ac:dyDescent="0.2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 x14ac:dyDescent="0.2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 x14ac:dyDescent="0.2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 x14ac:dyDescent="0.2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 x14ac:dyDescent="0.2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 x14ac:dyDescent="0.2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 x14ac:dyDescent="0.2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 x14ac:dyDescent="0.2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 x14ac:dyDescent="0.2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 x14ac:dyDescent="0.2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 x14ac:dyDescent="0.2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 x14ac:dyDescent="0.2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 x14ac:dyDescent="0.2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 x14ac:dyDescent="0.2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 x14ac:dyDescent="0.2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 x14ac:dyDescent="0.2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 x14ac:dyDescent="0.2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 x14ac:dyDescent="0.2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 x14ac:dyDescent="0.2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 x14ac:dyDescent="0.2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 x14ac:dyDescent="0.2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 x14ac:dyDescent="0.2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 x14ac:dyDescent="0.2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 x14ac:dyDescent="0.2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 x14ac:dyDescent="0.2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 x14ac:dyDescent="0.2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 x14ac:dyDescent="0.2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 x14ac:dyDescent="0.2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 x14ac:dyDescent="0.2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 x14ac:dyDescent="0.2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 x14ac:dyDescent="0.2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 x14ac:dyDescent="0.2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 x14ac:dyDescent="0.2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 x14ac:dyDescent="0.2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 x14ac:dyDescent="0.2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 x14ac:dyDescent="0.2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 x14ac:dyDescent="0.2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 x14ac:dyDescent="0.2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 x14ac:dyDescent="0.2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 x14ac:dyDescent="0.2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 x14ac:dyDescent="0.2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 x14ac:dyDescent="0.2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 x14ac:dyDescent="0.2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 x14ac:dyDescent="0.2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 x14ac:dyDescent="0.2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 x14ac:dyDescent="0.2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 x14ac:dyDescent="0.2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 x14ac:dyDescent="0.2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 x14ac:dyDescent="0.2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 x14ac:dyDescent="0.2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 x14ac:dyDescent="0.2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 x14ac:dyDescent="0.2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 x14ac:dyDescent="0.2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 x14ac:dyDescent="0.2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 x14ac:dyDescent="0.2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 x14ac:dyDescent="0.2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 x14ac:dyDescent="0.2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 x14ac:dyDescent="0.2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 x14ac:dyDescent="0.2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 x14ac:dyDescent="0.2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 x14ac:dyDescent="0.2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 x14ac:dyDescent="0.2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 x14ac:dyDescent="0.2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 x14ac:dyDescent="0.2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 x14ac:dyDescent="0.2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 x14ac:dyDescent="0.2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 x14ac:dyDescent="0.2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 x14ac:dyDescent="0.2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 x14ac:dyDescent="0.2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 x14ac:dyDescent="0.2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 x14ac:dyDescent="0.2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 x14ac:dyDescent="0.2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 x14ac:dyDescent="0.2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 x14ac:dyDescent="0.2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 x14ac:dyDescent="0.2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 x14ac:dyDescent="0.2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 x14ac:dyDescent="0.2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 x14ac:dyDescent="0.2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 x14ac:dyDescent="0.2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 x14ac:dyDescent="0.2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 x14ac:dyDescent="0.2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 x14ac:dyDescent="0.2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 x14ac:dyDescent="0.2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 x14ac:dyDescent="0.2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 x14ac:dyDescent="0.2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 x14ac:dyDescent="0.2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 x14ac:dyDescent="0.2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 x14ac:dyDescent="0.2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 x14ac:dyDescent="0.2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 x14ac:dyDescent="0.2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 x14ac:dyDescent="0.2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 x14ac:dyDescent="0.2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 x14ac:dyDescent="0.2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 x14ac:dyDescent="0.2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 x14ac:dyDescent="0.2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 x14ac:dyDescent="0.2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 x14ac:dyDescent="0.2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 x14ac:dyDescent="0.2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 x14ac:dyDescent="0.2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 x14ac:dyDescent="0.2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 x14ac:dyDescent="0.2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 x14ac:dyDescent="0.2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 x14ac:dyDescent="0.2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 x14ac:dyDescent="0.2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 x14ac:dyDescent="0.2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 x14ac:dyDescent="0.2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 x14ac:dyDescent="0.2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 x14ac:dyDescent="0.2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 x14ac:dyDescent="0.2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 x14ac:dyDescent="0.2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 x14ac:dyDescent="0.2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 x14ac:dyDescent="0.2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 x14ac:dyDescent="0.2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 x14ac:dyDescent="0.2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 x14ac:dyDescent="0.2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 x14ac:dyDescent="0.2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 x14ac:dyDescent="0.2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 x14ac:dyDescent="0.2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 x14ac:dyDescent="0.2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 x14ac:dyDescent="0.2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 x14ac:dyDescent="0.2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 x14ac:dyDescent="0.2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 x14ac:dyDescent="0.2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 x14ac:dyDescent="0.2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 x14ac:dyDescent="0.2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 x14ac:dyDescent="0.2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 x14ac:dyDescent="0.2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 x14ac:dyDescent="0.2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 x14ac:dyDescent="0.2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 x14ac:dyDescent="0.2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 x14ac:dyDescent="0.2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 x14ac:dyDescent="0.2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 x14ac:dyDescent="0.2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 x14ac:dyDescent="0.2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 x14ac:dyDescent="0.2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 x14ac:dyDescent="0.2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 x14ac:dyDescent="0.2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 x14ac:dyDescent="0.2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 x14ac:dyDescent="0.2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 x14ac:dyDescent="0.2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 x14ac:dyDescent="0.2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 x14ac:dyDescent="0.2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 x14ac:dyDescent="0.2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 x14ac:dyDescent="0.2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 x14ac:dyDescent="0.2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 x14ac:dyDescent="0.2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 x14ac:dyDescent="0.2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 x14ac:dyDescent="0.2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 x14ac:dyDescent="0.2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 x14ac:dyDescent="0.2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 x14ac:dyDescent="0.2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 x14ac:dyDescent="0.2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 x14ac:dyDescent="0.2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 x14ac:dyDescent="0.2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 x14ac:dyDescent="0.2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 x14ac:dyDescent="0.2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 x14ac:dyDescent="0.2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 x14ac:dyDescent="0.2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 x14ac:dyDescent="0.2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 x14ac:dyDescent="0.2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 x14ac:dyDescent="0.2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 x14ac:dyDescent="0.2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 x14ac:dyDescent="0.2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 x14ac:dyDescent="0.2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 x14ac:dyDescent="0.2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 x14ac:dyDescent="0.2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 x14ac:dyDescent="0.2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 x14ac:dyDescent="0.2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 x14ac:dyDescent="0.2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 x14ac:dyDescent="0.2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 x14ac:dyDescent="0.2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 x14ac:dyDescent="0.2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 x14ac:dyDescent="0.2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 x14ac:dyDescent="0.2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 x14ac:dyDescent="0.2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 x14ac:dyDescent="0.2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 x14ac:dyDescent="0.2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 x14ac:dyDescent="0.2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 x14ac:dyDescent="0.2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 x14ac:dyDescent="0.2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 x14ac:dyDescent="0.2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 x14ac:dyDescent="0.2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 x14ac:dyDescent="0.2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 x14ac:dyDescent="0.2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 x14ac:dyDescent="0.2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 x14ac:dyDescent="0.2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 x14ac:dyDescent="0.2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 x14ac:dyDescent="0.2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 x14ac:dyDescent="0.2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 x14ac:dyDescent="0.2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 x14ac:dyDescent="0.2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 x14ac:dyDescent="0.2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 x14ac:dyDescent="0.2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 x14ac:dyDescent="0.2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 x14ac:dyDescent="0.2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 x14ac:dyDescent="0.2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 x14ac:dyDescent="0.2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 x14ac:dyDescent="0.2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 x14ac:dyDescent="0.2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 x14ac:dyDescent="0.2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 x14ac:dyDescent="0.2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 x14ac:dyDescent="0.2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 x14ac:dyDescent="0.2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 x14ac:dyDescent="0.2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 x14ac:dyDescent="0.2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 x14ac:dyDescent="0.2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 x14ac:dyDescent="0.2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 x14ac:dyDescent="0.2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 x14ac:dyDescent="0.2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 x14ac:dyDescent="0.2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 x14ac:dyDescent="0.2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 x14ac:dyDescent="0.2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 x14ac:dyDescent="0.2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 x14ac:dyDescent="0.2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 x14ac:dyDescent="0.2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 x14ac:dyDescent="0.2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 x14ac:dyDescent="0.2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 x14ac:dyDescent="0.2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 x14ac:dyDescent="0.2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 x14ac:dyDescent="0.2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 x14ac:dyDescent="0.2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 x14ac:dyDescent="0.2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 x14ac:dyDescent="0.2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 x14ac:dyDescent="0.2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 x14ac:dyDescent="0.2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 x14ac:dyDescent="0.2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 x14ac:dyDescent="0.2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 x14ac:dyDescent="0.2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 x14ac:dyDescent="0.2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 x14ac:dyDescent="0.2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 x14ac:dyDescent="0.2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 x14ac:dyDescent="0.2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 x14ac:dyDescent="0.2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 x14ac:dyDescent="0.2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 x14ac:dyDescent="0.2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 x14ac:dyDescent="0.2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 x14ac:dyDescent="0.2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 x14ac:dyDescent="0.2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 x14ac:dyDescent="0.2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 x14ac:dyDescent="0.2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 x14ac:dyDescent="0.2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 x14ac:dyDescent="0.2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 x14ac:dyDescent="0.2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 x14ac:dyDescent="0.2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 x14ac:dyDescent="0.2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 x14ac:dyDescent="0.2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 x14ac:dyDescent="0.2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 x14ac:dyDescent="0.2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 x14ac:dyDescent="0.2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 x14ac:dyDescent="0.2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 x14ac:dyDescent="0.2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 x14ac:dyDescent="0.2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 x14ac:dyDescent="0.2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 x14ac:dyDescent="0.2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 x14ac:dyDescent="0.2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 x14ac:dyDescent="0.2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 x14ac:dyDescent="0.2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 x14ac:dyDescent="0.2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 x14ac:dyDescent="0.2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 x14ac:dyDescent="0.2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 x14ac:dyDescent="0.2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 x14ac:dyDescent="0.2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 x14ac:dyDescent="0.2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 x14ac:dyDescent="0.2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 x14ac:dyDescent="0.2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 x14ac:dyDescent="0.2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 x14ac:dyDescent="0.2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 x14ac:dyDescent="0.2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 x14ac:dyDescent="0.2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 x14ac:dyDescent="0.2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 x14ac:dyDescent="0.2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 x14ac:dyDescent="0.2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 x14ac:dyDescent="0.2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 x14ac:dyDescent="0.2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 x14ac:dyDescent="0.2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 x14ac:dyDescent="0.2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 x14ac:dyDescent="0.2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 x14ac:dyDescent="0.2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 x14ac:dyDescent="0.2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 x14ac:dyDescent="0.2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 x14ac:dyDescent="0.2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 x14ac:dyDescent="0.2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 x14ac:dyDescent="0.2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 x14ac:dyDescent="0.2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 x14ac:dyDescent="0.2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 x14ac:dyDescent="0.2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 x14ac:dyDescent="0.2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 x14ac:dyDescent="0.2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 x14ac:dyDescent="0.2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 x14ac:dyDescent="0.2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 x14ac:dyDescent="0.2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 x14ac:dyDescent="0.2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 x14ac:dyDescent="0.2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 x14ac:dyDescent="0.2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 x14ac:dyDescent="0.2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 x14ac:dyDescent="0.2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 x14ac:dyDescent="0.2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 x14ac:dyDescent="0.2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 x14ac:dyDescent="0.2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 x14ac:dyDescent="0.2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 x14ac:dyDescent="0.2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 x14ac:dyDescent="0.2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 x14ac:dyDescent="0.2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 x14ac:dyDescent="0.2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 x14ac:dyDescent="0.2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 x14ac:dyDescent="0.2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 x14ac:dyDescent="0.2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 x14ac:dyDescent="0.2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 x14ac:dyDescent="0.2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 x14ac:dyDescent="0.2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 x14ac:dyDescent="0.2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 x14ac:dyDescent="0.2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 x14ac:dyDescent="0.2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 x14ac:dyDescent="0.2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 x14ac:dyDescent="0.2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 x14ac:dyDescent="0.2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 x14ac:dyDescent="0.2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 x14ac:dyDescent="0.2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 x14ac:dyDescent="0.2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 x14ac:dyDescent="0.2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 x14ac:dyDescent="0.2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 x14ac:dyDescent="0.2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 x14ac:dyDescent="0.2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 x14ac:dyDescent="0.2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 x14ac:dyDescent="0.2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 x14ac:dyDescent="0.2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 x14ac:dyDescent="0.2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 x14ac:dyDescent="0.2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 x14ac:dyDescent="0.2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 x14ac:dyDescent="0.2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 x14ac:dyDescent="0.2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 x14ac:dyDescent="0.2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 x14ac:dyDescent="0.2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 x14ac:dyDescent="0.2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 x14ac:dyDescent="0.2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 x14ac:dyDescent="0.2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 x14ac:dyDescent="0.2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 x14ac:dyDescent="0.2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 x14ac:dyDescent="0.2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 x14ac:dyDescent="0.2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 x14ac:dyDescent="0.2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 x14ac:dyDescent="0.2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 x14ac:dyDescent="0.2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 x14ac:dyDescent="0.2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 x14ac:dyDescent="0.2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 x14ac:dyDescent="0.2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 x14ac:dyDescent="0.2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 x14ac:dyDescent="0.2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 x14ac:dyDescent="0.2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 x14ac:dyDescent="0.2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 x14ac:dyDescent="0.2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 x14ac:dyDescent="0.2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 x14ac:dyDescent="0.2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 x14ac:dyDescent="0.2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 x14ac:dyDescent="0.2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 x14ac:dyDescent="0.2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 x14ac:dyDescent="0.2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 x14ac:dyDescent="0.2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 x14ac:dyDescent="0.2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 x14ac:dyDescent="0.2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 x14ac:dyDescent="0.2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 x14ac:dyDescent="0.2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 x14ac:dyDescent="0.2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 x14ac:dyDescent="0.2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 x14ac:dyDescent="0.2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 x14ac:dyDescent="0.2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 x14ac:dyDescent="0.2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 x14ac:dyDescent="0.2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 x14ac:dyDescent="0.2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 x14ac:dyDescent="0.2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 x14ac:dyDescent="0.2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 x14ac:dyDescent="0.2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 x14ac:dyDescent="0.2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 x14ac:dyDescent="0.2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 x14ac:dyDescent="0.2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 x14ac:dyDescent="0.2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 x14ac:dyDescent="0.2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 x14ac:dyDescent="0.2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 x14ac:dyDescent="0.2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 x14ac:dyDescent="0.2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 x14ac:dyDescent="0.2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 x14ac:dyDescent="0.2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 x14ac:dyDescent="0.2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 x14ac:dyDescent="0.2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 x14ac:dyDescent="0.2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 x14ac:dyDescent="0.2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 x14ac:dyDescent="0.2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 x14ac:dyDescent="0.2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 x14ac:dyDescent="0.2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 x14ac:dyDescent="0.2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 x14ac:dyDescent="0.2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 x14ac:dyDescent="0.2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 x14ac:dyDescent="0.2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 x14ac:dyDescent="0.2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 x14ac:dyDescent="0.2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 x14ac:dyDescent="0.2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 x14ac:dyDescent="0.2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 x14ac:dyDescent="0.2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 x14ac:dyDescent="0.2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 x14ac:dyDescent="0.2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 x14ac:dyDescent="0.2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 x14ac:dyDescent="0.2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 x14ac:dyDescent="0.2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 x14ac:dyDescent="0.2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 x14ac:dyDescent="0.2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 x14ac:dyDescent="0.2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 x14ac:dyDescent="0.2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 x14ac:dyDescent="0.2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 x14ac:dyDescent="0.2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 x14ac:dyDescent="0.2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 x14ac:dyDescent="0.2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 x14ac:dyDescent="0.2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 x14ac:dyDescent="0.2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 x14ac:dyDescent="0.2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 x14ac:dyDescent="0.2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 x14ac:dyDescent="0.2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 x14ac:dyDescent="0.2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 x14ac:dyDescent="0.2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 x14ac:dyDescent="0.2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 x14ac:dyDescent="0.2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 x14ac:dyDescent="0.2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 x14ac:dyDescent="0.2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 x14ac:dyDescent="0.2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 x14ac:dyDescent="0.2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 x14ac:dyDescent="0.2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 x14ac:dyDescent="0.2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 x14ac:dyDescent="0.2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 x14ac:dyDescent="0.2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 x14ac:dyDescent="0.2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 x14ac:dyDescent="0.2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 x14ac:dyDescent="0.2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 x14ac:dyDescent="0.2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 x14ac:dyDescent="0.2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 x14ac:dyDescent="0.2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 x14ac:dyDescent="0.2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 x14ac:dyDescent="0.2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 x14ac:dyDescent="0.2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 x14ac:dyDescent="0.2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 x14ac:dyDescent="0.2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 x14ac:dyDescent="0.2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 x14ac:dyDescent="0.2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 x14ac:dyDescent="0.2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 x14ac:dyDescent="0.2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 x14ac:dyDescent="0.2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 x14ac:dyDescent="0.2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 x14ac:dyDescent="0.2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 x14ac:dyDescent="0.2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 x14ac:dyDescent="0.2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 x14ac:dyDescent="0.2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 x14ac:dyDescent="0.2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 x14ac:dyDescent="0.2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 x14ac:dyDescent="0.2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 x14ac:dyDescent="0.2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 x14ac:dyDescent="0.2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 x14ac:dyDescent="0.2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 x14ac:dyDescent="0.2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 x14ac:dyDescent="0.2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 x14ac:dyDescent="0.2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 x14ac:dyDescent="0.2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 x14ac:dyDescent="0.2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 x14ac:dyDescent="0.2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 x14ac:dyDescent="0.2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 x14ac:dyDescent="0.2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 x14ac:dyDescent="0.2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 x14ac:dyDescent="0.2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 x14ac:dyDescent="0.2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 x14ac:dyDescent="0.2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 x14ac:dyDescent="0.2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 x14ac:dyDescent="0.2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 x14ac:dyDescent="0.2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 x14ac:dyDescent="0.2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 x14ac:dyDescent="0.2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 x14ac:dyDescent="0.2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 x14ac:dyDescent="0.2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 x14ac:dyDescent="0.2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 x14ac:dyDescent="0.2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 x14ac:dyDescent="0.2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 x14ac:dyDescent="0.2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 x14ac:dyDescent="0.2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 x14ac:dyDescent="0.2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 x14ac:dyDescent="0.2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 x14ac:dyDescent="0.2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 x14ac:dyDescent="0.2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 x14ac:dyDescent="0.2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 x14ac:dyDescent="0.2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 x14ac:dyDescent="0.2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 x14ac:dyDescent="0.2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 x14ac:dyDescent="0.2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 x14ac:dyDescent="0.2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 x14ac:dyDescent="0.2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 x14ac:dyDescent="0.2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 x14ac:dyDescent="0.2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 x14ac:dyDescent="0.2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 x14ac:dyDescent="0.2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 x14ac:dyDescent="0.2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 x14ac:dyDescent="0.2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 x14ac:dyDescent="0.2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 x14ac:dyDescent="0.2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 x14ac:dyDescent="0.2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 x14ac:dyDescent="0.2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 x14ac:dyDescent="0.2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 x14ac:dyDescent="0.2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 x14ac:dyDescent="0.2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 x14ac:dyDescent="0.2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 x14ac:dyDescent="0.2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 x14ac:dyDescent="0.2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 x14ac:dyDescent="0.2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 x14ac:dyDescent="0.2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 x14ac:dyDescent="0.2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 x14ac:dyDescent="0.2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 x14ac:dyDescent="0.2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 x14ac:dyDescent="0.2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 x14ac:dyDescent="0.2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 x14ac:dyDescent="0.2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 x14ac:dyDescent="0.2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 x14ac:dyDescent="0.2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 x14ac:dyDescent="0.2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 x14ac:dyDescent="0.2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 x14ac:dyDescent="0.2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 x14ac:dyDescent="0.2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 x14ac:dyDescent="0.2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 x14ac:dyDescent="0.2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 x14ac:dyDescent="0.2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 x14ac:dyDescent="0.2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 x14ac:dyDescent="0.2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 x14ac:dyDescent="0.2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 x14ac:dyDescent="0.2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 x14ac:dyDescent="0.2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 x14ac:dyDescent="0.2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 x14ac:dyDescent="0.2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 x14ac:dyDescent="0.2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 x14ac:dyDescent="0.2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 x14ac:dyDescent="0.2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 x14ac:dyDescent="0.2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 x14ac:dyDescent="0.2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 x14ac:dyDescent="0.2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 x14ac:dyDescent="0.2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 x14ac:dyDescent="0.2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 x14ac:dyDescent="0.2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 x14ac:dyDescent="0.2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 x14ac:dyDescent="0.2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 x14ac:dyDescent="0.2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 x14ac:dyDescent="0.2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 x14ac:dyDescent="0.2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 x14ac:dyDescent="0.2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 x14ac:dyDescent="0.2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 x14ac:dyDescent="0.2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 x14ac:dyDescent="0.2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 x14ac:dyDescent="0.2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 x14ac:dyDescent="0.2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 x14ac:dyDescent="0.2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 x14ac:dyDescent="0.2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 x14ac:dyDescent="0.2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 x14ac:dyDescent="0.2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 x14ac:dyDescent="0.2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 x14ac:dyDescent="0.2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 x14ac:dyDescent="0.2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 x14ac:dyDescent="0.2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 x14ac:dyDescent="0.2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 x14ac:dyDescent="0.2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 x14ac:dyDescent="0.2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 x14ac:dyDescent="0.2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 x14ac:dyDescent="0.2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 x14ac:dyDescent="0.2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 x14ac:dyDescent="0.2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 x14ac:dyDescent="0.2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 x14ac:dyDescent="0.2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 x14ac:dyDescent="0.2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 x14ac:dyDescent="0.2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 x14ac:dyDescent="0.2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 x14ac:dyDescent="0.2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 x14ac:dyDescent="0.2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 x14ac:dyDescent="0.2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 x14ac:dyDescent="0.2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 x14ac:dyDescent="0.2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 x14ac:dyDescent="0.2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 x14ac:dyDescent="0.2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 x14ac:dyDescent="0.2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 x14ac:dyDescent="0.2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 x14ac:dyDescent="0.2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 x14ac:dyDescent="0.2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 x14ac:dyDescent="0.2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 x14ac:dyDescent="0.2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 x14ac:dyDescent="0.2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 x14ac:dyDescent="0.2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 x14ac:dyDescent="0.2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 x14ac:dyDescent="0.2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 x14ac:dyDescent="0.2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 x14ac:dyDescent="0.2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 x14ac:dyDescent="0.2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 x14ac:dyDescent="0.2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 x14ac:dyDescent="0.2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 x14ac:dyDescent="0.2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 x14ac:dyDescent="0.2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 x14ac:dyDescent="0.2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 x14ac:dyDescent="0.2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 x14ac:dyDescent="0.2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 x14ac:dyDescent="0.2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 x14ac:dyDescent="0.2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 x14ac:dyDescent="0.2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 x14ac:dyDescent="0.2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 x14ac:dyDescent="0.2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 x14ac:dyDescent="0.2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 x14ac:dyDescent="0.2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 x14ac:dyDescent="0.2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 x14ac:dyDescent="0.2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 x14ac:dyDescent="0.2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 x14ac:dyDescent="0.2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 x14ac:dyDescent="0.2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 x14ac:dyDescent="0.2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 x14ac:dyDescent="0.2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 x14ac:dyDescent="0.2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 x14ac:dyDescent="0.2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 x14ac:dyDescent="0.2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 x14ac:dyDescent="0.2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 x14ac:dyDescent="0.2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 x14ac:dyDescent="0.2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 x14ac:dyDescent="0.2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 x14ac:dyDescent="0.2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 x14ac:dyDescent="0.2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 x14ac:dyDescent="0.2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 x14ac:dyDescent="0.2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 x14ac:dyDescent="0.2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 x14ac:dyDescent="0.2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 x14ac:dyDescent="0.2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 x14ac:dyDescent="0.2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 x14ac:dyDescent="0.2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 x14ac:dyDescent="0.2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 x14ac:dyDescent="0.2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 x14ac:dyDescent="0.2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 x14ac:dyDescent="0.2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 x14ac:dyDescent="0.2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 x14ac:dyDescent="0.2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 x14ac:dyDescent="0.2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 x14ac:dyDescent="0.2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 x14ac:dyDescent="0.2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 x14ac:dyDescent="0.2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 x14ac:dyDescent="0.2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 x14ac:dyDescent="0.2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 x14ac:dyDescent="0.2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 x14ac:dyDescent="0.2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 x14ac:dyDescent="0.2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 x14ac:dyDescent="0.2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 x14ac:dyDescent="0.2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 x14ac:dyDescent="0.2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 x14ac:dyDescent="0.2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 x14ac:dyDescent="0.2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 x14ac:dyDescent="0.2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 x14ac:dyDescent="0.2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 x14ac:dyDescent="0.2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 x14ac:dyDescent="0.2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 x14ac:dyDescent="0.2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 x14ac:dyDescent="0.2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 x14ac:dyDescent="0.2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 x14ac:dyDescent="0.2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 x14ac:dyDescent="0.2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 x14ac:dyDescent="0.2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 x14ac:dyDescent="0.2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 x14ac:dyDescent="0.2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 x14ac:dyDescent="0.2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 x14ac:dyDescent="0.2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 x14ac:dyDescent="0.2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 x14ac:dyDescent="0.2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 x14ac:dyDescent="0.2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 x14ac:dyDescent="0.2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 x14ac:dyDescent="0.2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 x14ac:dyDescent="0.2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 x14ac:dyDescent="0.2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 x14ac:dyDescent="0.2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 x14ac:dyDescent="0.2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 x14ac:dyDescent="0.2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 x14ac:dyDescent="0.2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 x14ac:dyDescent="0.2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 x14ac:dyDescent="0.2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 x14ac:dyDescent="0.2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 x14ac:dyDescent="0.2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 x14ac:dyDescent="0.2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 x14ac:dyDescent="0.2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 x14ac:dyDescent="0.2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 x14ac:dyDescent="0.2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 x14ac:dyDescent="0.2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 x14ac:dyDescent="0.2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 x14ac:dyDescent="0.2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 x14ac:dyDescent="0.2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 x14ac:dyDescent="0.2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 x14ac:dyDescent="0.2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 x14ac:dyDescent="0.2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 x14ac:dyDescent="0.2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 x14ac:dyDescent="0.2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 x14ac:dyDescent="0.2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 x14ac:dyDescent="0.2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 x14ac:dyDescent="0.2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 x14ac:dyDescent="0.2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 x14ac:dyDescent="0.2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 x14ac:dyDescent="0.2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 x14ac:dyDescent="0.2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 x14ac:dyDescent="0.2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 x14ac:dyDescent="0.2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 x14ac:dyDescent="0.2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 x14ac:dyDescent="0.2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 x14ac:dyDescent="0.2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 x14ac:dyDescent="0.2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 x14ac:dyDescent="0.2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 x14ac:dyDescent="0.2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 x14ac:dyDescent="0.2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 x14ac:dyDescent="0.2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 x14ac:dyDescent="0.2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 x14ac:dyDescent="0.2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 x14ac:dyDescent="0.2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 x14ac:dyDescent="0.2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 x14ac:dyDescent="0.2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 x14ac:dyDescent="0.2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 x14ac:dyDescent="0.2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 x14ac:dyDescent="0.2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 x14ac:dyDescent="0.2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 x14ac:dyDescent="0.2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 x14ac:dyDescent="0.2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 x14ac:dyDescent="0.2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 x14ac:dyDescent="0.2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 x14ac:dyDescent="0.2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 x14ac:dyDescent="0.2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 x14ac:dyDescent="0.2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 x14ac:dyDescent="0.2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 x14ac:dyDescent="0.2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 x14ac:dyDescent="0.2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 x14ac:dyDescent="0.2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 x14ac:dyDescent="0.2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 x14ac:dyDescent="0.2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 x14ac:dyDescent="0.2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 x14ac:dyDescent="0.2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 x14ac:dyDescent="0.2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 x14ac:dyDescent="0.2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 x14ac:dyDescent="0.2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 x14ac:dyDescent="0.2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 x14ac:dyDescent="0.2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 x14ac:dyDescent="0.2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 x14ac:dyDescent="0.2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 x14ac:dyDescent="0.2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 x14ac:dyDescent="0.2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 x14ac:dyDescent="0.2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 x14ac:dyDescent="0.2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 x14ac:dyDescent="0.2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 x14ac:dyDescent="0.2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 x14ac:dyDescent="0.2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 x14ac:dyDescent="0.2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 x14ac:dyDescent="0.2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 x14ac:dyDescent="0.2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 x14ac:dyDescent="0.2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 x14ac:dyDescent="0.2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 x14ac:dyDescent="0.2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 x14ac:dyDescent="0.2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 x14ac:dyDescent="0.2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 x14ac:dyDescent="0.2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 x14ac:dyDescent="0.2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 x14ac:dyDescent="0.2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 x14ac:dyDescent="0.2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 x14ac:dyDescent="0.2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 x14ac:dyDescent="0.2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 x14ac:dyDescent="0.2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 x14ac:dyDescent="0.2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 x14ac:dyDescent="0.2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 x14ac:dyDescent="0.2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 x14ac:dyDescent="0.2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 x14ac:dyDescent="0.2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 x14ac:dyDescent="0.2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 x14ac:dyDescent="0.2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 x14ac:dyDescent="0.2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 x14ac:dyDescent="0.2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 x14ac:dyDescent="0.2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 x14ac:dyDescent="0.2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 x14ac:dyDescent="0.2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 x14ac:dyDescent="0.2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 x14ac:dyDescent="0.2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 x14ac:dyDescent="0.2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 x14ac:dyDescent="0.2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 x14ac:dyDescent="0.2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 x14ac:dyDescent="0.2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 x14ac:dyDescent="0.2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 x14ac:dyDescent="0.2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 x14ac:dyDescent="0.2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 x14ac:dyDescent="0.2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 x14ac:dyDescent="0.2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 x14ac:dyDescent="0.2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 x14ac:dyDescent="0.2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 x14ac:dyDescent="0.2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 x14ac:dyDescent="0.2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 x14ac:dyDescent="0.2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 x14ac:dyDescent="0.2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 x14ac:dyDescent="0.2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 x14ac:dyDescent="0.2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 x14ac:dyDescent="0.2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 x14ac:dyDescent="0.2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 x14ac:dyDescent="0.2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 x14ac:dyDescent="0.2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 x14ac:dyDescent="0.2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 x14ac:dyDescent="0.2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 x14ac:dyDescent="0.2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 x14ac:dyDescent="0.2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 x14ac:dyDescent="0.2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 x14ac:dyDescent="0.2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 x14ac:dyDescent="0.2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 x14ac:dyDescent="0.2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 x14ac:dyDescent="0.2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 x14ac:dyDescent="0.2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 x14ac:dyDescent="0.2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 x14ac:dyDescent="0.2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 x14ac:dyDescent="0.2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 x14ac:dyDescent="0.2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 x14ac:dyDescent="0.2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 x14ac:dyDescent="0.2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 x14ac:dyDescent="0.2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 x14ac:dyDescent="0.2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 x14ac:dyDescent="0.2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 x14ac:dyDescent="0.2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 x14ac:dyDescent="0.2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 x14ac:dyDescent="0.2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 x14ac:dyDescent="0.2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 x14ac:dyDescent="0.2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 x14ac:dyDescent="0.2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 x14ac:dyDescent="0.2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 x14ac:dyDescent="0.2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 x14ac:dyDescent="0.2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 x14ac:dyDescent="0.2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 x14ac:dyDescent="0.2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 x14ac:dyDescent="0.2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 x14ac:dyDescent="0.2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 x14ac:dyDescent="0.2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 x14ac:dyDescent="0.2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 x14ac:dyDescent="0.2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 x14ac:dyDescent="0.2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 x14ac:dyDescent="0.2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 x14ac:dyDescent="0.2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 x14ac:dyDescent="0.2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 x14ac:dyDescent="0.2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 x14ac:dyDescent="0.2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 x14ac:dyDescent="0.2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 x14ac:dyDescent="0.2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 x14ac:dyDescent="0.2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 x14ac:dyDescent="0.2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 x14ac:dyDescent="0.2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 x14ac:dyDescent="0.2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 x14ac:dyDescent="0.2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 x14ac:dyDescent="0.2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 x14ac:dyDescent="0.2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 x14ac:dyDescent="0.2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 x14ac:dyDescent="0.2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 x14ac:dyDescent="0.2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 x14ac:dyDescent="0.2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 x14ac:dyDescent="0.2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 x14ac:dyDescent="0.2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 x14ac:dyDescent="0.2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 x14ac:dyDescent="0.2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 x14ac:dyDescent="0.2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 x14ac:dyDescent="0.2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 x14ac:dyDescent="0.2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 x14ac:dyDescent="0.2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 x14ac:dyDescent="0.2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 x14ac:dyDescent="0.2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 x14ac:dyDescent="0.2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 x14ac:dyDescent="0.2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 x14ac:dyDescent="0.2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 x14ac:dyDescent="0.2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 x14ac:dyDescent="0.2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 x14ac:dyDescent="0.2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 x14ac:dyDescent="0.2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 x14ac:dyDescent="0.2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 x14ac:dyDescent="0.2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 x14ac:dyDescent="0.2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 x14ac:dyDescent="0.2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 x14ac:dyDescent="0.2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 x14ac:dyDescent="0.2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 x14ac:dyDescent="0.2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 x14ac:dyDescent="0.2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 x14ac:dyDescent="0.2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 x14ac:dyDescent="0.2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 x14ac:dyDescent="0.2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 x14ac:dyDescent="0.2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 x14ac:dyDescent="0.2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 x14ac:dyDescent="0.2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 x14ac:dyDescent="0.2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 x14ac:dyDescent="0.2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 x14ac:dyDescent="0.2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 x14ac:dyDescent="0.2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 x14ac:dyDescent="0.2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 x14ac:dyDescent="0.2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 x14ac:dyDescent="0.2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 x14ac:dyDescent="0.2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 x14ac:dyDescent="0.2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 x14ac:dyDescent="0.2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 x14ac:dyDescent="0.2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 x14ac:dyDescent="0.2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 x14ac:dyDescent="0.2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 x14ac:dyDescent="0.2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 x14ac:dyDescent="0.2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 x14ac:dyDescent="0.2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 x14ac:dyDescent="0.2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 x14ac:dyDescent="0.2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 x14ac:dyDescent="0.2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 x14ac:dyDescent="0.2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 x14ac:dyDescent="0.2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 x14ac:dyDescent="0.2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 x14ac:dyDescent="0.2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 x14ac:dyDescent="0.2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 x14ac:dyDescent="0.2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 x14ac:dyDescent="0.2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 x14ac:dyDescent="0.2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 x14ac:dyDescent="0.2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 x14ac:dyDescent="0.2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 x14ac:dyDescent="0.2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 x14ac:dyDescent="0.2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 x14ac:dyDescent="0.2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 x14ac:dyDescent="0.2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 x14ac:dyDescent="0.2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 x14ac:dyDescent="0.2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 x14ac:dyDescent="0.2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 x14ac:dyDescent="0.2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 x14ac:dyDescent="0.2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 x14ac:dyDescent="0.2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 x14ac:dyDescent="0.2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 x14ac:dyDescent="0.2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 x14ac:dyDescent="0.2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 x14ac:dyDescent="0.2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 x14ac:dyDescent="0.2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 x14ac:dyDescent="0.2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 x14ac:dyDescent="0.2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 x14ac:dyDescent="0.2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 x14ac:dyDescent="0.2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 x14ac:dyDescent="0.2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 x14ac:dyDescent="0.2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 x14ac:dyDescent="0.2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 x14ac:dyDescent="0.2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 x14ac:dyDescent="0.2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 x14ac:dyDescent="0.2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 x14ac:dyDescent="0.2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 x14ac:dyDescent="0.2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 x14ac:dyDescent="0.2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 x14ac:dyDescent="0.2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 x14ac:dyDescent="0.2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 x14ac:dyDescent="0.2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 x14ac:dyDescent="0.2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 x14ac:dyDescent="0.2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 x14ac:dyDescent="0.2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 x14ac:dyDescent="0.2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 x14ac:dyDescent="0.2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 x14ac:dyDescent="0.2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 x14ac:dyDescent="0.2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 x14ac:dyDescent="0.2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 x14ac:dyDescent="0.2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 x14ac:dyDescent="0.2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 x14ac:dyDescent="0.2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 x14ac:dyDescent="0.2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 x14ac:dyDescent="0.2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 x14ac:dyDescent="0.2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 x14ac:dyDescent="0.2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 x14ac:dyDescent="0.2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 x14ac:dyDescent="0.2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 x14ac:dyDescent="0.2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 x14ac:dyDescent="0.2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 x14ac:dyDescent="0.2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 x14ac:dyDescent="0.2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 x14ac:dyDescent="0.2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 x14ac:dyDescent="0.2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 x14ac:dyDescent="0.2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 x14ac:dyDescent="0.2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 x14ac:dyDescent="0.2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 x14ac:dyDescent="0.2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 x14ac:dyDescent="0.2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 x14ac:dyDescent="0.2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 x14ac:dyDescent="0.2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 x14ac:dyDescent="0.2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 x14ac:dyDescent="0.2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 x14ac:dyDescent="0.2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 x14ac:dyDescent="0.2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 x14ac:dyDescent="0.2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 x14ac:dyDescent="0.2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 x14ac:dyDescent="0.2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 x14ac:dyDescent="0.2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 x14ac:dyDescent="0.2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 x14ac:dyDescent="0.2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 x14ac:dyDescent="0.2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 x14ac:dyDescent="0.2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 x14ac:dyDescent="0.2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 x14ac:dyDescent="0.2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 x14ac:dyDescent="0.2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 x14ac:dyDescent="0.2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 x14ac:dyDescent="0.2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 x14ac:dyDescent="0.2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 x14ac:dyDescent="0.2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 x14ac:dyDescent="0.2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 x14ac:dyDescent="0.2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 x14ac:dyDescent="0.2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 x14ac:dyDescent="0.2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 x14ac:dyDescent="0.2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 x14ac:dyDescent="0.2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 x14ac:dyDescent="0.2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 x14ac:dyDescent="0.2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 x14ac:dyDescent="0.2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 x14ac:dyDescent="0.2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 x14ac:dyDescent="0.2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 x14ac:dyDescent="0.2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 x14ac:dyDescent="0.2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 x14ac:dyDescent="0.2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 x14ac:dyDescent="0.2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 x14ac:dyDescent="0.2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 x14ac:dyDescent="0.2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 x14ac:dyDescent="0.2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 x14ac:dyDescent="0.2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 x14ac:dyDescent="0.2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 x14ac:dyDescent="0.2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 x14ac:dyDescent="0.2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 x14ac:dyDescent="0.2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 x14ac:dyDescent="0.2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 x14ac:dyDescent="0.2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 x14ac:dyDescent="0.2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 x14ac:dyDescent="0.2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 x14ac:dyDescent="0.2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 x14ac:dyDescent="0.2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 x14ac:dyDescent="0.2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 x14ac:dyDescent="0.2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 x14ac:dyDescent="0.2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 x14ac:dyDescent="0.2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 x14ac:dyDescent="0.2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14"/>
  <sheetViews>
    <sheetView workbookViewId="0">
      <selection activeCell="G40" sqref="G40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 x14ac:dyDescent="0.25">
      <c r="A3" s="2" t="s">
        <v>33</v>
      </c>
      <c r="B3" s="2" t="s">
        <v>30</v>
      </c>
    </row>
    <row r="4" spans="1:6" x14ac:dyDescent="0.25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 x14ac:dyDescent="0.25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 x14ac:dyDescent="0.25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 x14ac:dyDescent="0.25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 x14ac:dyDescent="0.25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 x14ac:dyDescent="0.25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 x14ac:dyDescent="0.25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 x14ac:dyDescent="0.25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 x14ac:dyDescent="0.25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 x14ac:dyDescent="0.25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 x14ac:dyDescent="0.25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16"/>
  <sheetViews>
    <sheetView workbookViewId="0">
      <selection activeCell="G5" sqref="G5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54</v>
      </c>
    </row>
    <row r="5" spans="1:7" x14ac:dyDescent="0.25">
      <c r="A5" s="3">
        <v>200</v>
      </c>
      <c r="B5" s="4">
        <v>18.308012499999997</v>
      </c>
      <c r="C5" s="4">
        <v>33.266634374999995</v>
      </c>
      <c r="D5" s="4">
        <v>35.436659374999998</v>
      </c>
      <c r="E5" t="str">
        <f>Range2MatlabVector(B5:B13)</f>
        <v>[18,3080125 18,2322875 18,096303125 17,8517578125 17,4529921875 16,8127515625 15,8750375 14,5626109375 10,8863796875]</v>
      </c>
      <c r="F5" t="str">
        <f>Range2MatlabVector(C5:C13)</f>
        <v>[33,266634375 30,6626 28,045846875 25,7609671875 23,4863671875 21,4278859375 19,571753125 17,97715 14,4541625]</v>
      </c>
      <c r="G5" t="str">
        <f>Range2MatlabVector(D5:D13)</f>
        <v>[35,436659375 32,5581203125 29,7654125 27,04733125 24,385521875 21,7613921875 19,204346875 16,67078125 11,5931375]</v>
      </c>
    </row>
    <row r="6" spans="1:7" x14ac:dyDescent="0.25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7" x14ac:dyDescent="0.25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7" x14ac:dyDescent="0.25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7" x14ac:dyDescent="0.25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7" x14ac:dyDescent="0.25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7" x14ac:dyDescent="0.25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7" x14ac:dyDescent="0.25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7" x14ac:dyDescent="0.25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7" x14ac:dyDescent="0.25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  <row r="16" spans="1:7" x14ac:dyDescent="0.25">
      <c r="A16" t="str">
        <f>"SABO12_ISOTriplePlot("&amp;E5&amp;", "&amp;F5&amp;", "&amp;G5&amp;", '"&amp;E4&amp;"');"</f>
        <v>SABO12_ISOTriplePlot([18,3080125 18,2322875 18,096303125 17,8517578125 17,4529921875 16,8127515625 15,8750375 14,5626109375 10,8863796875], [33,266634375 30,6626 28,045846875 25,7609671875 23,4863671875 21,4278859375 19,571753125 17,97715 14,4541625], [35,436659375 32,5581203125 29,7654125 27,04733125 24,385521875 21,7613921875 19,204346875 16,67078125 11,5931375], 'avg_methods_vs_ISO.eps');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11"/>
  <sheetViews>
    <sheetView workbookViewId="0">
      <selection activeCell="J35" sqref="J35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55</v>
      </c>
    </row>
    <row r="5" spans="1:7" x14ac:dyDescent="0.25">
      <c r="A5" s="3">
        <v>3</v>
      </c>
      <c r="B5" s="4">
        <v>16.37002291666667</v>
      </c>
      <c r="C5" s="4">
        <v>26.29123819444445</v>
      </c>
      <c r="D5" s="4">
        <v>24.268086111111113</v>
      </c>
      <c r="E5" t="str">
        <f>Range2MatlabVector(B5:B8)</f>
        <v>[16,3700229166667 16,2850541666667 16,5673458333333 16,5900805555556]</v>
      </c>
      <c r="F5" t="str">
        <f>Range2MatlabVector(C5:C8)</f>
        <v>[26,2912381944445 23,764375 23,1409305555555 22,2049527777778]</v>
      </c>
      <c r="G5" t="str">
        <f>Range2MatlabVector(D5:D8)</f>
        <v>[24,2680861111111 24,2710152777778 24,2652173611111 24,2724381944445]</v>
      </c>
    </row>
    <row r="6" spans="1:7" x14ac:dyDescent="0.25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7" x14ac:dyDescent="0.25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7" x14ac:dyDescent="0.25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7" x14ac:dyDescent="0.25">
      <c r="A9" s="3" t="s">
        <v>31</v>
      </c>
      <c r="B9" s="4">
        <v>16.453125868055544</v>
      </c>
      <c r="C9" s="4">
        <v>23.850374131944463</v>
      </c>
      <c r="D9" s="4">
        <v>24.269189236111124</v>
      </c>
    </row>
    <row r="11" spans="1:7" x14ac:dyDescent="0.25">
      <c r="A11" t="str">
        <f>"SABO12_PSFTriplePlot("&amp;E5&amp;", "&amp;F5&amp;", "&amp;G5&amp;", '"&amp;E4&amp;"');"</f>
        <v>SABO12_PSFTriplePlot([16,3700229166667 16,2850541666667 16,5673458333333 16,5900805555556], [26,2912381944445 23,764375 23,1409305555555 22,2049527777778], [24,2680861111111 24,2710152777778 24,2652173611111 24,2724381944445], 'avg_methods_vs_ISO_psf_size.eps');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9"/>
  <sheetViews>
    <sheetView workbookViewId="0">
      <selection activeCell="B29" sqref="B29"/>
    </sheetView>
  </sheetViews>
  <sheetFormatPr defaultRowHeight="15" x14ac:dyDescent="0.25"/>
  <cols>
    <col min="1" max="1" width="17.42578125" bestFit="1" customWidth="1"/>
    <col min="2" max="2" width="16.28515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34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 x14ac:dyDescent="0.25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 x14ac:dyDescent="0.25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 x14ac:dyDescent="0.25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 x14ac:dyDescent="0.25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 x14ac:dyDescent="0.25">
      <c r="A27" s="5" t="s">
        <v>37</v>
      </c>
      <c r="B27" t="str">
        <f>"iso_tico09_"&amp;B1&amp;"_"&amp;B2</f>
        <v>iso_tico09_tree256_line</v>
      </c>
    </row>
    <row r="28" spans="1:2" x14ac:dyDescent="0.25">
      <c r="A28" s="5" t="s">
        <v>39</v>
      </c>
      <c r="B28" t="str">
        <f>Range2MatlabMatrix(B6:J9)</f>
        <v>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</v>
      </c>
    </row>
    <row r="29" spans="1:2" x14ac:dyDescent="0.25">
      <c r="A29" s="5" t="s">
        <v>38</v>
      </c>
      <c r="B29" t="str">
        <f>B27&amp;" = "&amp;B28&amp;";"</f>
        <v>iso_tico09_tree256_line = 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9"/>
  <sheetViews>
    <sheetView workbookViewId="0">
      <selection activeCell="K18" sqref="K18"/>
    </sheetView>
  </sheetViews>
  <sheetFormatPr defaultRowHeight="15" x14ac:dyDescent="0.25"/>
  <cols>
    <col min="1" max="1" width="18.28515625" bestFit="1" customWidth="1"/>
    <col min="2" max="2" width="16.28515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36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 x14ac:dyDescent="0.25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 x14ac:dyDescent="0.25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 x14ac:dyDescent="0.25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 x14ac:dyDescent="0.25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 x14ac:dyDescent="0.25">
      <c r="A27" s="5" t="s">
        <v>37</v>
      </c>
      <c r="B27" t="str">
        <f>"iso_srou03_"&amp;B1&amp;"_"&amp;B2</f>
        <v>iso_srou03_tree256_line</v>
      </c>
    </row>
    <row r="28" spans="1:2" x14ac:dyDescent="0.25">
      <c r="A28" s="5" t="s">
        <v>39</v>
      </c>
      <c r="B28" t="str">
        <f>Range2MatlabMatrix(B6:J9)</f>
        <v>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</v>
      </c>
    </row>
    <row r="29" spans="1:2" x14ac:dyDescent="0.25">
      <c r="A29" s="5" t="s">
        <v>38</v>
      </c>
      <c r="B29" t="str">
        <f>B27&amp;" = "&amp;B28&amp;";"</f>
        <v>iso_srou03_tree256_line = 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9"/>
  <sheetViews>
    <sheetView workbookViewId="0">
      <selection activeCell="K10" sqref="A1:K10"/>
    </sheetView>
  </sheetViews>
  <sheetFormatPr defaultRowHeight="15" x14ac:dyDescent="0.25"/>
  <cols>
    <col min="1" max="1" width="13.140625" customWidth="1"/>
    <col min="2" max="2" width="16.28515625" bestFit="1" customWidth="1"/>
    <col min="3" max="9" width="8" customWidth="1"/>
    <col min="10" max="10" width="7" customWidth="1"/>
    <col min="11" max="11" width="11.28515625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41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 x14ac:dyDescent="0.25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 x14ac:dyDescent="0.25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 x14ac:dyDescent="0.25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 x14ac:dyDescent="0.25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 x14ac:dyDescent="0.25">
      <c r="A27" s="5" t="s">
        <v>37</v>
      </c>
      <c r="B27" t="str">
        <f>"iso_bm3d_"&amp;B1&amp;"_"&amp;B2</f>
        <v>iso_bm3d_tree256_line</v>
      </c>
    </row>
    <row r="28" spans="1:2" x14ac:dyDescent="0.25">
      <c r="A28" s="5" t="s">
        <v>39</v>
      </c>
      <c r="B28" t="str">
        <f>Range2MatlabMatrix(B6:J9)</f>
        <v>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</v>
      </c>
    </row>
    <row r="29" spans="1:2" x14ac:dyDescent="0.25">
      <c r="A29" s="5" t="s">
        <v>38</v>
      </c>
      <c r="B29" t="str">
        <f>B27&amp;" = "&amp;B28&amp;";"</f>
        <v>iso_bm3d_tree256_line = 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4"/>
  <sheetViews>
    <sheetView workbookViewId="0">
      <selection activeCell="H36" sqref="H36"/>
    </sheetView>
  </sheetViews>
  <sheetFormatPr defaultRowHeight="15" x14ac:dyDescent="0.25"/>
  <cols>
    <col min="1" max="1" width="13.140625" customWidth="1"/>
    <col min="2" max="2" width="23.7109375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  <col min="14" max="14" width="18" customWidth="1"/>
    <col min="15" max="15" width="24.28515625" customWidth="1"/>
    <col min="16" max="17" width="4" customWidth="1"/>
    <col min="18" max="20" width="5" customWidth="1"/>
    <col min="21" max="22" width="6" customWidth="1"/>
    <col min="23" max="23" width="7" customWidth="1"/>
    <col min="24" max="24" width="11.28515625" customWidth="1"/>
  </cols>
  <sheetData>
    <row r="1" spans="1:24" x14ac:dyDescent="0.25">
      <c r="A1" s="2" t="s">
        <v>0</v>
      </c>
      <c r="B1" t="s">
        <v>14</v>
      </c>
      <c r="N1" s="2" t="s">
        <v>0</v>
      </c>
      <c r="O1" t="s">
        <v>14</v>
      </c>
    </row>
    <row r="2" spans="1:24" x14ac:dyDescent="0.25">
      <c r="A2" s="2" t="s">
        <v>1</v>
      </c>
      <c r="B2" t="s">
        <v>17</v>
      </c>
      <c r="N2" s="2" t="s">
        <v>1</v>
      </c>
      <c r="O2" t="s">
        <v>17</v>
      </c>
    </row>
    <row r="4" spans="1:24" x14ac:dyDescent="0.25">
      <c r="A4" s="2" t="s">
        <v>49</v>
      </c>
      <c r="B4" s="2" t="s">
        <v>30</v>
      </c>
      <c r="N4" s="2" t="s">
        <v>50</v>
      </c>
      <c r="O4" s="2" t="s">
        <v>30</v>
      </c>
    </row>
    <row r="5" spans="1:24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  <c r="N5" s="2" t="s">
        <v>32</v>
      </c>
      <c r="O5">
        <v>200</v>
      </c>
      <c r="P5">
        <v>400</v>
      </c>
      <c r="Q5">
        <v>800</v>
      </c>
      <c r="R5">
        <v>1600</v>
      </c>
      <c r="S5">
        <v>3200</v>
      </c>
      <c r="T5">
        <v>6400</v>
      </c>
      <c r="U5">
        <v>12800</v>
      </c>
      <c r="V5">
        <v>25600</v>
      </c>
      <c r="W5">
        <v>102400</v>
      </c>
      <c r="X5" t="s">
        <v>31</v>
      </c>
    </row>
    <row r="6" spans="1:24" x14ac:dyDescent="0.25">
      <c r="A6" s="3">
        <v>3</v>
      </c>
      <c r="B6" s="4">
        <v>230</v>
      </c>
      <c r="C6" s="4">
        <v>217</v>
      </c>
      <c r="D6" s="4">
        <v>86</v>
      </c>
      <c r="E6" s="4">
        <v>83</v>
      </c>
      <c r="F6" s="4">
        <v>79</v>
      </c>
      <c r="G6" s="4">
        <v>75</v>
      </c>
      <c r="H6" s="4">
        <v>73</v>
      </c>
      <c r="I6" s="4">
        <v>72</v>
      </c>
      <c r="J6" s="4">
        <v>110</v>
      </c>
      <c r="K6" s="4">
        <v>230</v>
      </c>
      <c r="N6" s="3">
        <v>3</v>
      </c>
      <c r="O6" s="4">
        <v>96</v>
      </c>
      <c r="P6" s="4">
        <v>91</v>
      </c>
      <c r="Q6" s="4">
        <v>143</v>
      </c>
      <c r="R6" s="4">
        <v>137</v>
      </c>
      <c r="S6" s="4">
        <v>130</v>
      </c>
      <c r="T6" s="4">
        <v>123</v>
      </c>
      <c r="U6" s="4">
        <v>121</v>
      </c>
      <c r="V6" s="4">
        <v>119</v>
      </c>
      <c r="W6" s="4">
        <v>131</v>
      </c>
      <c r="X6" s="4">
        <v>143</v>
      </c>
    </row>
    <row r="7" spans="1:24" x14ac:dyDescent="0.25">
      <c r="A7" s="3">
        <v>7</v>
      </c>
      <c r="B7" s="4">
        <v>230</v>
      </c>
      <c r="C7" s="4">
        <v>218</v>
      </c>
      <c r="D7" s="4">
        <v>206</v>
      </c>
      <c r="E7" s="4">
        <v>195</v>
      </c>
      <c r="F7" s="4">
        <v>184</v>
      </c>
      <c r="G7" s="4">
        <v>173</v>
      </c>
      <c r="H7" s="4">
        <v>162</v>
      </c>
      <c r="I7" s="4">
        <v>65</v>
      </c>
      <c r="J7" s="4">
        <v>129</v>
      </c>
      <c r="K7" s="4">
        <v>230</v>
      </c>
      <c r="N7" s="3">
        <v>7</v>
      </c>
      <c r="O7" s="4">
        <v>96</v>
      </c>
      <c r="P7" s="4">
        <v>91</v>
      </c>
      <c r="Q7" s="4">
        <v>86</v>
      </c>
      <c r="R7" s="4">
        <v>82</v>
      </c>
      <c r="S7" s="4">
        <v>77</v>
      </c>
      <c r="T7" s="4">
        <v>72</v>
      </c>
      <c r="U7" s="4">
        <v>68</v>
      </c>
      <c r="V7" s="4">
        <v>107</v>
      </c>
      <c r="W7" s="4">
        <v>54</v>
      </c>
      <c r="X7" s="4">
        <v>107</v>
      </c>
    </row>
    <row r="8" spans="1:24" x14ac:dyDescent="0.25">
      <c r="A8" s="3">
        <v>15</v>
      </c>
      <c r="B8" s="4">
        <v>230</v>
      </c>
      <c r="C8" s="4">
        <v>218</v>
      </c>
      <c r="D8" s="4">
        <v>206</v>
      </c>
      <c r="E8" s="4">
        <v>195</v>
      </c>
      <c r="F8" s="4">
        <v>184</v>
      </c>
      <c r="G8" s="4">
        <v>173</v>
      </c>
      <c r="H8" s="4">
        <v>162</v>
      </c>
      <c r="I8" s="4">
        <v>152</v>
      </c>
      <c r="J8" s="4">
        <v>129</v>
      </c>
      <c r="K8" s="4">
        <v>230</v>
      </c>
      <c r="N8" s="3">
        <v>15</v>
      </c>
      <c r="O8" s="4">
        <v>96</v>
      </c>
      <c r="P8" s="4">
        <v>91</v>
      </c>
      <c r="Q8" s="4">
        <v>86</v>
      </c>
      <c r="R8" s="4">
        <v>81</v>
      </c>
      <c r="S8" s="4">
        <v>77</v>
      </c>
      <c r="T8" s="4">
        <v>72</v>
      </c>
      <c r="U8" s="4">
        <v>68</v>
      </c>
      <c r="V8" s="4">
        <v>63</v>
      </c>
      <c r="W8" s="4">
        <v>54</v>
      </c>
      <c r="X8" s="4">
        <v>96</v>
      </c>
    </row>
    <row r="9" spans="1:24" x14ac:dyDescent="0.25">
      <c r="A9" s="3">
        <v>31</v>
      </c>
      <c r="B9" s="4">
        <v>230</v>
      </c>
      <c r="C9" s="4">
        <v>218</v>
      </c>
      <c r="D9" s="4">
        <v>206</v>
      </c>
      <c r="E9" s="4">
        <v>195</v>
      </c>
      <c r="F9" s="4">
        <v>184</v>
      </c>
      <c r="G9" s="4">
        <v>173</v>
      </c>
      <c r="H9" s="4">
        <v>162</v>
      </c>
      <c r="I9" s="4">
        <v>152</v>
      </c>
      <c r="J9" s="4">
        <v>129</v>
      </c>
      <c r="K9" s="4">
        <v>230</v>
      </c>
      <c r="N9" s="3">
        <v>31</v>
      </c>
      <c r="O9" s="4">
        <v>96</v>
      </c>
      <c r="P9" s="4">
        <v>91</v>
      </c>
      <c r="Q9" s="4">
        <v>86</v>
      </c>
      <c r="R9" s="4">
        <v>81</v>
      </c>
      <c r="S9" s="4">
        <v>77</v>
      </c>
      <c r="T9" s="4">
        <v>72</v>
      </c>
      <c r="U9" s="4">
        <v>68</v>
      </c>
      <c r="V9" s="4">
        <v>63</v>
      </c>
      <c r="W9" s="4">
        <v>54</v>
      </c>
      <c r="X9" s="4">
        <v>96</v>
      </c>
    </row>
    <row r="10" spans="1:24" x14ac:dyDescent="0.25">
      <c r="A10" s="3" t="s">
        <v>31</v>
      </c>
      <c r="B10" s="4">
        <v>230</v>
      </c>
      <c r="C10" s="4">
        <v>218</v>
      </c>
      <c r="D10" s="4">
        <v>206</v>
      </c>
      <c r="E10" s="4">
        <v>195</v>
      </c>
      <c r="F10" s="4">
        <v>184</v>
      </c>
      <c r="G10" s="4">
        <v>173</v>
      </c>
      <c r="H10" s="4">
        <v>162</v>
      </c>
      <c r="I10" s="4">
        <v>152</v>
      </c>
      <c r="J10" s="4">
        <v>129</v>
      </c>
      <c r="K10" s="4">
        <v>230</v>
      </c>
      <c r="N10" s="3" t="s">
        <v>31</v>
      </c>
      <c r="O10" s="4">
        <v>96</v>
      </c>
      <c r="P10" s="4">
        <v>91</v>
      </c>
      <c r="Q10" s="4">
        <v>143</v>
      </c>
      <c r="R10" s="4">
        <v>137</v>
      </c>
      <c r="S10" s="4">
        <v>130</v>
      </c>
      <c r="T10" s="4">
        <v>123</v>
      </c>
      <c r="U10" s="4">
        <v>121</v>
      </c>
      <c r="V10" s="4">
        <v>119</v>
      </c>
      <c r="W10" s="4">
        <v>131</v>
      </c>
      <c r="X10" s="4">
        <v>143</v>
      </c>
    </row>
    <row r="12" spans="1:24" x14ac:dyDescent="0.25">
      <c r="A12" s="5" t="s">
        <v>37</v>
      </c>
      <c r="B12" t="str">
        <f>"iso_"&amp; B1 &amp;"_"&amp;B2 &amp; "_r"</f>
        <v>iso_lena256_line_r</v>
      </c>
      <c r="N12" s="5" t="s">
        <v>37</v>
      </c>
      <c r="O12" t="str">
        <f>"iso_"&amp; O1 &amp;"_"&amp;O2 &amp; "_g"</f>
        <v>iso_lena256_line_g</v>
      </c>
    </row>
    <row r="13" spans="1:24" x14ac:dyDescent="0.25">
      <c r="A13" s="5" t="s">
        <v>39</v>
      </c>
      <c r="B13" t="str">
        <f>Range2MatlabMatrix(B6:J9)</f>
        <v>[230 217 86 83 79 75 73 72 110; 230 218 206 195 184 173 162 65 129; 230 218 206 195 184 173 162 152 129; 230 218 206 195 184 173 162 152 129]</v>
      </c>
      <c r="C13" t="s">
        <v>51</v>
      </c>
      <c r="N13" s="5" t="s">
        <v>39</v>
      </c>
      <c r="O13" t="str">
        <f>Range2MatlabMatrix(O6:W9)</f>
        <v>[96 91 143 137 130 123 121 119 131; 96 91 86 82 77 72 68 107 54; 96 91 86 81 77 72 68 63 54; 96 91 86 81 77 72 68 63 54]</v>
      </c>
      <c r="P13" t="s">
        <v>51</v>
      </c>
    </row>
    <row r="14" spans="1:24" x14ac:dyDescent="0.25">
      <c r="A14" s="5" t="s">
        <v>38</v>
      </c>
      <c r="B14" t="str">
        <f>B12&amp;" = "&amp;B13&amp;";"</f>
        <v>iso_lena256_line_r = [230 217 86 83 79 75 73 72 110; 230 218 206 195 184 173 162 65 129; 230 218 206 195 184 173 162 152 129; 230 218 206 195 184 173 162 152 129];</v>
      </c>
      <c r="C14" t="s">
        <v>51</v>
      </c>
      <c r="N14" s="5" t="s">
        <v>38</v>
      </c>
      <c r="O14" t="str">
        <f>O12&amp;" = "&amp;O13&amp;";"</f>
        <v>iso_lena256_line_g = [96 91 143 137 130 123 121 119 131; 96 91 86 82 77 72 68 107 54; 96 91 86 81 77 72 68 63 54; 96 91 86 81 77 72 68 63 54];</v>
      </c>
      <c r="P14" t="s">
        <v>51</v>
      </c>
    </row>
    <row r="17" spans="1:24" x14ac:dyDescent="0.25">
      <c r="A17" s="2" t="s">
        <v>0</v>
      </c>
      <c r="B17" t="s">
        <v>14</v>
      </c>
      <c r="N17" s="2" t="s">
        <v>0</v>
      </c>
      <c r="O17" t="s">
        <v>14</v>
      </c>
    </row>
    <row r="18" spans="1:24" x14ac:dyDescent="0.25">
      <c r="A18" s="2" t="s">
        <v>1</v>
      </c>
      <c r="B18" t="s">
        <v>17</v>
      </c>
      <c r="N18" s="2" t="s">
        <v>1</v>
      </c>
      <c r="O18" t="s">
        <v>17</v>
      </c>
    </row>
    <row r="20" spans="1:24" x14ac:dyDescent="0.25">
      <c r="A20" s="2" t="s">
        <v>48</v>
      </c>
      <c r="B20" s="2" t="s">
        <v>30</v>
      </c>
      <c r="N20" s="2" t="s">
        <v>53</v>
      </c>
      <c r="O20" s="2" t="s">
        <v>30</v>
      </c>
    </row>
    <row r="21" spans="1:24" x14ac:dyDescent="0.25">
      <c r="A21" s="2" t="s">
        <v>32</v>
      </c>
      <c r="B21">
        <v>200</v>
      </c>
      <c r="C21">
        <v>400</v>
      </c>
      <c r="D21">
        <v>800</v>
      </c>
      <c r="E21">
        <v>1600</v>
      </c>
      <c r="F21">
        <v>3200</v>
      </c>
      <c r="G21">
        <v>6400</v>
      </c>
      <c r="H21">
        <v>12800</v>
      </c>
      <c r="I21">
        <v>25600</v>
      </c>
      <c r="J21">
        <v>102400</v>
      </c>
      <c r="K21" t="s">
        <v>31</v>
      </c>
      <c r="N21" s="2" t="s">
        <v>32</v>
      </c>
      <c r="O21">
        <v>200</v>
      </c>
      <c r="P21">
        <v>400</v>
      </c>
      <c r="Q21">
        <v>800</v>
      </c>
      <c r="R21">
        <v>1600</v>
      </c>
      <c r="S21">
        <v>3200</v>
      </c>
      <c r="T21">
        <v>6400</v>
      </c>
      <c r="U21">
        <v>12800</v>
      </c>
      <c r="V21">
        <v>25600</v>
      </c>
      <c r="W21">
        <v>102400</v>
      </c>
      <c r="X21" t="s">
        <v>31</v>
      </c>
    </row>
    <row r="22" spans="1:24" x14ac:dyDescent="0.25">
      <c r="A22" s="3">
        <v>3</v>
      </c>
      <c r="B22" s="4">
        <v>93</v>
      </c>
      <c r="C22" s="4">
        <v>88</v>
      </c>
      <c r="D22" s="4">
        <v>207</v>
      </c>
      <c r="E22" s="4">
        <v>199</v>
      </c>
      <c r="F22" s="4">
        <v>189</v>
      </c>
      <c r="G22" s="4">
        <v>179</v>
      </c>
      <c r="H22" s="4">
        <v>176</v>
      </c>
      <c r="I22" s="4">
        <v>172</v>
      </c>
      <c r="J22" s="4">
        <v>63</v>
      </c>
      <c r="K22" s="4">
        <v>207</v>
      </c>
      <c r="N22" s="3">
        <v>3</v>
      </c>
      <c r="O22" s="4">
        <v>1</v>
      </c>
      <c r="P22" s="4">
        <v>1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2</v>
      </c>
      <c r="X22" s="4">
        <v>3</v>
      </c>
    </row>
    <row r="23" spans="1:24" x14ac:dyDescent="0.25">
      <c r="A23" s="3">
        <v>7</v>
      </c>
      <c r="B23" s="4">
        <v>94</v>
      </c>
      <c r="C23" s="4">
        <v>88</v>
      </c>
      <c r="D23" s="4">
        <v>84</v>
      </c>
      <c r="E23" s="4">
        <v>79</v>
      </c>
      <c r="F23" s="4">
        <v>75</v>
      </c>
      <c r="G23" s="4">
        <v>70</v>
      </c>
      <c r="H23" s="4">
        <v>66</v>
      </c>
      <c r="I23" s="4">
        <v>155</v>
      </c>
      <c r="J23" s="4">
        <v>52</v>
      </c>
      <c r="K23" s="4">
        <v>155</v>
      </c>
      <c r="N23" s="3">
        <v>7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3</v>
      </c>
      <c r="W23" s="4">
        <v>1</v>
      </c>
      <c r="X23" s="4">
        <v>3</v>
      </c>
    </row>
    <row r="24" spans="1:24" x14ac:dyDescent="0.25">
      <c r="A24" s="3">
        <v>15</v>
      </c>
      <c r="B24" s="4">
        <v>93</v>
      </c>
      <c r="C24" s="4">
        <v>88</v>
      </c>
      <c r="D24" s="4">
        <v>84</v>
      </c>
      <c r="E24" s="4">
        <v>79</v>
      </c>
      <c r="F24" s="4">
        <v>75</v>
      </c>
      <c r="G24" s="4">
        <v>70</v>
      </c>
      <c r="H24" s="4">
        <v>66</v>
      </c>
      <c r="I24" s="4">
        <v>62</v>
      </c>
      <c r="J24" s="4">
        <v>52</v>
      </c>
      <c r="K24" s="4">
        <v>93</v>
      </c>
      <c r="N24" s="3">
        <v>15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</row>
    <row r="25" spans="1:24" x14ac:dyDescent="0.25">
      <c r="A25" s="3">
        <v>31</v>
      </c>
      <c r="B25" s="4">
        <v>93</v>
      </c>
      <c r="C25" s="4">
        <v>88</v>
      </c>
      <c r="D25" s="4">
        <v>84</v>
      </c>
      <c r="E25" s="4">
        <v>79</v>
      </c>
      <c r="F25" s="4">
        <v>75</v>
      </c>
      <c r="G25" s="4">
        <v>70</v>
      </c>
      <c r="H25" s="4">
        <v>66</v>
      </c>
      <c r="I25" s="4">
        <v>62</v>
      </c>
      <c r="J25" s="4">
        <v>52</v>
      </c>
      <c r="K25" s="4">
        <v>93</v>
      </c>
      <c r="N25" s="3">
        <v>31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</row>
    <row r="26" spans="1:24" x14ac:dyDescent="0.25">
      <c r="A26" s="3" t="s">
        <v>31</v>
      </c>
      <c r="B26" s="4">
        <v>94</v>
      </c>
      <c r="C26" s="4">
        <v>88</v>
      </c>
      <c r="D26" s="4">
        <v>207</v>
      </c>
      <c r="E26" s="4">
        <v>199</v>
      </c>
      <c r="F26" s="4">
        <v>189</v>
      </c>
      <c r="G26" s="4">
        <v>179</v>
      </c>
      <c r="H26" s="4">
        <v>176</v>
      </c>
      <c r="I26" s="4">
        <v>172</v>
      </c>
      <c r="J26" s="4">
        <v>63</v>
      </c>
      <c r="K26" s="4">
        <v>207</v>
      </c>
      <c r="N26" s="3" t="s">
        <v>31</v>
      </c>
      <c r="O26" s="4">
        <v>1</v>
      </c>
      <c r="P26" s="4">
        <v>1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2</v>
      </c>
      <c r="X26" s="4">
        <v>3</v>
      </c>
    </row>
    <row r="28" spans="1:24" x14ac:dyDescent="0.25">
      <c r="A28" s="5" t="s">
        <v>37</v>
      </c>
      <c r="B28" t="str">
        <f>"iso_"&amp; B17 &amp;"_"&amp;B18&amp;"_b"</f>
        <v>iso_lena256_line_b</v>
      </c>
      <c r="N28" s="5" t="s">
        <v>37</v>
      </c>
      <c r="O28" t="str">
        <f>"iso_"&amp; O17 &amp;"_"&amp;O18</f>
        <v>iso_lena256_line</v>
      </c>
    </row>
    <row r="29" spans="1:24" x14ac:dyDescent="0.25">
      <c r="A29" s="5" t="s">
        <v>39</v>
      </c>
      <c r="B29" t="str">
        <f>Range2MatlabMatrix(B22:J25)</f>
        <v>[93 88 207 199 189 179 176 172 63; 94 88 84 79 75 70 66 155 52; 93 88 84 79 75 70 66 62 52; 93 88 84 79 75 70 66 62 52]</v>
      </c>
      <c r="C29" t="s">
        <v>51</v>
      </c>
      <c r="N29" s="5" t="s">
        <v>39</v>
      </c>
      <c r="O29" t="str">
        <f>Range2MatlabMatrix(O22:W25)</f>
        <v>[1 1 3 3 3 3 3 3 2; 1 1 1 1 1 1 1 3 1; 1 1 1 1 1 1 1 1 1; 1 1 1 1 1 1 1 1 1]</v>
      </c>
      <c r="P29" t="s">
        <v>51</v>
      </c>
    </row>
    <row r="30" spans="1:24" x14ac:dyDescent="0.25">
      <c r="A30" s="5" t="s">
        <v>38</v>
      </c>
      <c r="B30" t="str">
        <f>B28&amp;" = "&amp;B29&amp;";"</f>
        <v>iso_lena256_line_b = [93 88 207 199 189 179 176 172 63; 94 88 84 79 75 70 66 155 52; 93 88 84 79 75 70 66 62 52; 93 88 84 79 75 70 66 62 52];</v>
      </c>
      <c r="C30" t="s">
        <v>51</v>
      </c>
      <c r="N30" s="6" t="s">
        <v>38</v>
      </c>
      <c r="O30" t="str">
        <f>O28&amp;" = "&amp;O29&amp;";"</f>
        <v>iso_lena256_line = [1 1 3 3 3 3 3 3 2; 1 1 1 1 1 1 1 3 1; 1 1 1 1 1 1 1 1 1; 1 1 1 1 1 1 1 1 1];</v>
      </c>
    </row>
    <row r="32" spans="1:24" x14ac:dyDescent="0.25">
      <c r="C32" t="s">
        <v>51</v>
      </c>
    </row>
    <row r="34" spans="1:2" x14ac:dyDescent="0.25">
      <c r="A34" s="1" t="s">
        <v>52</v>
      </c>
      <c r="B34" t="str">
        <f>B14&amp;" "&amp;O14&amp;" "&amp;B30</f>
        <v>iso_lena256_line_r = [230 217 86 83 79 75 73 72 110; 230 218 206 195 184 173 162 65 129; 230 218 206 195 184 173 162 152 129; 230 218 206 195 184 173 162 152 129]; iso_lena256_line_g = [96 91 143 137 130 123 121 119 131; 96 91 86 82 77 72 68 107 54; 96 91 86 81 77 72 68 63 54; 96 91 86 81 77 72 68 63 54]; iso_lena256_line_b = [93 88 207 199 189 179 176 172 63; 94 88 84 79 75 70 66 155 52; 93 88 84 79 75 70 66 62 52; 93 88 84 79 75 70 66 62 52];</v>
      </c>
    </row>
  </sheetData>
  <pageMargins left="0.7" right="0.7" top="0.75" bottom="0.75" header="0.3" footer="0.3"/>
  <pageSetup orientation="portrait" horizontalDpi="180" verticalDpi="180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workbookViewId="0">
      <selection activeCell="G27" sqref="G27"/>
    </sheetView>
  </sheetViews>
  <sheetFormatPr defaultRowHeight="15" x14ac:dyDescent="0.25"/>
  <sheetData>
    <row r="1" spans="1:10" x14ac:dyDescent="0.25">
      <c r="A1" s="8"/>
      <c r="B1" s="9">
        <v>3</v>
      </c>
      <c r="C1" s="9">
        <v>7</v>
      </c>
      <c r="D1" s="9">
        <v>15</v>
      </c>
      <c r="E1" s="9">
        <v>31</v>
      </c>
      <c r="F1" s="8"/>
      <c r="G1" s="8"/>
      <c r="H1" s="8"/>
      <c r="I1" s="8"/>
      <c r="J1" s="8"/>
    </row>
    <row r="2" spans="1:10" x14ac:dyDescent="0.25">
      <c r="A2" s="9">
        <v>200</v>
      </c>
      <c r="B2" t="str">
        <f>COUNTIFS('report COMPLETE ISO DATA'!$E:$E,$A2,'report COMPLETE ISO DATA'!$C:$C,B$1,'report COMPLETE ISO DATA'!$P:$P,"TICO09") &amp; " - " &amp; COUNTIFS('report COMPLETE ISO DATA'!$E:$E,$A2,'report COMPLETE ISO DATA'!$C:$C,B$1,'report COMPLETE ISO DATA'!$P:$P,"SROU03") &amp; " - " &amp; COUNTIFS('report COMPLETE ISO DATA'!$E:$E,$A2,'report COMPLETE ISO DATA'!$C:$C,B$1,'report COMPLETE ISO DATA'!$P:$P,"BM3D")</f>
        <v>0 - 0 - 16</v>
      </c>
      <c r="C2" t="str">
        <f>COUNTIFS('report COMPLETE ISO DATA'!$E:$E,$A2,'report COMPLETE ISO DATA'!$C:$C,C$1,'report COMPLETE ISO DATA'!$P:$P,"TICO09") &amp; " - " &amp; COUNTIFS('report COMPLETE ISO DATA'!$E:$E,$A2,'report COMPLETE ISO DATA'!$C:$C,C$1,'report COMPLETE ISO DATA'!$P:$P,"SROU03") &amp; " - " &amp; COUNTIFS('report COMPLETE ISO DATA'!$E:$E,$A2,'report COMPLETE ISO DATA'!$C:$C,C$1,'report COMPLETE ISO DATA'!$P:$P,"BM3D")</f>
        <v>0 - 0 - 16</v>
      </c>
      <c r="D2" t="str">
        <f>COUNTIFS('report COMPLETE ISO DATA'!$E:$E,$A2,'report COMPLETE ISO DATA'!$C:$C,D$1,'report COMPLETE ISO DATA'!$P:$P,"TICO09") &amp; " - " &amp; COUNTIFS('report COMPLETE ISO DATA'!$E:$E,$A2,'report COMPLETE ISO DATA'!$C:$C,D$1,'report COMPLETE ISO DATA'!$P:$P,"SROU03") &amp; " - " &amp; COUNTIFS('report COMPLETE ISO DATA'!$E:$E,$A2,'report COMPLETE ISO DATA'!$C:$C,D$1,'report COMPLETE ISO DATA'!$P:$P,"BM3D")</f>
        <v>0 - 0 - 16</v>
      </c>
      <c r="E2" t="str">
        <f>COUNTIFS('report COMPLETE ISO DATA'!$E:$E,$A2,'report COMPLETE ISO DATA'!$C:$C,E$1,'report COMPLETE ISO DATA'!$P:$P,"TICO09") &amp; " - " &amp; COUNTIFS('report COMPLETE ISO DATA'!$E:$E,$A2,'report COMPLETE ISO DATA'!$C:$C,E$1,'report COMPLETE ISO DATA'!$P:$P,"SROU03") &amp; " - " &amp; COUNTIFS('report COMPLETE ISO DATA'!$E:$E,$A2,'report COMPLETE ISO DATA'!$C:$C,E$1,'report COMPLETE ISO DATA'!$P:$P,"BM3D")</f>
        <v>0 - 0 - 16</v>
      </c>
    </row>
    <row r="3" spans="1:10" x14ac:dyDescent="0.25">
      <c r="A3" s="9">
        <v>400</v>
      </c>
      <c r="B3" t="str">
        <f>COUNTIFS('report COMPLETE ISO DATA'!$E:$E,$A3,'report COMPLETE ISO DATA'!$C:$C,B$1,'report COMPLETE ISO DATA'!$P:$P,"TICO09") &amp; " - " &amp; COUNTIFS('report COMPLETE ISO DATA'!$E:$E,$A3,'report COMPLETE ISO DATA'!$C:$C,B$1,'report COMPLETE ISO DATA'!$P:$P,"SROU03") &amp; " - " &amp; COUNTIFS('report COMPLETE ISO DATA'!$E:$E,$A3,'report COMPLETE ISO DATA'!$C:$C,B$1,'report COMPLETE ISO DATA'!$P:$P,"BM3D")</f>
        <v>0 - 3 - 13</v>
      </c>
      <c r="C3" t="str">
        <f>COUNTIFS('report COMPLETE ISO DATA'!$E:$E,$A3,'report COMPLETE ISO DATA'!$C:$C,C$1,'report COMPLETE ISO DATA'!$P:$P,"TICO09") &amp; " - " &amp; COUNTIFS('report COMPLETE ISO DATA'!$E:$E,$A3,'report COMPLETE ISO DATA'!$C:$C,C$1,'report COMPLETE ISO DATA'!$P:$P,"SROU03") &amp; " - " &amp; COUNTIFS('report COMPLETE ISO DATA'!$E:$E,$A3,'report COMPLETE ISO DATA'!$C:$C,C$1,'report COMPLETE ISO DATA'!$P:$P,"BM3D")</f>
        <v>0 - 0 - 16</v>
      </c>
      <c r="D3" t="str">
        <f>COUNTIFS('report COMPLETE ISO DATA'!$E:$E,$A3,'report COMPLETE ISO DATA'!$C:$C,D$1,'report COMPLETE ISO DATA'!$P:$P,"TICO09") &amp; " - " &amp; COUNTIFS('report COMPLETE ISO DATA'!$E:$E,$A3,'report COMPLETE ISO DATA'!$C:$C,D$1,'report COMPLETE ISO DATA'!$P:$P,"SROU03") &amp; " - " &amp; COUNTIFS('report COMPLETE ISO DATA'!$E:$E,$A3,'report COMPLETE ISO DATA'!$C:$C,D$1,'report COMPLETE ISO DATA'!$P:$P,"BM3D")</f>
        <v>0 - 0 - 16</v>
      </c>
      <c r="E3" t="str">
        <f>COUNTIFS('report COMPLETE ISO DATA'!$E:$E,$A3,'report COMPLETE ISO DATA'!$C:$C,E$1,'report COMPLETE ISO DATA'!$P:$P,"TICO09") &amp; " - " &amp; COUNTIFS('report COMPLETE ISO DATA'!$E:$E,$A3,'report COMPLETE ISO DATA'!$C:$C,E$1,'report COMPLETE ISO DATA'!$P:$P,"SROU03") &amp; " - " &amp; COUNTIFS('report COMPLETE ISO DATA'!$E:$E,$A3,'report COMPLETE ISO DATA'!$C:$C,E$1,'report COMPLETE ISO DATA'!$P:$P,"BM3D")</f>
        <v>0 - 0 - 16</v>
      </c>
    </row>
    <row r="4" spans="1:10" x14ac:dyDescent="0.25">
      <c r="A4" s="9">
        <v>800</v>
      </c>
      <c r="B4" t="str">
        <f>COUNTIFS('report COMPLETE ISO DATA'!$E:$E,$A4,'report COMPLETE ISO DATA'!$C:$C,B$1,'report COMPLETE ISO DATA'!$P:$P,"TICO09") &amp; " - " &amp; COUNTIFS('report COMPLETE ISO DATA'!$E:$E,$A4,'report COMPLETE ISO DATA'!$C:$C,B$1,'report COMPLETE ISO DATA'!$P:$P,"SROU03") &amp; " - " &amp; COUNTIFS('report COMPLETE ISO DATA'!$E:$E,$A4,'report COMPLETE ISO DATA'!$C:$C,B$1,'report COMPLETE ISO DATA'!$P:$P,"BM3D")</f>
        <v>0 - 8 - 8</v>
      </c>
      <c r="C4" t="str">
        <f>COUNTIFS('report COMPLETE ISO DATA'!$E:$E,$A4,'report COMPLETE ISO DATA'!$C:$C,C$1,'report COMPLETE ISO DATA'!$P:$P,"TICO09") &amp; " - " &amp; COUNTIFS('report COMPLETE ISO DATA'!$E:$E,$A4,'report COMPLETE ISO DATA'!$C:$C,C$1,'report COMPLETE ISO DATA'!$P:$P,"SROU03") &amp; " - " &amp; COUNTIFS('report COMPLETE ISO DATA'!$E:$E,$A4,'report COMPLETE ISO DATA'!$C:$C,C$1,'report COMPLETE ISO DATA'!$P:$P,"BM3D")</f>
        <v>0 - 0 - 16</v>
      </c>
      <c r="D4" t="str">
        <f>COUNTIFS('report COMPLETE ISO DATA'!$E:$E,$A4,'report COMPLETE ISO DATA'!$C:$C,D$1,'report COMPLETE ISO DATA'!$P:$P,"TICO09") &amp; " - " &amp; COUNTIFS('report COMPLETE ISO DATA'!$E:$E,$A4,'report COMPLETE ISO DATA'!$C:$C,D$1,'report COMPLETE ISO DATA'!$P:$P,"SROU03") &amp; " - " &amp; COUNTIFS('report COMPLETE ISO DATA'!$E:$E,$A4,'report COMPLETE ISO DATA'!$C:$C,D$1,'report COMPLETE ISO DATA'!$P:$P,"BM3D")</f>
        <v>0 - 0 - 16</v>
      </c>
      <c r="E4" t="str">
        <f>COUNTIFS('report COMPLETE ISO DATA'!$E:$E,$A4,'report COMPLETE ISO DATA'!$C:$C,E$1,'report COMPLETE ISO DATA'!$P:$P,"TICO09") &amp; " - " &amp; COUNTIFS('report COMPLETE ISO DATA'!$E:$E,$A4,'report COMPLETE ISO DATA'!$C:$C,E$1,'report COMPLETE ISO DATA'!$P:$P,"SROU03") &amp; " - " &amp; COUNTIFS('report COMPLETE ISO DATA'!$E:$E,$A4,'report COMPLETE ISO DATA'!$C:$C,E$1,'report COMPLETE ISO DATA'!$P:$P,"BM3D")</f>
        <v>0 - 0 - 16</v>
      </c>
    </row>
    <row r="5" spans="1:10" x14ac:dyDescent="0.25">
      <c r="A5" s="9">
        <v>1600</v>
      </c>
      <c r="B5" t="str">
        <f>COUNTIFS('report COMPLETE ISO DATA'!$E:$E,$A5,'report COMPLETE ISO DATA'!$C:$C,B$1,'report COMPLETE ISO DATA'!$P:$P,"TICO09") &amp; " - " &amp; COUNTIFS('report COMPLETE ISO DATA'!$E:$E,$A5,'report COMPLETE ISO DATA'!$C:$C,B$1,'report COMPLETE ISO DATA'!$P:$P,"SROU03") &amp; " - " &amp; COUNTIFS('report COMPLETE ISO DATA'!$E:$E,$A5,'report COMPLETE ISO DATA'!$C:$C,B$1,'report COMPLETE ISO DATA'!$P:$P,"BM3D")</f>
        <v>0 - 15 - 1</v>
      </c>
      <c r="C5" t="str">
        <f>COUNTIFS('report COMPLETE ISO DATA'!$E:$E,$A5,'report COMPLETE ISO DATA'!$C:$C,C$1,'report COMPLETE ISO DATA'!$P:$P,"TICO09") &amp; " - " &amp; COUNTIFS('report COMPLETE ISO DATA'!$E:$E,$A5,'report COMPLETE ISO DATA'!$C:$C,C$1,'report COMPLETE ISO DATA'!$P:$P,"SROU03") &amp; " - " &amp; COUNTIFS('report COMPLETE ISO DATA'!$E:$E,$A5,'report COMPLETE ISO DATA'!$C:$C,C$1,'report COMPLETE ISO DATA'!$P:$P,"BM3D")</f>
        <v>0 - 0 - 16</v>
      </c>
      <c r="D5" t="str">
        <f>COUNTIFS('report COMPLETE ISO DATA'!$E:$E,$A5,'report COMPLETE ISO DATA'!$C:$C,D$1,'report COMPLETE ISO DATA'!$P:$P,"TICO09") &amp; " - " &amp; COUNTIFS('report COMPLETE ISO DATA'!$E:$E,$A5,'report COMPLETE ISO DATA'!$C:$C,D$1,'report COMPLETE ISO DATA'!$P:$P,"SROU03") &amp; " - " &amp; COUNTIFS('report COMPLETE ISO DATA'!$E:$E,$A5,'report COMPLETE ISO DATA'!$C:$C,D$1,'report COMPLETE ISO DATA'!$P:$P,"BM3D")</f>
        <v>0 - 0 - 16</v>
      </c>
      <c r="E5" t="str">
        <f>COUNTIFS('report COMPLETE ISO DATA'!$E:$E,$A5,'report COMPLETE ISO DATA'!$C:$C,E$1,'report COMPLETE ISO DATA'!$P:$P,"TICO09") &amp; " - " &amp; COUNTIFS('report COMPLETE ISO DATA'!$E:$E,$A5,'report COMPLETE ISO DATA'!$C:$C,E$1,'report COMPLETE ISO DATA'!$P:$P,"SROU03") &amp; " - " &amp; COUNTIFS('report COMPLETE ISO DATA'!$E:$E,$A5,'report COMPLETE ISO DATA'!$C:$C,E$1,'report COMPLETE ISO DATA'!$P:$P,"BM3D")</f>
        <v>0 - 0 - 16</v>
      </c>
    </row>
    <row r="6" spans="1:10" x14ac:dyDescent="0.25">
      <c r="A6" s="9">
        <v>3200</v>
      </c>
      <c r="B6" t="str">
        <f>COUNTIFS('report COMPLETE ISO DATA'!$E:$E,$A6,'report COMPLETE ISO DATA'!$C:$C,B$1,'report COMPLETE ISO DATA'!$P:$P,"TICO09") &amp; " - " &amp; COUNTIFS('report COMPLETE ISO DATA'!$E:$E,$A6,'report COMPLETE ISO DATA'!$C:$C,B$1,'report COMPLETE ISO DATA'!$P:$P,"SROU03") &amp; " - " &amp; COUNTIFS('report COMPLETE ISO DATA'!$E:$E,$A6,'report COMPLETE ISO DATA'!$C:$C,B$1,'report COMPLETE ISO DATA'!$P:$P,"BM3D")</f>
        <v>0 - 15 - 1</v>
      </c>
      <c r="C6" t="str">
        <f>COUNTIFS('report COMPLETE ISO DATA'!$E:$E,$A6,'report COMPLETE ISO DATA'!$C:$C,C$1,'report COMPLETE ISO DATA'!$P:$P,"TICO09") &amp; " - " &amp; COUNTIFS('report COMPLETE ISO DATA'!$E:$E,$A6,'report COMPLETE ISO DATA'!$C:$C,C$1,'report COMPLETE ISO DATA'!$P:$P,"SROU03") &amp; " - " &amp; COUNTIFS('report COMPLETE ISO DATA'!$E:$E,$A6,'report COMPLETE ISO DATA'!$C:$C,C$1,'report COMPLETE ISO DATA'!$P:$P,"BM3D")</f>
        <v>0 - 0 - 16</v>
      </c>
      <c r="D6" t="str">
        <f>COUNTIFS('report COMPLETE ISO DATA'!$E:$E,$A6,'report COMPLETE ISO DATA'!$C:$C,D$1,'report COMPLETE ISO DATA'!$P:$P,"TICO09") &amp; " - " &amp; COUNTIFS('report COMPLETE ISO DATA'!$E:$E,$A6,'report COMPLETE ISO DATA'!$C:$C,D$1,'report COMPLETE ISO DATA'!$P:$P,"SROU03") &amp; " - " &amp; COUNTIFS('report COMPLETE ISO DATA'!$E:$E,$A6,'report COMPLETE ISO DATA'!$C:$C,D$1,'report COMPLETE ISO DATA'!$P:$P,"BM3D")</f>
        <v>0 - 0 - 16</v>
      </c>
      <c r="E6" t="str">
        <f>COUNTIFS('report COMPLETE ISO DATA'!$E:$E,$A6,'report COMPLETE ISO DATA'!$C:$C,E$1,'report COMPLETE ISO DATA'!$P:$P,"TICO09") &amp; " - " &amp; COUNTIFS('report COMPLETE ISO DATA'!$E:$E,$A6,'report COMPLETE ISO DATA'!$C:$C,E$1,'report COMPLETE ISO DATA'!$P:$P,"SROU03") &amp; " - " &amp; COUNTIFS('report COMPLETE ISO DATA'!$E:$E,$A6,'report COMPLETE ISO DATA'!$C:$C,E$1,'report COMPLETE ISO DATA'!$P:$P,"BM3D")</f>
        <v>0 - 0 - 16</v>
      </c>
    </row>
    <row r="7" spans="1:10" x14ac:dyDescent="0.25">
      <c r="A7" s="9">
        <v>6400</v>
      </c>
      <c r="B7" t="str">
        <f>COUNTIFS('report COMPLETE ISO DATA'!$E:$E,$A7,'report COMPLETE ISO DATA'!$C:$C,B$1,'report COMPLETE ISO DATA'!$P:$P,"TICO09") &amp; " - " &amp; COUNTIFS('report COMPLETE ISO DATA'!$E:$E,$A7,'report COMPLETE ISO DATA'!$C:$C,B$1,'report COMPLETE ISO DATA'!$P:$P,"SROU03") &amp; " - " &amp; COUNTIFS('report COMPLETE ISO DATA'!$E:$E,$A7,'report COMPLETE ISO DATA'!$C:$C,B$1,'report COMPLETE ISO DATA'!$P:$P,"BM3D")</f>
        <v>0 - 16 - 0</v>
      </c>
      <c r="C7" t="str">
        <f>COUNTIFS('report COMPLETE ISO DATA'!$E:$E,$A7,'report COMPLETE ISO DATA'!$C:$C,C$1,'report COMPLETE ISO DATA'!$P:$P,"TICO09") &amp; " - " &amp; COUNTIFS('report COMPLETE ISO DATA'!$E:$E,$A7,'report COMPLETE ISO DATA'!$C:$C,C$1,'report COMPLETE ISO DATA'!$P:$P,"SROU03") &amp; " - " &amp; COUNTIFS('report COMPLETE ISO DATA'!$E:$E,$A7,'report COMPLETE ISO DATA'!$C:$C,C$1,'report COMPLETE ISO DATA'!$P:$P,"BM3D")</f>
        <v>0 - 2 - 14</v>
      </c>
      <c r="D7" t="str">
        <f>COUNTIFS('report COMPLETE ISO DATA'!$E:$E,$A7,'report COMPLETE ISO DATA'!$C:$C,D$1,'report COMPLETE ISO DATA'!$P:$P,"TICO09") &amp; " - " &amp; COUNTIFS('report COMPLETE ISO DATA'!$E:$E,$A7,'report COMPLETE ISO DATA'!$C:$C,D$1,'report COMPLETE ISO DATA'!$P:$P,"SROU03") &amp; " - " &amp; COUNTIFS('report COMPLETE ISO DATA'!$E:$E,$A7,'report COMPLETE ISO DATA'!$C:$C,D$1,'report COMPLETE ISO DATA'!$P:$P,"BM3D")</f>
        <v>0 - 0 - 16</v>
      </c>
      <c r="E7" t="str">
        <f>COUNTIFS('report COMPLETE ISO DATA'!$E:$E,$A7,'report COMPLETE ISO DATA'!$C:$C,E$1,'report COMPLETE ISO DATA'!$P:$P,"TICO09") &amp; " - " &amp; COUNTIFS('report COMPLETE ISO DATA'!$E:$E,$A7,'report COMPLETE ISO DATA'!$C:$C,E$1,'report COMPLETE ISO DATA'!$P:$P,"SROU03") &amp; " - " &amp; COUNTIFS('report COMPLETE ISO DATA'!$E:$E,$A7,'report COMPLETE ISO DATA'!$C:$C,E$1,'report COMPLETE ISO DATA'!$P:$P,"BM3D")</f>
        <v>0 - 0 - 16</v>
      </c>
    </row>
    <row r="8" spans="1:10" x14ac:dyDescent="0.25">
      <c r="A8" s="9">
        <v>12800</v>
      </c>
      <c r="B8" t="str">
        <f>COUNTIFS('report COMPLETE ISO DATA'!$E:$E,$A8,'report COMPLETE ISO DATA'!$C:$C,B$1,'report COMPLETE ISO DATA'!$P:$P,"TICO09") &amp; " - " &amp; COUNTIFS('report COMPLETE ISO DATA'!$E:$E,$A8,'report COMPLETE ISO DATA'!$C:$C,B$1,'report COMPLETE ISO DATA'!$P:$P,"SROU03") &amp; " - " &amp; COUNTIFS('report COMPLETE ISO DATA'!$E:$E,$A8,'report COMPLETE ISO DATA'!$C:$C,B$1,'report COMPLETE ISO DATA'!$P:$P,"BM3D")</f>
        <v>0 - 16 - 0</v>
      </c>
      <c r="C8" t="str">
        <f>COUNTIFS('report COMPLETE ISO DATA'!$E:$E,$A8,'report COMPLETE ISO DATA'!$C:$C,C$1,'report COMPLETE ISO DATA'!$P:$P,"TICO09") &amp; " - " &amp; COUNTIFS('report COMPLETE ISO DATA'!$E:$E,$A8,'report COMPLETE ISO DATA'!$C:$C,C$1,'report COMPLETE ISO DATA'!$P:$P,"SROU03") &amp; " - " &amp; COUNTIFS('report COMPLETE ISO DATA'!$E:$E,$A8,'report COMPLETE ISO DATA'!$C:$C,C$1,'report COMPLETE ISO DATA'!$P:$P,"BM3D")</f>
        <v>0 - 10 - 6</v>
      </c>
      <c r="D8" t="str">
        <f>COUNTIFS('report COMPLETE ISO DATA'!$E:$E,$A8,'report COMPLETE ISO DATA'!$C:$C,D$1,'report COMPLETE ISO DATA'!$P:$P,"TICO09") &amp; " - " &amp; COUNTIFS('report COMPLETE ISO DATA'!$E:$E,$A8,'report COMPLETE ISO DATA'!$C:$C,D$1,'report COMPLETE ISO DATA'!$P:$P,"SROU03") &amp; " - " &amp; COUNTIFS('report COMPLETE ISO DATA'!$E:$E,$A8,'report COMPLETE ISO DATA'!$C:$C,D$1,'report COMPLETE ISO DATA'!$P:$P,"BM3D")</f>
        <v>0 - 4 - 12</v>
      </c>
      <c r="E8" t="str">
        <f>COUNTIFS('report COMPLETE ISO DATA'!$E:$E,$A8,'report COMPLETE ISO DATA'!$C:$C,E$1,'report COMPLETE ISO DATA'!$P:$P,"TICO09") &amp; " - " &amp; COUNTIFS('report COMPLETE ISO DATA'!$E:$E,$A8,'report COMPLETE ISO DATA'!$C:$C,E$1,'report COMPLETE ISO DATA'!$P:$P,"SROU03") &amp; " - " &amp; COUNTIFS('report COMPLETE ISO DATA'!$E:$E,$A8,'report COMPLETE ISO DATA'!$C:$C,E$1,'report COMPLETE ISO DATA'!$P:$P,"BM3D")</f>
        <v>0 - 0 - 16</v>
      </c>
    </row>
    <row r="9" spans="1:10" x14ac:dyDescent="0.25">
      <c r="A9" s="9">
        <v>25600</v>
      </c>
      <c r="B9" t="str">
        <f>COUNTIFS('report COMPLETE ISO DATA'!$E:$E,$A9,'report COMPLETE ISO DATA'!$C:$C,B$1,'report COMPLETE ISO DATA'!$P:$P,"TICO09") &amp; " - " &amp; COUNTIFS('report COMPLETE ISO DATA'!$E:$E,$A9,'report COMPLETE ISO DATA'!$C:$C,B$1,'report COMPLETE ISO DATA'!$P:$P,"SROU03") &amp; " - " &amp; COUNTIFS('report COMPLETE ISO DATA'!$E:$E,$A9,'report COMPLETE ISO DATA'!$C:$C,B$1,'report COMPLETE ISO DATA'!$P:$P,"BM3D")</f>
        <v>0 - 16 - 0</v>
      </c>
      <c r="C9" t="str">
        <f>COUNTIFS('report COMPLETE ISO DATA'!$E:$E,$A9,'report COMPLETE ISO DATA'!$C:$C,C$1,'report COMPLETE ISO DATA'!$P:$P,"TICO09") &amp; " - " &amp; COUNTIFS('report COMPLETE ISO DATA'!$E:$E,$A9,'report COMPLETE ISO DATA'!$C:$C,C$1,'report COMPLETE ISO DATA'!$P:$P,"SROU03") &amp; " - " &amp; COUNTIFS('report COMPLETE ISO DATA'!$E:$E,$A9,'report COMPLETE ISO DATA'!$C:$C,C$1,'report COMPLETE ISO DATA'!$P:$P,"BM3D")</f>
        <v>0 - 15 - 1</v>
      </c>
      <c r="D9" t="str">
        <f>COUNTIFS('report COMPLETE ISO DATA'!$E:$E,$A9,'report COMPLETE ISO DATA'!$C:$C,D$1,'report COMPLETE ISO DATA'!$P:$P,"TICO09") &amp; " - " &amp; COUNTIFS('report COMPLETE ISO DATA'!$E:$E,$A9,'report COMPLETE ISO DATA'!$C:$C,D$1,'report COMPLETE ISO DATA'!$P:$P,"SROU03") &amp; " - " &amp; COUNTIFS('report COMPLETE ISO DATA'!$E:$E,$A9,'report COMPLETE ISO DATA'!$C:$C,D$1,'report COMPLETE ISO DATA'!$P:$P,"BM3D")</f>
        <v>0 - 10 - 6</v>
      </c>
      <c r="E9" t="str">
        <f>COUNTIFS('report COMPLETE ISO DATA'!$E:$E,$A9,'report COMPLETE ISO DATA'!$C:$C,E$1,'report COMPLETE ISO DATA'!$P:$P,"TICO09") &amp; " - " &amp; COUNTIFS('report COMPLETE ISO DATA'!$E:$E,$A9,'report COMPLETE ISO DATA'!$C:$C,E$1,'report COMPLETE ISO DATA'!$P:$P,"SROU03") &amp; " - " &amp; COUNTIFS('report COMPLETE ISO DATA'!$E:$E,$A9,'report COMPLETE ISO DATA'!$C:$C,E$1,'report COMPLETE ISO DATA'!$P:$P,"BM3D")</f>
        <v>0 - 4 - 12</v>
      </c>
    </row>
    <row r="10" spans="1:10" x14ac:dyDescent="0.25">
      <c r="A10" s="9">
        <v>102400</v>
      </c>
      <c r="B10" t="str">
        <f>COUNTIFS('report COMPLETE ISO DATA'!$E:$E,$A10,'report COMPLETE ISO DATA'!$C:$C,B$1,'report COMPLETE ISO DATA'!$P:$P,"TICO09") &amp; " - " &amp; COUNTIFS('report COMPLETE ISO DATA'!$E:$E,$A10,'report COMPLETE ISO DATA'!$C:$C,B$1,'report COMPLETE ISO DATA'!$P:$P,"SROU03") &amp; " - " &amp; COUNTIFS('report COMPLETE ISO DATA'!$E:$E,$A10,'report COMPLETE ISO DATA'!$C:$C,B$1,'report COMPLETE ISO DATA'!$P:$P,"BM3D")</f>
        <v>1 - 15 - 0</v>
      </c>
      <c r="C10" t="str">
        <f>COUNTIFS('report COMPLETE ISO DATA'!$E:$E,$A10,'report COMPLETE ISO DATA'!$C:$C,C$1,'report COMPLETE ISO DATA'!$P:$P,"TICO09") &amp; " - " &amp; COUNTIFS('report COMPLETE ISO DATA'!$E:$E,$A10,'report COMPLETE ISO DATA'!$C:$C,C$1,'report COMPLETE ISO DATA'!$P:$P,"SROU03") &amp; " - " &amp; COUNTIFS('report COMPLETE ISO DATA'!$E:$E,$A10,'report COMPLETE ISO DATA'!$C:$C,C$1,'report COMPLETE ISO DATA'!$P:$P,"BM3D")</f>
        <v>0 - 13 - 3</v>
      </c>
      <c r="D10" t="str">
        <f>COUNTIFS('report COMPLETE ISO DATA'!$E:$E,$A10,'report COMPLETE ISO DATA'!$C:$C,D$1,'report COMPLETE ISO DATA'!$P:$P,"TICO09") &amp; " - " &amp; COUNTIFS('report COMPLETE ISO DATA'!$E:$E,$A10,'report COMPLETE ISO DATA'!$C:$C,D$1,'report COMPLETE ISO DATA'!$P:$P,"SROU03") &amp; " - " &amp; COUNTIFS('report COMPLETE ISO DATA'!$E:$E,$A10,'report COMPLETE ISO DATA'!$C:$C,D$1,'report COMPLETE ISO DATA'!$P:$P,"BM3D")</f>
        <v>0 - 12 - 4</v>
      </c>
      <c r="E10" t="str">
        <f>COUNTIFS('report COMPLETE ISO DATA'!$E:$E,$A10,'report COMPLETE ISO DATA'!$C:$C,E$1,'report COMPLETE ISO DATA'!$P:$P,"TICO09") &amp; " - " &amp; COUNTIFS('report COMPLETE ISO DATA'!$E:$E,$A10,'report COMPLETE ISO DATA'!$C:$C,E$1,'report COMPLETE ISO DATA'!$P:$P,"SROU03") &amp; " - " &amp; COUNTIFS('report COMPLETE ISO DATA'!$E:$E,$A10,'report COMPLETE ISO DATA'!$C:$C,E$1,'report COMPLETE ISO DATA'!$P:$P,"BM3D")</f>
        <v>0 - 8 - 8</v>
      </c>
    </row>
    <row r="12" spans="1:10" x14ac:dyDescent="0.25">
      <c r="A12" s="7" t="s">
        <v>56</v>
      </c>
      <c r="B12" t="str">
        <f>Range2TeXTabular(A1:E10)</f>
        <v xml:space="preserve"> &amp; 3 &amp; 7 &amp; 15 &amp; 31 \\ \hline_x000D_
200 &amp; 0 - 0 - 16 &amp; 0 - 0 - 16 &amp; 0 - 0 - 16 &amp; 0 - 0 - 16 \\ \hline_x000D_
400 &amp; 0 - 3 - 13 &amp; 0 - 0 - 16 &amp; 0 - 0 - 16 &amp; 0 - 0 - 16 \\ \hline_x000D_
800 &amp; 0 - 8 - 8 &amp; 0 - 0 - 16 &amp; 0 - 0 - 16 &amp; 0 - 0 - 16 \\ \hline_x000D_
1600 &amp; 0 - 15 - 1 &amp; 0 - 0 - 16 &amp; 0 - 0 - 16 &amp; 0 - 0 - 16 \\ \hline_x000D_
3200 &amp; 0 - 15 - 1 &amp; 0 - 0 - 16 &amp; 0 - 0 - 16 &amp; 0 - 0 - 16 \\ \hline_x000D_
6400 &amp; 0 - 16 - 0 &amp; 0 - 2 - 14 &amp; 0 - 0 - 16 &amp; 0 - 0 - 16 \\ \hline_x000D_
12800 &amp; 0 - 16 - 0 &amp; 0 - 10 - 6 &amp; 0 - 4 - 12 &amp; 0 - 0 - 16 \\ \hline_x000D_
25600 &amp; 0 - 16 - 0 &amp; 0 - 15 - 1 &amp; 0 - 10 - 6 &amp; 0 - 4 - 12 \\ \hline_x000D_
102400 &amp; 1 - 15 - 0 &amp; 0 - 13 - 3 &amp; 0 - 12 - 4 &amp; 0 - 8 - 8 \\ \hline_x000D_
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4"/>
  <sheetViews>
    <sheetView workbookViewId="0">
      <pane ySplit="1" topLeftCell="A7" activePane="bottomLeft" state="frozen"/>
      <selection pane="bottomLeft" activeCell="M47" sqref="M47:M51"/>
    </sheetView>
  </sheetViews>
  <sheetFormatPr defaultRowHeight="15" x14ac:dyDescent="0.25"/>
  <sheetData>
    <row r="1" spans="1:5" x14ac:dyDescent="0.2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 x14ac:dyDescent="0.25">
      <c r="A2" t="s">
        <v>26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24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2011-12-09T09:07:23Z</dcterms:created>
  <dcterms:modified xsi:type="dcterms:W3CDTF">2012-04-10T22:39:15Z</dcterms:modified>
</cp:coreProperties>
</file>
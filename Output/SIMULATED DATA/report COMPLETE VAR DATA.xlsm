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240" yWindow="60" windowWidth="24720" windowHeight="12345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Winning counts" sheetId="13" r:id="rId11"/>
    <sheet name="Color codes" sheetId="12" r:id="rId12"/>
  </sheets>
  <functionGroups builtInGroupCount="17"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45621"/>
  <pivotCaches>
    <pivotCache cacheId="1" r:id="rId13"/>
    <pivotCache cacheId="2" r:id="rId14"/>
  </pivotCaches>
</workbook>
</file>

<file path=xl/calcChain.xml><?xml version="1.0" encoding="utf-8"?>
<calcChain xmlns="http://schemas.openxmlformats.org/spreadsheetml/2006/main">
  <c r="J28" i="11" l="1"/>
  <c r="B28" i="11"/>
  <c r="J12" i="11"/>
  <c r="B12" i="11"/>
  <c r="G6" i="6"/>
  <c r="G5" i="5"/>
  <c r="F5" i="5"/>
  <c r="E5" i="5"/>
  <c r="F6" i="6"/>
  <c r="E6" i="6"/>
  <c r="J13" i="11"/>
  <c r="J29" i="11"/>
  <c r="B29" i="11"/>
  <c r="B7" i="13"/>
  <c r="A12" i="6" l="1"/>
  <c r="A11" i="5"/>
  <c r="J30" i="11"/>
  <c r="B30" i="11"/>
  <c r="J14" i="11"/>
  <c r="B27" i="8"/>
  <c r="B27" i="9"/>
  <c r="B27" i="10"/>
  <c r="B28" i="8"/>
  <c r="B28" i="10"/>
  <c r="B28" i="9"/>
  <c r="B13" i="11"/>
  <c r="B14" i="11" l="1"/>
  <c r="B34" i="11" s="1"/>
  <c r="B29" i="9"/>
  <c r="B29" i="8"/>
  <c r="B29" i="10"/>
  <c r="H3" i="8"/>
  <c r="F322" i="4" l="1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2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" i="4"/>
  <c r="F2" i="3"/>
  <c r="F3" i="1"/>
  <c r="F4" i="1"/>
  <c r="F5" i="1"/>
  <c r="F2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H9" i="1" l="1"/>
  <c r="G9" i="1"/>
  <c r="H252" i="1"/>
  <c r="G252" i="1"/>
  <c r="H244" i="1"/>
  <c r="G244" i="1"/>
  <c r="H240" i="1"/>
  <c r="G240" i="1"/>
  <c r="H232" i="1"/>
  <c r="G232" i="1"/>
  <c r="H220" i="1"/>
  <c r="G220" i="1"/>
  <c r="H212" i="1"/>
  <c r="G212" i="1"/>
  <c r="H208" i="1"/>
  <c r="G208" i="1"/>
  <c r="H200" i="1"/>
  <c r="G200" i="1"/>
  <c r="H188" i="1"/>
  <c r="G188" i="1"/>
  <c r="H180" i="1"/>
  <c r="G180" i="1"/>
  <c r="H176" i="1"/>
  <c r="G176" i="1"/>
  <c r="H168" i="1"/>
  <c r="G168" i="1"/>
  <c r="H156" i="1"/>
  <c r="G156" i="1"/>
  <c r="H148" i="1"/>
  <c r="G148" i="1"/>
  <c r="H144" i="1"/>
  <c r="G144" i="1"/>
  <c r="H136" i="1"/>
  <c r="G136" i="1"/>
  <c r="H124" i="1"/>
  <c r="G124" i="1"/>
  <c r="H116" i="1"/>
  <c r="G116" i="1"/>
  <c r="H112" i="1"/>
  <c r="G112" i="1"/>
  <c r="H104" i="1"/>
  <c r="G104" i="1"/>
  <c r="H92" i="1"/>
  <c r="G92" i="1"/>
  <c r="H84" i="1"/>
  <c r="G84" i="1"/>
  <c r="H80" i="1"/>
  <c r="G80" i="1"/>
  <c r="H72" i="1"/>
  <c r="G72" i="1"/>
  <c r="H60" i="1"/>
  <c r="G60" i="1"/>
  <c r="H52" i="1"/>
  <c r="G52" i="1"/>
  <c r="H48" i="1"/>
  <c r="G48" i="1"/>
  <c r="H40" i="1"/>
  <c r="G40" i="1"/>
  <c r="H28" i="1"/>
  <c r="G28" i="1"/>
  <c r="H20" i="1"/>
  <c r="G20" i="1"/>
  <c r="H16" i="1"/>
  <c r="G16" i="1"/>
  <c r="H8" i="1"/>
  <c r="G8" i="1"/>
  <c r="H179" i="1"/>
  <c r="G179" i="1"/>
  <c r="G175" i="1"/>
  <c r="H175" i="1"/>
  <c r="G167" i="1"/>
  <c r="H167" i="1"/>
  <c r="H155" i="1"/>
  <c r="G155" i="1"/>
  <c r="H147" i="1"/>
  <c r="G147" i="1"/>
  <c r="G143" i="1"/>
  <c r="H143" i="1"/>
  <c r="G135" i="1"/>
  <c r="H135" i="1"/>
  <c r="H123" i="1"/>
  <c r="G123" i="1"/>
  <c r="G115" i="1"/>
  <c r="H115" i="1"/>
  <c r="H111" i="1"/>
  <c r="G111" i="1"/>
  <c r="H103" i="1"/>
  <c r="G103" i="1"/>
  <c r="G91" i="1"/>
  <c r="H91" i="1"/>
  <c r="G83" i="1"/>
  <c r="H83" i="1"/>
  <c r="H79" i="1"/>
  <c r="G79" i="1"/>
  <c r="H71" i="1"/>
  <c r="G71" i="1"/>
  <c r="H59" i="1"/>
  <c r="G59" i="1"/>
  <c r="H51" i="1"/>
  <c r="G51" i="1"/>
  <c r="H47" i="1"/>
  <c r="G47" i="1"/>
  <c r="G39" i="1"/>
  <c r="H39" i="1"/>
  <c r="G27" i="1"/>
  <c r="H27" i="1"/>
  <c r="H19" i="1"/>
  <c r="G19" i="1"/>
  <c r="G15" i="1"/>
  <c r="H15" i="1"/>
  <c r="H7" i="1"/>
  <c r="G7" i="1"/>
  <c r="G245" i="1"/>
  <c r="H245" i="1"/>
  <c r="G233" i="1"/>
  <c r="H233" i="1"/>
  <c r="H221" i="1"/>
  <c r="G221" i="1"/>
  <c r="H209" i="1"/>
  <c r="G209" i="1"/>
  <c r="H181" i="1"/>
  <c r="G181" i="1"/>
  <c r="H169" i="1"/>
  <c r="G169" i="1"/>
  <c r="G157" i="1"/>
  <c r="H157" i="1"/>
  <c r="G145" i="1"/>
  <c r="H145" i="1"/>
  <c r="H117" i="1"/>
  <c r="G117" i="1"/>
  <c r="G105" i="1"/>
  <c r="H105" i="1"/>
  <c r="G93" i="1"/>
  <c r="H93" i="1"/>
  <c r="H81" i="1"/>
  <c r="G81" i="1"/>
  <c r="H49" i="1"/>
  <c r="G49" i="1"/>
  <c r="H29" i="1"/>
  <c r="G29" i="1"/>
  <c r="H17" i="1"/>
  <c r="G17" i="1"/>
  <c r="H251" i="1"/>
  <c r="G251" i="1"/>
  <c r="H239" i="1"/>
  <c r="G239" i="1"/>
  <c r="H211" i="1"/>
  <c r="G211" i="1"/>
  <c r="H199" i="1"/>
  <c r="G199" i="1"/>
  <c r="H187" i="1"/>
  <c r="G187" i="1"/>
  <c r="H250" i="1"/>
  <c r="G250" i="1"/>
  <c r="H230" i="1"/>
  <c r="G230" i="1"/>
  <c r="G218" i="1"/>
  <c r="H218" i="1"/>
  <c r="H206" i="1"/>
  <c r="G206" i="1"/>
  <c r="H178" i="1"/>
  <c r="G178" i="1"/>
  <c r="G174" i="1"/>
  <c r="H174" i="1"/>
  <c r="H166" i="1"/>
  <c r="G166" i="1"/>
  <c r="H154" i="1"/>
  <c r="G154" i="1"/>
  <c r="G146" i="1"/>
  <c r="H146" i="1"/>
  <c r="H142" i="1"/>
  <c r="G142" i="1"/>
  <c r="H134" i="1"/>
  <c r="G134" i="1"/>
  <c r="G122" i="1"/>
  <c r="H122" i="1"/>
  <c r="H114" i="1"/>
  <c r="G114" i="1"/>
  <c r="H110" i="1"/>
  <c r="G110" i="1"/>
  <c r="H102" i="1"/>
  <c r="G102" i="1"/>
  <c r="G90" i="1"/>
  <c r="H90" i="1"/>
  <c r="H82" i="1"/>
  <c r="G82" i="1"/>
  <c r="H78" i="1"/>
  <c r="G78" i="1"/>
  <c r="H70" i="1"/>
  <c r="G70" i="1"/>
  <c r="H58" i="1"/>
  <c r="G58" i="1"/>
  <c r="H50" i="1"/>
  <c r="G50" i="1"/>
  <c r="H46" i="1"/>
  <c r="G46" i="1"/>
  <c r="G38" i="1"/>
  <c r="H38" i="1"/>
  <c r="G26" i="1"/>
  <c r="H26" i="1"/>
  <c r="H18" i="1"/>
  <c r="G18" i="1"/>
  <c r="G14" i="1"/>
  <c r="H14" i="1"/>
  <c r="H6" i="1"/>
  <c r="G6" i="1"/>
  <c r="G257" i="1"/>
  <c r="H257" i="1"/>
  <c r="H249" i="1"/>
  <c r="G249" i="1"/>
  <c r="G237" i="1"/>
  <c r="H237" i="1"/>
  <c r="H229" i="1"/>
  <c r="G229" i="1"/>
  <c r="H225" i="1"/>
  <c r="G225" i="1"/>
  <c r="H217" i="1"/>
  <c r="G217" i="1"/>
  <c r="G205" i="1"/>
  <c r="H205" i="1"/>
  <c r="H197" i="1"/>
  <c r="G197" i="1"/>
  <c r="G193" i="1"/>
  <c r="H193" i="1"/>
  <c r="H185" i="1"/>
  <c r="G185" i="1"/>
  <c r="G173" i="1"/>
  <c r="H173" i="1"/>
  <c r="H165" i="1"/>
  <c r="G165" i="1"/>
  <c r="H161" i="1"/>
  <c r="G161" i="1"/>
  <c r="H153" i="1"/>
  <c r="G153" i="1"/>
  <c r="G141" i="1"/>
  <c r="H141" i="1"/>
  <c r="H133" i="1"/>
  <c r="G133" i="1"/>
  <c r="H129" i="1"/>
  <c r="G129" i="1"/>
  <c r="G121" i="1"/>
  <c r="H121" i="1"/>
  <c r="H109" i="1"/>
  <c r="G109" i="1"/>
  <c r="H101" i="1"/>
  <c r="G101" i="1"/>
  <c r="H97" i="1"/>
  <c r="G97" i="1"/>
  <c r="G89" i="1"/>
  <c r="H89" i="1"/>
  <c r="H77" i="1"/>
  <c r="G77" i="1"/>
  <c r="G69" i="1"/>
  <c r="H69" i="1"/>
  <c r="H65" i="1"/>
  <c r="G65" i="1"/>
  <c r="H57" i="1"/>
  <c r="G57" i="1"/>
  <c r="H45" i="1"/>
  <c r="G45" i="1"/>
  <c r="H37" i="1"/>
  <c r="G37" i="1"/>
  <c r="H33" i="1"/>
  <c r="G33" i="1"/>
  <c r="G25" i="1"/>
  <c r="H25" i="1"/>
  <c r="G13" i="1"/>
  <c r="H13" i="1"/>
  <c r="H5" i="1"/>
  <c r="G5" i="1"/>
  <c r="H159" i="1"/>
  <c r="G159" i="1"/>
  <c r="H151" i="1"/>
  <c r="G151" i="1"/>
  <c r="H139" i="1"/>
  <c r="G139" i="1"/>
  <c r="H131" i="1"/>
  <c r="G131" i="1"/>
  <c r="H127" i="1"/>
  <c r="G127" i="1"/>
  <c r="H119" i="1"/>
  <c r="G119" i="1"/>
  <c r="H107" i="1"/>
  <c r="G107" i="1"/>
  <c r="H99" i="1"/>
  <c r="G99" i="1"/>
  <c r="H95" i="1"/>
  <c r="G95" i="1"/>
  <c r="H87" i="1"/>
  <c r="G87" i="1"/>
  <c r="H75" i="1"/>
  <c r="G75" i="1"/>
  <c r="H67" i="1"/>
  <c r="G67" i="1"/>
  <c r="H63" i="1"/>
  <c r="G63" i="1"/>
  <c r="H55" i="1"/>
  <c r="G55" i="1"/>
  <c r="H43" i="1"/>
  <c r="G43" i="1"/>
  <c r="H35" i="1"/>
  <c r="G35" i="1"/>
  <c r="H31" i="1"/>
  <c r="G31" i="1"/>
  <c r="H23" i="1"/>
  <c r="G23" i="1"/>
  <c r="H11" i="1"/>
  <c r="G11" i="1"/>
  <c r="H3" i="1"/>
  <c r="G3" i="1"/>
  <c r="G253" i="1"/>
  <c r="H253" i="1"/>
  <c r="H241" i="1"/>
  <c r="G241" i="1"/>
  <c r="H213" i="1"/>
  <c r="G213" i="1"/>
  <c r="G201" i="1"/>
  <c r="H201" i="1"/>
  <c r="G189" i="1"/>
  <c r="H189" i="1"/>
  <c r="H177" i="1"/>
  <c r="G177" i="1"/>
  <c r="G149" i="1"/>
  <c r="H149" i="1"/>
  <c r="H137" i="1"/>
  <c r="G137" i="1"/>
  <c r="H125" i="1"/>
  <c r="G125" i="1"/>
  <c r="H113" i="1"/>
  <c r="G113" i="1"/>
  <c r="H85" i="1"/>
  <c r="G85" i="1"/>
  <c r="H73" i="1"/>
  <c r="G73" i="1"/>
  <c r="G61" i="1"/>
  <c r="H61" i="1"/>
  <c r="G53" i="1"/>
  <c r="H53" i="1"/>
  <c r="H41" i="1"/>
  <c r="G41" i="1"/>
  <c r="H21" i="1"/>
  <c r="G21" i="1"/>
  <c r="G243" i="1"/>
  <c r="H243" i="1"/>
  <c r="H231" i="1"/>
  <c r="G231" i="1"/>
  <c r="H219" i="1"/>
  <c r="G219" i="1"/>
  <c r="H207" i="1"/>
  <c r="G207" i="1"/>
  <c r="G242" i="1"/>
  <c r="H242" i="1"/>
  <c r="H238" i="1"/>
  <c r="G238" i="1"/>
  <c r="H210" i="1"/>
  <c r="G210" i="1"/>
  <c r="H198" i="1"/>
  <c r="G198" i="1"/>
  <c r="H186" i="1"/>
  <c r="G186" i="1"/>
  <c r="H256" i="1"/>
  <c r="G256" i="1"/>
  <c r="H248" i="1"/>
  <c r="G248" i="1"/>
  <c r="H236" i="1"/>
  <c r="G236" i="1"/>
  <c r="H228" i="1"/>
  <c r="G228" i="1"/>
  <c r="G224" i="1"/>
  <c r="H224" i="1"/>
  <c r="H216" i="1"/>
  <c r="G216" i="1"/>
  <c r="G204" i="1"/>
  <c r="H204" i="1"/>
  <c r="H196" i="1"/>
  <c r="G196" i="1"/>
  <c r="G192" i="1"/>
  <c r="H192" i="1"/>
  <c r="G184" i="1"/>
  <c r="H184" i="1"/>
  <c r="G172" i="1"/>
  <c r="H172" i="1"/>
  <c r="H164" i="1"/>
  <c r="G164" i="1"/>
  <c r="G160" i="1"/>
  <c r="H160" i="1"/>
  <c r="G152" i="1"/>
  <c r="H152" i="1"/>
  <c r="G140" i="1"/>
  <c r="H140" i="1"/>
  <c r="G132" i="1"/>
  <c r="H132" i="1"/>
  <c r="H128" i="1"/>
  <c r="G128" i="1"/>
  <c r="G120" i="1"/>
  <c r="H120" i="1"/>
  <c r="H108" i="1"/>
  <c r="G108" i="1"/>
  <c r="H100" i="1"/>
  <c r="G100" i="1"/>
  <c r="H96" i="1"/>
  <c r="G96" i="1"/>
  <c r="H88" i="1"/>
  <c r="G88" i="1"/>
  <c r="H76" i="1"/>
  <c r="G76" i="1"/>
  <c r="H68" i="1"/>
  <c r="G68" i="1"/>
  <c r="H64" i="1"/>
  <c r="G64" i="1"/>
  <c r="H56" i="1"/>
  <c r="G56" i="1"/>
  <c r="H44" i="1"/>
  <c r="G44" i="1"/>
  <c r="H36" i="1"/>
  <c r="G36" i="1"/>
  <c r="H32" i="1"/>
  <c r="G32" i="1"/>
  <c r="H24" i="1"/>
  <c r="G24" i="1"/>
  <c r="H12" i="1"/>
  <c r="G12" i="1"/>
  <c r="H4" i="1"/>
  <c r="G4" i="1"/>
  <c r="H255" i="1"/>
  <c r="G255" i="1"/>
  <c r="H247" i="1"/>
  <c r="G247" i="1"/>
  <c r="H235" i="1"/>
  <c r="G235" i="1"/>
  <c r="H227" i="1"/>
  <c r="G227" i="1"/>
  <c r="H223" i="1"/>
  <c r="G223" i="1"/>
  <c r="H215" i="1"/>
  <c r="G215" i="1"/>
  <c r="H203" i="1"/>
  <c r="G203" i="1"/>
  <c r="H195" i="1"/>
  <c r="G195" i="1"/>
  <c r="H191" i="1"/>
  <c r="G191" i="1"/>
  <c r="H183" i="1"/>
  <c r="G183" i="1"/>
  <c r="H171" i="1"/>
  <c r="G171" i="1"/>
  <c r="H163" i="1"/>
  <c r="G163" i="1"/>
  <c r="G254" i="1"/>
  <c r="H254" i="1"/>
  <c r="H246" i="1"/>
  <c r="G246" i="1"/>
  <c r="H234" i="1"/>
  <c r="G234" i="1"/>
  <c r="H226" i="1"/>
  <c r="G226" i="1"/>
  <c r="G222" i="1"/>
  <c r="H222" i="1"/>
  <c r="H214" i="1"/>
  <c r="G214" i="1"/>
  <c r="G202" i="1"/>
  <c r="H202" i="1"/>
  <c r="H194" i="1"/>
  <c r="G194" i="1"/>
  <c r="H190" i="1"/>
  <c r="G190" i="1"/>
  <c r="H182" i="1"/>
  <c r="G182" i="1"/>
  <c r="G170" i="1"/>
  <c r="H170" i="1"/>
  <c r="H162" i="1"/>
  <c r="G162" i="1"/>
  <c r="H158" i="1"/>
  <c r="G158" i="1"/>
  <c r="G150" i="1"/>
  <c r="H150" i="1"/>
  <c r="H138" i="1"/>
  <c r="G138" i="1"/>
  <c r="H130" i="1"/>
  <c r="G130" i="1"/>
  <c r="G126" i="1"/>
  <c r="H126" i="1"/>
  <c r="G118" i="1"/>
  <c r="H118" i="1"/>
  <c r="H106" i="1"/>
  <c r="G106" i="1"/>
  <c r="H98" i="1"/>
  <c r="G98" i="1"/>
  <c r="H94" i="1"/>
  <c r="G94" i="1"/>
  <c r="H86" i="1"/>
  <c r="G86" i="1"/>
  <c r="G74" i="1"/>
  <c r="H74" i="1"/>
  <c r="H66" i="1"/>
  <c r="G66" i="1"/>
  <c r="G62" i="1"/>
  <c r="H62" i="1"/>
  <c r="H54" i="1"/>
  <c r="G54" i="1"/>
  <c r="H42" i="1"/>
  <c r="G42" i="1"/>
  <c r="H34" i="1"/>
  <c r="G34" i="1"/>
  <c r="G30" i="1"/>
  <c r="H30" i="1"/>
  <c r="G22" i="1"/>
  <c r="H22" i="1"/>
  <c r="H10" i="1"/>
  <c r="G10" i="1"/>
  <c r="H2" i="1"/>
  <c r="G2" i="1"/>
  <c r="L230" i="1"/>
  <c r="T230" i="1" s="1"/>
  <c r="K230" i="1"/>
  <c r="K146" i="1"/>
  <c r="L146" i="1"/>
  <c r="T146" i="1" s="1"/>
  <c r="L110" i="1"/>
  <c r="T110" i="1" s="1"/>
  <c r="K110" i="1"/>
  <c r="K82" i="1"/>
  <c r="L82" i="1"/>
  <c r="T82" i="1" s="1"/>
  <c r="L38" i="1"/>
  <c r="T38" i="1" s="1"/>
  <c r="K38" i="1"/>
  <c r="L18" i="1"/>
  <c r="T18" i="1" s="1"/>
  <c r="K18" i="1"/>
  <c r="K229" i="1"/>
  <c r="L229" i="1"/>
  <c r="T229" i="1" s="1"/>
  <c r="K185" i="1"/>
  <c r="L185" i="1"/>
  <c r="T185" i="1" s="1"/>
  <c r="L121" i="1"/>
  <c r="T121" i="1" s="1"/>
  <c r="K121" i="1"/>
  <c r="L5" i="1"/>
  <c r="T5" i="1" s="1"/>
  <c r="K5" i="1"/>
  <c r="L256" i="1"/>
  <c r="T256" i="1" s="1"/>
  <c r="K256" i="1"/>
  <c r="L248" i="1"/>
  <c r="T248" i="1" s="1"/>
  <c r="K248" i="1"/>
  <c r="L236" i="1"/>
  <c r="T236" i="1" s="1"/>
  <c r="K236" i="1"/>
  <c r="L228" i="1"/>
  <c r="T228" i="1" s="1"/>
  <c r="K228" i="1"/>
  <c r="L224" i="1"/>
  <c r="T224" i="1" s="1"/>
  <c r="K224" i="1"/>
  <c r="L216" i="1"/>
  <c r="T216" i="1" s="1"/>
  <c r="K216" i="1"/>
  <c r="L204" i="1"/>
  <c r="T204" i="1" s="1"/>
  <c r="K204" i="1"/>
  <c r="L196" i="1"/>
  <c r="T196" i="1" s="1"/>
  <c r="K196" i="1"/>
  <c r="L192" i="1"/>
  <c r="T192" i="1" s="1"/>
  <c r="K192" i="1"/>
  <c r="L184" i="1"/>
  <c r="T184" i="1" s="1"/>
  <c r="K184" i="1"/>
  <c r="L172" i="1"/>
  <c r="T172" i="1" s="1"/>
  <c r="K172" i="1"/>
  <c r="L164" i="1"/>
  <c r="T164" i="1" s="1"/>
  <c r="K164" i="1"/>
  <c r="L160" i="1"/>
  <c r="T160" i="1" s="1"/>
  <c r="K160" i="1"/>
  <c r="L152" i="1"/>
  <c r="T152" i="1" s="1"/>
  <c r="K152" i="1"/>
  <c r="L140" i="1"/>
  <c r="T140" i="1" s="1"/>
  <c r="K140" i="1"/>
  <c r="L132" i="1"/>
  <c r="T132" i="1" s="1"/>
  <c r="K132" i="1"/>
  <c r="L128" i="1"/>
  <c r="T128" i="1" s="1"/>
  <c r="K128" i="1"/>
  <c r="L120" i="1"/>
  <c r="T120" i="1" s="1"/>
  <c r="K120" i="1"/>
  <c r="L108" i="1"/>
  <c r="T108" i="1" s="1"/>
  <c r="K108" i="1"/>
  <c r="L100" i="1"/>
  <c r="T100" i="1" s="1"/>
  <c r="K100" i="1"/>
  <c r="L96" i="1"/>
  <c r="T96" i="1" s="1"/>
  <c r="K96" i="1"/>
  <c r="L88" i="1"/>
  <c r="T88" i="1" s="1"/>
  <c r="K88" i="1"/>
  <c r="L76" i="1"/>
  <c r="T76" i="1" s="1"/>
  <c r="K76" i="1"/>
  <c r="K68" i="1"/>
  <c r="L68" i="1"/>
  <c r="T68" i="1" s="1"/>
  <c r="K64" i="1"/>
  <c r="L64" i="1"/>
  <c r="T64" i="1" s="1"/>
  <c r="K56" i="1"/>
  <c r="L56" i="1"/>
  <c r="T56" i="1" s="1"/>
  <c r="K44" i="1"/>
  <c r="L44" i="1"/>
  <c r="T44" i="1" s="1"/>
  <c r="L36" i="1"/>
  <c r="T36" i="1" s="1"/>
  <c r="K36" i="1"/>
  <c r="L32" i="1"/>
  <c r="T32" i="1" s="1"/>
  <c r="K32" i="1"/>
  <c r="L24" i="1"/>
  <c r="T24" i="1" s="1"/>
  <c r="K24" i="1"/>
  <c r="L12" i="1"/>
  <c r="T12" i="1" s="1"/>
  <c r="K12" i="1"/>
  <c r="L4" i="1"/>
  <c r="T4" i="1" s="1"/>
  <c r="K4" i="1"/>
  <c r="K250" i="1"/>
  <c r="L250" i="1"/>
  <c r="T250" i="1" s="1"/>
  <c r="K206" i="1"/>
  <c r="L206" i="1"/>
  <c r="T206" i="1" s="1"/>
  <c r="L154" i="1"/>
  <c r="T154" i="1" s="1"/>
  <c r="K154" i="1"/>
  <c r="K114" i="1"/>
  <c r="L114" i="1"/>
  <c r="T114" i="1" s="1"/>
  <c r="K90" i="1"/>
  <c r="L90" i="1"/>
  <c r="T90" i="1" s="1"/>
  <c r="K46" i="1"/>
  <c r="L46" i="1"/>
  <c r="T46" i="1" s="1"/>
  <c r="L14" i="1"/>
  <c r="T14" i="1" s="1"/>
  <c r="K14" i="1"/>
  <c r="L205" i="1"/>
  <c r="T205" i="1" s="1"/>
  <c r="K205" i="1"/>
  <c r="L161" i="1"/>
  <c r="T161" i="1" s="1"/>
  <c r="K161" i="1"/>
  <c r="K101" i="1"/>
  <c r="L101" i="1"/>
  <c r="T101" i="1" s="1"/>
  <c r="L57" i="1"/>
  <c r="T57" i="1" s="1"/>
  <c r="K57" i="1"/>
  <c r="K25" i="1"/>
  <c r="L25" i="1"/>
  <c r="T25" i="1" s="1"/>
  <c r="L235" i="1"/>
  <c r="T235" i="1" s="1"/>
  <c r="K235" i="1"/>
  <c r="L195" i="1"/>
  <c r="T195" i="1" s="1"/>
  <c r="K195" i="1"/>
  <c r="L163" i="1"/>
  <c r="T163" i="1" s="1"/>
  <c r="K163" i="1"/>
  <c r="L127" i="1"/>
  <c r="T127" i="1" s="1"/>
  <c r="K127" i="1"/>
  <c r="L99" i="1"/>
  <c r="T99" i="1" s="1"/>
  <c r="K99" i="1"/>
  <c r="L55" i="1"/>
  <c r="T55" i="1" s="1"/>
  <c r="K55" i="1"/>
  <c r="L23" i="1"/>
  <c r="T23" i="1" s="1"/>
  <c r="K23" i="1"/>
  <c r="L194" i="1"/>
  <c r="T194" i="1" s="1"/>
  <c r="K194" i="1"/>
  <c r="L170" i="1"/>
  <c r="T170" i="1" s="1"/>
  <c r="K170" i="1"/>
  <c r="K162" i="1"/>
  <c r="L162" i="1"/>
  <c r="T162" i="1" s="1"/>
  <c r="K158" i="1"/>
  <c r="L158" i="1"/>
  <c r="T158" i="1" s="1"/>
  <c r="L150" i="1"/>
  <c r="T150" i="1" s="1"/>
  <c r="K150" i="1"/>
  <c r="L138" i="1"/>
  <c r="T138" i="1" s="1"/>
  <c r="K138" i="1"/>
  <c r="K130" i="1"/>
  <c r="L130" i="1"/>
  <c r="T130" i="1" s="1"/>
  <c r="K126" i="1"/>
  <c r="L126" i="1"/>
  <c r="T126" i="1" s="1"/>
  <c r="L118" i="1"/>
  <c r="T118" i="1" s="1"/>
  <c r="K118" i="1"/>
  <c r="K106" i="1"/>
  <c r="L106" i="1"/>
  <c r="T106" i="1" s="1"/>
  <c r="L98" i="1"/>
  <c r="T98" i="1" s="1"/>
  <c r="K98" i="1"/>
  <c r="L94" i="1"/>
  <c r="T94" i="1" s="1"/>
  <c r="K94" i="1"/>
  <c r="L86" i="1"/>
  <c r="T86" i="1" s="1"/>
  <c r="K86" i="1"/>
  <c r="K74" i="1"/>
  <c r="L74" i="1"/>
  <c r="T74" i="1" s="1"/>
  <c r="L66" i="1"/>
  <c r="T66" i="1" s="1"/>
  <c r="K66" i="1"/>
  <c r="L62" i="1"/>
  <c r="T62" i="1" s="1"/>
  <c r="K62" i="1"/>
  <c r="L54" i="1"/>
  <c r="T54" i="1" s="1"/>
  <c r="K54" i="1"/>
  <c r="L42" i="1"/>
  <c r="T42" i="1" s="1"/>
  <c r="K42" i="1"/>
  <c r="L34" i="1"/>
  <c r="T34" i="1" s="1"/>
  <c r="K34" i="1"/>
  <c r="L30" i="1"/>
  <c r="T30" i="1" s="1"/>
  <c r="K30" i="1"/>
  <c r="L22" i="1"/>
  <c r="T22" i="1" s="1"/>
  <c r="K22" i="1"/>
  <c r="L10" i="1"/>
  <c r="T10" i="1" s="1"/>
  <c r="K10" i="1"/>
  <c r="L2" i="1"/>
  <c r="T2" i="1" s="1"/>
  <c r="K2" i="1"/>
  <c r="K242" i="1"/>
  <c r="L242" i="1"/>
  <c r="T242" i="1" s="1"/>
  <c r="K218" i="1"/>
  <c r="L218" i="1"/>
  <c r="T218" i="1" s="1"/>
  <c r="K186" i="1"/>
  <c r="L186" i="1"/>
  <c r="T186" i="1" s="1"/>
  <c r="K166" i="1"/>
  <c r="L166" i="1"/>
  <c r="T166" i="1" s="1"/>
  <c r="L70" i="1"/>
  <c r="T70" i="1" s="1"/>
  <c r="K70" i="1"/>
  <c r="L50" i="1"/>
  <c r="T50" i="1" s="1"/>
  <c r="K50" i="1"/>
  <c r="L26" i="1"/>
  <c r="T26" i="1" s="1"/>
  <c r="K26" i="1"/>
  <c r="L249" i="1"/>
  <c r="T249" i="1" s="1"/>
  <c r="K249" i="1"/>
  <c r="L225" i="1"/>
  <c r="T225" i="1" s="1"/>
  <c r="K225" i="1"/>
  <c r="L197" i="1"/>
  <c r="T197" i="1" s="1"/>
  <c r="K197" i="1"/>
  <c r="L173" i="1"/>
  <c r="T173" i="1" s="1"/>
  <c r="K173" i="1"/>
  <c r="K141" i="1"/>
  <c r="L141" i="1"/>
  <c r="T141" i="1" s="1"/>
  <c r="K129" i="1"/>
  <c r="L129" i="1"/>
  <c r="T129" i="1" s="1"/>
  <c r="L97" i="1"/>
  <c r="T97" i="1" s="1"/>
  <c r="K97" i="1"/>
  <c r="K77" i="1"/>
  <c r="L77" i="1"/>
  <c r="T77" i="1" s="1"/>
  <c r="L45" i="1"/>
  <c r="T45" i="1" s="1"/>
  <c r="K45" i="1"/>
  <c r="L247" i="1"/>
  <c r="T247" i="1" s="1"/>
  <c r="K247" i="1"/>
  <c r="L227" i="1"/>
  <c r="T227" i="1" s="1"/>
  <c r="K227" i="1"/>
  <c r="L183" i="1"/>
  <c r="T183" i="1" s="1"/>
  <c r="K183" i="1"/>
  <c r="L159" i="1"/>
  <c r="T159" i="1" s="1"/>
  <c r="K159" i="1"/>
  <c r="L87" i="1"/>
  <c r="T87" i="1" s="1"/>
  <c r="K87" i="1"/>
  <c r="L67" i="1"/>
  <c r="T67" i="1" s="1"/>
  <c r="K67" i="1"/>
  <c r="L43" i="1"/>
  <c r="T43" i="1" s="1"/>
  <c r="K43" i="1"/>
  <c r="L11" i="1"/>
  <c r="T11" i="1" s="1"/>
  <c r="K11" i="1"/>
  <c r="L254" i="1"/>
  <c r="T254" i="1" s="1"/>
  <c r="K254" i="1"/>
  <c r="L226" i="1"/>
  <c r="T226" i="1" s="1"/>
  <c r="K226" i="1"/>
  <c r="L202" i="1"/>
  <c r="T202" i="1" s="1"/>
  <c r="K202" i="1"/>
  <c r="K245" i="1"/>
  <c r="L245" i="1"/>
  <c r="T245" i="1" s="1"/>
  <c r="L233" i="1"/>
  <c r="T233" i="1" s="1"/>
  <c r="K233" i="1"/>
  <c r="L221" i="1"/>
  <c r="T221" i="1" s="1"/>
  <c r="K221" i="1"/>
  <c r="K213" i="1"/>
  <c r="L213" i="1"/>
  <c r="T213" i="1" s="1"/>
  <c r="K209" i="1"/>
  <c r="L209" i="1"/>
  <c r="T209" i="1" s="1"/>
  <c r="L201" i="1"/>
  <c r="T201" i="1" s="1"/>
  <c r="K201" i="1"/>
  <c r="K189" i="1"/>
  <c r="L189" i="1"/>
  <c r="T189" i="1" s="1"/>
  <c r="L181" i="1"/>
  <c r="T181" i="1" s="1"/>
  <c r="K181" i="1"/>
  <c r="L177" i="1"/>
  <c r="T177" i="1" s="1"/>
  <c r="K177" i="1"/>
  <c r="L169" i="1"/>
  <c r="T169" i="1" s="1"/>
  <c r="K169" i="1"/>
  <c r="K157" i="1"/>
  <c r="L157" i="1"/>
  <c r="T157" i="1" s="1"/>
  <c r="L149" i="1"/>
  <c r="T149" i="1" s="1"/>
  <c r="K149" i="1"/>
  <c r="L145" i="1"/>
  <c r="T145" i="1" s="1"/>
  <c r="K145" i="1"/>
  <c r="K137" i="1"/>
  <c r="L137" i="1"/>
  <c r="T137" i="1" s="1"/>
  <c r="L125" i="1"/>
  <c r="T125" i="1" s="1"/>
  <c r="K125" i="1"/>
  <c r="L117" i="1"/>
  <c r="T117" i="1" s="1"/>
  <c r="K117" i="1"/>
  <c r="K113" i="1"/>
  <c r="L113" i="1"/>
  <c r="T113" i="1" s="1"/>
  <c r="K105" i="1"/>
  <c r="L105" i="1"/>
  <c r="T105" i="1" s="1"/>
  <c r="L93" i="1"/>
  <c r="T93" i="1" s="1"/>
  <c r="K93" i="1"/>
  <c r="K85" i="1"/>
  <c r="L85" i="1"/>
  <c r="T85" i="1" s="1"/>
  <c r="L81" i="1"/>
  <c r="T81" i="1" s="1"/>
  <c r="K81" i="1"/>
  <c r="L73" i="1"/>
  <c r="T73" i="1" s="1"/>
  <c r="K73" i="1"/>
  <c r="L61" i="1"/>
  <c r="T61" i="1" s="1"/>
  <c r="K61" i="1"/>
  <c r="L53" i="1"/>
  <c r="T53" i="1" s="1"/>
  <c r="K53" i="1"/>
  <c r="L49" i="1"/>
  <c r="T49" i="1" s="1"/>
  <c r="K49" i="1"/>
  <c r="K41" i="1"/>
  <c r="L41" i="1"/>
  <c r="T41" i="1" s="1"/>
  <c r="L29" i="1"/>
  <c r="T29" i="1" s="1"/>
  <c r="K29" i="1"/>
  <c r="L21" i="1"/>
  <c r="T21" i="1" s="1"/>
  <c r="K21" i="1"/>
  <c r="L17" i="1"/>
  <c r="T17" i="1" s="1"/>
  <c r="K17" i="1"/>
  <c r="L9" i="1"/>
  <c r="T9" i="1" s="1"/>
  <c r="K9" i="1"/>
  <c r="K238" i="1"/>
  <c r="L238" i="1"/>
  <c r="T238" i="1" s="1"/>
  <c r="L210" i="1"/>
  <c r="T210" i="1" s="1"/>
  <c r="K210" i="1"/>
  <c r="L178" i="1"/>
  <c r="T178" i="1" s="1"/>
  <c r="K178" i="1"/>
  <c r="K134" i="1"/>
  <c r="L134" i="1"/>
  <c r="T134" i="1" s="1"/>
  <c r="K102" i="1"/>
  <c r="L102" i="1"/>
  <c r="T102" i="1" s="1"/>
  <c r="L78" i="1"/>
  <c r="T78" i="1" s="1"/>
  <c r="K78" i="1"/>
  <c r="L58" i="1"/>
  <c r="T58" i="1" s="1"/>
  <c r="K58" i="1"/>
  <c r="L6" i="1"/>
  <c r="T6" i="1" s="1"/>
  <c r="K6" i="1"/>
  <c r="K237" i="1"/>
  <c r="L237" i="1"/>
  <c r="T237" i="1" s="1"/>
  <c r="L153" i="1"/>
  <c r="T153" i="1" s="1"/>
  <c r="K153" i="1"/>
  <c r="K89" i="1"/>
  <c r="L89" i="1"/>
  <c r="T89" i="1" s="1"/>
  <c r="L69" i="1"/>
  <c r="T69" i="1" s="1"/>
  <c r="K69" i="1"/>
  <c r="L37" i="1"/>
  <c r="T37" i="1" s="1"/>
  <c r="K37" i="1"/>
  <c r="L13" i="1"/>
  <c r="T13" i="1" s="1"/>
  <c r="K13" i="1"/>
  <c r="L215" i="1"/>
  <c r="T215" i="1" s="1"/>
  <c r="K215" i="1"/>
  <c r="L203" i="1"/>
  <c r="T203" i="1" s="1"/>
  <c r="K203" i="1"/>
  <c r="L131" i="1"/>
  <c r="T131" i="1" s="1"/>
  <c r="K131" i="1"/>
  <c r="L107" i="1"/>
  <c r="T107" i="1" s="1"/>
  <c r="K107" i="1"/>
  <c r="L63" i="1"/>
  <c r="T63" i="1" s="1"/>
  <c r="K63" i="1"/>
  <c r="L35" i="1"/>
  <c r="T35" i="1" s="1"/>
  <c r="K35" i="1"/>
  <c r="L3" i="1"/>
  <c r="T3" i="1" s="1"/>
  <c r="K3" i="1"/>
  <c r="L234" i="1"/>
  <c r="T234" i="1" s="1"/>
  <c r="K234" i="1"/>
  <c r="L182" i="1"/>
  <c r="T182" i="1" s="1"/>
  <c r="K182" i="1"/>
  <c r="L253" i="1"/>
  <c r="T253" i="1" s="1"/>
  <c r="K253" i="1"/>
  <c r="L244" i="1"/>
  <c r="T244" i="1" s="1"/>
  <c r="K244" i="1"/>
  <c r="L232" i="1"/>
  <c r="T232" i="1" s="1"/>
  <c r="K232" i="1"/>
  <c r="L220" i="1"/>
  <c r="T220" i="1" s="1"/>
  <c r="K220" i="1"/>
  <c r="L212" i="1"/>
  <c r="T212" i="1" s="1"/>
  <c r="K212" i="1"/>
  <c r="L208" i="1"/>
  <c r="T208" i="1" s="1"/>
  <c r="K208" i="1"/>
  <c r="L200" i="1"/>
  <c r="T200" i="1" s="1"/>
  <c r="K200" i="1"/>
  <c r="L188" i="1"/>
  <c r="T188" i="1" s="1"/>
  <c r="K188" i="1"/>
  <c r="L180" i="1"/>
  <c r="T180" i="1" s="1"/>
  <c r="K180" i="1"/>
  <c r="L176" i="1"/>
  <c r="T176" i="1" s="1"/>
  <c r="K176" i="1"/>
  <c r="L168" i="1"/>
  <c r="T168" i="1" s="1"/>
  <c r="K168" i="1"/>
  <c r="L156" i="1"/>
  <c r="T156" i="1" s="1"/>
  <c r="K156" i="1"/>
  <c r="L148" i="1"/>
  <c r="T148" i="1" s="1"/>
  <c r="K148" i="1"/>
  <c r="L144" i="1"/>
  <c r="T144" i="1" s="1"/>
  <c r="K144" i="1"/>
  <c r="L136" i="1"/>
  <c r="T136" i="1" s="1"/>
  <c r="K136" i="1"/>
  <c r="L124" i="1"/>
  <c r="T124" i="1" s="1"/>
  <c r="K124" i="1"/>
  <c r="L116" i="1"/>
  <c r="T116" i="1" s="1"/>
  <c r="K116" i="1"/>
  <c r="L112" i="1"/>
  <c r="T112" i="1" s="1"/>
  <c r="K112" i="1"/>
  <c r="L104" i="1"/>
  <c r="T104" i="1" s="1"/>
  <c r="K104" i="1"/>
  <c r="L92" i="1"/>
  <c r="T92" i="1" s="1"/>
  <c r="K92" i="1"/>
  <c r="L84" i="1"/>
  <c r="T84" i="1" s="1"/>
  <c r="K84" i="1"/>
  <c r="L80" i="1"/>
  <c r="T80" i="1" s="1"/>
  <c r="K80" i="1"/>
  <c r="L72" i="1"/>
  <c r="T72" i="1" s="1"/>
  <c r="K72" i="1"/>
  <c r="L60" i="1"/>
  <c r="T60" i="1" s="1"/>
  <c r="K60" i="1"/>
  <c r="L52" i="1"/>
  <c r="T52" i="1" s="1"/>
  <c r="K52" i="1"/>
  <c r="L48" i="1"/>
  <c r="T48" i="1" s="1"/>
  <c r="K48" i="1"/>
  <c r="L40" i="1"/>
  <c r="T40" i="1" s="1"/>
  <c r="K40" i="1"/>
  <c r="L28" i="1"/>
  <c r="T28" i="1" s="1"/>
  <c r="K28" i="1"/>
  <c r="L20" i="1"/>
  <c r="T20" i="1" s="1"/>
  <c r="K20" i="1"/>
  <c r="L16" i="1"/>
  <c r="T16" i="1" s="1"/>
  <c r="K16" i="1"/>
  <c r="L8" i="1"/>
  <c r="T8" i="1" s="1"/>
  <c r="K8" i="1"/>
  <c r="K198" i="1"/>
  <c r="L198" i="1"/>
  <c r="T198" i="1" s="1"/>
  <c r="L174" i="1"/>
  <c r="T174" i="1" s="1"/>
  <c r="K174" i="1"/>
  <c r="K142" i="1"/>
  <c r="L142" i="1"/>
  <c r="T142" i="1" s="1"/>
  <c r="L122" i="1"/>
  <c r="T122" i="1" s="1"/>
  <c r="K122" i="1"/>
  <c r="L257" i="1"/>
  <c r="T257" i="1" s="1"/>
  <c r="K257" i="1"/>
  <c r="L217" i="1"/>
  <c r="T217" i="1" s="1"/>
  <c r="K217" i="1"/>
  <c r="K193" i="1"/>
  <c r="L193" i="1"/>
  <c r="T193" i="1" s="1"/>
  <c r="L165" i="1"/>
  <c r="T165" i="1" s="1"/>
  <c r="K165" i="1"/>
  <c r="K133" i="1"/>
  <c r="L133" i="1"/>
  <c r="T133" i="1" s="1"/>
  <c r="L109" i="1"/>
  <c r="T109" i="1" s="1"/>
  <c r="K109" i="1"/>
  <c r="L65" i="1"/>
  <c r="T65" i="1" s="1"/>
  <c r="K65" i="1"/>
  <c r="K33" i="1"/>
  <c r="L33" i="1"/>
  <c r="T33" i="1" s="1"/>
  <c r="L255" i="1"/>
  <c r="T255" i="1" s="1"/>
  <c r="K255" i="1"/>
  <c r="L223" i="1"/>
  <c r="T223" i="1" s="1"/>
  <c r="K223" i="1"/>
  <c r="L191" i="1"/>
  <c r="T191" i="1" s="1"/>
  <c r="K191" i="1"/>
  <c r="L171" i="1"/>
  <c r="T171" i="1" s="1"/>
  <c r="K171" i="1"/>
  <c r="L151" i="1"/>
  <c r="T151" i="1" s="1"/>
  <c r="K151" i="1"/>
  <c r="L139" i="1"/>
  <c r="T139" i="1" s="1"/>
  <c r="K139" i="1"/>
  <c r="L119" i="1"/>
  <c r="T119" i="1" s="1"/>
  <c r="K119" i="1"/>
  <c r="L95" i="1"/>
  <c r="T95" i="1" s="1"/>
  <c r="K95" i="1"/>
  <c r="L75" i="1"/>
  <c r="T75" i="1" s="1"/>
  <c r="K75" i="1"/>
  <c r="L31" i="1"/>
  <c r="T31" i="1" s="1"/>
  <c r="K31" i="1"/>
  <c r="L246" i="1"/>
  <c r="T246" i="1" s="1"/>
  <c r="K246" i="1"/>
  <c r="L222" i="1"/>
  <c r="T222" i="1" s="1"/>
  <c r="K222" i="1"/>
  <c r="K214" i="1"/>
  <c r="L214" i="1"/>
  <c r="T214" i="1" s="1"/>
  <c r="L190" i="1"/>
  <c r="T190" i="1" s="1"/>
  <c r="K190" i="1"/>
  <c r="K241" i="1"/>
  <c r="L241" i="1"/>
  <c r="T241" i="1" s="1"/>
  <c r="L252" i="1"/>
  <c r="T252" i="1" s="1"/>
  <c r="K252" i="1"/>
  <c r="L240" i="1"/>
  <c r="T240" i="1" s="1"/>
  <c r="K240" i="1"/>
  <c r="L251" i="1"/>
  <c r="T251" i="1" s="1"/>
  <c r="K251" i="1"/>
  <c r="K243" i="1"/>
  <c r="L243" i="1"/>
  <c r="T243" i="1" s="1"/>
  <c r="L239" i="1"/>
  <c r="T239" i="1" s="1"/>
  <c r="K239" i="1"/>
  <c r="L231" i="1"/>
  <c r="T231" i="1" s="1"/>
  <c r="K231" i="1"/>
  <c r="K219" i="1"/>
  <c r="L219" i="1"/>
  <c r="T219" i="1" s="1"/>
  <c r="L211" i="1"/>
  <c r="T211" i="1" s="1"/>
  <c r="K211" i="1"/>
  <c r="K207" i="1"/>
  <c r="L207" i="1"/>
  <c r="T207" i="1" s="1"/>
  <c r="L199" i="1"/>
  <c r="T199" i="1" s="1"/>
  <c r="K199" i="1"/>
  <c r="L187" i="1"/>
  <c r="T187" i="1" s="1"/>
  <c r="K187" i="1"/>
  <c r="L179" i="1"/>
  <c r="T179" i="1" s="1"/>
  <c r="K179" i="1"/>
  <c r="K175" i="1"/>
  <c r="L175" i="1"/>
  <c r="T175" i="1" s="1"/>
  <c r="K167" i="1"/>
  <c r="L167" i="1"/>
  <c r="T167" i="1" s="1"/>
  <c r="K155" i="1"/>
  <c r="L155" i="1"/>
  <c r="T155" i="1" s="1"/>
  <c r="L147" i="1"/>
  <c r="T147" i="1" s="1"/>
  <c r="K147" i="1"/>
  <c r="K143" i="1"/>
  <c r="L143" i="1"/>
  <c r="T143" i="1" s="1"/>
  <c r="L135" i="1"/>
  <c r="T135" i="1" s="1"/>
  <c r="K135" i="1"/>
  <c r="K123" i="1"/>
  <c r="L123" i="1"/>
  <c r="T123" i="1" s="1"/>
  <c r="L115" i="1"/>
  <c r="T115" i="1" s="1"/>
  <c r="K115" i="1"/>
  <c r="L111" i="1"/>
  <c r="T111" i="1" s="1"/>
  <c r="K111" i="1"/>
  <c r="K103" i="1"/>
  <c r="L103" i="1"/>
  <c r="T103" i="1" s="1"/>
  <c r="K91" i="1"/>
  <c r="L91" i="1"/>
  <c r="T91" i="1" s="1"/>
  <c r="L83" i="1"/>
  <c r="T83" i="1" s="1"/>
  <c r="K83" i="1"/>
  <c r="L79" i="1"/>
  <c r="T79" i="1" s="1"/>
  <c r="K79" i="1"/>
  <c r="K71" i="1"/>
  <c r="L71" i="1"/>
  <c r="T71" i="1" s="1"/>
  <c r="L59" i="1"/>
  <c r="T59" i="1" s="1"/>
  <c r="K59" i="1"/>
  <c r="L51" i="1"/>
  <c r="T51" i="1" s="1"/>
  <c r="K51" i="1"/>
  <c r="L47" i="1"/>
  <c r="T47" i="1" s="1"/>
  <c r="K47" i="1"/>
  <c r="L39" i="1"/>
  <c r="T39" i="1" s="1"/>
  <c r="K39" i="1"/>
  <c r="L27" i="1"/>
  <c r="T27" i="1" s="1"/>
  <c r="K27" i="1"/>
  <c r="L19" i="1"/>
  <c r="T19" i="1" s="1"/>
  <c r="K19" i="1"/>
  <c r="L15" i="1"/>
  <c r="T15" i="1" s="1"/>
  <c r="K15" i="1"/>
  <c r="L7" i="1"/>
  <c r="T7" i="1" s="1"/>
  <c r="K7" i="1"/>
  <c r="O27" i="1" l="1"/>
  <c r="O59" i="1"/>
  <c r="O187" i="1"/>
  <c r="O251" i="1"/>
  <c r="O190" i="1"/>
  <c r="O31" i="1"/>
  <c r="O139" i="1"/>
  <c r="O223" i="1"/>
  <c r="O109" i="1"/>
  <c r="O217" i="1"/>
  <c r="O174" i="1"/>
  <c r="O20" i="1"/>
  <c r="O52" i="1"/>
  <c r="O84" i="1"/>
  <c r="O116" i="1"/>
  <c r="O148" i="1"/>
  <c r="O180" i="1"/>
  <c r="O212" i="1"/>
  <c r="O253" i="1"/>
  <c r="O35" i="1"/>
  <c r="O203" i="1"/>
  <c r="O69" i="1"/>
  <c r="O6" i="1"/>
  <c r="O9" i="1"/>
  <c r="O73" i="1"/>
  <c r="O169" i="1"/>
  <c r="O201" i="1"/>
  <c r="O233" i="1"/>
  <c r="O254" i="1"/>
  <c r="O87" i="1"/>
  <c r="O247" i="1"/>
  <c r="O225" i="1"/>
  <c r="O70" i="1"/>
  <c r="O30" i="1"/>
  <c r="O62" i="1"/>
  <c r="O94" i="1"/>
  <c r="O23" i="1"/>
  <c r="O163" i="1"/>
  <c r="O57" i="1"/>
  <c r="O154" i="1"/>
  <c r="O12" i="1"/>
  <c r="O76" i="1"/>
  <c r="O108" i="1"/>
  <c r="O140" i="1"/>
  <c r="O172" i="1"/>
  <c r="O204" i="1"/>
  <c r="O236" i="1"/>
  <c r="O121" i="1"/>
  <c r="O14" i="1"/>
  <c r="O38" i="1"/>
  <c r="O230" i="1"/>
  <c r="O89" i="1"/>
  <c r="O82" i="1"/>
  <c r="O185" i="1"/>
  <c r="O25" i="1"/>
  <c r="O157" i="1"/>
  <c r="O68" i="1"/>
  <c r="O189" i="1"/>
  <c r="O218" i="1"/>
  <c r="O114" i="1"/>
  <c r="O146" i="1"/>
  <c r="O135" i="1"/>
  <c r="O243" i="1"/>
  <c r="O238" i="1"/>
  <c r="O199" i="1"/>
  <c r="O231" i="1"/>
  <c r="O81" i="1"/>
  <c r="O145" i="1"/>
  <c r="O177" i="1"/>
  <c r="O11" i="1"/>
  <c r="O159" i="1"/>
  <c r="O45" i="1"/>
  <c r="O249" i="1"/>
  <c r="O2" i="1"/>
  <c r="O34" i="1"/>
  <c r="O66" i="1"/>
  <c r="O98" i="1"/>
  <c r="O55" i="1"/>
  <c r="O195" i="1"/>
  <c r="O24" i="1"/>
  <c r="O88" i="1"/>
  <c r="O120" i="1"/>
  <c r="O152" i="1"/>
  <c r="O193" i="1"/>
  <c r="O15" i="1"/>
  <c r="O47" i="1"/>
  <c r="O79" i="1"/>
  <c r="O111" i="1"/>
  <c r="O239" i="1"/>
  <c r="O252" i="1"/>
  <c r="O222" i="1"/>
  <c r="O95" i="1"/>
  <c r="O171" i="1"/>
  <c r="O165" i="1"/>
  <c r="O122" i="1"/>
  <c r="O8" i="1"/>
  <c r="O40" i="1"/>
  <c r="O72" i="1"/>
  <c r="O104" i="1"/>
  <c r="O136" i="1"/>
  <c r="O168" i="1"/>
  <c r="O200" i="1"/>
  <c r="O232" i="1"/>
  <c r="O234" i="1"/>
  <c r="O107" i="1"/>
  <c r="O13" i="1"/>
  <c r="O153" i="1"/>
  <c r="O78" i="1"/>
  <c r="O210" i="1"/>
  <c r="O21" i="1"/>
  <c r="O53" i="1"/>
  <c r="O117" i="1"/>
  <c r="O149" i="1"/>
  <c r="O181" i="1"/>
  <c r="O202" i="1"/>
  <c r="O43" i="1"/>
  <c r="O183" i="1"/>
  <c r="O173" i="1"/>
  <c r="O26" i="1"/>
  <c r="O10" i="1"/>
  <c r="O42" i="1"/>
  <c r="O138" i="1"/>
  <c r="O170" i="1"/>
  <c r="O99" i="1"/>
  <c r="O235" i="1"/>
  <c r="O161" i="1"/>
  <c r="O32" i="1"/>
  <c r="O96" i="1"/>
  <c r="O128" i="1"/>
  <c r="O160" i="1"/>
  <c r="O192" i="1"/>
  <c r="O224" i="1"/>
  <c r="O256" i="1"/>
  <c r="O110" i="1"/>
  <c r="O241" i="1"/>
  <c r="O237" i="1"/>
  <c r="O142" i="1"/>
  <c r="O102" i="1"/>
  <c r="O71" i="1"/>
  <c r="O103" i="1"/>
  <c r="O167" i="1"/>
  <c r="O214" i="1"/>
  <c r="O133" i="1"/>
  <c r="O198" i="1"/>
  <c r="O7" i="1"/>
  <c r="O39" i="1"/>
  <c r="O240" i="1"/>
  <c r="O75" i="1"/>
  <c r="O151" i="1"/>
  <c r="O255" i="1"/>
  <c r="O257" i="1"/>
  <c r="O28" i="1"/>
  <c r="O60" i="1"/>
  <c r="O92" i="1"/>
  <c r="O124" i="1"/>
  <c r="O156" i="1"/>
  <c r="O188" i="1"/>
  <c r="O220" i="1"/>
  <c r="O182" i="1"/>
  <c r="O63" i="1"/>
  <c r="O215" i="1"/>
  <c r="O58" i="1"/>
  <c r="O178" i="1"/>
  <c r="O17" i="1"/>
  <c r="O49" i="1"/>
  <c r="O184" i="1"/>
  <c r="O216" i="1"/>
  <c r="O248" i="1"/>
  <c r="O113" i="1"/>
  <c r="O209" i="1"/>
  <c r="O245" i="1"/>
  <c r="O141" i="1"/>
  <c r="O166" i="1"/>
  <c r="O130" i="1"/>
  <c r="O162" i="1"/>
  <c r="O101" i="1"/>
  <c r="O46" i="1"/>
  <c r="O206" i="1"/>
  <c r="O56" i="1"/>
  <c r="O143" i="1"/>
  <c r="O175" i="1"/>
  <c r="O207" i="1"/>
  <c r="O33" i="1"/>
  <c r="O85" i="1"/>
  <c r="O213" i="1"/>
  <c r="O77" i="1"/>
  <c r="O186" i="1"/>
  <c r="O74" i="1"/>
  <c r="O106" i="1"/>
  <c r="O90" i="1"/>
  <c r="O250" i="1"/>
  <c r="O64" i="1"/>
  <c r="O229" i="1"/>
  <c r="O19" i="1"/>
  <c r="O51" i="1"/>
  <c r="O83" i="1"/>
  <c r="O115" i="1"/>
  <c r="O147" i="1"/>
  <c r="O179" i="1"/>
  <c r="O211" i="1"/>
  <c r="O246" i="1"/>
  <c r="O119" i="1"/>
  <c r="O191" i="1"/>
  <c r="O65" i="1"/>
  <c r="O16" i="1"/>
  <c r="O48" i="1"/>
  <c r="O80" i="1"/>
  <c r="O112" i="1"/>
  <c r="O144" i="1"/>
  <c r="O176" i="1"/>
  <c r="O208" i="1"/>
  <c r="O244" i="1"/>
  <c r="O3" i="1"/>
  <c r="O131" i="1"/>
  <c r="O37" i="1"/>
  <c r="O29" i="1"/>
  <c r="O61" i="1"/>
  <c r="O93" i="1"/>
  <c r="O125" i="1"/>
  <c r="O221" i="1"/>
  <c r="O226" i="1"/>
  <c r="O67" i="1"/>
  <c r="O227" i="1"/>
  <c r="O97" i="1"/>
  <c r="O197" i="1"/>
  <c r="O50" i="1"/>
  <c r="O22" i="1"/>
  <c r="O54" i="1"/>
  <c r="O86" i="1"/>
  <c r="O118" i="1"/>
  <c r="O150" i="1"/>
  <c r="O194" i="1"/>
  <c r="O127" i="1"/>
  <c r="O205" i="1"/>
  <c r="O4" i="1"/>
  <c r="O36" i="1"/>
  <c r="O100" i="1"/>
  <c r="O132" i="1"/>
  <c r="O164" i="1"/>
  <c r="O196" i="1"/>
  <c r="O228" i="1"/>
  <c r="O5" i="1"/>
  <c r="O18" i="1"/>
  <c r="O91" i="1"/>
  <c r="O123" i="1"/>
  <c r="O155" i="1"/>
  <c r="O219" i="1"/>
  <c r="O134" i="1"/>
  <c r="O41" i="1"/>
  <c r="O105" i="1"/>
  <c r="O137" i="1"/>
  <c r="O129" i="1"/>
  <c r="O242" i="1"/>
  <c r="O126" i="1"/>
  <c r="O158" i="1"/>
  <c r="O44" i="1"/>
  <c r="N251" i="1"/>
  <c r="N31" i="1"/>
  <c r="N20" i="1"/>
  <c r="N148" i="1"/>
  <c r="N35" i="1"/>
  <c r="N69" i="1"/>
  <c r="N19" i="1"/>
  <c r="N147" i="1"/>
  <c r="N119" i="1"/>
  <c r="N191" i="1"/>
  <c r="N47" i="1"/>
  <c r="N252" i="1"/>
  <c r="N122" i="1"/>
  <c r="N72" i="1"/>
  <c r="N200" i="1"/>
  <c r="N232" i="1"/>
  <c r="N65" i="1"/>
  <c r="N48" i="1"/>
  <c r="N176" i="1"/>
  <c r="N131" i="1"/>
  <c r="N29" i="1"/>
  <c r="N199" i="1"/>
  <c r="N124" i="1"/>
  <c r="N182" i="1"/>
  <c r="N215" i="1"/>
  <c r="N53" i="1"/>
  <c r="N81" i="1"/>
  <c r="N181" i="1"/>
  <c r="N233" i="1"/>
  <c r="N226" i="1"/>
  <c r="N67" i="1"/>
  <c r="N183" i="1"/>
  <c r="N225" i="1"/>
  <c r="N70" i="1"/>
  <c r="N10" i="1"/>
  <c r="N34" i="1"/>
  <c r="N62" i="1"/>
  <c r="N86" i="1"/>
  <c r="N138" i="1"/>
  <c r="N23" i="1"/>
  <c r="N163" i="1"/>
  <c r="N57" i="1"/>
  <c r="N108" i="1"/>
  <c r="N132" i="1"/>
  <c r="N160" i="1"/>
  <c r="N184" i="1"/>
  <c r="N236" i="1"/>
  <c r="N5" i="1"/>
  <c r="N38" i="1"/>
  <c r="N7" i="1"/>
  <c r="N59" i="1"/>
  <c r="N83" i="1"/>
  <c r="N111" i="1"/>
  <c r="N135" i="1"/>
  <c r="N187" i="1"/>
  <c r="N211" i="1"/>
  <c r="N239" i="1"/>
  <c r="N246" i="1"/>
  <c r="N75" i="1"/>
  <c r="N151" i="1"/>
  <c r="N255" i="1"/>
  <c r="N257" i="1"/>
  <c r="N174" i="1"/>
  <c r="N8" i="1"/>
  <c r="N60" i="1"/>
  <c r="N84" i="1"/>
  <c r="N112" i="1"/>
  <c r="N136" i="1"/>
  <c r="N188" i="1"/>
  <c r="N212" i="1"/>
  <c r="N234" i="1"/>
  <c r="N13" i="1"/>
  <c r="N78" i="1"/>
  <c r="N178" i="1"/>
  <c r="N17" i="1"/>
  <c r="N93" i="1"/>
  <c r="N117" i="1"/>
  <c r="N145" i="1"/>
  <c r="N169" i="1"/>
  <c r="N221" i="1"/>
  <c r="N11" i="1"/>
  <c r="N227" i="1"/>
  <c r="N173" i="1"/>
  <c r="N26" i="1"/>
  <c r="N22" i="1"/>
  <c r="N98" i="1"/>
  <c r="N150" i="1"/>
  <c r="N194" i="1"/>
  <c r="N99" i="1"/>
  <c r="N235" i="1"/>
  <c r="N161" i="1"/>
  <c r="N96" i="1"/>
  <c r="N120" i="1"/>
  <c r="N172" i="1"/>
  <c r="N196" i="1"/>
  <c r="N224" i="1"/>
  <c r="N248" i="1"/>
  <c r="N110" i="1"/>
  <c r="N198" i="1"/>
  <c r="N25" i="1"/>
  <c r="N167" i="1"/>
  <c r="N243" i="1"/>
  <c r="N102" i="1"/>
  <c r="N166" i="1"/>
  <c r="N90" i="1"/>
  <c r="N4" i="1"/>
  <c r="N32" i="1"/>
  <c r="N106" i="1"/>
  <c r="N158" i="1"/>
  <c r="N91" i="1"/>
  <c r="N143" i="1"/>
  <c r="N219" i="1"/>
  <c r="N33" i="1"/>
  <c r="N130" i="1"/>
  <c r="N250" i="1"/>
  <c r="N146" i="1"/>
  <c r="N27" i="1"/>
  <c r="N51" i="1"/>
  <c r="N79" i="1"/>
  <c r="N179" i="1"/>
  <c r="N231" i="1"/>
  <c r="N222" i="1"/>
  <c r="N139" i="1"/>
  <c r="N223" i="1"/>
  <c r="N109" i="1"/>
  <c r="N217" i="1"/>
  <c r="N28" i="1"/>
  <c r="N52" i="1"/>
  <c r="N80" i="1"/>
  <c r="N104" i="1"/>
  <c r="N156" i="1"/>
  <c r="N180" i="1"/>
  <c r="N208" i="1"/>
  <c r="N244" i="1"/>
  <c r="N63" i="1"/>
  <c r="N58" i="1"/>
  <c r="N9" i="1"/>
  <c r="N61" i="1"/>
  <c r="N254" i="1"/>
  <c r="N87" i="1"/>
  <c r="N45" i="1"/>
  <c r="N249" i="1"/>
  <c r="N42" i="1"/>
  <c r="N66" i="1"/>
  <c r="N94" i="1"/>
  <c r="N118" i="1"/>
  <c r="N170" i="1"/>
  <c r="N55" i="1"/>
  <c r="N195" i="1"/>
  <c r="N14" i="1"/>
  <c r="N154" i="1"/>
  <c r="N12" i="1"/>
  <c r="N36" i="1"/>
  <c r="N88" i="1"/>
  <c r="N140" i="1"/>
  <c r="N164" i="1"/>
  <c r="N192" i="1"/>
  <c r="N216" i="1"/>
  <c r="N230" i="1"/>
  <c r="N46" i="1"/>
  <c r="N206" i="1"/>
  <c r="N15" i="1"/>
  <c r="N39" i="1"/>
  <c r="N115" i="1"/>
  <c r="N240" i="1"/>
  <c r="N190" i="1"/>
  <c r="N95" i="1"/>
  <c r="N171" i="1"/>
  <c r="N165" i="1"/>
  <c r="N16" i="1"/>
  <c r="N40" i="1"/>
  <c r="N92" i="1"/>
  <c r="N116" i="1"/>
  <c r="N144" i="1"/>
  <c r="N168" i="1"/>
  <c r="N220" i="1"/>
  <c r="N253" i="1"/>
  <c r="N3" i="1"/>
  <c r="N107" i="1"/>
  <c r="N203" i="1"/>
  <c r="N37" i="1"/>
  <c r="N153" i="1"/>
  <c r="N6" i="1"/>
  <c r="N210" i="1"/>
  <c r="N21" i="1"/>
  <c r="N49" i="1"/>
  <c r="N73" i="1"/>
  <c r="N125" i="1"/>
  <c r="N149" i="1"/>
  <c r="N177" i="1"/>
  <c r="N201" i="1"/>
  <c r="N202" i="1"/>
  <c r="N43" i="1"/>
  <c r="N159" i="1"/>
  <c r="N247" i="1"/>
  <c r="N97" i="1"/>
  <c r="N197" i="1"/>
  <c r="N50" i="1"/>
  <c r="N2" i="1"/>
  <c r="N30" i="1"/>
  <c r="N54" i="1"/>
  <c r="N127" i="1"/>
  <c r="N205" i="1"/>
  <c r="N24" i="1"/>
  <c r="N76" i="1"/>
  <c r="N100" i="1"/>
  <c r="N128" i="1"/>
  <c r="N152" i="1"/>
  <c r="N204" i="1"/>
  <c r="N228" i="1"/>
  <c r="N256" i="1"/>
  <c r="N121" i="1"/>
  <c r="N18" i="1"/>
  <c r="N74" i="1"/>
  <c r="N77" i="1"/>
  <c r="N175" i="1"/>
  <c r="N214" i="1"/>
  <c r="N157" i="1"/>
  <c r="N209" i="1"/>
  <c r="N129" i="1"/>
  <c r="N186" i="1"/>
  <c r="N162" i="1"/>
  <c r="N114" i="1"/>
  <c r="N56" i="1"/>
  <c r="N133" i="1"/>
  <c r="N237" i="1"/>
  <c r="N44" i="1"/>
  <c r="N68" i="1"/>
  <c r="N229" i="1"/>
  <c r="N71" i="1"/>
  <c r="N123" i="1"/>
  <c r="N238" i="1"/>
  <c r="N105" i="1"/>
  <c r="N41" i="1"/>
  <c r="N242" i="1"/>
  <c r="N126" i="1"/>
  <c r="N193" i="1"/>
  <c r="N134" i="1"/>
  <c r="N103" i="1"/>
  <c r="N155" i="1"/>
  <c r="N207" i="1"/>
  <c r="N241" i="1"/>
  <c r="N142" i="1"/>
  <c r="N89" i="1"/>
  <c r="N85" i="1"/>
  <c r="N113" i="1"/>
  <c r="N137" i="1"/>
  <c r="N189" i="1"/>
  <c r="N213" i="1"/>
  <c r="N245" i="1"/>
  <c r="N141" i="1"/>
  <c r="N218" i="1"/>
  <c r="N101" i="1"/>
  <c r="N64" i="1"/>
  <c r="N185" i="1"/>
  <c r="N82" i="1"/>
  <c r="E2" i="13" l="1"/>
  <c r="E4" i="13"/>
  <c r="B4" i="13"/>
  <c r="C3" i="13"/>
  <c r="E5" i="13"/>
  <c r="B3" i="13"/>
  <c r="E3" i="13"/>
  <c r="C5" i="13"/>
  <c r="D3" i="13"/>
  <c r="D2" i="13"/>
  <c r="D4" i="13"/>
  <c r="D5" i="13"/>
  <c r="C4" i="13"/>
  <c r="B5" i="13"/>
  <c r="B2" i="13"/>
  <c r="C2" i="13"/>
  <c r="P85" i="1"/>
  <c r="Q85" i="1"/>
  <c r="R85" i="1"/>
  <c r="S85" i="1"/>
  <c r="P186" i="1"/>
  <c r="Q186" i="1"/>
  <c r="R186" i="1"/>
  <c r="S186" i="1"/>
  <c r="P197" i="1"/>
  <c r="Q197" i="1"/>
  <c r="R197" i="1"/>
  <c r="S197" i="1"/>
  <c r="P116" i="1"/>
  <c r="R116" i="1"/>
  <c r="S116" i="1"/>
  <c r="Q116" i="1"/>
  <c r="P192" i="1"/>
  <c r="Q192" i="1"/>
  <c r="R192" i="1"/>
  <c r="S192" i="1"/>
  <c r="P208" i="1"/>
  <c r="Q208" i="1"/>
  <c r="R208" i="1"/>
  <c r="S208" i="1"/>
  <c r="P167" i="1"/>
  <c r="Q167" i="1"/>
  <c r="R167" i="1"/>
  <c r="S167" i="1"/>
  <c r="P117" i="1"/>
  <c r="Q117" i="1"/>
  <c r="R117" i="1"/>
  <c r="S117" i="1"/>
  <c r="P111" i="1"/>
  <c r="Q111" i="1"/>
  <c r="R111" i="1"/>
  <c r="S111" i="1"/>
  <c r="P233" i="1"/>
  <c r="R233" i="1"/>
  <c r="Q233" i="1"/>
  <c r="S233" i="1"/>
  <c r="P122" i="1"/>
  <c r="Q122" i="1"/>
  <c r="R122" i="1"/>
  <c r="S122" i="1"/>
  <c r="P218" i="1"/>
  <c r="Q218" i="1"/>
  <c r="R218" i="1"/>
  <c r="S218" i="1"/>
  <c r="P126" i="1"/>
  <c r="R126" i="1"/>
  <c r="S126" i="1"/>
  <c r="Q126" i="1"/>
  <c r="P121" i="1"/>
  <c r="S121" i="1"/>
  <c r="Q121" i="1"/>
  <c r="R121" i="1"/>
  <c r="P125" i="1"/>
  <c r="Q125" i="1"/>
  <c r="R125" i="1"/>
  <c r="S125" i="1"/>
  <c r="P115" i="1"/>
  <c r="R115" i="1"/>
  <c r="S115" i="1"/>
  <c r="Q115" i="1"/>
  <c r="P87" i="1"/>
  <c r="Q87" i="1"/>
  <c r="R87" i="1"/>
  <c r="S87" i="1"/>
  <c r="P146" i="1"/>
  <c r="Q146" i="1"/>
  <c r="R146" i="1"/>
  <c r="S146" i="1"/>
  <c r="P96" i="1"/>
  <c r="Q96" i="1"/>
  <c r="R96" i="1"/>
  <c r="S96" i="1"/>
  <c r="P151" i="1"/>
  <c r="Q151" i="1"/>
  <c r="R151" i="1"/>
  <c r="S151" i="1"/>
  <c r="P34" i="1"/>
  <c r="Q34" i="1"/>
  <c r="R34" i="1"/>
  <c r="S34" i="1"/>
  <c r="P148" i="1"/>
  <c r="R148" i="1"/>
  <c r="S148" i="1"/>
  <c r="Q148" i="1"/>
  <c r="P142" i="1"/>
  <c r="Q142" i="1"/>
  <c r="S142" i="1"/>
  <c r="R142" i="1"/>
  <c r="P256" i="1"/>
  <c r="R256" i="1"/>
  <c r="S256" i="1"/>
  <c r="Q256" i="1"/>
  <c r="P247" i="1"/>
  <c r="Q247" i="1"/>
  <c r="R247" i="1"/>
  <c r="S247" i="1"/>
  <c r="P140" i="1"/>
  <c r="R140" i="1"/>
  <c r="S140" i="1"/>
  <c r="Q140" i="1"/>
  <c r="P156" i="1"/>
  <c r="R156" i="1"/>
  <c r="S156" i="1"/>
  <c r="Q156" i="1"/>
  <c r="P32" i="1"/>
  <c r="Q32" i="1"/>
  <c r="R32" i="1"/>
  <c r="S32" i="1"/>
  <c r="P173" i="1"/>
  <c r="Q173" i="1"/>
  <c r="R173" i="1"/>
  <c r="S173" i="1"/>
  <c r="P75" i="1"/>
  <c r="Q75" i="1"/>
  <c r="R75" i="1"/>
  <c r="S75" i="1"/>
  <c r="P81" i="1"/>
  <c r="S81" i="1"/>
  <c r="R81" i="1"/>
  <c r="Q81" i="1"/>
  <c r="P47" i="1"/>
  <c r="Q47" i="1"/>
  <c r="R47" i="1"/>
  <c r="S47" i="1"/>
  <c r="P245" i="1"/>
  <c r="S245" i="1"/>
  <c r="Q245" i="1"/>
  <c r="R245" i="1"/>
  <c r="P237" i="1"/>
  <c r="S237" i="1"/>
  <c r="R237" i="1"/>
  <c r="Q237" i="1"/>
  <c r="P127" i="1"/>
  <c r="Q127" i="1"/>
  <c r="R127" i="1"/>
  <c r="S127" i="1"/>
  <c r="P3" i="1"/>
  <c r="Q3" i="1"/>
  <c r="R3" i="1"/>
  <c r="S3" i="1"/>
  <c r="P88" i="1"/>
  <c r="Q88" i="1"/>
  <c r="R88" i="1"/>
  <c r="S88" i="1"/>
  <c r="P104" i="1"/>
  <c r="Q104" i="1"/>
  <c r="R104" i="1"/>
  <c r="S104" i="1"/>
  <c r="P130" i="1"/>
  <c r="Q130" i="1"/>
  <c r="R130" i="1"/>
  <c r="S130" i="1"/>
  <c r="P4" i="1"/>
  <c r="R4" i="1"/>
  <c r="S4" i="1"/>
  <c r="Q4" i="1"/>
  <c r="P110" i="1"/>
  <c r="Q110" i="1"/>
  <c r="R110" i="1"/>
  <c r="S110" i="1"/>
  <c r="P235" i="1"/>
  <c r="Q235" i="1"/>
  <c r="R235" i="1"/>
  <c r="S235" i="1"/>
  <c r="P227" i="1"/>
  <c r="Q227" i="1"/>
  <c r="R227" i="1"/>
  <c r="S227" i="1"/>
  <c r="P178" i="1"/>
  <c r="Q178" i="1"/>
  <c r="R178" i="1"/>
  <c r="S178" i="1"/>
  <c r="P84" i="1"/>
  <c r="R84" i="1"/>
  <c r="S84" i="1"/>
  <c r="Q84" i="1"/>
  <c r="P246" i="1"/>
  <c r="S246" i="1"/>
  <c r="Q246" i="1"/>
  <c r="R246" i="1"/>
  <c r="P7" i="1"/>
  <c r="Q7" i="1"/>
  <c r="R7" i="1"/>
  <c r="S7" i="1"/>
  <c r="P57" i="1"/>
  <c r="S57" i="1"/>
  <c r="Q57" i="1"/>
  <c r="R57" i="1"/>
  <c r="P70" i="1"/>
  <c r="Q70" i="1"/>
  <c r="S70" i="1"/>
  <c r="R70" i="1"/>
  <c r="P53" i="1"/>
  <c r="Q53" i="1"/>
  <c r="R53" i="1"/>
  <c r="S53" i="1"/>
  <c r="P48" i="1"/>
  <c r="Q48" i="1"/>
  <c r="R48" i="1"/>
  <c r="S48" i="1"/>
  <c r="P191" i="1"/>
  <c r="Q191" i="1"/>
  <c r="R191" i="1"/>
  <c r="S191" i="1"/>
  <c r="P31" i="1"/>
  <c r="Q31" i="1"/>
  <c r="R31" i="1"/>
  <c r="S31" i="1"/>
  <c r="P213" i="1"/>
  <c r="Q213" i="1"/>
  <c r="R213" i="1"/>
  <c r="S213" i="1"/>
  <c r="P207" i="1"/>
  <c r="Q207" i="1"/>
  <c r="R207" i="1"/>
  <c r="S207" i="1"/>
  <c r="P105" i="1"/>
  <c r="S105" i="1"/>
  <c r="R105" i="1"/>
  <c r="Q105" i="1"/>
  <c r="P133" i="1"/>
  <c r="Q133" i="1"/>
  <c r="R133" i="1"/>
  <c r="S133" i="1"/>
  <c r="P214" i="1"/>
  <c r="S214" i="1"/>
  <c r="Q214" i="1"/>
  <c r="R214" i="1"/>
  <c r="P204" i="1"/>
  <c r="R204" i="1"/>
  <c r="S204" i="1"/>
  <c r="Q204" i="1"/>
  <c r="P54" i="1"/>
  <c r="Q54" i="1"/>
  <c r="S54" i="1"/>
  <c r="R54" i="1"/>
  <c r="P43" i="1"/>
  <c r="Q43" i="1"/>
  <c r="R43" i="1"/>
  <c r="S43" i="1"/>
  <c r="P21" i="1"/>
  <c r="Q21" i="1"/>
  <c r="R21" i="1"/>
  <c r="S21" i="1"/>
  <c r="P253" i="1"/>
  <c r="S253" i="1"/>
  <c r="Q253" i="1"/>
  <c r="R253" i="1"/>
  <c r="P165" i="1"/>
  <c r="Q165" i="1"/>
  <c r="R165" i="1"/>
  <c r="S165" i="1"/>
  <c r="P206" i="1"/>
  <c r="Q206" i="1"/>
  <c r="R206" i="1"/>
  <c r="S206" i="1"/>
  <c r="P36" i="1"/>
  <c r="R36" i="1"/>
  <c r="S36" i="1"/>
  <c r="Q36" i="1"/>
  <c r="P94" i="1"/>
  <c r="Q94" i="1"/>
  <c r="R94" i="1"/>
  <c r="S94" i="1"/>
  <c r="P9" i="1"/>
  <c r="S9" i="1"/>
  <c r="Q9" i="1"/>
  <c r="R9" i="1"/>
  <c r="P80" i="1"/>
  <c r="Q80" i="1"/>
  <c r="R80" i="1"/>
  <c r="S80" i="1"/>
  <c r="P231" i="1"/>
  <c r="Q231" i="1"/>
  <c r="S231" i="1"/>
  <c r="R231" i="1"/>
  <c r="P33" i="1"/>
  <c r="S33" i="1"/>
  <c r="R33" i="1"/>
  <c r="Q33" i="1"/>
  <c r="P90" i="1"/>
  <c r="Q90" i="1"/>
  <c r="R90" i="1"/>
  <c r="S90" i="1"/>
  <c r="P248" i="1"/>
  <c r="R248" i="1"/>
  <c r="Q248" i="1"/>
  <c r="S248" i="1"/>
  <c r="P99" i="1"/>
  <c r="Q99" i="1"/>
  <c r="R99" i="1"/>
  <c r="S99" i="1"/>
  <c r="P11" i="1"/>
  <c r="Q11" i="1"/>
  <c r="R11" i="1"/>
  <c r="S11" i="1"/>
  <c r="P78" i="1"/>
  <c r="Q78" i="1"/>
  <c r="R78" i="1"/>
  <c r="S78" i="1"/>
  <c r="P60" i="1"/>
  <c r="R60" i="1"/>
  <c r="S60" i="1"/>
  <c r="Q60" i="1"/>
  <c r="P239" i="1"/>
  <c r="Q239" i="1"/>
  <c r="R239" i="1"/>
  <c r="S239" i="1"/>
  <c r="P38" i="1"/>
  <c r="Q38" i="1"/>
  <c r="S38" i="1"/>
  <c r="R38" i="1"/>
  <c r="P163" i="1"/>
  <c r="Q163" i="1"/>
  <c r="R163" i="1"/>
  <c r="S163" i="1"/>
  <c r="P225" i="1"/>
  <c r="S225" i="1"/>
  <c r="R225" i="1"/>
  <c r="Q225" i="1"/>
  <c r="P215" i="1"/>
  <c r="Q215" i="1"/>
  <c r="R215" i="1"/>
  <c r="S215" i="1"/>
  <c r="P65" i="1"/>
  <c r="S65" i="1"/>
  <c r="R65" i="1"/>
  <c r="Q65" i="1"/>
  <c r="P119" i="1"/>
  <c r="Q119" i="1"/>
  <c r="R119" i="1"/>
  <c r="S119" i="1"/>
  <c r="P251" i="1"/>
  <c r="Q251" i="1"/>
  <c r="S251" i="1"/>
  <c r="R251" i="1"/>
  <c r="P101" i="1"/>
  <c r="Q101" i="1"/>
  <c r="R101" i="1"/>
  <c r="S101" i="1"/>
  <c r="P229" i="1"/>
  <c r="Q229" i="1"/>
  <c r="R229" i="1"/>
  <c r="S229" i="1"/>
  <c r="P18" i="1"/>
  <c r="Q18" i="1"/>
  <c r="R18" i="1"/>
  <c r="S18" i="1"/>
  <c r="P149" i="1"/>
  <c r="Q149" i="1"/>
  <c r="R149" i="1"/>
  <c r="S149" i="1"/>
  <c r="P240" i="1"/>
  <c r="R240" i="1"/>
  <c r="Q240" i="1"/>
  <c r="S240" i="1"/>
  <c r="P45" i="1"/>
  <c r="Q45" i="1"/>
  <c r="R45" i="1"/>
  <c r="S45" i="1"/>
  <c r="P27" i="1"/>
  <c r="Q27" i="1"/>
  <c r="R27" i="1"/>
  <c r="S27" i="1"/>
  <c r="P120" i="1"/>
  <c r="Q120" i="1"/>
  <c r="R120" i="1"/>
  <c r="S120" i="1"/>
  <c r="P188" i="1"/>
  <c r="R188" i="1"/>
  <c r="S188" i="1"/>
  <c r="Q188" i="1"/>
  <c r="P160" i="1"/>
  <c r="Q160" i="1"/>
  <c r="R160" i="1"/>
  <c r="S160" i="1"/>
  <c r="P29" i="1"/>
  <c r="Q29" i="1"/>
  <c r="R29" i="1"/>
  <c r="S29" i="1"/>
  <c r="P89" i="1"/>
  <c r="S89" i="1"/>
  <c r="Q89" i="1"/>
  <c r="R89" i="1"/>
  <c r="P129" i="1"/>
  <c r="S129" i="1"/>
  <c r="R129" i="1"/>
  <c r="Q129" i="1"/>
  <c r="P97" i="1"/>
  <c r="S97" i="1"/>
  <c r="R97" i="1"/>
  <c r="Q97" i="1"/>
  <c r="P92" i="1"/>
  <c r="R92" i="1"/>
  <c r="S92" i="1"/>
  <c r="Q92" i="1"/>
  <c r="P55" i="1"/>
  <c r="Q55" i="1"/>
  <c r="R55" i="1"/>
  <c r="S55" i="1"/>
  <c r="P223" i="1"/>
  <c r="Q223" i="1"/>
  <c r="R223" i="1"/>
  <c r="S223" i="1"/>
  <c r="P106" i="1"/>
  <c r="Q106" i="1"/>
  <c r="R106" i="1"/>
  <c r="S106" i="1"/>
  <c r="P93" i="1"/>
  <c r="Q93" i="1"/>
  <c r="R93" i="1"/>
  <c r="S93" i="1"/>
  <c r="P83" i="1"/>
  <c r="Q83" i="1"/>
  <c r="S83" i="1"/>
  <c r="R83" i="1"/>
  <c r="P181" i="1"/>
  <c r="Q181" i="1"/>
  <c r="R181" i="1"/>
  <c r="S181" i="1"/>
  <c r="P131" i="1"/>
  <c r="S131" i="1"/>
  <c r="Q131" i="1"/>
  <c r="R131" i="1"/>
  <c r="P242" i="1"/>
  <c r="R242" i="1"/>
  <c r="S242" i="1"/>
  <c r="Q242" i="1"/>
  <c r="P209" i="1"/>
  <c r="S209" i="1"/>
  <c r="R209" i="1"/>
  <c r="Q209" i="1"/>
  <c r="P73" i="1"/>
  <c r="S73" i="1"/>
  <c r="Q73" i="1"/>
  <c r="R73" i="1"/>
  <c r="P40" i="1"/>
  <c r="Q40" i="1"/>
  <c r="R40" i="1"/>
  <c r="S40" i="1"/>
  <c r="P170" i="1"/>
  <c r="Q170" i="1"/>
  <c r="R170" i="1"/>
  <c r="S170" i="1"/>
  <c r="P139" i="1"/>
  <c r="Q139" i="1"/>
  <c r="R139" i="1"/>
  <c r="S139" i="1"/>
  <c r="P198" i="1"/>
  <c r="S198" i="1"/>
  <c r="Q198" i="1"/>
  <c r="R198" i="1"/>
  <c r="P17" i="1"/>
  <c r="S17" i="1"/>
  <c r="R17" i="1"/>
  <c r="Q17" i="1"/>
  <c r="P59" i="1"/>
  <c r="Q59" i="1"/>
  <c r="R59" i="1"/>
  <c r="S59" i="1"/>
  <c r="P10" i="1"/>
  <c r="Q10" i="1"/>
  <c r="R10" i="1"/>
  <c r="S10" i="1"/>
  <c r="P176" i="1"/>
  <c r="Q176" i="1"/>
  <c r="R176" i="1"/>
  <c r="S176" i="1"/>
  <c r="P241" i="1"/>
  <c r="R241" i="1"/>
  <c r="Q241" i="1"/>
  <c r="S241" i="1"/>
  <c r="P157" i="1"/>
  <c r="Q157" i="1"/>
  <c r="R157" i="1"/>
  <c r="S157" i="1"/>
  <c r="P49" i="1"/>
  <c r="S49" i="1"/>
  <c r="R49" i="1"/>
  <c r="Q49" i="1"/>
  <c r="P15" i="1"/>
  <c r="Q15" i="1"/>
  <c r="R15" i="1"/>
  <c r="S15" i="1"/>
  <c r="P118" i="1"/>
  <c r="Q118" i="1"/>
  <c r="S118" i="1"/>
  <c r="R118" i="1"/>
  <c r="P222" i="1"/>
  <c r="S222" i="1"/>
  <c r="Q222" i="1"/>
  <c r="R222" i="1"/>
  <c r="P189" i="1"/>
  <c r="Q189" i="1"/>
  <c r="R189" i="1"/>
  <c r="S189" i="1"/>
  <c r="P238" i="1"/>
  <c r="S238" i="1"/>
  <c r="Q238" i="1"/>
  <c r="R238" i="1"/>
  <c r="P175" i="1"/>
  <c r="Q175" i="1"/>
  <c r="R175" i="1"/>
  <c r="S175" i="1"/>
  <c r="P30" i="1"/>
  <c r="Q30" i="1"/>
  <c r="R30" i="1"/>
  <c r="S30" i="1"/>
  <c r="P210" i="1"/>
  <c r="Q210" i="1"/>
  <c r="R210" i="1"/>
  <c r="S210" i="1"/>
  <c r="P171" i="1"/>
  <c r="Q171" i="1"/>
  <c r="R171" i="1"/>
  <c r="S171" i="1"/>
  <c r="P12" i="1"/>
  <c r="R12" i="1"/>
  <c r="S12" i="1"/>
  <c r="Q12" i="1"/>
  <c r="P58" i="1"/>
  <c r="Q58" i="1"/>
  <c r="R58" i="1"/>
  <c r="S58" i="1"/>
  <c r="P179" i="1"/>
  <c r="Q179" i="1"/>
  <c r="R179" i="1"/>
  <c r="S179" i="1"/>
  <c r="P224" i="1"/>
  <c r="Q224" i="1"/>
  <c r="R224" i="1"/>
  <c r="S224" i="1"/>
  <c r="P194" i="1"/>
  <c r="Q194" i="1"/>
  <c r="R194" i="1"/>
  <c r="S194" i="1"/>
  <c r="P13" i="1"/>
  <c r="Q13" i="1"/>
  <c r="R13" i="1"/>
  <c r="S13" i="1"/>
  <c r="P211" i="1"/>
  <c r="Q211" i="1"/>
  <c r="S211" i="1"/>
  <c r="R211" i="1"/>
  <c r="P23" i="1"/>
  <c r="Q23" i="1"/>
  <c r="R23" i="1"/>
  <c r="S23" i="1"/>
  <c r="P182" i="1"/>
  <c r="S182" i="1"/>
  <c r="Q182" i="1"/>
  <c r="R182" i="1"/>
  <c r="P147" i="1"/>
  <c r="Q147" i="1"/>
  <c r="R147" i="1"/>
  <c r="S147" i="1"/>
  <c r="P185" i="1"/>
  <c r="S185" i="1"/>
  <c r="Q185" i="1"/>
  <c r="R185" i="1"/>
  <c r="P137" i="1"/>
  <c r="S137" i="1"/>
  <c r="Q137" i="1"/>
  <c r="R137" i="1"/>
  <c r="P103" i="1"/>
  <c r="Q103" i="1"/>
  <c r="R103" i="1"/>
  <c r="S103" i="1"/>
  <c r="P123" i="1"/>
  <c r="Q123" i="1"/>
  <c r="R123" i="1"/>
  <c r="S123" i="1"/>
  <c r="P114" i="1"/>
  <c r="Q114" i="1"/>
  <c r="R114" i="1"/>
  <c r="S114" i="1"/>
  <c r="P77" i="1"/>
  <c r="Q77" i="1"/>
  <c r="R77" i="1"/>
  <c r="S77" i="1"/>
  <c r="P128" i="1"/>
  <c r="Q128" i="1"/>
  <c r="R128" i="1"/>
  <c r="S128" i="1"/>
  <c r="P2" i="1"/>
  <c r="Q2" i="1"/>
  <c r="S2" i="1"/>
  <c r="R2" i="1"/>
  <c r="P201" i="1"/>
  <c r="S201" i="1"/>
  <c r="R201" i="1"/>
  <c r="Q201" i="1"/>
  <c r="P6" i="1"/>
  <c r="Q6" i="1"/>
  <c r="S6" i="1"/>
  <c r="R6" i="1"/>
  <c r="P168" i="1"/>
  <c r="Q168" i="1"/>
  <c r="R168" i="1"/>
  <c r="S168" i="1"/>
  <c r="P95" i="1"/>
  <c r="Q95" i="1"/>
  <c r="R95" i="1"/>
  <c r="S95" i="1"/>
  <c r="P230" i="1"/>
  <c r="S230" i="1"/>
  <c r="R230" i="1"/>
  <c r="Q230" i="1"/>
  <c r="P154" i="1"/>
  <c r="Q154" i="1"/>
  <c r="R154" i="1"/>
  <c r="S154" i="1"/>
  <c r="P42" i="1"/>
  <c r="Q42" i="1"/>
  <c r="R42" i="1"/>
  <c r="S42" i="1"/>
  <c r="P63" i="1"/>
  <c r="Q63" i="1"/>
  <c r="R63" i="1"/>
  <c r="S63" i="1"/>
  <c r="P28" i="1"/>
  <c r="R28" i="1"/>
  <c r="S28" i="1"/>
  <c r="Q28" i="1"/>
  <c r="P79" i="1"/>
  <c r="Q79" i="1"/>
  <c r="R79" i="1"/>
  <c r="S79" i="1"/>
  <c r="P143" i="1"/>
  <c r="Q143" i="1"/>
  <c r="R143" i="1"/>
  <c r="S143" i="1"/>
  <c r="P102" i="1"/>
  <c r="Q102" i="1"/>
  <c r="S102" i="1"/>
  <c r="R102" i="1"/>
  <c r="P196" i="1"/>
  <c r="R196" i="1"/>
  <c r="S196" i="1"/>
  <c r="Q196" i="1"/>
  <c r="P150" i="1"/>
  <c r="Q150" i="1"/>
  <c r="S150" i="1"/>
  <c r="R150" i="1"/>
  <c r="P169" i="1"/>
  <c r="S169" i="1"/>
  <c r="Q169" i="1"/>
  <c r="R169" i="1"/>
  <c r="P234" i="1"/>
  <c r="Q234" i="1"/>
  <c r="R234" i="1"/>
  <c r="S234" i="1"/>
  <c r="P174" i="1"/>
  <c r="Q174" i="1"/>
  <c r="R174" i="1"/>
  <c r="S174" i="1"/>
  <c r="P187" i="1"/>
  <c r="Q187" i="1"/>
  <c r="S187" i="1"/>
  <c r="R187" i="1"/>
  <c r="P236" i="1"/>
  <c r="Q236" i="1"/>
  <c r="R236" i="1"/>
  <c r="S236" i="1"/>
  <c r="P138" i="1"/>
  <c r="Q138" i="1"/>
  <c r="R138" i="1"/>
  <c r="S138" i="1"/>
  <c r="P67" i="1"/>
  <c r="Q67" i="1"/>
  <c r="R67" i="1"/>
  <c r="S67" i="1"/>
  <c r="P124" i="1"/>
  <c r="R124" i="1"/>
  <c r="S124" i="1"/>
  <c r="Q124" i="1"/>
  <c r="P200" i="1"/>
  <c r="Q200" i="1"/>
  <c r="R200" i="1"/>
  <c r="S200" i="1"/>
  <c r="P19" i="1"/>
  <c r="Q19" i="1"/>
  <c r="R19" i="1"/>
  <c r="S19" i="1"/>
  <c r="P193" i="1"/>
  <c r="S193" i="1"/>
  <c r="R193" i="1"/>
  <c r="Q193" i="1"/>
  <c r="P76" i="1"/>
  <c r="R76" i="1"/>
  <c r="S76" i="1"/>
  <c r="Q76" i="1"/>
  <c r="P37" i="1"/>
  <c r="Q37" i="1"/>
  <c r="R37" i="1"/>
  <c r="S37" i="1"/>
  <c r="P195" i="1"/>
  <c r="R195" i="1"/>
  <c r="S195" i="1"/>
  <c r="Q195" i="1"/>
  <c r="P109" i="1"/>
  <c r="Q109" i="1"/>
  <c r="R109" i="1"/>
  <c r="S109" i="1"/>
  <c r="P158" i="1"/>
  <c r="Q158" i="1"/>
  <c r="R158" i="1"/>
  <c r="S158" i="1"/>
  <c r="P22" i="1"/>
  <c r="Q22" i="1"/>
  <c r="S22" i="1"/>
  <c r="R22" i="1"/>
  <c r="P255" i="1"/>
  <c r="R255" i="1"/>
  <c r="S255" i="1"/>
  <c r="Q255" i="1"/>
  <c r="P62" i="1"/>
  <c r="Q62" i="1"/>
  <c r="R62" i="1"/>
  <c r="S62" i="1"/>
  <c r="P35" i="1"/>
  <c r="Q35" i="1"/>
  <c r="R35" i="1"/>
  <c r="S35" i="1"/>
  <c r="P68" i="1"/>
  <c r="R68" i="1"/>
  <c r="S68" i="1"/>
  <c r="Q68" i="1"/>
  <c r="P24" i="1"/>
  <c r="Q24" i="1"/>
  <c r="R24" i="1"/>
  <c r="S24" i="1"/>
  <c r="P203" i="1"/>
  <c r="Q203" i="1"/>
  <c r="R203" i="1"/>
  <c r="S203" i="1"/>
  <c r="P164" i="1"/>
  <c r="R164" i="1"/>
  <c r="S164" i="1"/>
  <c r="Q164" i="1"/>
  <c r="P180" i="1"/>
  <c r="R180" i="1"/>
  <c r="S180" i="1"/>
  <c r="Q180" i="1"/>
  <c r="P25" i="1"/>
  <c r="S25" i="1"/>
  <c r="Q25" i="1"/>
  <c r="R25" i="1"/>
  <c r="P26" i="1"/>
  <c r="Q26" i="1"/>
  <c r="R26" i="1"/>
  <c r="S26" i="1"/>
  <c r="P136" i="1"/>
  <c r="Q136" i="1"/>
  <c r="R136" i="1"/>
  <c r="S136" i="1"/>
  <c r="P132" i="1"/>
  <c r="R132" i="1"/>
  <c r="S132" i="1"/>
  <c r="Q132" i="1"/>
  <c r="P252" i="1"/>
  <c r="Q252" i="1"/>
  <c r="R252" i="1"/>
  <c r="S252" i="1"/>
  <c r="P141" i="1"/>
  <c r="Q141" i="1"/>
  <c r="R141" i="1"/>
  <c r="S141" i="1"/>
  <c r="P44" i="1"/>
  <c r="R44" i="1"/>
  <c r="S44" i="1"/>
  <c r="Q44" i="1"/>
  <c r="P205" i="1"/>
  <c r="Q205" i="1"/>
  <c r="R205" i="1"/>
  <c r="S205" i="1"/>
  <c r="P107" i="1"/>
  <c r="Q107" i="1"/>
  <c r="R107" i="1"/>
  <c r="S107" i="1"/>
  <c r="P39" i="1"/>
  <c r="Q39" i="1"/>
  <c r="R39" i="1"/>
  <c r="S39" i="1"/>
  <c r="P254" i="1"/>
  <c r="S254" i="1"/>
  <c r="Q254" i="1"/>
  <c r="R254" i="1"/>
  <c r="P250" i="1"/>
  <c r="Q250" i="1"/>
  <c r="R250" i="1"/>
  <c r="S250" i="1"/>
  <c r="P161" i="1"/>
  <c r="S161" i="1"/>
  <c r="R161" i="1"/>
  <c r="Q161" i="1"/>
  <c r="P112" i="1"/>
  <c r="Q112" i="1"/>
  <c r="R112" i="1"/>
  <c r="S112" i="1"/>
  <c r="P108" i="1"/>
  <c r="R108" i="1"/>
  <c r="S108" i="1"/>
  <c r="Q108" i="1"/>
  <c r="P20" i="1"/>
  <c r="R20" i="1"/>
  <c r="S20" i="1"/>
  <c r="Q20" i="1"/>
  <c r="P41" i="1"/>
  <c r="S41" i="1"/>
  <c r="Q41" i="1"/>
  <c r="R41" i="1"/>
  <c r="P228" i="1"/>
  <c r="R228" i="1"/>
  <c r="S228" i="1"/>
  <c r="Q228" i="1"/>
  <c r="P159" i="1"/>
  <c r="Q159" i="1"/>
  <c r="R159" i="1"/>
  <c r="S159" i="1"/>
  <c r="P16" i="1"/>
  <c r="Q16" i="1"/>
  <c r="R16" i="1"/>
  <c r="S16" i="1"/>
  <c r="P61" i="1"/>
  <c r="Q61" i="1"/>
  <c r="R61" i="1"/>
  <c r="S61" i="1"/>
  <c r="P82" i="1"/>
  <c r="Q82" i="1"/>
  <c r="R82" i="1"/>
  <c r="S82" i="1"/>
  <c r="P155" i="1"/>
  <c r="Q155" i="1"/>
  <c r="R155" i="1"/>
  <c r="S155" i="1"/>
  <c r="P56" i="1"/>
  <c r="Q56" i="1"/>
  <c r="R56" i="1"/>
  <c r="S56" i="1"/>
  <c r="P152" i="1"/>
  <c r="Q152" i="1"/>
  <c r="S152" i="1"/>
  <c r="R152" i="1"/>
  <c r="P202" i="1"/>
  <c r="Q202" i="1"/>
  <c r="R202" i="1"/>
  <c r="S202" i="1"/>
  <c r="P220" i="1"/>
  <c r="R220" i="1"/>
  <c r="S220" i="1"/>
  <c r="Q220" i="1"/>
  <c r="P46" i="1"/>
  <c r="Q46" i="1"/>
  <c r="R46" i="1"/>
  <c r="S46" i="1"/>
  <c r="P66" i="1"/>
  <c r="Q66" i="1"/>
  <c r="R66" i="1"/>
  <c r="S66" i="1"/>
  <c r="P52" i="1"/>
  <c r="R52" i="1"/>
  <c r="S52" i="1"/>
  <c r="Q52" i="1"/>
  <c r="P219" i="1"/>
  <c r="Q219" i="1"/>
  <c r="R219" i="1"/>
  <c r="S219" i="1"/>
  <c r="P166" i="1"/>
  <c r="Q166" i="1"/>
  <c r="S166" i="1"/>
  <c r="R166" i="1"/>
  <c r="P221" i="1"/>
  <c r="Q221" i="1"/>
  <c r="R221" i="1"/>
  <c r="S221" i="1"/>
  <c r="P8" i="1"/>
  <c r="Q8" i="1"/>
  <c r="R8" i="1"/>
  <c r="S8" i="1"/>
  <c r="P5" i="1"/>
  <c r="Q5" i="1"/>
  <c r="R5" i="1"/>
  <c r="S5" i="1"/>
  <c r="P183" i="1"/>
  <c r="Q183" i="1"/>
  <c r="R183" i="1"/>
  <c r="S183" i="1"/>
  <c r="P232" i="1"/>
  <c r="R232" i="1"/>
  <c r="Q232" i="1"/>
  <c r="S232" i="1"/>
  <c r="P64" i="1"/>
  <c r="Q64" i="1"/>
  <c r="R64" i="1"/>
  <c r="S64" i="1"/>
  <c r="P113" i="1"/>
  <c r="S113" i="1"/>
  <c r="R113" i="1"/>
  <c r="Q113" i="1"/>
  <c r="P134" i="1"/>
  <c r="Q134" i="1"/>
  <c r="S134" i="1"/>
  <c r="R134" i="1"/>
  <c r="P71" i="1"/>
  <c r="Q71" i="1"/>
  <c r="R71" i="1"/>
  <c r="S71" i="1"/>
  <c r="P162" i="1"/>
  <c r="Q162" i="1"/>
  <c r="R162" i="1"/>
  <c r="S162" i="1"/>
  <c r="P74" i="1"/>
  <c r="Q74" i="1"/>
  <c r="R74" i="1"/>
  <c r="S74" i="1"/>
  <c r="P100" i="1"/>
  <c r="R100" i="1"/>
  <c r="S100" i="1"/>
  <c r="Q100" i="1"/>
  <c r="P50" i="1"/>
  <c r="Q50" i="1"/>
  <c r="R50" i="1"/>
  <c r="S50" i="1"/>
  <c r="P177" i="1"/>
  <c r="S177" i="1"/>
  <c r="R177" i="1"/>
  <c r="Q177" i="1"/>
  <c r="P153" i="1"/>
  <c r="S153" i="1"/>
  <c r="Q153" i="1"/>
  <c r="R153" i="1"/>
  <c r="P144" i="1"/>
  <c r="Q144" i="1"/>
  <c r="R144" i="1"/>
  <c r="S144" i="1"/>
  <c r="P190" i="1"/>
  <c r="R190" i="1"/>
  <c r="S190" i="1"/>
  <c r="Q190" i="1"/>
  <c r="P216" i="1"/>
  <c r="Q216" i="1"/>
  <c r="S216" i="1"/>
  <c r="R216" i="1"/>
  <c r="P14" i="1"/>
  <c r="Q14" i="1"/>
  <c r="R14" i="1"/>
  <c r="S14" i="1"/>
  <c r="P249" i="1"/>
  <c r="R249" i="1"/>
  <c r="S249" i="1"/>
  <c r="Q249" i="1"/>
  <c r="P244" i="1"/>
  <c r="Q244" i="1"/>
  <c r="S244" i="1"/>
  <c r="R244" i="1"/>
  <c r="P217" i="1"/>
  <c r="S217" i="1"/>
  <c r="Q217" i="1"/>
  <c r="R217" i="1"/>
  <c r="P51" i="1"/>
  <c r="Q51" i="1"/>
  <c r="R51" i="1"/>
  <c r="S51" i="1"/>
  <c r="P91" i="1"/>
  <c r="Q91" i="1"/>
  <c r="R91" i="1"/>
  <c r="S91" i="1"/>
  <c r="P243" i="1"/>
  <c r="Q243" i="1"/>
  <c r="R243" i="1"/>
  <c r="S243" i="1"/>
  <c r="P172" i="1"/>
  <c r="R172" i="1"/>
  <c r="S172" i="1"/>
  <c r="Q172" i="1"/>
  <c r="P98" i="1"/>
  <c r="Q98" i="1"/>
  <c r="R98" i="1"/>
  <c r="S98" i="1"/>
  <c r="P145" i="1"/>
  <c r="S145" i="1"/>
  <c r="R145" i="1"/>
  <c r="Q145" i="1"/>
  <c r="P212" i="1"/>
  <c r="R212" i="1"/>
  <c r="S212" i="1"/>
  <c r="Q212" i="1"/>
  <c r="P257" i="1"/>
  <c r="R257" i="1"/>
  <c r="Q257" i="1"/>
  <c r="S257" i="1"/>
  <c r="P135" i="1"/>
  <c r="Q135" i="1"/>
  <c r="R135" i="1"/>
  <c r="S135" i="1"/>
  <c r="P184" i="1"/>
  <c r="Q184" i="1"/>
  <c r="R184" i="1"/>
  <c r="S184" i="1"/>
  <c r="P86" i="1"/>
  <c r="Q86" i="1"/>
  <c r="S86" i="1"/>
  <c r="R86" i="1"/>
  <c r="P226" i="1"/>
  <c r="Q226" i="1"/>
  <c r="R226" i="1"/>
  <c r="S226" i="1"/>
  <c r="P199" i="1"/>
  <c r="Q199" i="1"/>
  <c r="R199" i="1"/>
  <c r="S199" i="1"/>
  <c r="P72" i="1"/>
  <c r="Q72" i="1"/>
  <c r="R72" i="1"/>
  <c r="S72" i="1"/>
  <c r="P69" i="1"/>
  <c r="Q69" i="1"/>
  <c r="R69" i="1"/>
  <c r="S69" i="1"/>
</calcChain>
</file>

<file path=xl/sharedStrings.xml><?xml version="1.0" encoding="utf-8"?>
<sst xmlns="http://schemas.openxmlformats.org/spreadsheetml/2006/main" count="2606" uniqueCount="49">
  <si>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</si>
  <si>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</si>
  <si>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</si>
  <si>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</si>
  <si>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</si>
  <si>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</si>
  <si>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</si>
  <si>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</si>
  <si>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</si>
  <si>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</si>
  <si>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</si>
  <si>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</si>
  <si>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</si>
  <si>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</si>
  <si>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</si>
  <si>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</si>
  <si>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</si>
  <si>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</si>
  <si>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</si>
  <si>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</si>
  <si>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</si>
  <si>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</si>
  <si>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</si>
  <si>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</si>
  <si>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</si>
  <si>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</si>
  <si>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</si>
  <si>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</si>
  <si>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</si>
  <si>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</si>
  <si>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</si>
  <si>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</si>
  <si>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</si>
  <si>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</si>
  <si>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</si>
  <si>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</si>
  <si>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</si>
  <si>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</si>
  <si>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</si>
  <si>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</si>
  <si>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</si>
  <si>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</si>
  <si>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</si>
  <si>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</si>
  <si>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</si>
  <si>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</si>
  <si>
    <t>avg_methods_vs_var.eps</t>
  </si>
  <si>
    <t>avg_methods_vs_var_PSF_size.eps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</si>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</sst>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34" borderId="0" xfId="0" applyFont="1" applyFill="1"/>
    <xf numFmtId="0" fontId="18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VAR!PivotTable17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0,0001</c:v>
                </c:pt>
                <c:pt idx="1">
                  <c:v>0,001</c:v>
                </c:pt>
                <c:pt idx="2">
                  <c:v>0,01</c:v>
                </c:pt>
                <c:pt idx="3">
                  <c:v>0,1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79392"/>
        <c:axId val="359781120"/>
      </c:lineChart>
      <c:catAx>
        <c:axId val="3155793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59781120"/>
        <c:crosses val="autoZero"/>
        <c:auto val="1"/>
        <c:lblAlgn val="ctr"/>
        <c:lblOffset val="100"/>
        <c:noMultiLvlLbl val="0"/>
      </c:catAx>
      <c:valAx>
        <c:axId val="3597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1557939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DATA.xlsm]AVG methods vs PSF size!PivotTable18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302272"/>
        <c:axId val="361312256"/>
      </c:lineChart>
      <c:catAx>
        <c:axId val="3613022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312256"/>
        <c:crosses val="autoZero"/>
        <c:auto val="1"/>
        <c:lblAlgn val="ctr"/>
        <c:lblOffset val="100"/>
        <c:noMultiLvlLbl val="0"/>
      </c:catAx>
      <c:valAx>
        <c:axId val="36131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30227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TICO09!PivotTable1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361393152"/>
        <c:axId val="361394944"/>
        <c:axId val="315561728"/>
      </c:surface3DChart>
      <c:catAx>
        <c:axId val="361393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394944"/>
        <c:crosses val="autoZero"/>
        <c:auto val="1"/>
        <c:lblAlgn val="ctr"/>
        <c:lblOffset val="100"/>
        <c:noMultiLvlLbl val="0"/>
      </c:catAx>
      <c:valAx>
        <c:axId val="36139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393152"/>
        <c:crosses val="autoZero"/>
        <c:crossBetween val="midCat"/>
      </c:valAx>
      <c:serAx>
        <c:axId val="3155617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39494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SROU03!PivotTable4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361538688"/>
        <c:axId val="361540224"/>
        <c:axId val="361407360"/>
      </c:surface3DChart>
      <c:catAx>
        <c:axId val="3615386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540224"/>
        <c:crosses val="autoZero"/>
        <c:auto val="1"/>
        <c:lblAlgn val="ctr"/>
        <c:lblOffset val="100"/>
        <c:noMultiLvlLbl val="0"/>
      </c:catAx>
      <c:valAx>
        <c:axId val="36154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538688"/>
        <c:crosses val="autoZero"/>
        <c:crossBetween val="midCat"/>
      </c:valAx>
      <c:serAx>
        <c:axId val="3614073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54022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0,0001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0,001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0,01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0,1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361614336"/>
        <c:axId val="361431808"/>
        <c:axId val="361409600"/>
      </c:surface3DChart>
      <c:catAx>
        <c:axId val="3616143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431808"/>
        <c:crosses val="autoZero"/>
        <c:auto val="1"/>
        <c:lblAlgn val="ctr"/>
        <c:lblOffset val="100"/>
        <c:noMultiLvlLbl val="0"/>
      </c:catAx>
      <c:valAx>
        <c:axId val="36143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614336"/>
        <c:crosses val="autoZero"/>
        <c:crossBetween val="midCat"/>
      </c:valAx>
      <c:serAx>
        <c:axId val="361409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361431808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133350</xdr:rowOff>
    </xdr:from>
    <xdr:to>
      <xdr:col>4</xdr:col>
      <xdr:colOff>371475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161925</xdr:rowOff>
    </xdr:from>
    <xdr:to>
      <xdr:col>4</xdr:col>
      <xdr:colOff>361950</xdr:colOff>
      <xdr:row>28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57"/>
  <sheetViews>
    <sheetView tabSelected="1" workbookViewId="0">
      <pane ySplit="1" topLeftCell="A2" activePane="bottomLeft" state="frozen"/>
      <selection pane="bottomLeft" activeCell="F30" sqref="F30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 x14ac:dyDescent="0.25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 x14ac:dyDescent="0.25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 x14ac:dyDescent="0.25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 x14ac:dyDescent="0.25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 x14ac:dyDescent="0.25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 x14ac:dyDescent="0.25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 x14ac:dyDescent="0.25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 x14ac:dyDescent="0.25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 x14ac:dyDescent="0.25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 x14ac:dyDescent="0.25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 x14ac:dyDescent="0.25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 x14ac:dyDescent="0.25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 x14ac:dyDescent="0.25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 x14ac:dyDescent="0.25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 x14ac:dyDescent="0.25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 x14ac:dyDescent="0.25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 x14ac:dyDescent="0.25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 x14ac:dyDescent="0.25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 x14ac:dyDescent="0.25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 x14ac:dyDescent="0.25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 x14ac:dyDescent="0.25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 x14ac:dyDescent="0.25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 x14ac:dyDescent="0.25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 x14ac:dyDescent="0.25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 x14ac:dyDescent="0.25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 x14ac:dyDescent="0.25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 x14ac:dyDescent="0.25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 x14ac:dyDescent="0.25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 x14ac:dyDescent="0.25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 x14ac:dyDescent="0.25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 x14ac:dyDescent="0.25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 x14ac:dyDescent="0.25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 x14ac:dyDescent="0.25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 x14ac:dyDescent="0.25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 x14ac:dyDescent="0.25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 x14ac:dyDescent="0.25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 x14ac:dyDescent="0.25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 x14ac:dyDescent="0.25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 x14ac:dyDescent="0.25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 x14ac:dyDescent="0.25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 x14ac:dyDescent="0.25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 x14ac:dyDescent="0.25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 x14ac:dyDescent="0.25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 x14ac:dyDescent="0.25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 x14ac:dyDescent="0.25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 x14ac:dyDescent="0.25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 x14ac:dyDescent="0.25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 x14ac:dyDescent="0.25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 x14ac:dyDescent="0.25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 x14ac:dyDescent="0.25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 x14ac:dyDescent="0.25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 x14ac:dyDescent="0.25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 x14ac:dyDescent="0.25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 x14ac:dyDescent="0.25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 x14ac:dyDescent="0.25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 x14ac:dyDescent="0.25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 x14ac:dyDescent="0.25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 x14ac:dyDescent="0.25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 x14ac:dyDescent="0.25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 x14ac:dyDescent="0.25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 x14ac:dyDescent="0.25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 x14ac:dyDescent="0.25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 x14ac:dyDescent="0.25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 x14ac:dyDescent="0.25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 x14ac:dyDescent="0.25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 x14ac:dyDescent="0.25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 x14ac:dyDescent="0.25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 x14ac:dyDescent="0.25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 x14ac:dyDescent="0.25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 x14ac:dyDescent="0.25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 x14ac:dyDescent="0.25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 x14ac:dyDescent="0.25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 x14ac:dyDescent="0.25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 x14ac:dyDescent="0.25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 x14ac:dyDescent="0.25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 x14ac:dyDescent="0.25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 x14ac:dyDescent="0.25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 x14ac:dyDescent="0.25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 x14ac:dyDescent="0.25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 x14ac:dyDescent="0.25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 x14ac:dyDescent="0.25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 x14ac:dyDescent="0.25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 x14ac:dyDescent="0.25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 x14ac:dyDescent="0.25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 x14ac:dyDescent="0.25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 x14ac:dyDescent="0.25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 x14ac:dyDescent="0.25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 x14ac:dyDescent="0.25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 x14ac:dyDescent="0.25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 x14ac:dyDescent="0.25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 x14ac:dyDescent="0.25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 x14ac:dyDescent="0.25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 x14ac:dyDescent="0.25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 x14ac:dyDescent="0.25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 x14ac:dyDescent="0.25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 x14ac:dyDescent="0.25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 x14ac:dyDescent="0.25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 x14ac:dyDescent="0.25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 x14ac:dyDescent="0.25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 x14ac:dyDescent="0.25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 x14ac:dyDescent="0.25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 x14ac:dyDescent="0.25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 x14ac:dyDescent="0.25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 x14ac:dyDescent="0.25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 x14ac:dyDescent="0.25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 x14ac:dyDescent="0.25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 x14ac:dyDescent="0.25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 x14ac:dyDescent="0.25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 x14ac:dyDescent="0.25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 x14ac:dyDescent="0.25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 x14ac:dyDescent="0.25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 x14ac:dyDescent="0.25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 x14ac:dyDescent="0.25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 x14ac:dyDescent="0.25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 x14ac:dyDescent="0.25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 x14ac:dyDescent="0.25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 x14ac:dyDescent="0.25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 x14ac:dyDescent="0.25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 x14ac:dyDescent="0.25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 x14ac:dyDescent="0.25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 x14ac:dyDescent="0.25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 x14ac:dyDescent="0.25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 x14ac:dyDescent="0.25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 x14ac:dyDescent="0.25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 x14ac:dyDescent="0.25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 x14ac:dyDescent="0.25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 x14ac:dyDescent="0.25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 x14ac:dyDescent="0.25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 x14ac:dyDescent="0.25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 x14ac:dyDescent="0.25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 x14ac:dyDescent="0.25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 x14ac:dyDescent="0.25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 x14ac:dyDescent="0.25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 x14ac:dyDescent="0.25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 x14ac:dyDescent="0.25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 x14ac:dyDescent="0.25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 x14ac:dyDescent="0.25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 x14ac:dyDescent="0.25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 x14ac:dyDescent="0.25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 x14ac:dyDescent="0.25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 x14ac:dyDescent="0.25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 x14ac:dyDescent="0.25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 x14ac:dyDescent="0.25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 x14ac:dyDescent="0.25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 x14ac:dyDescent="0.25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 x14ac:dyDescent="0.25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 x14ac:dyDescent="0.25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 x14ac:dyDescent="0.25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 x14ac:dyDescent="0.25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 x14ac:dyDescent="0.25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 x14ac:dyDescent="0.25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 x14ac:dyDescent="0.25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 x14ac:dyDescent="0.25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 x14ac:dyDescent="0.25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 x14ac:dyDescent="0.25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 x14ac:dyDescent="0.25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 x14ac:dyDescent="0.25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 x14ac:dyDescent="0.25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 x14ac:dyDescent="0.25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 x14ac:dyDescent="0.25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 x14ac:dyDescent="0.25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 x14ac:dyDescent="0.25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 x14ac:dyDescent="0.25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 x14ac:dyDescent="0.25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 x14ac:dyDescent="0.25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 x14ac:dyDescent="0.25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 x14ac:dyDescent="0.25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 x14ac:dyDescent="0.25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 x14ac:dyDescent="0.25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 x14ac:dyDescent="0.25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 x14ac:dyDescent="0.25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 x14ac:dyDescent="0.25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 x14ac:dyDescent="0.25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 x14ac:dyDescent="0.25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 x14ac:dyDescent="0.25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 x14ac:dyDescent="0.25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 x14ac:dyDescent="0.25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 x14ac:dyDescent="0.25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 x14ac:dyDescent="0.25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 x14ac:dyDescent="0.25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 x14ac:dyDescent="0.25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 x14ac:dyDescent="0.25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 x14ac:dyDescent="0.25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 x14ac:dyDescent="0.25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 x14ac:dyDescent="0.25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 x14ac:dyDescent="0.25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 x14ac:dyDescent="0.25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 x14ac:dyDescent="0.25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 x14ac:dyDescent="0.25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 x14ac:dyDescent="0.25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 x14ac:dyDescent="0.25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 x14ac:dyDescent="0.25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 x14ac:dyDescent="0.25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 x14ac:dyDescent="0.25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 x14ac:dyDescent="0.25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 x14ac:dyDescent="0.25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 x14ac:dyDescent="0.25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 x14ac:dyDescent="0.25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 x14ac:dyDescent="0.25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 x14ac:dyDescent="0.25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 x14ac:dyDescent="0.25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 x14ac:dyDescent="0.25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 x14ac:dyDescent="0.25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 x14ac:dyDescent="0.25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 x14ac:dyDescent="0.25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 x14ac:dyDescent="0.25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 x14ac:dyDescent="0.25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 x14ac:dyDescent="0.25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 x14ac:dyDescent="0.25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 x14ac:dyDescent="0.25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 x14ac:dyDescent="0.25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 x14ac:dyDescent="0.25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 x14ac:dyDescent="0.25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 x14ac:dyDescent="0.25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 x14ac:dyDescent="0.25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 x14ac:dyDescent="0.25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 x14ac:dyDescent="0.25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 x14ac:dyDescent="0.25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 x14ac:dyDescent="0.25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 x14ac:dyDescent="0.25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 x14ac:dyDescent="0.25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 x14ac:dyDescent="0.25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 x14ac:dyDescent="0.25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 x14ac:dyDescent="0.25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 x14ac:dyDescent="0.25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 x14ac:dyDescent="0.25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 x14ac:dyDescent="0.25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 x14ac:dyDescent="0.25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 x14ac:dyDescent="0.25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 x14ac:dyDescent="0.25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 x14ac:dyDescent="0.25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 x14ac:dyDescent="0.25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1"/>
  <sheetViews>
    <sheetView workbookViewId="0">
      <pane ySplit="1" topLeftCell="A21" activePane="bottomLeft" state="frozen"/>
      <selection pane="bottomLeft" activeCell="A34" sqref="A3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 x14ac:dyDescent="0.25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 x14ac:dyDescent="0.25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 x14ac:dyDescent="0.25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 x14ac:dyDescent="0.25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 x14ac:dyDescent="0.25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 x14ac:dyDescent="0.25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 x14ac:dyDescent="0.25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 x14ac:dyDescent="0.25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 x14ac:dyDescent="0.25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 x14ac:dyDescent="0.25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 x14ac:dyDescent="0.25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 x14ac:dyDescent="0.25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 x14ac:dyDescent="0.25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 x14ac:dyDescent="0.25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 x14ac:dyDescent="0.25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 x14ac:dyDescent="0.25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 x14ac:dyDescent="0.25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 x14ac:dyDescent="0.25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 x14ac:dyDescent="0.25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 x14ac:dyDescent="0.25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 x14ac:dyDescent="0.25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 x14ac:dyDescent="0.25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 x14ac:dyDescent="0.25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 x14ac:dyDescent="0.25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 x14ac:dyDescent="0.25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 x14ac:dyDescent="0.25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 x14ac:dyDescent="0.25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 x14ac:dyDescent="0.25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 x14ac:dyDescent="0.25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 x14ac:dyDescent="0.25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 x14ac:dyDescent="0.25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 x14ac:dyDescent="0.25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 x14ac:dyDescent="0.25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 x14ac:dyDescent="0.25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 x14ac:dyDescent="0.25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 x14ac:dyDescent="0.25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 x14ac:dyDescent="0.25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 x14ac:dyDescent="0.25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 x14ac:dyDescent="0.25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 x14ac:dyDescent="0.25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 x14ac:dyDescent="0.25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 x14ac:dyDescent="0.25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 x14ac:dyDescent="0.25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 x14ac:dyDescent="0.25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 x14ac:dyDescent="0.25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 x14ac:dyDescent="0.25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 x14ac:dyDescent="0.25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 x14ac:dyDescent="0.25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 x14ac:dyDescent="0.25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 x14ac:dyDescent="0.25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 x14ac:dyDescent="0.25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 x14ac:dyDescent="0.25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 x14ac:dyDescent="0.25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 x14ac:dyDescent="0.25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 x14ac:dyDescent="0.25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 x14ac:dyDescent="0.25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 x14ac:dyDescent="0.25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 x14ac:dyDescent="0.25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 x14ac:dyDescent="0.25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 x14ac:dyDescent="0.25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 x14ac:dyDescent="0.25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 x14ac:dyDescent="0.25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 x14ac:dyDescent="0.25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 x14ac:dyDescent="0.25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 x14ac:dyDescent="0.25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 x14ac:dyDescent="0.25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 x14ac:dyDescent="0.25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 x14ac:dyDescent="0.25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 x14ac:dyDescent="0.25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 x14ac:dyDescent="0.25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 x14ac:dyDescent="0.25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 x14ac:dyDescent="0.25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 x14ac:dyDescent="0.25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 x14ac:dyDescent="0.25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 x14ac:dyDescent="0.25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 x14ac:dyDescent="0.25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 x14ac:dyDescent="0.25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 x14ac:dyDescent="0.25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 x14ac:dyDescent="0.25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 x14ac:dyDescent="0.25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 x14ac:dyDescent="0.25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 x14ac:dyDescent="0.25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 x14ac:dyDescent="0.25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 x14ac:dyDescent="0.25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 x14ac:dyDescent="0.25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 x14ac:dyDescent="0.25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 x14ac:dyDescent="0.25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 x14ac:dyDescent="0.25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 x14ac:dyDescent="0.25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 x14ac:dyDescent="0.25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 x14ac:dyDescent="0.25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 x14ac:dyDescent="0.25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 x14ac:dyDescent="0.25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 x14ac:dyDescent="0.25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 x14ac:dyDescent="0.25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 x14ac:dyDescent="0.25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 x14ac:dyDescent="0.25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 x14ac:dyDescent="0.25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 x14ac:dyDescent="0.25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 x14ac:dyDescent="0.25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 x14ac:dyDescent="0.25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 x14ac:dyDescent="0.25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 x14ac:dyDescent="0.25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 x14ac:dyDescent="0.25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 x14ac:dyDescent="0.25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 x14ac:dyDescent="0.25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 x14ac:dyDescent="0.25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 x14ac:dyDescent="0.25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 x14ac:dyDescent="0.25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 x14ac:dyDescent="0.25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 x14ac:dyDescent="0.25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 x14ac:dyDescent="0.25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 x14ac:dyDescent="0.25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 x14ac:dyDescent="0.25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 x14ac:dyDescent="0.25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 x14ac:dyDescent="0.25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 x14ac:dyDescent="0.25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 x14ac:dyDescent="0.25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 x14ac:dyDescent="0.25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 x14ac:dyDescent="0.25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 x14ac:dyDescent="0.25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 x14ac:dyDescent="0.25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 x14ac:dyDescent="0.25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 x14ac:dyDescent="0.25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 x14ac:dyDescent="0.25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 x14ac:dyDescent="0.25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 x14ac:dyDescent="0.25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 x14ac:dyDescent="0.25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 x14ac:dyDescent="0.25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 x14ac:dyDescent="0.25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 x14ac:dyDescent="0.25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 x14ac:dyDescent="0.25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 x14ac:dyDescent="0.25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 x14ac:dyDescent="0.25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 x14ac:dyDescent="0.25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 x14ac:dyDescent="0.25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 x14ac:dyDescent="0.25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 x14ac:dyDescent="0.25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 x14ac:dyDescent="0.25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 x14ac:dyDescent="0.25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 x14ac:dyDescent="0.25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 x14ac:dyDescent="0.25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 x14ac:dyDescent="0.25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 x14ac:dyDescent="0.25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 x14ac:dyDescent="0.25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 x14ac:dyDescent="0.25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 x14ac:dyDescent="0.25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 x14ac:dyDescent="0.25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 x14ac:dyDescent="0.25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 x14ac:dyDescent="0.25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 x14ac:dyDescent="0.25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 x14ac:dyDescent="0.25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 x14ac:dyDescent="0.25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 x14ac:dyDescent="0.25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 x14ac:dyDescent="0.25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 x14ac:dyDescent="0.25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 x14ac:dyDescent="0.25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 x14ac:dyDescent="0.25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 x14ac:dyDescent="0.25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 x14ac:dyDescent="0.25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 x14ac:dyDescent="0.25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 x14ac:dyDescent="0.25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 x14ac:dyDescent="0.25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 x14ac:dyDescent="0.25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 x14ac:dyDescent="0.25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 x14ac:dyDescent="0.25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 x14ac:dyDescent="0.25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 x14ac:dyDescent="0.25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 x14ac:dyDescent="0.25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 x14ac:dyDescent="0.25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 x14ac:dyDescent="0.25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 x14ac:dyDescent="0.25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 x14ac:dyDescent="0.25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 x14ac:dyDescent="0.25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 x14ac:dyDescent="0.25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 x14ac:dyDescent="0.25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 x14ac:dyDescent="0.25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 x14ac:dyDescent="0.25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 x14ac:dyDescent="0.25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 x14ac:dyDescent="0.25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 x14ac:dyDescent="0.25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 x14ac:dyDescent="0.25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 x14ac:dyDescent="0.25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 x14ac:dyDescent="0.25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 x14ac:dyDescent="0.25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 x14ac:dyDescent="0.25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 x14ac:dyDescent="0.25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 x14ac:dyDescent="0.25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 x14ac:dyDescent="0.25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 x14ac:dyDescent="0.25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 x14ac:dyDescent="0.25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 x14ac:dyDescent="0.25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 x14ac:dyDescent="0.25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 x14ac:dyDescent="0.25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 x14ac:dyDescent="0.25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 x14ac:dyDescent="0.25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 x14ac:dyDescent="0.25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 x14ac:dyDescent="0.25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 x14ac:dyDescent="0.25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 x14ac:dyDescent="0.25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 x14ac:dyDescent="0.25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 x14ac:dyDescent="0.25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 x14ac:dyDescent="0.25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 x14ac:dyDescent="0.25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 x14ac:dyDescent="0.25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 x14ac:dyDescent="0.25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 x14ac:dyDescent="0.25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 x14ac:dyDescent="0.25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 x14ac:dyDescent="0.25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 x14ac:dyDescent="0.25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 x14ac:dyDescent="0.25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 x14ac:dyDescent="0.25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 x14ac:dyDescent="0.25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 x14ac:dyDescent="0.25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 x14ac:dyDescent="0.25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 x14ac:dyDescent="0.25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 x14ac:dyDescent="0.25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 x14ac:dyDescent="0.25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 x14ac:dyDescent="0.25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 x14ac:dyDescent="0.25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 x14ac:dyDescent="0.25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 x14ac:dyDescent="0.25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 x14ac:dyDescent="0.25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 x14ac:dyDescent="0.25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 x14ac:dyDescent="0.25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 x14ac:dyDescent="0.25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 x14ac:dyDescent="0.25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 x14ac:dyDescent="0.25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 x14ac:dyDescent="0.25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 x14ac:dyDescent="0.25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 x14ac:dyDescent="0.25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 x14ac:dyDescent="0.25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 x14ac:dyDescent="0.25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 x14ac:dyDescent="0.25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 x14ac:dyDescent="0.25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 x14ac:dyDescent="0.25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 x14ac:dyDescent="0.25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 x14ac:dyDescent="0.25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 x14ac:dyDescent="0.25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 x14ac:dyDescent="0.25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 x14ac:dyDescent="0.25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 x14ac:dyDescent="0.25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 x14ac:dyDescent="0.25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 x14ac:dyDescent="0.25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 x14ac:dyDescent="0.25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 x14ac:dyDescent="0.25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 x14ac:dyDescent="0.25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 x14ac:dyDescent="0.25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 x14ac:dyDescent="0.25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 x14ac:dyDescent="0.25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 x14ac:dyDescent="0.25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 x14ac:dyDescent="0.25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 x14ac:dyDescent="0.25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 x14ac:dyDescent="0.25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 x14ac:dyDescent="0.25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 x14ac:dyDescent="0.25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 x14ac:dyDescent="0.25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 x14ac:dyDescent="0.25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 x14ac:dyDescent="0.25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 x14ac:dyDescent="0.25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 x14ac:dyDescent="0.25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 x14ac:dyDescent="0.25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 x14ac:dyDescent="0.25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 x14ac:dyDescent="0.25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 x14ac:dyDescent="0.25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 x14ac:dyDescent="0.25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 x14ac:dyDescent="0.25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 x14ac:dyDescent="0.25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 x14ac:dyDescent="0.25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 x14ac:dyDescent="0.25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 x14ac:dyDescent="0.25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 x14ac:dyDescent="0.25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 x14ac:dyDescent="0.25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 x14ac:dyDescent="0.25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 x14ac:dyDescent="0.25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 x14ac:dyDescent="0.25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 x14ac:dyDescent="0.25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 x14ac:dyDescent="0.25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 x14ac:dyDescent="0.25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 x14ac:dyDescent="0.25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 x14ac:dyDescent="0.25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 x14ac:dyDescent="0.25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 x14ac:dyDescent="0.25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 x14ac:dyDescent="0.25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 x14ac:dyDescent="0.25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 x14ac:dyDescent="0.25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 x14ac:dyDescent="0.25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 x14ac:dyDescent="0.25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 x14ac:dyDescent="0.25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 x14ac:dyDescent="0.25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 x14ac:dyDescent="0.25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 x14ac:dyDescent="0.25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 x14ac:dyDescent="0.25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 x14ac:dyDescent="0.25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 x14ac:dyDescent="0.25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 x14ac:dyDescent="0.25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 x14ac:dyDescent="0.25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 x14ac:dyDescent="0.25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 x14ac:dyDescent="0.25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 x14ac:dyDescent="0.25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 x14ac:dyDescent="0.25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 x14ac:dyDescent="0.25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 x14ac:dyDescent="0.25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 x14ac:dyDescent="0.25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 x14ac:dyDescent="0.25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 x14ac:dyDescent="0.25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 x14ac:dyDescent="0.25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 x14ac:dyDescent="0.25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 x14ac:dyDescent="0.25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 x14ac:dyDescent="0.25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 x14ac:dyDescent="0.25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 x14ac:dyDescent="0.25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 x14ac:dyDescent="0.25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 x14ac:dyDescent="0.25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 x14ac:dyDescent="0.25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 x14ac:dyDescent="0.25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 x14ac:dyDescent="0.25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 x14ac:dyDescent="0.25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 x14ac:dyDescent="0.25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 x14ac:dyDescent="0.25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 x14ac:dyDescent="0.25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 x14ac:dyDescent="0.25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 x14ac:dyDescent="0.25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 x14ac:dyDescent="0.25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 x14ac:dyDescent="0.25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 x14ac:dyDescent="0.25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 x14ac:dyDescent="0.25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 x14ac:dyDescent="0.25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 x14ac:dyDescent="0.25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 x14ac:dyDescent="0.25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 x14ac:dyDescent="0.25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 x14ac:dyDescent="0.25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 x14ac:dyDescent="0.25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 x14ac:dyDescent="0.25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 x14ac:dyDescent="0.25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 x14ac:dyDescent="0.25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 x14ac:dyDescent="0.25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 x14ac:dyDescent="0.25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 x14ac:dyDescent="0.25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 x14ac:dyDescent="0.25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 x14ac:dyDescent="0.25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 x14ac:dyDescent="0.25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 x14ac:dyDescent="0.25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 x14ac:dyDescent="0.25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 x14ac:dyDescent="0.25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 x14ac:dyDescent="0.25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 x14ac:dyDescent="0.25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 x14ac:dyDescent="0.25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 x14ac:dyDescent="0.25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 x14ac:dyDescent="0.25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 x14ac:dyDescent="0.25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 x14ac:dyDescent="0.25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 x14ac:dyDescent="0.25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 x14ac:dyDescent="0.25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 x14ac:dyDescent="0.25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 x14ac:dyDescent="0.25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 x14ac:dyDescent="0.25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 x14ac:dyDescent="0.25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 x14ac:dyDescent="0.25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 x14ac:dyDescent="0.25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 x14ac:dyDescent="0.25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 x14ac:dyDescent="0.25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 x14ac:dyDescent="0.25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 x14ac:dyDescent="0.25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 x14ac:dyDescent="0.25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 x14ac:dyDescent="0.25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 x14ac:dyDescent="0.25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 x14ac:dyDescent="0.25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 x14ac:dyDescent="0.25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 x14ac:dyDescent="0.25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 x14ac:dyDescent="0.25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 x14ac:dyDescent="0.25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 x14ac:dyDescent="0.25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 x14ac:dyDescent="0.25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 x14ac:dyDescent="0.25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 x14ac:dyDescent="0.25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 x14ac:dyDescent="0.25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 x14ac:dyDescent="0.25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 x14ac:dyDescent="0.25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 x14ac:dyDescent="0.25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 x14ac:dyDescent="0.25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 x14ac:dyDescent="0.25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 x14ac:dyDescent="0.25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 x14ac:dyDescent="0.25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 x14ac:dyDescent="0.25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 x14ac:dyDescent="0.25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 x14ac:dyDescent="0.25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 x14ac:dyDescent="0.25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 x14ac:dyDescent="0.25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 x14ac:dyDescent="0.25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 x14ac:dyDescent="0.25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 x14ac:dyDescent="0.25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 x14ac:dyDescent="0.25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 x14ac:dyDescent="0.25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 x14ac:dyDescent="0.25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 x14ac:dyDescent="0.25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 x14ac:dyDescent="0.25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 x14ac:dyDescent="0.25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 x14ac:dyDescent="0.25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 x14ac:dyDescent="0.25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 x14ac:dyDescent="0.25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 x14ac:dyDescent="0.25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 x14ac:dyDescent="0.25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 x14ac:dyDescent="0.25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 x14ac:dyDescent="0.25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 x14ac:dyDescent="0.25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 x14ac:dyDescent="0.25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 x14ac:dyDescent="0.25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 x14ac:dyDescent="0.25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 x14ac:dyDescent="0.25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 x14ac:dyDescent="0.25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 x14ac:dyDescent="0.25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 x14ac:dyDescent="0.25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 x14ac:dyDescent="0.25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 x14ac:dyDescent="0.25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 x14ac:dyDescent="0.25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 x14ac:dyDescent="0.25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 x14ac:dyDescent="0.25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 x14ac:dyDescent="0.25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 x14ac:dyDescent="0.25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 x14ac:dyDescent="0.25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 x14ac:dyDescent="0.25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 x14ac:dyDescent="0.25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 x14ac:dyDescent="0.25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 x14ac:dyDescent="0.25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 x14ac:dyDescent="0.25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 x14ac:dyDescent="0.25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 x14ac:dyDescent="0.25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 x14ac:dyDescent="0.25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 x14ac:dyDescent="0.25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 x14ac:dyDescent="0.25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 x14ac:dyDescent="0.25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 x14ac:dyDescent="0.25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 x14ac:dyDescent="0.25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 x14ac:dyDescent="0.25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 x14ac:dyDescent="0.25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 x14ac:dyDescent="0.25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 x14ac:dyDescent="0.25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 x14ac:dyDescent="0.25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 x14ac:dyDescent="0.25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 x14ac:dyDescent="0.25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 x14ac:dyDescent="0.25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 x14ac:dyDescent="0.25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 x14ac:dyDescent="0.25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 x14ac:dyDescent="0.25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 x14ac:dyDescent="0.25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 x14ac:dyDescent="0.25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 x14ac:dyDescent="0.25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 x14ac:dyDescent="0.25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 x14ac:dyDescent="0.25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 x14ac:dyDescent="0.25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 x14ac:dyDescent="0.25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 x14ac:dyDescent="0.25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 x14ac:dyDescent="0.25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 x14ac:dyDescent="0.25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 x14ac:dyDescent="0.25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 x14ac:dyDescent="0.25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 x14ac:dyDescent="0.25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 x14ac:dyDescent="0.25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 x14ac:dyDescent="0.25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 x14ac:dyDescent="0.25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 x14ac:dyDescent="0.25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 x14ac:dyDescent="0.25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 x14ac:dyDescent="0.25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 x14ac:dyDescent="0.25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 x14ac:dyDescent="0.25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 x14ac:dyDescent="0.25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 x14ac:dyDescent="0.25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 x14ac:dyDescent="0.25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 x14ac:dyDescent="0.25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 x14ac:dyDescent="0.25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 x14ac:dyDescent="0.25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 x14ac:dyDescent="0.25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 x14ac:dyDescent="0.25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 x14ac:dyDescent="0.25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 x14ac:dyDescent="0.25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 x14ac:dyDescent="0.25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 x14ac:dyDescent="0.25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 x14ac:dyDescent="0.25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 x14ac:dyDescent="0.25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 x14ac:dyDescent="0.25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 x14ac:dyDescent="0.25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 x14ac:dyDescent="0.25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 x14ac:dyDescent="0.25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 x14ac:dyDescent="0.25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 x14ac:dyDescent="0.25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 x14ac:dyDescent="0.25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 x14ac:dyDescent="0.25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 x14ac:dyDescent="0.25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 x14ac:dyDescent="0.25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 x14ac:dyDescent="0.25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 x14ac:dyDescent="0.25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 x14ac:dyDescent="0.25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 x14ac:dyDescent="0.25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 x14ac:dyDescent="0.25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 x14ac:dyDescent="0.25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 x14ac:dyDescent="0.25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 x14ac:dyDescent="0.25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 x14ac:dyDescent="0.25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 x14ac:dyDescent="0.25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 x14ac:dyDescent="0.25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 x14ac:dyDescent="0.25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 x14ac:dyDescent="0.25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 x14ac:dyDescent="0.25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 x14ac:dyDescent="0.25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 x14ac:dyDescent="0.25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 x14ac:dyDescent="0.25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 x14ac:dyDescent="0.25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 x14ac:dyDescent="0.25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 x14ac:dyDescent="0.25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 x14ac:dyDescent="0.25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 x14ac:dyDescent="0.25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 x14ac:dyDescent="0.25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 x14ac:dyDescent="0.25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 x14ac:dyDescent="0.25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 x14ac:dyDescent="0.25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 x14ac:dyDescent="0.25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 x14ac:dyDescent="0.25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 x14ac:dyDescent="0.25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 x14ac:dyDescent="0.25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 x14ac:dyDescent="0.25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 x14ac:dyDescent="0.25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 x14ac:dyDescent="0.25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 x14ac:dyDescent="0.25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 x14ac:dyDescent="0.25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 x14ac:dyDescent="0.25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 x14ac:dyDescent="0.25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 x14ac:dyDescent="0.25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 x14ac:dyDescent="0.25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 x14ac:dyDescent="0.25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 x14ac:dyDescent="0.25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 x14ac:dyDescent="0.25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 x14ac:dyDescent="0.25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 x14ac:dyDescent="0.25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 x14ac:dyDescent="0.25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 x14ac:dyDescent="0.25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 x14ac:dyDescent="0.25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 x14ac:dyDescent="0.25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 x14ac:dyDescent="0.25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 x14ac:dyDescent="0.25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 x14ac:dyDescent="0.25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 x14ac:dyDescent="0.25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 x14ac:dyDescent="0.25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 x14ac:dyDescent="0.25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 x14ac:dyDescent="0.25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 x14ac:dyDescent="0.25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 x14ac:dyDescent="0.25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 x14ac:dyDescent="0.25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 x14ac:dyDescent="0.25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 x14ac:dyDescent="0.25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 x14ac:dyDescent="0.25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 x14ac:dyDescent="0.25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 x14ac:dyDescent="0.25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 x14ac:dyDescent="0.25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 x14ac:dyDescent="0.25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 x14ac:dyDescent="0.25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 x14ac:dyDescent="0.25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 x14ac:dyDescent="0.25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 x14ac:dyDescent="0.25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 x14ac:dyDescent="0.25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 x14ac:dyDescent="0.25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 x14ac:dyDescent="0.25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 x14ac:dyDescent="0.25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 x14ac:dyDescent="0.25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 x14ac:dyDescent="0.25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 x14ac:dyDescent="0.25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 x14ac:dyDescent="0.25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 x14ac:dyDescent="0.25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 x14ac:dyDescent="0.25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 x14ac:dyDescent="0.25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 x14ac:dyDescent="0.25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 x14ac:dyDescent="0.25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 x14ac:dyDescent="0.25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 x14ac:dyDescent="0.25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 x14ac:dyDescent="0.25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 x14ac:dyDescent="0.25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 x14ac:dyDescent="0.25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 x14ac:dyDescent="0.25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 x14ac:dyDescent="0.25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 x14ac:dyDescent="0.25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 x14ac:dyDescent="0.25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 x14ac:dyDescent="0.25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 x14ac:dyDescent="0.25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 x14ac:dyDescent="0.25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 x14ac:dyDescent="0.25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 x14ac:dyDescent="0.25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 x14ac:dyDescent="0.25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 x14ac:dyDescent="0.25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 x14ac:dyDescent="0.25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 x14ac:dyDescent="0.25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 x14ac:dyDescent="0.25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 x14ac:dyDescent="0.25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 x14ac:dyDescent="0.25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 x14ac:dyDescent="0.25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 x14ac:dyDescent="0.25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 x14ac:dyDescent="0.25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 x14ac:dyDescent="0.25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 x14ac:dyDescent="0.25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 x14ac:dyDescent="0.25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 x14ac:dyDescent="0.25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 x14ac:dyDescent="0.25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 x14ac:dyDescent="0.25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 x14ac:dyDescent="0.25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 x14ac:dyDescent="0.25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 x14ac:dyDescent="0.25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 x14ac:dyDescent="0.25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 x14ac:dyDescent="0.25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 x14ac:dyDescent="0.25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 x14ac:dyDescent="0.25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 x14ac:dyDescent="0.25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 x14ac:dyDescent="0.25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 x14ac:dyDescent="0.25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 x14ac:dyDescent="0.25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 x14ac:dyDescent="0.25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 x14ac:dyDescent="0.25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 x14ac:dyDescent="0.25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 x14ac:dyDescent="0.25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 x14ac:dyDescent="0.25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 x14ac:dyDescent="0.25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 x14ac:dyDescent="0.25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 x14ac:dyDescent="0.25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 x14ac:dyDescent="0.25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 x14ac:dyDescent="0.25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 x14ac:dyDescent="0.25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 x14ac:dyDescent="0.25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 x14ac:dyDescent="0.25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 x14ac:dyDescent="0.25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 x14ac:dyDescent="0.25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 x14ac:dyDescent="0.25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 x14ac:dyDescent="0.25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 x14ac:dyDescent="0.25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 x14ac:dyDescent="0.25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1"/>
  <sheetViews>
    <sheetView workbookViewId="0">
      <selection activeCell="J29" sqref="J29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25</v>
      </c>
    </row>
    <row r="4" spans="1:7" x14ac:dyDescent="0.25">
      <c r="A4" s="2" t="s">
        <v>23</v>
      </c>
      <c r="B4" t="s">
        <v>26</v>
      </c>
      <c r="C4" t="s">
        <v>27</v>
      </c>
      <c r="D4" t="s">
        <v>28</v>
      </c>
      <c r="E4" t="s">
        <v>46</v>
      </c>
    </row>
    <row r="5" spans="1:7" x14ac:dyDescent="0.25">
      <c r="A5" s="3">
        <v>1E-4</v>
      </c>
      <c r="B5" s="4">
        <v>18.056987499999991</v>
      </c>
      <c r="C5" s="4">
        <v>27.925159375000007</v>
      </c>
      <c r="D5" s="4">
        <v>29.437448437499999</v>
      </c>
      <c r="E5" t="str">
        <f>Range2MatlabVector(B5:B8)</f>
        <v>[18,0569875 16,5671265625 12,756959375 7,516478125]</v>
      </c>
      <c r="F5" t="str">
        <f t="shared" ref="F5:G5" si="0">Range2MatlabVector(C5:C8)</f>
        <v>[27,925159375 20,6377484375 15,59400625 11,3684359375]</v>
      </c>
      <c r="G5" t="str">
        <f t="shared" si="0"/>
        <v>[29,4374484375 21,0401 13,7093734375 7,4359046875]</v>
      </c>
    </row>
    <row r="6" spans="1:7" x14ac:dyDescent="0.25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7" x14ac:dyDescent="0.25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7" x14ac:dyDescent="0.25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7" x14ac:dyDescent="0.25">
      <c r="A9" s="3" t="s">
        <v>24</v>
      </c>
      <c r="B9" s="4">
        <v>13.724387890624998</v>
      </c>
      <c r="C9" s="4">
        <v>18.88133749999999</v>
      </c>
      <c r="D9" s="4">
        <v>17.905706640624995</v>
      </c>
    </row>
    <row r="11" spans="1:7" x14ac:dyDescent="0.25">
      <c r="A11" t="str">
        <f>"SABO12_VarTriplePlot("&amp;E5&amp;", "&amp;F5&amp;", "&amp;G5&amp;", '"&amp;E4&amp;"');"</f>
        <v>SABO12_VarTriplePlot([18,0569875 16,5671265625 12,756959375 7,516478125], [27,925159375 20,6377484375 15,59400625 11,3684359375], [29,4374484375 21,0401 13,7093734375 7,4359046875], 'avg_methods_vs_var.eps');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G12"/>
  <sheetViews>
    <sheetView workbookViewId="0">
      <selection activeCell="K27" sqref="K27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7" x14ac:dyDescent="0.25">
      <c r="B4" s="2" t="s">
        <v>25</v>
      </c>
    </row>
    <row r="5" spans="1:7" x14ac:dyDescent="0.25">
      <c r="A5" s="2" t="s">
        <v>23</v>
      </c>
      <c r="B5" t="s">
        <v>26</v>
      </c>
      <c r="C5" t="s">
        <v>27</v>
      </c>
      <c r="D5" t="s">
        <v>28</v>
      </c>
      <c r="E5" t="s">
        <v>47</v>
      </c>
    </row>
    <row r="6" spans="1:7" x14ac:dyDescent="0.25">
      <c r="A6" s="3">
        <v>3</v>
      </c>
      <c r="B6" s="4">
        <v>14.3957203125</v>
      </c>
      <c r="C6" s="4">
        <v>22.662701562500001</v>
      </c>
      <c r="D6" s="4">
        <v>17.913820312499997</v>
      </c>
      <c r="E6" t="str">
        <f>Range2MatlabVector(B6:B9)</f>
        <v>[14,3957203125 13,5792765625 13,4968796875 13,425675]</v>
      </c>
      <c r="F6" t="str">
        <f t="shared" ref="F6:G6" si="0">Range2MatlabVector(C6:C9)</f>
        <v>[22,6627015625 18,63644375 17,8487046875 16,3775]</v>
      </c>
      <c r="G6" t="str">
        <f t="shared" si="0"/>
        <v>[17,9138203125 17,90429375 17,90560625 17,89910625]</v>
      </c>
    </row>
    <row r="7" spans="1:7" x14ac:dyDescent="0.25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7" x14ac:dyDescent="0.25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7" x14ac:dyDescent="0.25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7" x14ac:dyDescent="0.25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  <row r="12" spans="1:7" x14ac:dyDescent="0.25">
      <c r="A12" t="str">
        <f>"SABO12_PSFTriplePlot("&amp;E6&amp;", "&amp;F6&amp;", "&amp;G6&amp;", '"&amp;E5&amp;"');"</f>
        <v>SABO12_PSFTriplePlot([14,3957203125 13,5792765625 13,4968796875 13,425675], [22,6627015625 18,63644375 17,8487046875 16,3775], [17,9138203125 17,90429375 17,90560625 17,89910625], 'avg_methods_vs_var_PSF_size.eps');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activeCell="B5" sqref="B5"/>
    </sheetView>
  </sheetViews>
  <sheetFormatPr defaultRowHeight="15" x14ac:dyDescent="0.2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 x14ac:dyDescent="0.25">
      <c r="A1" s="2" t="s">
        <v>0</v>
      </c>
      <c r="B1" t="s">
        <v>12</v>
      </c>
    </row>
    <row r="2" spans="1:8" x14ac:dyDescent="0.25">
      <c r="A2" s="2" t="s">
        <v>1</v>
      </c>
      <c r="B2" t="s">
        <v>10</v>
      </c>
    </row>
    <row r="3" spans="1:8" x14ac:dyDescent="0.25">
      <c r="H3" t="str">
        <f>B1 &amp; "_" &amp; B2</f>
        <v>tree256_line</v>
      </c>
    </row>
    <row r="4" spans="1:8" x14ac:dyDescent="0.25">
      <c r="A4" s="2" t="s">
        <v>26</v>
      </c>
      <c r="B4" s="2" t="s">
        <v>29</v>
      </c>
    </row>
    <row r="5" spans="1:8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 x14ac:dyDescent="0.25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 x14ac:dyDescent="0.25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 x14ac:dyDescent="0.25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 x14ac:dyDescent="0.25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 x14ac:dyDescent="0.25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 x14ac:dyDescent="0.25">
      <c r="A27" s="5" t="s">
        <v>30</v>
      </c>
      <c r="B27" t="str">
        <f>"var_tico09_"&amp;B1&amp;"_"&amp;B2</f>
        <v>var_tico09_tree256_line</v>
      </c>
    </row>
    <row r="28" spans="1:2" x14ac:dyDescent="0.25">
      <c r="A28" s="5" t="s">
        <v>31</v>
      </c>
      <c r="B28" t="str">
        <f>Range2MatlabMatrix(B6:E9)</f>
        <v>[11,8714 11,4696 10,4293 8,189; 13,0983 12,1981 9,3389 5,7596; 13,3728 12,4 9,1562 4,9248; 13,5007 12,444 9,1544 4,6658]</v>
      </c>
    </row>
    <row r="29" spans="1:2" x14ac:dyDescent="0.25">
      <c r="A29" s="5" t="s">
        <v>32</v>
      </c>
      <c r="B29" t="str">
        <f>B27&amp;" = "&amp;B28&amp;";"</f>
        <v>var_tico09_tree256_line = [11,8714 11,4696 10,4293 8,189; 13,0983 12,1981 9,3389 5,7596; 13,3728 12,4 9,1562 4,9248; 13,5007 12,444 9,1544 4,6658];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selection activeCell="N47" sqref="N47"/>
    </sheetView>
  </sheetViews>
  <sheetFormatPr defaultRowHeight="15" x14ac:dyDescent="0.2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27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 x14ac:dyDescent="0.25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 x14ac:dyDescent="0.25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 x14ac:dyDescent="0.25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 x14ac:dyDescent="0.25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 x14ac:dyDescent="0.25">
      <c r="A27" s="5" t="s">
        <v>30</v>
      </c>
      <c r="B27" t="str">
        <f>"var_srou03_"&amp;B1&amp;"_"&amp;B2</f>
        <v>var_srou03_tree256_line</v>
      </c>
    </row>
    <row r="28" spans="1:2" x14ac:dyDescent="0.25">
      <c r="A28" s="5" t="s">
        <v>31</v>
      </c>
      <c r="B28" t="str">
        <f>Range2MatlabMatrix(B6:E9)</f>
        <v>[26,3867 19,728 17,1734 8,4076; 25,0238 16,8501 10,6439 6,1926; 24,6791 15,7165 8,6239 5,7814; 24,714 15,4445 7,9021 4,5087]</v>
      </c>
    </row>
    <row r="29" spans="1:2" x14ac:dyDescent="0.25">
      <c r="A29" s="5" t="s">
        <v>32</v>
      </c>
      <c r="B29" t="str">
        <f>B27&amp;" = "&amp;B28&amp;";"</f>
        <v>var_srou03_tree256_line = [26,3867 19,728 17,1734 8,4076; 25,0238 16,8501 10,6439 6,1926; 24,6791 15,7165 8,6239 5,7814; 24,714 15,4445 7,9021 4,5087];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9"/>
  <sheetViews>
    <sheetView workbookViewId="0">
      <selection activeCell="A27" sqref="A27:B29"/>
    </sheetView>
  </sheetViews>
  <sheetFormatPr defaultRowHeight="15" x14ac:dyDescent="0.2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 x14ac:dyDescent="0.25">
      <c r="A1" s="2" t="s">
        <v>0</v>
      </c>
      <c r="B1" t="s">
        <v>12</v>
      </c>
    </row>
    <row r="2" spans="1:6" x14ac:dyDescent="0.25">
      <c r="A2" s="2" t="s">
        <v>1</v>
      </c>
      <c r="B2" t="s">
        <v>10</v>
      </c>
    </row>
    <row r="4" spans="1:6" x14ac:dyDescent="0.25">
      <c r="A4" s="2" t="s">
        <v>28</v>
      </c>
      <c r="B4" s="2" t="s">
        <v>29</v>
      </c>
    </row>
    <row r="5" spans="1:6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 x14ac:dyDescent="0.25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 x14ac:dyDescent="0.25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 x14ac:dyDescent="0.25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 x14ac:dyDescent="0.25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 x14ac:dyDescent="0.25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 x14ac:dyDescent="0.25">
      <c r="A27" s="5" t="s">
        <v>30</v>
      </c>
      <c r="B27" t="str">
        <f>"var_bm3d_"&amp;B1&amp;"_"&amp;B2</f>
        <v>var_bm3d_tree256_line</v>
      </c>
    </row>
    <row r="28" spans="1:2" x14ac:dyDescent="0.25">
      <c r="A28" s="5" t="s">
        <v>31</v>
      </c>
      <c r="B28" t="str">
        <f>Range2MatlabMatrix(B6:E9)</f>
        <v>[25,759 16,742 9,8666 5,1236; 25,731 16,7206 9,7831 5,0258; 25,7506 16,7485 9,7968 5,0247; 25,6934 16,6896 9,8237 5,0248]</v>
      </c>
    </row>
    <row r="29" spans="1:2" x14ac:dyDescent="0.25">
      <c r="A29" s="5" t="s">
        <v>32</v>
      </c>
      <c r="B29" t="str">
        <f>B27&amp;" = "&amp;B28&amp;";"</f>
        <v>var_bm3d_tree256_line = [25,759 16,742 9,8666 5,1236; 25,731 16,7206 9,7831 5,0258; 25,7506 16,7485 9,7968 5,0247; 25,6934 16,6896 9,8237 5,0248];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4"/>
  <sheetViews>
    <sheetView workbookViewId="0">
      <selection activeCell="I41" sqref="I41"/>
    </sheetView>
  </sheetViews>
  <sheetFormatPr defaultRowHeight="15" x14ac:dyDescent="0.2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 x14ac:dyDescent="0.25">
      <c r="A1" s="2" t="s">
        <v>0</v>
      </c>
      <c r="B1" t="s">
        <v>12</v>
      </c>
      <c r="I1" s="2" t="s">
        <v>0</v>
      </c>
      <c r="J1" t="s">
        <v>12</v>
      </c>
    </row>
    <row r="2" spans="1:14" x14ac:dyDescent="0.25">
      <c r="A2" s="2" t="s">
        <v>1</v>
      </c>
      <c r="B2" t="s">
        <v>10</v>
      </c>
      <c r="I2" s="2" t="s">
        <v>1</v>
      </c>
      <c r="J2" t="s">
        <v>10</v>
      </c>
    </row>
    <row r="4" spans="1:14" x14ac:dyDescent="0.25">
      <c r="A4" s="2" t="s">
        <v>41</v>
      </c>
      <c r="B4" s="2" t="s">
        <v>29</v>
      </c>
      <c r="I4" s="2" t="s">
        <v>43</v>
      </c>
      <c r="J4" s="2" t="s">
        <v>29</v>
      </c>
    </row>
    <row r="5" spans="1:14" x14ac:dyDescent="0.25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 x14ac:dyDescent="0.25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 x14ac:dyDescent="0.25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 x14ac:dyDescent="0.25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 x14ac:dyDescent="0.25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 x14ac:dyDescent="0.25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 x14ac:dyDescent="0.25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 x14ac:dyDescent="0.25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 x14ac:dyDescent="0.25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 x14ac:dyDescent="0.25">
      <c r="C15" t="s">
        <v>42</v>
      </c>
      <c r="K15" t="s">
        <v>42</v>
      </c>
    </row>
    <row r="17" spans="1:14" x14ac:dyDescent="0.25">
      <c r="A17" s="2" t="s">
        <v>0</v>
      </c>
      <c r="B17" t="s">
        <v>12</v>
      </c>
      <c r="I17" s="2" t="s">
        <v>0</v>
      </c>
      <c r="J17" t="s">
        <v>12</v>
      </c>
    </row>
    <row r="18" spans="1:14" x14ac:dyDescent="0.25">
      <c r="A18" s="2" t="s">
        <v>1</v>
      </c>
      <c r="B18" t="s">
        <v>10</v>
      </c>
      <c r="I18" s="2" t="s">
        <v>1</v>
      </c>
      <c r="J18" t="s">
        <v>10</v>
      </c>
    </row>
    <row r="20" spans="1:14" x14ac:dyDescent="0.25">
      <c r="A20" s="2" t="s">
        <v>44</v>
      </c>
      <c r="B20" s="2" t="s">
        <v>29</v>
      </c>
      <c r="I20" s="2" t="s">
        <v>34</v>
      </c>
      <c r="J20" s="2" t="s">
        <v>29</v>
      </c>
    </row>
    <row r="21" spans="1:14" x14ac:dyDescent="0.25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 x14ac:dyDescent="0.25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 x14ac:dyDescent="0.25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 x14ac:dyDescent="0.25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 x14ac:dyDescent="0.25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 x14ac:dyDescent="0.25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 x14ac:dyDescent="0.25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 x14ac:dyDescent="0.25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 x14ac:dyDescent="0.25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 x14ac:dyDescent="0.25">
      <c r="C32" t="s">
        <v>42</v>
      </c>
      <c r="K32" t="s">
        <v>42</v>
      </c>
    </row>
    <row r="34" spans="1:2" x14ac:dyDescent="0.25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E26" sqref="E26"/>
    </sheetView>
  </sheetViews>
  <sheetFormatPr defaultRowHeight="15" x14ac:dyDescent="0.25"/>
  <sheetData>
    <row r="1" spans="1:5" x14ac:dyDescent="0.25">
      <c r="B1" s="7">
        <v>3</v>
      </c>
      <c r="C1" s="7">
        <v>7</v>
      </c>
      <c r="D1" s="7">
        <v>15</v>
      </c>
      <c r="E1" s="7">
        <v>31</v>
      </c>
    </row>
    <row r="2" spans="1:5" x14ac:dyDescent="0.25">
      <c r="A2" s="7">
        <v>1E-4</v>
      </c>
      <c r="B2" t="str">
        <f>COUNTIFS('report COMPLETE VAR DATA'!$E:$E,$A2,'report COMPLETE VAR DATA'!$C:$C,B$1,'report COMPLETE VAR DATA'!$N:$N,"TICO09") &amp; " - " &amp; COUNTIFS('report COMPLETE VAR DATA'!$E:$E,$A2,'report COMPLETE VAR DATA'!$C:$C,B$1,'report COMPLETE VAR DATA'!$N:$N,"SROU03") &amp; " - " &amp; COUNTIFS('report COMPLETE VAR DATA'!$E:$E,$A2,'report COMPLETE VAR DATA'!$C:$C,B$1,'report COMPLETE VAR DATA'!$N:$N,"BM3D")</f>
        <v>0 - 11 - 5</v>
      </c>
      <c r="C2" t="str">
        <f>COUNTIFS('report COMPLETE VAR DATA'!$E:$E,$A2,'report COMPLETE VAR DATA'!$C:$C,C$1,'report COMPLETE VAR DATA'!$N:$N,"TICO09") &amp; " - " &amp; COUNTIFS('report COMPLETE VAR DATA'!$E:$E,$A2,'report COMPLETE VAR DATA'!$C:$C,C$1,'report COMPLETE VAR DATA'!$N:$N,"SROU03") &amp; " - " &amp; COUNTIFS('report COMPLETE VAR DATA'!$E:$E,$A2,'report COMPLETE VAR DATA'!$C:$C,C$1,'report COMPLETE VAR DATA'!$N:$N,"BM3D")</f>
        <v>0 - 0 - 16</v>
      </c>
      <c r="D2" t="str">
        <f>COUNTIFS('report COMPLETE VAR DATA'!$E:$E,$A2,'report COMPLETE VAR DATA'!$C:$C,D$1,'report COMPLETE VAR DATA'!$N:$N,"TICO09") &amp; " - " &amp; COUNTIFS('report COMPLETE VAR DATA'!$E:$E,$A2,'report COMPLETE VAR DATA'!$C:$C,D$1,'report COMPLETE VAR DATA'!$N:$N,"SROU03") &amp; " - " &amp; COUNTIFS('report COMPLETE VAR DATA'!$E:$E,$A2,'report COMPLETE VAR DATA'!$C:$C,D$1,'report COMPLETE VAR DATA'!$N:$N,"BM3D")</f>
        <v>0 - 0 - 16</v>
      </c>
      <c r="E2" t="str">
        <f>COUNTIFS('report COMPLETE VAR DATA'!$E:$E,$A2,'report COMPLETE VAR DATA'!$C:$C,E$1,'report COMPLETE VAR DATA'!$N:$N,"TICO09") &amp; " - " &amp; COUNTIFS('report COMPLETE VAR DATA'!$E:$E,$A2,'report COMPLETE VAR DATA'!$C:$C,E$1,'report COMPLETE VAR DATA'!$N:$N,"SROU03") &amp; " - " &amp; COUNTIFS('report COMPLETE VAR DATA'!$E:$E,$A2,'report COMPLETE VAR DATA'!$C:$C,E$1,'report COMPLETE VAR DATA'!$N:$N,"BM3D")</f>
        <v>0 - 0 - 16</v>
      </c>
    </row>
    <row r="3" spans="1:5" x14ac:dyDescent="0.25">
      <c r="A3" s="7">
        <v>1E-3</v>
      </c>
      <c r="B3" t="str">
        <f>COUNTIFS('report COMPLETE VAR DATA'!$E:$E,$A3,'report COMPLETE VAR DATA'!$C:$C,B$1,'report COMPLETE VAR DATA'!$N:$N,"TICO09") &amp; " - " &amp; COUNTIFS('report COMPLETE VAR DATA'!$E:$E,$A3,'report COMPLETE VAR DATA'!$C:$C,B$1,'report COMPLETE VAR DATA'!$N:$N,"SROU03") &amp; " - " &amp; COUNTIFS('report COMPLETE VAR DATA'!$E:$E,$A3,'report COMPLETE VAR DATA'!$C:$C,B$1,'report COMPLETE VAR DATA'!$N:$N,"BM3D")</f>
        <v>0 - 15 - 1</v>
      </c>
      <c r="C3" t="str">
        <f>COUNTIFS('report COMPLETE VAR DATA'!$E:$E,$A3,'report COMPLETE VAR DATA'!$C:$C,C$1,'report COMPLETE VAR DATA'!$N:$N,"TICO09") &amp; " - " &amp; COUNTIFS('report COMPLETE VAR DATA'!$E:$E,$A3,'report COMPLETE VAR DATA'!$C:$C,C$1,'report COMPLETE VAR DATA'!$N:$N,"SROU03") &amp; " - " &amp; COUNTIFS('report COMPLETE VAR DATA'!$E:$E,$A3,'report COMPLETE VAR DATA'!$C:$C,C$1,'report COMPLETE VAR DATA'!$N:$N,"BM3D")</f>
        <v>0 - 5 - 11</v>
      </c>
      <c r="D3" t="str">
        <f>COUNTIFS('report COMPLETE VAR DATA'!$E:$E,$A3,'report COMPLETE VAR DATA'!$C:$C,D$1,'report COMPLETE VAR DATA'!$N:$N,"TICO09") &amp; " - " &amp; COUNTIFS('report COMPLETE VAR DATA'!$E:$E,$A3,'report COMPLETE VAR DATA'!$C:$C,D$1,'report COMPLETE VAR DATA'!$N:$N,"SROU03") &amp; " - " &amp; COUNTIFS('report COMPLETE VAR DATA'!$E:$E,$A3,'report COMPLETE VAR DATA'!$C:$C,D$1,'report COMPLETE VAR DATA'!$N:$N,"BM3D")</f>
        <v>0 - 1 - 15</v>
      </c>
      <c r="E3" t="str">
        <f>COUNTIFS('report COMPLETE VAR DATA'!$E:$E,$A3,'report COMPLETE VAR DATA'!$C:$C,E$1,'report COMPLETE VAR DATA'!$N:$N,"TICO09") &amp; " - " &amp; COUNTIFS('report COMPLETE VAR DATA'!$E:$E,$A3,'report COMPLETE VAR DATA'!$C:$C,E$1,'report COMPLETE VAR DATA'!$N:$N,"SROU03") &amp; " - " &amp; COUNTIFS('report COMPLETE VAR DATA'!$E:$E,$A3,'report COMPLETE VAR DATA'!$C:$C,E$1,'report COMPLETE VAR DATA'!$N:$N,"BM3D")</f>
        <v>0 - 0 - 16</v>
      </c>
    </row>
    <row r="4" spans="1:5" x14ac:dyDescent="0.25">
      <c r="A4" s="7">
        <v>0.01</v>
      </c>
      <c r="B4" t="str">
        <f>COUNTIFS('report COMPLETE VAR DATA'!$E:$E,$A4,'report COMPLETE VAR DATA'!$C:$C,B$1,'report COMPLETE VAR DATA'!$N:$N,"TICO09") &amp; " - " &amp; COUNTIFS('report COMPLETE VAR DATA'!$E:$E,$A4,'report COMPLETE VAR DATA'!$C:$C,B$1,'report COMPLETE VAR DATA'!$N:$N,"SROU03") &amp; " - " &amp; COUNTIFS('report COMPLETE VAR DATA'!$E:$E,$A4,'report COMPLETE VAR DATA'!$C:$C,B$1,'report COMPLETE VAR DATA'!$N:$N,"BM3D")</f>
        <v>0 - 16 - 0</v>
      </c>
      <c r="C4" t="str">
        <f>COUNTIFS('report COMPLETE VAR DATA'!$E:$E,$A4,'report COMPLETE VAR DATA'!$C:$C,C$1,'report COMPLETE VAR DATA'!$N:$N,"TICO09") &amp; " - " &amp; COUNTIFS('report COMPLETE VAR DATA'!$E:$E,$A4,'report COMPLETE VAR DATA'!$C:$C,C$1,'report COMPLETE VAR DATA'!$N:$N,"SROU03") &amp; " - " &amp; COUNTIFS('report COMPLETE VAR DATA'!$E:$E,$A4,'report COMPLETE VAR DATA'!$C:$C,C$1,'report COMPLETE VAR DATA'!$N:$N,"BM3D")</f>
        <v>0 - 13 - 3</v>
      </c>
      <c r="D4" t="str">
        <f>COUNTIFS('report COMPLETE VAR DATA'!$E:$E,$A4,'report COMPLETE VAR DATA'!$C:$C,D$1,'report COMPLETE VAR DATA'!$N:$N,"TICO09") &amp; " - " &amp; COUNTIFS('report COMPLETE VAR DATA'!$E:$E,$A4,'report COMPLETE VAR DATA'!$C:$C,D$1,'report COMPLETE VAR DATA'!$N:$N,"SROU03") &amp; " - " &amp; COUNTIFS('report COMPLETE VAR DATA'!$E:$E,$A4,'report COMPLETE VAR DATA'!$C:$C,D$1,'report COMPLETE VAR DATA'!$N:$N,"BM3D")</f>
        <v>0 - 12 - 4</v>
      </c>
      <c r="E4" t="str">
        <f>COUNTIFS('report COMPLETE VAR DATA'!$E:$E,$A4,'report COMPLETE VAR DATA'!$C:$C,E$1,'report COMPLETE VAR DATA'!$N:$N,"TICO09") &amp; " - " &amp; COUNTIFS('report COMPLETE VAR DATA'!$E:$E,$A4,'report COMPLETE VAR DATA'!$C:$C,E$1,'report COMPLETE VAR DATA'!$N:$N,"SROU03") &amp; " - " &amp; COUNTIFS('report COMPLETE VAR DATA'!$E:$E,$A4,'report COMPLETE VAR DATA'!$C:$C,E$1,'report COMPLETE VAR DATA'!$N:$N,"BM3D")</f>
        <v>0 - 6 - 10</v>
      </c>
    </row>
    <row r="5" spans="1:5" x14ac:dyDescent="0.25">
      <c r="A5" s="7">
        <v>0.1</v>
      </c>
      <c r="B5" t="str">
        <f>COUNTIFS('report COMPLETE VAR DATA'!$E:$E,$A5,'report COMPLETE VAR DATA'!$C:$C,B$1,'report COMPLETE VAR DATA'!$N:$N,"TICO09") &amp; " - " &amp; COUNTIFS('report COMPLETE VAR DATA'!$E:$E,$A5,'report COMPLETE VAR DATA'!$C:$C,B$1,'report COMPLETE VAR DATA'!$N:$N,"SROU03") &amp; " - " &amp; COUNTIFS('report COMPLETE VAR DATA'!$E:$E,$A5,'report COMPLETE VAR DATA'!$C:$C,B$1,'report COMPLETE VAR DATA'!$N:$N,"BM3D")</f>
        <v>0 - 16 - 0</v>
      </c>
      <c r="C5" t="str">
        <f>COUNTIFS('report COMPLETE VAR DATA'!$E:$E,$A5,'report COMPLETE VAR DATA'!$C:$C,C$1,'report COMPLETE VAR DATA'!$N:$N,"TICO09") &amp; " - " &amp; COUNTIFS('report COMPLETE VAR DATA'!$E:$E,$A5,'report COMPLETE VAR DATA'!$C:$C,C$1,'report COMPLETE VAR DATA'!$N:$N,"SROU03") &amp; " - " &amp; COUNTIFS('report COMPLETE VAR DATA'!$E:$E,$A5,'report COMPLETE VAR DATA'!$C:$C,C$1,'report COMPLETE VAR DATA'!$N:$N,"BM3D")</f>
        <v>0 - 12 - 4</v>
      </c>
      <c r="D5" t="str">
        <f>COUNTIFS('report COMPLETE VAR DATA'!$E:$E,$A5,'report COMPLETE VAR DATA'!$C:$C,D$1,'report COMPLETE VAR DATA'!$N:$N,"TICO09") &amp; " - " &amp; COUNTIFS('report COMPLETE VAR DATA'!$E:$E,$A5,'report COMPLETE VAR DATA'!$C:$C,D$1,'report COMPLETE VAR DATA'!$N:$N,"SROU03") &amp; " - " &amp; COUNTIFS('report COMPLETE VAR DATA'!$E:$E,$A5,'report COMPLETE VAR DATA'!$C:$C,D$1,'report COMPLETE VAR DATA'!$N:$N,"BM3D")</f>
        <v>1 - 13 - 2</v>
      </c>
      <c r="E5" t="str">
        <f>COUNTIFS('report COMPLETE VAR DATA'!$E:$E,$A5,'report COMPLETE VAR DATA'!$C:$C,E$1,'report COMPLETE VAR DATA'!$N:$N,"TICO09") &amp; " - " &amp; COUNTIFS('report COMPLETE VAR DATA'!$E:$E,$A5,'report COMPLETE VAR DATA'!$C:$C,E$1,'report COMPLETE VAR DATA'!$N:$N,"SROU03") &amp; " - " &amp; COUNTIFS('report COMPLETE VAR DATA'!$E:$E,$A5,'report COMPLETE VAR DATA'!$C:$C,E$1,'report COMPLETE VAR DATA'!$N:$N,"BM3D")</f>
        <v>1 - 6 - 9</v>
      </c>
    </row>
    <row r="6" spans="1:5" x14ac:dyDescent="0.25">
      <c r="B6" s="8"/>
      <c r="C6" s="8"/>
      <c r="D6" s="8"/>
      <c r="E6" s="8"/>
    </row>
    <row r="7" spans="1:5" x14ac:dyDescent="0.25">
      <c r="A7" t="s">
        <v>48</v>
      </c>
      <c r="B7" t="str">
        <f>Range2TeXTabular(A1:E5)</f>
        <v xml:space="preserve"> &amp; 3 &amp; 7 &amp; 15 &amp; 31 \\ \hline_x000D_
0,0001 &amp; 0 - 11 - 5 &amp; 0 - 0 - 16 &amp; 0 - 0 - 16 &amp; 0 - 0 - 16 \\ \hline_x000D_
0,001 &amp; 0 - 15 - 1 &amp; 0 - 5 - 11 &amp; 0 - 1 - 15 &amp; 0 - 0 - 16 \\ \hline_x000D_
0,01 &amp; 0 - 16 - 0 &amp; 0 - 13 - 3 &amp; 0 - 12 - 4 &amp; 0 - 6 - 10 \\ \hline_x000D_
0,1 &amp; 0 - 16 - 0 &amp; 0 - 12 - 4 &amp; 1 - 13 - 2 &amp; 1 - 6 - 9 \\ \hline_x000D_
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pane ySplit="1" topLeftCell="A2" activePane="bottomLeft" state="frozen"/>
      <selection pane="bottomLeft" activeCell="M39" sqref="M39"/>
    </sheetView>
  </sheetViews>
  <sheetFormatPr defaultRowHeight="15" x14ac:dyDescent="0.25"/>
  <sheetData>
    <row r="1" spans="1:5" x14ac:dyDescent="0.2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 x14ac:dyDescent="0.25">
      <c r="A2" t="s">
        <v>17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19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2011-12-09T09:07:13Z</dcterms:created>
  <dcterms:modified xsi:type="dcterms:W3CDTF">2012-04-12T23:10:00Z</dcterms:modified>
</cp:coreProperties>
</file>
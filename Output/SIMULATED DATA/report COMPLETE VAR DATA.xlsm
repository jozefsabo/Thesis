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40" yWindow="60" windowWidth="24720" windowHeight="12345" firstSheet="3" activeTab="9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Color codes" sheetId="12" r:id="rId11"/>
  </sheets>
  <functionGroups/>
  <definedNames>
    <definedName name="_xlnm._FilterDatabase" localSheetId="3" hidden="1">BM3D!$A$1:$M$321</definedName>
    <definedName name="_xlnm._FilterDatabase" localSheetId="0" hidden="1">'report COMPLETE VAR DATA'!$A$1:$P$257</definedName>
    <definedName name="_xlnm._FilterDatabase" localSheetId="2" hidden="1">SROU03!$A$1:$M$217</definedName>
    <definedName name="_xlnm._FilterDatabase" localSheetId="1" hidden="1">TICO09!$A$1:$M$321</definedName>
  </definedNames>
  <calcPr calcId="124519"/>
  <pivotCaches>
    <pivotCache cacheId="10" r:id="rId12"/>
    <pivotCache cacheId="19" r:id="rId13"/>
  </pivotCaches>
</workbook>
</file>

<file path=xl/calcChain.xml><?xml version="1.0" encoding="utf-8"?>
<calcChain xmlns="http://schemas.openxmlformats.org/spreadsheetml/2006/main">
  <c r="B13" i="11"/>
  <c r="O3" i="1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"/>
  <c r="B27" i="8"/>
  <c r="B27" i="9"/>
  <c r="B27" i="10"/>
  <c r="B14" i="11"/>
  <c r="B28" i="9"/>
  <c r="B28" i="10"/>
  <c r="B28" i="8"/>
  <c r="B15" i="11" l="1"/>
  <c r="B29" i="9"/>
  <c r="B29" i="8"/>
  <c r="B29" i="10"/>
  <c r="H3" i="8"/>
  <c r="F322" i="4" l="1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" i="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2"/>
  <c r="F3" i="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" i="4"/>
  <c r="F2" i="3"/>
  <c r="F3" i="1"/>
  <c r="F4"/>
  <c r="F5"/>
  <c r="F2" l="1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H9" l="1"/>
  <c r="G9"/>
  <c r="H252"/>
  <c r="G252"/>
  <c r="H244"/>
  <c r="G244"/>
  <c r="H240"/>
  <c r="G240"/>
  <c r="H232"/>
  <c r="G232"/>
  <c r="H220"/>
  <c r="G220"/>
  <c r="H212"/>
  <c r="G212"/>
  <c r="H208"/>
  <c r="G208"/>
  <c r="H200"/>
  <c r="G200"/>
  <c r="H188"/>
  <c r="G188"/>
  <c r="H180"/>
  <c r="G180"/>
  <c r="H176"/>
  <c r="G176"/>
  <c r="H168"/>
  <c r="G168"/>
  <c r="H156"/>
  <c r="G156"/>
  <c r="H148"/>
  <c r="G148"/>
  <c r="H144"/>
  <c r="G144"/>
  <c r="H136"/>
  <c r="G136"/>
  <c r="H124"/>
  <c r="G124"/>
  <c r="H116"/>
  <c r="G116"/>
  <c r="H112"/>
  <c r="G112"/>
  <c r="H104"/>
  <c r="G104"/>
  <c r="H92"/>
  <c r="G92"/>
  <c r="H84"/>
  <c r="G84"/>
  <c r="H80"/>
  <c r="G80"/>
  <c r="H72"/>
  <c r="G72"/>
  <c r="H60"/>
  <c r="G60"/>
  <c r="H52"/>
  <c r="G52"/>
  <c r="H48"/>
  <c r="G48"/>
  <c r="H40"/>
  <c r="G40"/>
  <c r="H28"/>
  <c r="G28"/>
  <c r="H20"/>
  <c r="G20"/>
  <c r="H16"/>
  <c r="G16"/>
  <c r="H8"/>
  <c r="G8"/>
  <c r="H179"/>
  <c r="G179"/>
  <c r="G175"/>
  <c r="H175"/>
  <c r="G167"/>
  <c r="H167"/>
  <c r="H155"/>
  <c r="G155"/>
  <c r="H147"/>
  <c r="G147"/>
  <c r="G143"/>
  <c r="H143"/>
  <c r="G135"/>
  <c r="H135"/>
  <c r="H123"/>
  <c r="G123"/>
  <c r="G115"/>
  <c r="H115"/>
  <c r="H111"/>
  <c r="G111"/>
  <c r="H103"/>
  <c r="G103"/>
  <c r="G91"/>
  <c r="H91"/>
  <c r="G83"/>
  <c r="H83"/>
  <c r="H79"/>
  <c r="G79"/>
  <c r="H71"/>
  <c r="G71"/>
  <c r="H59"/>
  <c r="G59"/>
  <c r="H51"/>
  <c r="G51"/>
  <c r="H47"/>
  <c r="G47"/>
  <c r="G39"/>
  <c r="H39"/>
  <c r="G27"/>
  <c r="H27"/>
  <c r="H19"/>
  <c r="G19"/>
  <c r="G15"/>
  <c r="H15"/>
  <c r="H7"/>
  <c r="G7"/>
  <c r="G245"/>
  <c r="H245"/>
  <c r="G233"/>
  <c r="H233"/>
  <c r="H221"/>
  <c r="G221"/>
  <c r="H209"/>
  <c r="G209"/>
  <c r="H181"/>
  <c r="G181"/>
  <c r="H169"/>
  <c r="G169"/>
  <c r="G157"/>
  <c r="H157"/>
  <c r="G145"/>
  <c r="H145"/>
  <c r="H117"/>
  <c r="G117"/>
  <c r="G105"/>
  <c r="H105"/>
  <c r="G93"/>
  <c r="H93"/>
  <c r="H81"/>
  <c r="G81"/>
  <c r="H49"/>
  <c r="G49"/>
  <c r="H29"/>
  <c r="G29"/>
  <c r="H17"/>
  <c r="G17"/>
  <c r="H251"/>
  <c r="G251"/>
  <c r="H239"/>
  <c r="G239"/>
  <c r="H211"/>
  <c r="G211"/>
  <c r="H199"/>
  <c r="G199"/>
  <c r="H187"/>
  <c r="G187"/>
  <c r="H250"/>
  <c r="G250"/>
  <c r="H230"/>
  <c r="G230"/>
  <c r="G218"/>
  <c r="H218"/>
  <c r="H206"/>
  <c r="G206"/>
  <c r="H178"/>
  <c r="G178"/>
  <c r="G174"/>
  <c r="H174"/>
  <c r="H166"/>
  <c r="G166"/>
  <c r="H154"/>
  <c r="G154"/>
  <c r="G146"/>
  <c r="H146"/>
  <c r="H142"/>
  <c r="G142"/>
  <c r="H134"/>
  <c r="G134"/>
  <c r="G122"/>
  <c r="H122"/>
  <c r="H114"/>
  <c r="G114"/>
  <c r="H110"/>
  <c r="G110"/>
  <c r="H102"/>
  <c r="G102"/>
  <c r="G90"/>
  <c r="H90"/>
  <c r="H82"/>
  <c r="G82"/>
  <c r="H78"/>
  <c r="G78"/>
  <c r="H70"/>
  <c r="G70"/>
  <c r="H58"/>
  <c r="G58"/>
  <c r="H50"/>
  <c r="G50"/>
  <c r="H46"/>
  <c r="G46"/>
  <c r="G38"/>
  <c r="H38"/>
  <c r="G26"/>
  <c r="H26"/>
  <c r="H18"/>
  <c r="G18"/>
  <c r="G14"/>
  <c r="H14"/>
  <c r="H6"/>
  <c r="G6"/>
  <c r="G257"/>
  <c r="H257"/>
  <c r="H249"/>
  <c r="G249"/>
  <c r="G237"/>
  <c r="H237"/>
  <c r="H229"/>
  <c r="G229"/>
  <c r="H225"/>
  <c r="G225"/>
  <c r="H217"/>
  <c r="G217"/>
  <c r="G205"/>
  <c r="H205"/>
  <c r="H197"/>
  <c r="G197"/>
  <c r="G193"/>
  <c r="H193"/>
  <c r="H185"/>
  <c r="G185"/>
  <c r="G173"/>
  <c r="H173"/>
  <c r="H165"/>
  <c r="G165"/>
  <c r="H161"/>
  <c r="G161"/>
  <c r="H153"/>
  <c r="G153"/>
  <c r="G141"/>
  <c r="H141"/>
  <c r="H133"/>
  <c r="G133"/>
  <c r="H129"/>
  <c r="G129"/>
  <c r="G121"/>
  <c r="H121"/>
  <c r="H109"/>
  <c r="G109"/>
  <c r="H101"/>
  <c r="G101"/>
  <c r="H97"/>
  <c r="G97"/>
  <c r="G89"/>
  <c r="H89"/>
  <c r="H77"/>
  <c r="G77"/>
  <c r="G69"/>
  <c r="H69"/>
  <c r="H65"/>
  <c r="G65"/>
  <c r="H57"/>
  <c r="G57"/>
  <c r="H45"/>
  <c r="G45"/>
  <c r="H37"/>
  <c r="G37"/>
  <c r="H33"/>
  <c r="G33"/>
  <c r="G25"/>
  <c r="H25"/>
  <c r="G13"/>
  <c r="H13"/>
  <c r="H5"/>
  <c r="G5"/>
  <c r="H159"/>
  <c r="G159"/>
  <c r="H151"/>
  <c r="G151"/>
  <c r="H139"/>
  <c r="G139"/>
  <c r="H131"/>
  <c r="G131"/>
  <c r="H127"/>
  <c r="G127"/>
  <c r="H119"/>
  <c r="G119"/>
  <c r="H107"/>
  <c r="G107"/>
  <c r="H99"/>
  <c r="G99"/>
  <c r="H95"/>
  <c r="G95"/>
  <c r="H87"/>
  <c r="G87"/>
  <c r="H75"/>
  <c r="G75"/>
  <c r="H67"/>
  <c r="G67"/>
  <c r="H63"/>
  <c r="G63"/>
  <c r="H55"/>
  <c r="G55"/>
  <c r="H43"/>
  <c r="G43"/>
  <c r="H35"/>
  <c r="G35"/>
  <c r="H31"/>
  <c r="G31"/>
  <c r="H23"/>
  <c r="G23"/>
  <c r="H11"/>
  <c r="G11"/>
  <c r="H3"/>
  <c r="G3"/>
  <c r="G253"/>
  <c r="H253"/>
  <c r="H241"/>
  <c r="G241"/>
  <c r="H213"/>
  <c r="G213"/>
  <c r="G201"/>
  <c r="H201"/>
  <c r="G189"/>
  <c r="H189"/>
  <c r="H177"/>
  <c r="G177"/>
  <c r="G149"/>
  <c r="H149"/>
  <c r="H137"/>
  <c r="G137"/>
  <c r="H125"/>
  <c r="G125"/>
  <c r="H113"/>
  <c r="G113"/>
  <c r="H85"/>
  <c r="G85"/>
  <c r="H73"/>
  <c r="G73"/>
  <c r="G61"/>
  <c r="H61"/>
  <c r="G53"/>
  <c r="H53"/>
  <c r="H41"/>
  <c r="G41"/>
  <c r="H21"/>
  <c r="G21"/>
  <c r="G243"/>
  <c r="H243"/>
  <c r="H231"/>
  <c r="G231"/>
  <c r="H219"/>
  <c r="G219"/>
  <c r="H207"/>
  <c r="G207"/>
  <c r="G242"/>
  <c r="H242"/>
  <c r="H238"/>
  <c r="G238"/>
  <c r="H210"/>
  <c r="G210"/>
  <c r="H198"/>
  <c r="G198"/>
  <c r="H186"/>
  <c r="G186"/>
  <c r="H256"/>
  <c r="G256"/>
  <c r="H248"/>
  <c r="G248"/>
  <c r="H236"/>
  <c r="G236"/>
  <c r="H228"/>
  <c r="G228"/>
  <c r="G224"/>
  <c r="H224"/>
  <c r="H216"/>
  <c r="G216"/>
  <c r="G204"/>
  <c r="H204"/>
  <c r="H196"/>
  <c r="G196"/>
  <c r="G192"/>
  <c r="H192"/>
  <c r="G184"/>
  <c r="H184"/>
  <c r="G172"/>
  <c r="H172"/>
  <c r="H164"/>
  <c r="G164"/>
  <c r="G160"/>
  <c r="H160"/>
  <c r="G152"/>
  <c r="H152"/>
  <c r="G140"/>
  <c r="H140"/>
  <c r="G132"/>
  <c r="H132"/>
  <c r="H128"/>
  <c r="G128"/>
  <c r="G120"/>
  <c r="H120"/>
  <c r="H108"/>
  <c r="G108"/>
  <c r="H100"/>
  <c r="G100"/>
  <c r="H96"/>
  <c r="G96"/>
  <c r="H88"/>
  <c r="G88"/>
  <c r="H76"/>
  <c r="G76"/>
  <c r="H68"/>
  <c r="G68"/>
  <c r="H64"/>
  <c r="G64"/>
  <c r="H56"/>
  <c r="G56"/>
  <c r="H44"/>
  <c r="G44"/>
  <c r="H36"/>
  <c r="G36"/>
  <c r="H32"/>
  <c r="G32"/>
  <c r="H24"/>
  <c r="G24"/>
  <c r="H12"/>
  <c r="G12"/>
  <c r="H4"/>
  <c r="G4"/>
  <c r="H255"/>
  <c r="G255"/>
  <c r="H247"/>
  <c r="G247"/>
  <c r="H235"/>
  <c r="G235"/>
  <c r="H227"/>
  <c r="G227"/>
  <c r="H223"/>
  <c r="G223"/>
  <c r="H215"/>
  <c r="G215"/>
  <c r="H203"/>
  <c r="G203"/>
  <c r="H195"/>
  <c r="G195"/>
  <c r="H191"/>
  <c r="G191"/>
  <c r="H183"/>
  <c r="G183"/>
  <c r="H171"/>
  <c r="G171"/>
  <c r="H163"/>
  <c r="G163"/>
  <c r="G254"/>
  <c r="H254"/>
  <c r="H246"/>
  <c r="G246"/>
  <c r="H234"/>
  <c r="G234"/>
  <c r="H226"/>
  <c r="G226"/>
  <c r="G222"/>
  <c r="H222"/>
  <c r="H214"/>
  <c r="G214"/>
  <c r="G202"/>
  <c r="H202"/>
  <c r="H194"/>
  <c r="G194"/>
  <c r="H190"/>
  <c r="G190"/>
  <c r="H182"/>
  <c r="G182"/>
  <c r="G170"/>
  <c r="H170"/>
  <c r="H162"/>
  <c r="G162"/>
  <c r="H158"/>
  <c r="G158"/>
  <c r="G150"/>
  <c r="H150"/>
  <c r="H138"/>
  <c r="G138"/>
  <c r="H130"/>
  <c r="G130"/>
  <c r="G126"/>
  <c r="H126"/>
  <c r="G118"/>
  <c r="H118"/>
  <c r="H106"/>
  <c r="G106"/>
  <c r="H98"/>
  <c r="G98"/>
  <c r="H94"/>
  <c r="G94"/>
  <c r="H86"/>
  <c r="G86"/>
  <c r="G74"/>
  <c r="H74"/>
  <c r="H66"/>
  <c r="G66"/>
  <c r="G62"/>
  <c r="H62"/>
  <c r="H54"/>
  <c r="G54"/>
  <c r="H42"/>
  <c r="G42"/>
  <c r="H34"/>
  <c r="G34"/>
  <c r="G30"/>
  <c r="H30"/>
  <c r="G22"/>
  <c r="H22"/>
  <c r="H10"/>
  <c r="G10"/>
  <c r="H2"/>
  <c r="G2"/>
  <c r="L230"/>
  <c r="P230" s="1"/>
  <c r="K230"/>
  <c r="K146"/>
  <c r="L146"/>
  <c r="P146" s="1"/>
  <c r="L110"/>
  <c r="P110" s="1"/>
  <c r="K110"/>
  <c r="K82"/>
  <c r="L82"/>
  <c r="P82" s="1"/>
  <c r="L38"/>
  <c r="P38" s="1"/>
  <c r="K38"/>
  <c r="L18"/>
  <c r="P18" s="1"/>
  <c r="K18"/>
  <c r="K229"/>
  <c r="L229"/>
  <c r="P229" s="1"/>
  <c r="K185"/>
  <c r="L185"/>
  <c r="P185" s="1"/>
  <c r="L121"/>
  <c r="P121" s="1"/>
  <c r="K121"/>
  <c r="L5"/>
  <c r="P5" s="1"/>
  <c r="K5"/>
  <c r="L256"/>
  <c r="P256" s="1"/>
  <c r="K256"/>
  <c r="L248"/>
  <c r="P248" s="1"/>
  <c r="K248"/>
  <c r="L236"/>
  <c r="P236" s="1"/>
  <c r="K236"/>
  <c r="L228"/>
  <c r="P228" s="1"/>
  <c r="K228"/>
  <c r="L224"/>
  <c r="P224" s="1"/>
  <c r="K224"/>
  <c r="L216"/>
  <c r="P216" s="1"/>
  <c r="K216"/>
  <c r="L204"/>
  <c r="P204" s="1"/>
  <c r="K204"/>
  <c r="L196"/>
  <c r="P196" s="1"/>
  <c r="K196"/>
  <c r="L192"/>
  <c r="P192" s="1"/>
  <c r="K192"/>
  <c r="L184"/>
  <c r="P184" s="1"/>
  <c r="K184"/>
  <c r="L172"/>
  <c r="P172" s="1"/>
  <c r="K172"/>
  <c r="L164"/>
  <c r="P164" s="1"/>
  <c r="K164"/>
  <c r="L160"/>
  <c r="P160" s="1"/>
  <c r="K160"/>
  <c r="L152"/>
  <c r="P152" s="1"/>
  <c r="K152"/>
  <c r="L140"/>
  <c r="P140" s="1"/>
  <c r="K140"/>
  <c r="L132"/>
  <c r="P132" s="1"/>
  <c r="K132"/>
  <c r="L128"/>
  <c r="P128" s="1"/>
  <c r="K128"/>
  <c r="L120"/>
  <c r="P120" s="1"/>
  <c r="K120"/>
  <c r="L108"/>
  <c r="P108" s="1"/>
  <c r="K108"/>
  <c r="L100"/>
  <c r="P100" s="1"/>
  <c r="K100"/>
  <c r="L96"/>
  <c r="P96" s="1"/>
  <c r="K96"/>
  <c r="L88"/>
  <c r="P88" s="1"/>
  <c r="K88"/>
  <c r="L76"/>
  <c r="P76" s="1"/>
  <c r="K76"/>
  <c r="K68"/>
  <c r="L68"/>
  <c r="P68" s="1"/>
  <c r="K64"/>
  <c r="L64"/>
  <c r="P64" s="1"/>
  <c r="K56"/>
  <c r="L56"/>
  <c r="P56" s="1"/>
  <c r="K44"/>
  <c r="L44"/>
  <c r="P44" s="1"/>
  <c r="L36"/>
  <c r="P36" s="1"/>
  <c r="K36"/>
  <c r="L32"/>
  <c r="P32" s="1"/>
  <c r="K32"/>
  <c r="L24"/>
  <c r="P24" s="1"/>
  <c r="K24"/>
  <c r="L12"/>
  <c r="P12" s="1"/>
  <c r="K12"/>
  <c r="L4"/>
  <c r="P4" s="1"/>
  <c r="K4"/>
  <c r="K250"/>
  <c r="L250"/>
  <c r="P250" s="1"/>
  <c r="K206"/>
  <c r="L206"/>
  <c r="P206" s="1"/>
  <c r="L154"/>
  <c r="P154" s="1"/>
  <c r="K154"/>
  <c r="K114"/>
  <c r="L114"/>
  <c r="P114" s="1"/>
  <c r="K90"/>
  <c r="L90"/>
  <c r="P90" s="1"/>
  <c r="K46"/>
  <c r="L46"/>
  <c r="P46" s="1"/>
  <c r="L14"/>
  <c r="P14" s="1"/>
  <c r="K14"/>
  <c r="L205"/>
  <c r="P205" s="1"/>
  <c r="K205"/>
  <c r="L161"/>
  <c r="P161" s="1"/>
  <c r="K161"/>
  <c r="K101"/>
  <c r="L101"/>
  <c r="P101" s="1"/>
  <c r="L57"/>
  <c r="P57" s="1"/>
  <c r="K57"/>
  <c r="K25"/>
  <c r="L25"/>
  <c r="P25" s="1"/>
  <c r="L235"/>
  <c r="P235" s="1"/>
  <c r="K235"/>
  <c r="L195"/>
  <c r="P195" s="1"/>
  <c r="K195"/>
  <c r="L163"/>
  <c r="P163" s="1"/>
  <c r="K163"/>
  <c r="L127"/>
  <c r="P127" s="1"/>
  <c r="K127"/>
  <c r="L99"/>
  <c r="P99" s="1"/>
  <c r="K99"/>
  <c r="L55"/>
  <c r="P55" s="1"/>
  <c r="K55"/>
  <c r="L23"/>
  <c r="P23" s="1"/>
  <c r="K23"/>
  <c r="L194"/>
  <c r="P194" s="1"/>
  <c r="K194"/>
  <c r="L170"/>
  <c r="P170" s="1"/>
  <c r="K170"/>
  <c r="K162"/>
  <c r="L162"/>
  <c r="P162" s="1"/>
  <c r="K158"/>
  <c r="L158"/>
  <c r="P158" s="1"/>
  <c r="L150"/>
  <c r="P150" s="1"/>
  <c r="K150"/>
  <c r="L138"/>
  <c r="P138" s="1"/>
  <c r="K138"/>
  <c r="K130"/>
  <c r="L130"/>
  <c r="P130" s="1"/>
  <c r="K126"/>
  <c r="L126"/>
  <c r="P126" s="1"/>
  <c r="L118"/>
  <c r="P118" s="1"/>
  <c r="K118"/>
  <c r="K106"/>
  <c r="L106"/>
  <c r="P106" s="1"/>
  <c r="L98"/>
  <c r="P98" s="1"/>
  <c r="K98"/>
  <c r="L94"/>
  <c r="P94" s="1"/>
  <c r="K94"/>
  <c r="L86"/>
  <c r="P86" s="1"/>
  <c r="K86"/>
  <c r="K74"/>
  <c r="L74"/>
  <c r="P74" s="1"/>
  <c r="L66"/>
  <c r="P66" s="1"/>
  <c r="K66"/>
  <c r="L62"/>
  <c r="P62" s="1"/>
  <c r="K62"/>
  <c r="L54"/>
  <c r="P54" s="1"/>
  <c r="K54"/>
  <c r="L42"/>
  <c r="P42" s="1"/>
  <c r="K42"/>
  <c r="L34"/>
  <c r="P34" s="1"/>
  <c r="K34"/>
  <c r="L30"/>
  <c r="P30" s="1"/>
  <c r="K30"/>
  <c r="L22"/>
  <c r="P22" s="1"/>
  <c r="K22"/>
  <c r="L10"/>
  <c r="P10" s="1"/>
  <c r="K10"/>
  <c r="L2"/>
  <c r="P2" s="1"/>
  <c r="K2"/>
  <c r="K242"/>
  <c r="L242"/>
  <c r="P242" s="1"/>
  <c r="K218"/>
  <c r="L218"/>
  <c r="P218" s="1"/>
  <c r="K186"/>
  <c r="L186"/>
  <c r="P186" s="1"/>
  <c r="K166"/>
  <c r="L166"/>
  <c r="P166" s="1"/>
  <c r="L70"/>
  <c r="P70" s="1"/>
  <c r="K70"/>
  <c r="L50"/>
  <c r="P50" s="1"/>
  <c r="K50"/>
  <c r="L26"/>
  <c r="P26" s="1"/>
  <c r="K26"/>
  <c r="L249"/>
  <c r="P249" s="1"/>
  <c r="K249"/>
  <c r="L225"/>
  <c r="P225" s="1"/>
  <c r="K225"/>
  <c r="L197"/>
  <c r="P197" s="1"/>
  <c r="K197"/>
  <c r="L173"/>
  <c r="P173" s="1"/>
  <c r="K173"/>
  <c r="K141"/>
  <c r="L141"/>
  <c r="P141" s="1"/>
  <c r="K129"/>
  <c r="L129"/>
  <c r="P129" s="1"/>
  <c r="L97"/>
  <c r="P97" s="1"/>
  <c r="K97"/>
  <c r="K77"/>
  <c r="L77"/>
  <c r="P77" s="1"/>
  <c r="L45"/>
  <c r="P45" s="1"/>
  <c r="K45"/>
  <c r="L247"/>
  <c r="P247" s="1"/>
  <c r="K247"/>
  <c r="L227"/>
  <c r="P227" s="1"/>
  <c r="K227"/>
  <c r="L183"/>
  <c r="P183" s="1"/>
  <c r="K183"/>
  <c r="L159"/>
  <c r="P159" s="1"/>
  <c r="K159"/>
  <c r="L87"/>
  <c r="P87" s="1"/>
  <c r="K87"/>
  <c r="L67"/>
  <c r="P67" s="1"/>
  <c r="K67"/>
  <c r="L43"/>
  <c r="P43" s="1"/>
  <c r="K43"/>
  <c r="L11"/>
  <c r="P11" s="1"/>
  <c r="K11"/>
  <c r="L254"/>
  <c r="P254" s="1"/>
  <c r="K254"/>
  <c r="L226"/>
  <c r="P226" s="1"/>
  <c r="K226"/>
  <c r="L202"/>
  <c r="P202" s="1"/>
  <c r="K202"/>
  <c r="K245"/>
  <c r="L245"/>
  <c r="P245" s="1"/>
  <c r="L233"/>
  <c r="P233" s="1"/>
  <c r="K233"/>
  <c r="L221"/>
  <c r="P221" s="1"/>
  <c r="K221"/>
  <c r="K213"/>
  <c r="L213"/>
  <c r="P213" s="1"/>
  <c r="K209"/>
  <c r="L209"/>
  <c r="P209" s="1"/>
  <c r="L201"/>
  <c r="P201" s="1"/>
  <c r="K201"/>
  <c r="K189"/>
  <c r="L189"/>
  <c r="P189" s="1"/>
  <c r="L181"/>
  <c r="P181" s="1"/>
  <c r="K181"/>
  <c r="L177"/>
  <c r="P177" s="1"/>
  <c r="K177"/>
  <c r="L169"/>
  <c r="P169" s="1"/>
  <c r="K169"/>
  <c r="K157"/>
  <c r="L157"/>
  <c r="P157" s="1"/>
  <c r="L149"/>
  <c r="P149" s="1"/>
  <c r="K149"/>
  <c r="L145"/>
  <c r="P145" s="1"/>
  <c r="K145"/>
  <c r="K137"/>
  <c r="L137"/>
  <c r="P137" s="1"/>
  <c r="L125"/>
  <c r="P125" s="1"/>
  <c r="K125"/>
  <c r="L117"/>
  <c r="P117" s="1"/>
  <c r="K117"/>
  <c r="K113"/>
  <c r="L113"/>
  <c r="P113" s="1"/>
  <c r="K105"/>
  <c r="L105"/>
  <c r="P105" s="1"/>
  <c r="L93"/>
  <c r="P93" s="1"/>
  <c r="K93"/>
  <c r="K85"/>
  <c r="L85"/>
  <c r="P85" s="1"/>
  <c r="L81"/>
  <c r="P81" s="1"/>
  <c r="K81"/>
  <c r="L73"/>
  <c r="P73" s="1"/>
  <c r="K73"/>
  <c r="L61"/>
  <c r="P61" s="1"/>
  <c r="K61"/>
  <c r="L53"/>
  <c r="P53" s="1"/>
  <c r="K53"/>
  <c r="L49"/>
  <c r="P49" s="1"/>
  <c r="K49"/>
  <c r="K41"/>
  <c r="L41"/>
  <c r="P41" s="1"/>
  <c r="L29"/>
  <c r="P29" s="1"/>
  <c r="K29"/>
  <c r="N29" s="1"/>
  <c r="L21"/>
  <c r="P21" s="1"/>
  <c r="K21"/>
  <c r="L17"/>
  <c r="P17" s="1"/>
  <c r="K17"/>
  <c r="L9"/>
  <c r="P9" s="1"/>
  <c r="K9"/>
  <c r="K238"/>
  <c r="L238"/>
  <c r="P238" s="1"/>
  <c r="L210"/>
  <c r="P210" s="1"/>
  <c r="K210"/>
  <c r="L178"/>
  <c r="P178" s="1"/>
  <c r="K178"/>
  <c r="K134"/>
  <c r="L134"/>
  <c r="P134" s="1"/>
  <c r="K102"/>
  <c r="L102"/>
  <c r="P102" s="1"/>
  <c r="L78"/>
  <c r="P78" s="1"/>
  <c r="K78"/>
  <c r="L58"/>
  <c r="P58" s="1"/>
  <c r="K58"/>
  <c r="L6"/>
  <c r="P6" s="1"/>
  <c r="K6"/>
  <c r="K237"/>
  <c r="L237"/>
  <c r="P237" s="1"/>
  <c r="L153"/>
  <c r="P153" s="1"/>
  <c r="K153"/>
  <c r="K89"/>
  <c r="L89"/>
  <c r="P89" s="1"/>
  <c r="L69"/>
  <c r="P69" s="1"/>
  <c r="K69"/>
  <c r="N69" s="1"/>
  <c r="L37"/>
  <c r="P37" s="1"/>
  <c r="K37"/>
  <c r="L13"/>
  <c r="P13" s="1"/>
  <c r="K13"/>
  <c r="L215"/>
  <c r="P215" s="1"/>
  <c r="K215"/>
  <c r="N215" s="1"/>
  <c r="L203"/>
  <c r="P203" s="1"/>
  <c r="K203"/>
  <c r="L131"/>
  <c r="P131" s="1"/>
  <c r="K131"/>
  <c r="N131" s="1"/>
  <c r="L107"/>
  <c r="P107" s="1"/>
  <c r="K107"/>
  <c r="L63"/>
  <c r="P63" s="1"/>
  <c r="K63"/>
  <c r="L35"/>
  <c r="P35" s="1"/>
  <c r="K35"/>
  <c r="N35" s="1"/>
  <c r="L3"/>
  <c r="P3" s="1"/>
  <c r="K3"/>
  <c r="L234"/>
  <c r="P234" s="1"/>
  <c r="K234"/>
  <c r="L182"/>
  <c r="P182" s="1"/>
  <c r="K182"/>
  <c r="N182" s="1"/>
  <c r="L253"/>
  <c r="P253" s="1"/>
  <c r="K253"/>
  <c r="L244"/>
  <c r="P244" s="1"/>
  <c r="K244"/>
  <c r="L232"/>
  <c r="P232" s="1"/>
  <c r="K232"/>
  <c r="N232" s="1"/>
  <c r="L220"/>
  <c r="P220" s="1"/>
  <c r="K220"/>
  <c r="L212"/>
  <c r="P212" s="1"/>
  <c r="K212"/>
  <c r="L208"/>
  <c r="P208" s="1"/>
  <c r="K208"/>
  <c r="L200"/>
  <c r="P200" s="1"/>
  <c r="K200"/>
  <c r="N200" s="1"/>
  <c r="L188"/>
  <c r="P188" s="1"/>
  <c r="K188"/>
  <c r="L180"/>
  <c r="P180" s="1"/>
  <c r="K180"/>
  <c r="L176"/>
  <c r="P176" s="1"/>
  <c r="K176"/>
  <c r="N176" s="1"/>
  <c r="L168"/>
  <c r="P168" s="1"/>
  <c r="K168"/>
  <c r="L156"/>
  <c r="P156" s="1"/>
  <c r="K156"/>
  <c r="L148"/>
  <c r="P148" s="1"/>
  <c r="K148"/>
  <c r="N148" s="1"/>
  <c r="L144"/>
  <c r="P144" s="1"/>
  <c r="K144"/>
  <c r="L136"/>
  <c r="P136" s="1"/>
  <c r="K136"/>
  <c r="L124"/>
  <c r="P124" s="1"/>
  <c r="K124"/>
  <c r="N124" s="1"/>
  <c r="L116"/>
  <c r="P116" s="1"/>
  <c r="K116"/>
  <c r="L112"/>
  <c r="P112" s="1"/>
  <c r="K112"/>
  <c r="L104"/>
  <c r="P104" s="1"/>
  <c r="K104"/>
  <c r="L92"/>
  <c r="P92" s="1"/>
  <c r="K92"/>
  <c r="L84"/>
  <c r="P84" s="1"/>
  <c r="K84"/>
  <c r="L80"/>
  <c r="P80" s="1"/>
  <c r="K80"/>
  <c r="L72"/>
  <c r="P72" s="1"/>
  <c r="K72"/>
  <c r="N72" s="1"/>
  <c r="L60"/>
  <c r="P60" s="1"/>
  <c r="K60"/>
  <c r="L52"/>
  <c r="P52" s="1"/>
  <c r="K52"/>
  <c r="L48"/>
  <c r="P48" s="1"/>
  <c r="K48"/>
  <c r="N48" s="1"/>
  <c r="L40"/>
  <c r="P40" s="1"/>
  <c r="K40"/>
  <c r="L28"/>
  <c r="P28" s="1"/>
  <c r="K28"/>
  <c r="L20"/>
  <c r="P20" s="1"/>
  <c r="K20"/>
  <c r="N20" s="1"/>
  <c r="L16"/>
  <c r="P16" s="1"/>
  <c r="K16"/>
  <c r="L8"/>
  <c r="P8" s="1"/>
  <c r="K8"/>
  <c r="K198"/>
  <c r="L198"/>
  <c r="P198" s="1"/>
  <c r="L174"/>
  <c r="P174" s="1"/>
  <c r="K174"/>
  <c r="K142"/>
  <c r="L142"/>
  <c r="P142" s="1"/>
  <c r="L122"/>
  <c r="P122" s="1"/>
  <c r="K122"/>
  <c r="N122" s="1"/>
  <c r="L257"/>
  <c r="P257" s="1"/>
  <c r="K257"/>
  <c r="L217"/>
  <c r="P217" s="1"/>
  <c r="K217"/>
  <c r="K193"/>
  <c r="L193"/>
  <c r="P193" s="1"/>
  <c r="L165"/>
  <c r="P165" s="1"/>
  <c r="K165"/>
  <c r="K133"/>
  <c r="L133"/>
  <c r="P133" s="1"/>
  <c r="L109"/>
  <c r="P109" s="1"/>
  <c r="K109"/>
  <c r="L65"/>
  <c r="P65" s="1"/>
  <c r="K65"/>
  <c r="N65" s="1"/>
  <c r="K33"/>
  <c r="L33"/>
  <c r="P33" s="1"/>
  <c r="L255"/>
  <c r="P255" s="1"/>
  <c r="K255"/>
  <c r="L223"/>
  <c r="P223" s="1"/>
  <c r="K223"/>
  <c r="L191"/>
  <c r="P191" s="1"/>
  <c r="K191"/>
  <c r="N191" s="1"/>
  <c r="L171"/>
  <c r="P171" s="1"/>
  <c r="K171"/>
  <c r="L151"/>
  <c r="P151" s="1"/>
  <c r="K151"/>
  <c r="L139"/>
  <c r="P139" s="1"/>
  <c r="K139"/>
  <c r="L119"/>
  <c r="P119" s="1"/>
  <c r="K119"/>
  <c r="N119" s="1"/>
  <c r="L95"/>
  <c r="P95" s="1"/>
  <c r="K95"/>
  <c r="L75"/>
  <c r="P75" s="1"/>
  <c r="K75"/>
  <c r="L31"/>
  <c r="P31" s="1"/>
  <c r="K31"/>
  <c r="N31" s="1"/>
  <c r="L246"/>
  <c r="P246" s="1"/>
  <c r="K246"/>
  <c r="L222"/>
  <c r="P222" s="1"/>
  <c r="K222"/>
  <c r="K214"/>
  <c r="L214"/>
  <c r="P214" s="1"/>
  <c r="L190"/>
  <c r="P190" s="1"/>
  <c r="K190"/>
  <c r="K241"/>
  <c r="L241"/>
  <c r="P241" s="1"/>
  <c r="L252"/>
  <c r="P252" s="1"/>
  <c r="K252"/>
  <c r="N252" s="1"/>
  <c r="L240"/>
  <c r="P240" s="1"/>
  <c r="K240"/>
  <c r="L251"/>
  <c r="P251" s="1"/>
  <c r="K251"/>
  <c r="N251" s="1"/>
  <c r="K243"/>
  <c r="L243"/>
  <c r="P243" s="1"/>
  <c r="L239"/>
  <c r="P239" s="1"/>
  <c r="K239"/>
  <c r="L231"/>
  <c r="P231" s="1"/>
  <c r="K231"/>
  <c r="K219"/>
  <c r="L219"/>
  <c r="P219" s="1"/>
  <c r="L211"/>
  <c r="P211" s="1"/>
  <c r="K211"/>
  <c r="K207"/>
  <c r="L207"/>
  <c r="P207" s="1"/>
  <c r="L199"/>
  <c r="P199" s="1"/>
  <c r="K199"/>
  <c r="N199" s="1"/>
  <c r="L187"/>
  <c r="P187" s="1"/>
  <c r="K187"/>
  <c r="L179"/>
  <c r="P179" s="1"/>
  <c r="K179"/>
  <c r="K175"/>
  <c r="L175"/>
  <c r="P175" s="1"/>
  <c r="K167"/>
  <c r="L167"/>
  <c r="P167" s="1"/>
  <c r="K155"/>
  <c r="L155"/>
  <c r="P155" s="1"/>
  <c r="L147"/>
  <c r="P147" s="1"/>
  <c r="K147"/>
  <c r="N147" s="1"/>
  <c r="K143"/>
  <c r="L143"/>
  <c r="P143" s="1"/>
  <c r="L135"/>
  <c r="P135" s="1"/>
  <c r="K135"/>
  <c r="K123"/>
  <c r="L123"/>
  <c r="P123" s="1"/>
  <c r="L115"/>
  <c r="P115" s="1"/>
  <c r="K115"/>
  <c r="L111"/>
  <c r="P111" s="1"/>
  <c r="K111"/>
  <c r="K103"/>
  <c r="L103"/>
  <c r="P103" s="1"/>
  <c r="K91"/>
  <c r="L91"/>
  <c r="P91" s="1"/>
  <c r="L83"/>
  <c r="P83" s="1"/>
  <c r="K83"/>
  <c r="L79"/>
  <c r="P79" s="1"/>
  <c r="K79"/>
  <c r="K71"/>
  <c r="L71"/>
  <c r="P71" s="1"/>
  <c r="L59"/>
  <c r="P59" s="1"/>
  <c r="K59"/>
  <c r="L51"/>
  <c r="P51" s="1"/>
  <c r="K51"/>
  <c r="L47"/>
  <c r="P47" s="1"/>
  <c r="K47"/>
  <c r="N47" s="1"/>
  <c r="L39"/>
  <c r="P39" s="1"/>
  <c r="K39"/>
  <c r="L27"/>
  <c r="P27" s="1"/>
  <c r="K27"/>
  <c r="L19"/>
  <c r="P19" s="1"/>
  <c r="K19"/>
  <c r="N19" s="1"/>
  <c r="L15"/>
  <c r="P15" s="1"/>
  <c r="K15"/>
  <c r="L7"/>
  <c r="P7" s="1"/>
  <c r="K7"/>
  <c r="N53" l="1"/>
  <c r="N81"/>
  <c r="N181"/>
  <c r="N233"/>
  <c r="N226"/>
  <c r="N67"/>
  <c r="N183"/>
  <c r="N225"/>
  <c r="N70"/>
  <c r="N10"/>
  <c r="N34"/>
  <c r="N62"/>
  <c r="N86"/>
  <c r="N138"/>
  <c r="N23"/>
  <c r="N163"/>
  <c r="N57"/>
  <c r="N108"/>
  <c r="N132"/>
  <c r="N160"/>
  <c r="N184"/>
  <c r="N236"/>
  <c r="N5"/>
  <c r="N38"/>
  <c r="N7"/>
  <c r="N59"/>
  <c r="N83"/>
  <c r="N111"/>
  <c r="N135"/>
  <c r="N187"/>
  <c r="N211"/>
  <c r="N239"/>
  <c r="N246"/>
  <c r="N75"/>
  <c r="N151"/>
  <c r="N255"/>
  <c r="N257"/>
  <c r="N174"/>
  <c r="N8"/>
  <c r="N60"/>
  <c r="N84"/>
  <c r="N112"/>
  <c r="N136"/>
  <c r="N188"/>
  <c r="N212"/>
  <c r="N234"/>
  <c r="N13"/>
  <c r="N78"/>
  <c r="N178"/>
  <c r="N17"/>
  <c r="N93"/>
  <c r="N117"/>
  <c r="N145"/>
  <c r="N169"/>
  <c r="N221"/>
  <c r="N11"/>
  <c r="N227"/>
  <c r="N173"/>
  <c r="N26"/>
  <c r="N22"/>
  <c r="N98"/>
  <c r="N150"/>
  <c r="N194"/>
  <c r="N99"/>
  <c r="N235"/>
  <c r="N161"/>
  <c r="N96"/>
  <c r="N120"/>
  <c r="N172"/>
  <c r="N196"/>
  <c r="N224"/>
  <c r="N248"/>
  <c r="N110"/>
  <c r="N198"/>
  <c r="N25"/>
  <c r="N167"/>
  <c r="N243"/>
  <c r="N102"/>
  <c r="N166"/>
  <c r="N90"/>
  <c r="N4"/>
  <c r="N32"/>
  <c r="N106"/>
  <c r="N158"/>
  <c r="N91"/>
  <c r="N143"/>
  <c r="N219"/>
  <c r="N33"/>
  <c r="N130"/>
  <c r="N250"/>
  <c r="N146"/>
  <c r="N27"/>
  <c r="N51"/>
  <c r="N79"/>
  <c r="N179"/>
  <c r="N231"/>
  <c r="N222"/>
  <c r="N139"/>
  <c r="N223"/>
  <c r="N109"/>
  <c r="N217"/>
  <c r="N28"/>
  <c r="N52"/>
  <c r="N80"/>
  <c r="N104"/>
  <c r="N156"/>
  <c r="N180"/>
  <c r="N208"/>
  <c r="N244"/>
  <c r="N63"/>
  <c r="N58"/>
  <c r="N9"/>
  <c r="N61"/>
  <c r="N254"/>
  <c r="N87"/>
  <c r="N45"/>
  <c r="N249"/>
  <c r="N42"/>
  <c r="N66"/>
  <c r="N94"/>
  <c r="N118"/>
  <c r="N170"/>
  <c r="N55"/>
  <c r="N195"/>
  <c r="N14"/>
  <c r="N154"/>
  <c r="N12"/>
  <c r="N36"/>
  <c r="N88"/>
  <c r="N140"/>
  <c r="N164"/>
  <c r="N192"/>
  <c r="N216"/>
  <c r="N230"/>
  <c r="N46"/>
  <c r="N206"/>
  <c r="N15"/>
  <c r="N39"/>
  <c r="N115"/>
  <c r="N240"/>
  <c r="N190"/>
  <c r="N95"/>
  <c r="N171"/>
  <c r="N165"/>
  <c r="N16"/>
  <c r="N40"/>
  <c r="N92"/>
  <c r="N116"/>
  <c r="N144"/>
  <c r="N168"/>
  <c r="N220"/>
  <c r="N253"/>
  <c r="N3"/>
  <c r="N107"/>
  <c r="N203"/>
  <c r="N37"/>
  <c r="N153"/>
  <c r="N6"/>
  <c r="N210"/>
  <c r="N21"/>
  <c r="N49"/>
  <c r="N73"/>
  <c r="N125"/>
  <c r="N149"/>
  <c r="N177"/>
  <c r="N201"/>
  <c r="N202"/>
  <c r="N43"/>
  <c r="N159"/>
  <c r="N247"/>
  <c r="N97"/>
  <c r="N197"/>
  <c r="N50"/>
  <c r="N2"/>
  <c r="N30"/>
  <c r="N54"/>
  <c r="N127"/>
  <c r="N205"/>
  <c r="N24"/>
  <c r="N76"/>
  <c r="N100"/>
  <c r="N128"/>
  <c r="N152"/>
  <c r="N204"/>
  <c r="N228"/>
  <c r="N256"/>
  <c r="N121"/>
  <c r="N18"/>
  <c r="N74"/>
  <c r="N77"/>
  <c r="N175"/>
  <c r="N214"/>
  <c r="N157"/>
  <c r="N209"/>
  <c r="N129"/>
  <c r="N186"/>
  <c r="N162"/>
  <c r="N114"/>
  <c r="N56"/>
  <c r="N133"/>
  <c r="N237"/>
  <c r="N44"/>
  <c r="N68"/>
  <c r="N229"/>
  <c r="N71"/>
  <c r="N123"/>
  <c r="N238"/>
  <c r="N105"/>
  <c r="N41"/>
  <c r="N242"/>
  <c r="N126"/>
  <c r="N193"/>
  <c r="N134"/>
  <c r="N103"/>
  <c r="N155"/>
  <c r="N207"/>
  <c r="N241"/>
  <c r="N142"/>
  <c r="N89"/>
  <c r="N85"/>
  <c r="N113"/>
  <c r="N137"/>
  <c r="N189"/>
  <c r="N213"/>
  <c r="N245"/>
  <c r="N141"/>
  <c r="N218"/>
  <c r="N101"/>
  <c r="N64"/>
  <c r="N185"/>
  <c r="N82"/>
</calcChain>
</file>

<file path=xl/sharedStrings.xml><?xml version="1.0" encoding="utf-8"?>
<sst xmlns="http://schemas.openxmlformats.org/spreadsheetml/2006/main" count="2550" uniqueCount="35">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</sst>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DATA.xlsm]AVG methods vs VAR!PivotTable17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</c:ser>
        <c:marker val="1"/>
        <c:axId val="88018304"/>
        <c:axId val="88090112"/>
      </c:lineChart>
      <c:catAx>
        <c:axId val="88018304"/>
        <c:scaling>
          <c:orientation val="minMax"/>
        </c:scaling>
        <c:axPos val="b"/>
        <c:tickLblPos val="nextTo"/>
        <c:crossAx val="88090112"/>
        <c:crosses val="autoZero"/>
        <c:auto val="1"/>
        <c:lblAlgn val="ctr"/>
        <c:lblOffset val="100"/>
      </c:catAx>
      <c:valAx>
        <c:axId val="88090112"/>
        <c:scaling>
          <c:orientation val="minMax"/>
        </c:scaling>
        <c:axPos val="l"/>
        <c:majorGridlines/>
        <c:numFmt formatCode="General" sourceLinked="1"/>
        <c:tickLblPos val="nextTo"/>
        <c:crossAx val="88018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DATA.xlsm]AVG methods vs PSF size!PivotTable18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</c:ser>
        <c:marker val="1"/>
        <c:axId val="108538880"/>
        <c:axId val="108698240"/>
      </c:lineChart>
      <c:catAx>
        <c:axId val="108538880"/>
        <c:scaling>
          <c:orientation val="minMax"/>
        </c:scaling>
        <c:axPos val="b"/>
        <c:tickLblPos val="nextTo"/>
        <c:crossAx val="108698240"/>
        <c:crosses val="autoZero"/>
        <c:auto val="1"/>
        <c:lblAlgn val="ctr"/>
        <c:lblOffset val="100"/>
      </c:catAx>
      <c:valAx>
        <c:axId val="108698240"/>
        <c:scaling>
          <c:orientation val="minMax"/>
        </c:scaling>
        <c:axPos val="l"/>
        <c:majorGridlines/>
        <c:numFmt formatCode="General" sourceLinked="1"/>
        <c:tickLblPos val="nextTo"/>
        <c:crossAx val="108538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TICO09!PivotTable1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41517440"/>
        <c:axId val="41518976"/>
        <c:axId val="136714432"/>
      </c:surface3DChart>
      <c:catAx>
        <c:axId val="41517440"/>
        <c:scaling>
          <c:orientation val="minMax"/>
        </c:scaling>
        <c:axPos val="b"/>
        <c:tickLblPos val="nextTo"/>
        <c:crossAx val="41518976"/>
        <c:crosses val="autoZero"/>
        <c:auto val="1"/>
        <c:lblAlgn val="ctr"/>
        <c:lblOffset val="100"/>
      </c:catAx>
      <c:valAx>
        <c:axId val="41518976"/>
        <c:scaling>
          <c:orientation val="minMax"/>
        </c:scaling>
        <c:axPos val="l"/>
        <c:majorGridlines/>
        <c:numFmt formatCode="General" sourceLinked="1"/>
        <c:tickLblPos val="nextTo"/>
        <c:crossAx val="41517440"/>
        <c:crosses val="autoZero"/>
        <c:crossBetween val="midCat"/>
      </c:valAx>
      <c:serAx>
        <c:axId val="136714432"/>
        <c:scaling>
          <c:orientation val="minMax"/>
        </c:scaling>
        <c:axPos val="b"/>
        <c:tickLblPos val="nextTo"/>
        <c:crossAx val="41518976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SROU03!PivotTable4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41575936"/>
        <c:axId val="41577472"/>
        <c:axId val="136915584"/>
      </c:surface3DChart>
      <c:catAx>
        <c:axId val="41575936"/>
        <c:scaling>
          <c:orientation val="minMax"/>
        </c:scaling>
        <c:axPos val="b"/>
        <c:tickLblPos val="nextTo"/>
        <c:crossAx val="41577472"/>
        <c:crosses val="autoZero"/>
        <c:auto val="1"/>
        <c:lblAlgn val="ctr"/>
        <c:lblOffset val="100"/>
      </c:catAx>
      <c:valAx>
        <c:axId val="41577472"/>
        <c:scaling>
          <c:orientation val="minMax"/>
        </c:scaling>
        <c:axPos val="l"/>
        <c:majorGridlines/>
        <c:numFmt formatCode="General" sourceLinked="1"/>
        <c:tickLblPos val="nextTo"/>
        <c:crossAx val="41575936"/>
        <c:crosses val="autoZero"/>
        <c:crossBetween val="midCat"/>
      </c:valAx>
      <c:serAx>
        <c:axId val="136915584"/>
        <c:scaling>
          <c:orientation val="minMax"/>
        </c:scaling>
        <c:axPos val="b"/>
        <c:tickLblPos val="nextTo"/>
        <c:crossAx val="41577472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86215296"/>
        <c:axId val="86225280"/>
        <c:axId val="137082176"/>
      </c:surface3DChart>
      <c:catAx>
        <c:axId val="86215296"/>
        <c:scaling>
          <c:orientation val="minMax"/>
        </c:scaling>
        <c:axPos val="b"/>
        <c:tickLblPos val="nextTo"/>
        <c:crossAx val="86225280"/>
        <c:crosses val="autoZero"/>
        <c:auto val="1"/>
        <c:lblAlgn val="ctr"/>
        <c:lblOffset val="100"/>
      </c:catAx>
      <c:valAx>
        <c:axId val="86225280"/>
        <c:scaling>
          <c:orientation val="minMax"/>
        </c:scaling>
        <c:axPos val="l"/>
        <c:majorGridlines/>
        <c:numFmt formatCode="General" sourceLinked="1"/>
        <c:tickLblPos val="nextTo"/>
        <c:crossAx val="86215296"/>
        <c:crosses val="autoZero"/>
        <c:crossBetween val="midCat"/>
      </c:valAx>
      <c:serAx>
        <c:axId val="137082176"/>
        <c:scaling>
          <c:orientation val="minMax"/>
        </c:scaling>
        <c:axPos val="b"/>
        <c:tickLblPos val="nextTo"/>
        <c:crossAx val="86225280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10</xdr:row>
      <xdr:rowOff>28575</xdr:rowOff>
    </xdr:from>
    <xdr:to>
      <xdr:col>4</xdr:col>
      <xdr:colOff>314325</xdr:colOff>
      <xdr:row>24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10</xdr:row>
      <xdr:rowOff>171450</xdr:rowOff>
    </xdr:from>
    <xdr:to>
      <xdr:col>4</xdr:col>
      <xdr:colOff>400050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S" refreshedDate="40977.029502777776" createdVersion="3" refreshedVersion="3" minRefreshableVersion="3" recordCount="257">
  <cacheSource type="worksheet">
    <worksheetSource ref="A1:P1048576" sheet="report COMPLETE VAR DATA"/>
  </cacheSource>
  <cacheFields count="16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Color" numFmtId="0">
      <sharedItems containsString="0" containsBlank="1" containsNumber="1" containsInteger="1" minValue="1" maxValue="3"/>
    </cacheField>
    <cacheField name="DEGREE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  <s v="BM3D"/>
    <n v="1"/>
    <b v="0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  <s v="SROU03"/>
    <n v="3"/>
    <b v="1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  <s v="SROU03"/>
    <n v="3"/>
    <b v="1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  <s v="SROU03"/>
    <n v="3"/>
    <b v="1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  <s v="BM3D"/>
    <n v="1"/>
    <b v="1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  <s v="BM3D"/>
    <n v="1"/>
    <b v="0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  <s v="SROU03"/>
    <n v="3"/>
    <b v="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  <s v="SROU03"/>
    <n v="3"/>
    <b v="1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  <s v="BM3D"/>
    <n v="1"/>
    <b v="1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  <s v="BM3D"/>
    <n v="1"/>
    <b v="1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  <s v="SROU03"/>
    <n v="3"/>
    <b v="1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  <s v="SROU03"/>
    <n v="3"/>
    <b v="0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  <s v="BM3D"/>
    <n v="1"/>
    <b v="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  <s v="BM3D"/>
    <n v="1"/>
    <b v="1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  <s v="BM3D"/>
    <n v="1"/>
    <b v="0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  <s v="BM3D"/>
    <n v="1"/>
    <b v="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  <s v="SROU03"/>
    <n v="3"/>
    <b v="0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  <s v="SROU03"/>
    <n v="3"/>
    <b v="1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  <s v="SROU03"/>
    <n v="3"/>
    <b v="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  <s v="SROU03"/>
    <n v="3"/>
    <b v="1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  <s v="BM3D"/>
    <n v="1"/>
    <b v="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  <s v="SROU03"/>
    <n v="3"/>
    <b v="0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  <s v="SROU03"/>
    <n v="3"/>
    <b v="1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  <s v="SROU03"/>
    <n v="3"/>
    <b v="1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  <s v="BM3D"/>
    <n v="1"/>
    <b v="1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  <s v="BM3D"/>
    <n v="1"/>
    <b v="0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  <s v="SROU03"/>
    <n v="3"/>
    <b v="1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  <s v="SROU03"/>
    <n v="3"/>
    <b v="0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  <s v="BM3D"/>
    <n v="1"/>
    <b v="1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  <s v="BM3D"/>
    <n v="1"/>
    <b v="1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  <s v="BM3D"/>
    <n v="1"/>
    <b v="0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  <s v="BM3D"/>
    <n v="1"/>
    <b v="1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  <s v="SROU03"/>
    <n v="3"/>
    <b v="0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  <s v="SROU03"/>
    <n v="3"/>
    <b v="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  <s v="SROU03"/>
    <n v="3"/>
    <b v="0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  <s v="SROU03"/>
    <n v="3"/>
    <b v="1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  <s v="BM3D"/>
    <n v="1"/>
    <b v="1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  <s v="BM3D"/>
    <n v="1"/>
    <b v="0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  <s v="BM3D"/>
    <n v="1"/>
    <b v="1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  <s v="BM3D"/>
    <n v="1"/>
    <b v="0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  <s v="BM3D"/>
    <n v="1"/>
    <b v="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  <s v="BM3D"/>
    <n v="1"/>
    <b v="1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  <s v="BM3D"/>
    <n v="1"/>
    <b v="1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  <s v="BM3D"/>
    <n v="1"/>
    <b v="1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  <s v="BM3D"/>
    <n v="1"/>
    <b v="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  <s v="BM3D"/>
    <n v="1"/>
    <b v="1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  <s v="BM3D"/>
    <n v="1"/>
    <b v="1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  <s v="BM3D"/>
    <n v="1"/>
    <b v="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  <s v="SROU03"/>
    <n v="3"/>
    <b v="0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  <s v="SROU03"/>
    <n v="3"/>
    <b v="1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  <s v="SROU03"/>
    <n v="3"/>
    <b v="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  <s v="SROU03"/>
    <n v="3"/>
    <b v="1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  <s v="BM3D"/>
    <n v="1"/>
    <b v="1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  <s v="SROU03"/>
    <n v="3"/>
    <b v="0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  <s v="SROU03"/>
    <n v="3"/>
    <b v="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  <s v="SROU03"/>
    <n v="3"/>
    <b v="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  <s v="BM3D"/>
    <n v="1"/>
    <b v="1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  <s v="BM3D"/>
    <n v="1"/>
    <b v="0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  <s v="SROU03"/>
    <n v="3"/>
    <b v="1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  <s v="SROU03"/>
    <n v="3"/>
    <b v="1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  <s v="BM3D"/>
    <n v="1"/>
    <b v="1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  <s v="BM3D"/>
    <n v="1"/>
    <b v="1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  <s v="BM3D"/>
    <n v="1"/>
    <b v="0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  <s v="BM3D"/>
    <n v="1"/>
    <b v="1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  <s v="BM3D"/>
    <n v="1"/>
    <b v="0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  <s v="SROU03"/>
    <n v="3"/>
    <b v="0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  <s v="SROU03"/>
    <n v="3"/>
    <b v="1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  <s v="SROU03"/>
    <n v="3"/>
    <b v="1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  <s v="BM3D"/>
    <n v="1"/>
    <b v="0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  <s v="BM3D"/>
    <n v="1"/>
    <b v="1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  <s v="SROU03"/>
    <n v="3"/>
    <b v="1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  <s v="SROU03"/>
    <n v="3"/>
    <b v="1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  <s v="BM3D"/>
    <n v="1"/>
    <b v="0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  <s v="BM3D"/>
    <n v="1"/>
    <b v="0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  <s v="SROU03"/>
    <n v="3"/>
    <b v="1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  <s v="SROU03"/>
    <n v="3"/>
    <b v="1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  <s v="BM3D"/>
    <n v="1"/>
    <b v="1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  <s v="BM3D"/>
    <n v="1"/>
    <b v="0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  <s v="SROU03"/>
    <n v="3"/>
    <b v="0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  <s v="SROU03"/>
    <n v="3"/>
    <b v="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  <s v="SROU03"/>
    <n v="3"/>
    <b v="0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  <s v="SROU03"/>
    <n v="3"/>
    <b v="1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  <s v="SROU03"/>
    <n v="3"/>
    <b v="1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  <s v="SROU03"/>
    <n v="3"/>
    <b v="1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  <s v="BM3D"/>
    <n v="1"/>
    <b v="0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  <s v="BM3D"/>
    <n v="1"/>
    <b v="0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  <s v="SROU03"/>
    <n v="3"/>
    <b v="1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  <s v="SROU03"/>
    <n v="3"/>
    <b v="1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  <s v="BM3D"/>
    <n v="1"/>
    <b v="1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  <s v="BM3D"/>
    <n v="1"/>
    <b v="0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  <s v="SROU03"/>
    <n v="3"/>
    <b v="1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  <s v="SROU03"/>
    <n v="3"/>
    <b v="1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  <s v="BM3D"/>
    <n v="1"/>
    <b v="1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  <s v="BM3D"/>
    <n v="1"/>
    <b v="0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  <s v="SROU03"/>
    <n v="3"/>
    <b v="0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  <s v="SROU03"/>
    <n v="3"/>
    <b v="1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  <s v="SROU03"/>
    <n v="3"/>
    <b v="0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  <s v="SROU03"/>
    <n v="3"/>
    <b v="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  <s v="SROU03"/>
    <n v="3"/>
    <b v="1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  <s v="SROU03"/>
    <n v="3"/>
    <b v="1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  <s v="BM3D"/>
    <n v="1"/>
    <b v="0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  <s v="SROU03"/>
    <n v="3"/>
    <b v="0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  <s v="SROU03"/>
    <n v="3"/>
    <b v="0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  <s v="SROU03"/>
    <n v="3"/>
    <b v="1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  <s v="BM3D"/>
    <n v="1"/>
    <b v="1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  <s v="BM3D"/>
    <n v="1"/>
    <b v="1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  <s v="BM3D"/>
    <n v="1"/>
    <b v="1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  <s v="SROU03"/>
    <n v="3"/>
    <b v="0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  <s v="BM3D"/>
    <n v="1"/>
    <b v="0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  <s v="BM3D"/>
    <n v="1"/>
    <b v="1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  <s v="BM3D"/>
    <n v="1"/>
    <b v="1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  <s v="BM3D"/>
    <n v="1"/>
    <b v="0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  <s v="SROU03"/>
    <n v="3"/>
    <b v="0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  <s v="SROU03"/>
    <n v="3"/>
    <b v="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  <s v="SROU03"/>
    <n v="3"/>
    <b v="1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  <s v="SROU03"/>
    <n v="3"/>
    <b v="1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  <s v="BM3D"/>
    <n v="1"/>
    <b v="0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  <s v="SROU03"/>
    <n v="3"/>
    <b v="0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  <s v="SROU03"/>
    <n v="3"/>
    <b v="1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  <s v="SROU03"/>
    <n v="3"/>
    <b v="1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  <s v="BM3D"/>
    <n v="1"/>
    <b v="1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  <s v="BM3D"/>
    <n v="1"/>
    <b v="0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  <s v="SROU03"/>
    <n v="3"/>
    <b v="1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  <s v="SROU03"/>
    <n v="3"/>
    <b v="1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  <s v="BM3D"/>
    <n v="1"/>
    <b v="1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  <s v="BM3D"/>
    <n v="1"/>
    <b v="0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  <s v="SROU03"/>
    <n v="3"/>
    <b v="0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  <s v="SROU03"/>
    <n v="3"/>
    <b v="1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  <s v="BM3D"/>
    <n v="1"/>
    <b v="0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  <s v="BM3D"/>
    <n v="1"/>
    <b v="0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  <s v="SROU03"/>
    <n v="3"/>
    <b v="1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  <s v="SROU03"/>
    <n v="3"/>
    <b v="1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  <s v="BM3D"/>
    <n v="1"/>
    <b v="1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  <s v="BM3D"/>
    <n v="1"/>
    <b v="0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  <s v="BM3D"/>
    <n v="1"/>
    <b v="1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  <s v="SROU03"/>
    <n v="3"/>
    <b v="1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  <s v="BM3D"/>
    <n v="1"/>
    <b v="1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  <s v="BM3D"/>
    <n v="1"/>
    <b v="1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  <s v="SROU03"/>
    <n v="3"/>
    <b v="0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  <s v="SROU03"/>
    <n v="3"/>
    <b v="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  <s v="BM3D"/>
    <n v="1"/>
    <b v="1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  <s v="BM3D"/>
    <n v="1"/>
    <b v="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  <s v="BM3D"/>
    <n v="1"/>
    <b v="1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  <s v="SROU03"/>
    <n v="3"/>
    <b v="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  <s v="SROU03"/>
    <n v="3"/>
    <b v="0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  <s v="SROU03"/>
    <n v="3"/>
    <b v="0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  <s v="SROU03"/>
    <n v="3"/>
    <b v="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  <s v="SROU03"/>
    <n v="3"/>
    <b v="1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  <s v="BM3D"/>
    <n v="1"/>
    <b v="1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  <s v="BM3D"/>
    <n v="1"/>
    <b v="0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  <s v="BM3D"/>
    <n v="1"/>
    <b v="0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  <s v="SROU03"/>
    <n v="3"/>
    <b v="1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  <s v="BM3D"/>
    <n v="1"/>
    <b v="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  <s v="BM3D"/>
    <n v="1"/>
    <b v="1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  <s v="SROU03"/>
    <n v="3"/>
    <b v="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  <s v="SROU03"/>
    <n v="3"/>
    <b v="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  <s v="BM3D"/>
    <n v="1"/>
    <b v="1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  <s v="BM3D"/>
    <n v="1"/>
    <b v="1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  <s v="BM3D"/>
    <n v="1"/>
    <b v="1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  <s v="SROU03"/>
    <n v="3"/>
    <b v="1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  <s v="SROU03"/>
    <n v="3"/>
    <b v="0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  <s v="SROU03"/>
    <n v="3"/>
    <b v="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  <s v="SROU03"/>
    <n v="3"/>
    <b v="1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  <s v="SROU03"/>
    <n v="3"/>
    <b v="1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  <s v="BM3D"/>
    <n v="1"/>
    <b v="1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  <s v="BM3D"/>
    <n v="1"/>
    <b v="0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  <s v="SROU03"/>
    <n v="3"/>
    <b v="1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  <s v="SROU03"/>
    <n v="3"/>
    <b v="1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  <s v="BM3D"/>
    <n v="1"/>
    <b v="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  <s v="BM3D"/>
    <n v="1"/>
    <b v="1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  <s v="BM3D"/>
    <n v="1"/>
    <b v="1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  <s v="TICO09"/>
    <n v="2"/>
    <b v="0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  <s v="BM3D"/>
    <n v="1"/>
    <b v="1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  <s v="BM3D"/>
    <n v="1"/>
    <b v="1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  <s v="BM3D"/>
    <n v="1"/>
    <b v="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  <s v="TICO09"/>
    <n v="2"/>
    <b v="1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  <s v="SROU03"/>
    <n v="3"/>
    <b v="0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  <s v="SROU03"/>
    <n v="3"/>
    <b v="0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  <s v="SROU03"/>
    <n v="3"/>
    <b v="1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  <s v="SROU03"/>
    <n v="3"/>
    <b v="1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  <s v="BM3D"/>
    <n v="1"/>
    <b v="1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  <s v="BM3D"/>
    <n v="1"/>
    <b v="0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  <s v="SROU03"/>
    <n v="3"/>
    <b v="0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  <s v="SROU03"/>
    <n v="3"/>
    <b v="1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  <s v="BM3D"/>
    <n v="1"/>
    <b v="1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  <s v="BM3D"/>
    <n v="1"/>
    <b v="1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  <s v="SROU03"/>
    <n v="3"/>
    <b v="0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  <s v="SROU03"/>
    <n v="3"/>
    <b v="1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  <s v="BM3D"/>
    <n v="1"/>
    <b v="1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  <s v="BM3D"/>
    <n v="1"/>
    <b v="1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  <s v="BM3D"/>
    <n v="1"/>
    <b v="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  <s v="SROU03"/>
    <n v="3"/>
    <b v="1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  <s v="BM3D"/>
    <n v="1"/>
    <b v="0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  <s v="SROU03"/>
    <n v="3"/>
    <b v="0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  <s v="SROU03"/>
    <n v="3"/>
    <b v="1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  <s v="SROU03"/>
    <n v="3"/>
    <b v="1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  <s v="BM3D"/>
    <n v="1"/>
    <b v="1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  <s v="BM3D"/>
    <n v="1"/>
    <b v="0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  <s v="SROU03"/>
    <n v="3"/>
    <b v="0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  <s v="BM3D"/>
    <n v="1"/>
    <b v="0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  <s v="BM3D"/>
    <n v="1"/>
    <b v="1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  <s v="BM3D"/>
    <n v="1"/>
    <b v="0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  <s v="SROU03"/>
    <n v="3"/>
    <b v="1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  <s v="SROU03"/>
    <n v="3"/>
    <b v="1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  <s v="BM3D"/>
    <n v="1"/>
    <b v="1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  <s v="BM3D"/>
    <n v="1"/>
    <b v="1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  <s v="SROU03"/>
    <n v="3"/>
    <b v="0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  <s v="BM3D"/>
    <n v="1"/>
    <b v="1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  <s v="SROU03"/>
    <n v="3"/>
    <b v="0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  <s v="SROU03"/>
    <n v="3"/>
    <b v="1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  <s v="SROU03"/>
    <n v="3"/>
    <b v="1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  <s v="SROU03"/>
    <n v="3"/>
    <b v="1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  <s v="BM3D"/>
    <n v="1"/>
    <b v="1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  <s v="BM3D"/>
    <n v="1"/>
    <b v="0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  <s v="SROU03"/>
    <n v="3"/>
    <b v="1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  <s v="BM3D"/>
    <n v="1"/>
    <b v="0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  <s v="BM3D"/>
    <n v="1"/>
    <b v="1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  <s v="BM3D"/>
    <n v="1"/>
    <b v="0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  <s v="SROU03"/>
    <n v="3"/>
    <b v="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  <s v="SROU03"/>
    <n v="3"/>
    <b v="1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  <s v="BM3D"/>
    <n v="1"/>
    <b v="1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  <s v="BM3D"/>
    <n v="1"/>
    <b v="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  <s v="SROU03"/>
    <n v="3"/>
    <b v="0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  <s v="BM3D"/>
    <n v="1"/>
    <b v="0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  <s v="SROU03"/>
    <n v="3"/>
    <b v="0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  <s v="SROU03"/>
    <n v="3"/>
    <b v="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  <s v="SROU03"/>
    <n v="3"/>
    <b v="1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  <s v="SROU03"/>
    <n v="3"/>
    <b v="1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  <s v="BM3D"/>
    <n v="1"/>
    <b v="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  <s v="SROU03"/>
    <n v="3"/>
    <b v="0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  <s v="SROU03"/>
    <n v="3"/>
    <b v="0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  <s v="BM3D"/>
    <n v="1"/>
    <b v="0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  <s v="BM3D"/>
    <n v="1"/>
    <b v="1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  <s v="BM3D"/>
    <n v="1"/>
    <b v="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  <s v="BM3D"/>
    <n v="1"/>
    <b v="1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  <s v="BM3D"/>
    <n v="1"/>
    <b v="1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  <s v="BM3D"/>
    <n v="1"/>
    <b v="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  <s v="BM3D"/>
    <n v="1"/>
    <b v="1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  <s v="BM3D"/>
    <n v="1"/>
    <b v="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  <s v="BM3D"/>
    <n v="1"/>
    <b v="1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  <s v="BM3D"/>
    <n v="1"/>
    <b v="0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  <s v="SROU03"/>
    <n v="3"/>
    <b v="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  <s v="SROU03"/>
    <n v="3"/>
    <b v="1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  <s v="SROU03"/>
    <n v="3"/>
    <b v="1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  <s v="BM3D"/>
    <n v="1"/>
    <b v="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  <s v="BM3D"/>
    <n v="1"/>
    <b v="0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  <s v="SROU03"/>
    <n v="3"/>
    <b v="1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  <s v="SROU03"/>
    <n v="3"/>
    <b v="0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  <s v="BM3D"/>
    <n v="1"/>
    <b v="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  <s v="SROU03"/>
    <n v="3"/>
    <b v="0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  <s v="SROU03"/>
    <n v="3"/>
    <b v="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  <s v="SROU03"/>
    <n v="3"/>
    <b v="0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  <s v="BM3D"/>
    <n v="1"/>
    <b v="1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  <s v="BM3D"/>
    <n v="1"/>
    <b v="0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  <s v="SROU03"/>
    <n v="3"/>
    <b v="1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  <s v="BM3D"/>
    <n v="1"/>
    <b v="1"/>
  </r>
  <r>
    <x v="4"/>
    <x v="4"/>
    <x v="4"/>
    <m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1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16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1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16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1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2" cacheId="1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16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4" subtotal="max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57"/>
  <sheetViews>
    <sheetView workbookViewId="0">
      <pane ySplit="1" topLeftCell="A161" activePane="bottomLeft" state="frozen"/>
      <selection pane="bottomLeft" sqref="A1:P1048576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  <col min="14" max="14" width="14" bestFit="1" customWidth="1"/>
    <col min="15" max="15" width="14" customWidth="1"/>
  </cols>
  <sheetData>
    <row r="1" spans="1:1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33</v>
      </c>
      <c r="P1" s="1" t="s">
        <v>22</v>
      </c>
    </row>
    <row r="2" spans="1:16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lena256_blurkernel7_3_0.00001_0.0001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VLOOKUP(N2,'Color codes'!$A$1:$B$3,2,FALSE)</f>
        <v>1</v>
      </c>
      <c r="P2" t="b">
        <f>(ABS(L2-M2)  &gt; 1)</f>
        <v>0</v>
      </c>
    </row>
    <row r="3" spans="1:16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lena256_blurkernel7_3_0.00001_0.001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>VLOOKUP(N3,'Color codes'!$A$1:$B$3,2,FALSE)</f>
        <v>3</v>
      </c>
      <c r="P3" t="b">
        <f t="shared" ref="P3:P66" si="2">(ABS(L3-M3)  &gt; 1)</f>
        <v>1</v>
      </c>
    </row>
    <row r="4" spans="1:16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lena256_blurkernel7_3_0.00001_0.01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>VLOOKUP(N4,'Color codes'!$A$1:$B$3,2,FALSE)</f>
        <v>3</v>
      </c>
      <c r="P4" t="b">
        <f t="shared" si="2"/>
        <v>1</v>
      </c>
    </row>
    <row r="5" spans="1:16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lena256_blurkernel7_3_0.00001_0.1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>VLOOKUP(N5,'Color codes'!$A$1:$B$3,2,FALSE)</f>
        <v>3</v>
      </c>
      <c r="P5" t="b">
        <f t="shared" si="2"/>
        <v>1</v>
      </c>
    </row>
    <row r="6" spans="1:16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lena256_blurkernel7_7_0.00001_0.0001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>VLOOKUP(N6,'Color codes'!$A$1:$B$3,2,FALSE)</f>
        <v>1</v>
      </c>
      <c r="P6" t="b">
        <f t="shared" si="2"/>
        <v>1</v>
      </c>
    </row>
    <row r="7" spans="1:16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lena256_blurkernel7_7_0.00001_0.001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>VLOOKUP(N7,'Color codes'!$A$1:$B$3,2,FALSE)</f>
        <v>1</v>
      </c>
      <c r="P7" t="b">
        <f t="shared" si="2"/>
        <v>0</v>
      </c>
    </row>
    <row r="8" spans="1:16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lena256_blurkernel7_7_0.00001_0.01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>VLOOKUP(N8,'Color codes'!$A$1:$B$3,2,FALSE)</f>
        <v>3</v>
      </c>
      <c r="P8" t="b">
        <f t="shared" si="2"/>
        <v>1</v>
      </c>
    </row>
    <row r="9" spans="1:16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lena256_blurkernel7_7_0.00001_0.1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>VLOOKUP(N9,'Color codes'!$A$1:$B$3,2,FALSE)</f>
        <v>3</v>
      </c>
      <c r="P9" t="b">
        <f t="shared" si="2"/>
        <v>1</v>
      </c>
    </row>
    <row r="10" spans="1:16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lena256_blurkernel7_15_0.00001_0.0001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>VLOOKUP(N10,'Color codes'!$A$1:$B$3,2,FALSE)</f>
        <v>1</v>
      </c>
      <c r="P10" t="b">
        <f t="shared" si="2"/>
        <v>1</v>
      </c>
    </row>
    <row r="11" spans="1:16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lena256_blurkernel7_15_0.00001_0.001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>VLOOKUP(N11,'Color codes'!$A$1:$B$3,2,FALSE)</f>
        <v>1</v>
      </c>
      <c r="P11" t="b">
        <f t="shared" si="2"/>
        <v>1</v>
      </c>
    </row>
    <row r="12" spans="1:16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lena256_blurkernel7_15_0.00001_0.01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>VLOOKUP(N12,'Color codes'!$A$1:$B$3,2,FALSE)</f>
        <v>3</v>
      </c>
      <c r="P12" t="b">
        <f t="shared" si="2"/>
        <v>1</v>
      </c>
    </row>
    <row r="13" spans="1:16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lena256_blurkernel7_15_0.00001_0.1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>VLOOKUP(N13,'Color codes'!$A$1:$B$3,2,FALSE)</f>
        <v>3</v>
      </c>
      <c r="P13" t="b">
        <f t="shared" si="2"/>
        <v>0</v>
      </c>
    </row>
    <row r="14" spans="1:16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lena256_blurkernel7_31_0.00001_0.0001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>VLOOKUP(N14,'Color codes'!$A$1:$B$3,2,FALSE)</f>
        <v>1</v>
      </c>
      <c r="P14" t="b">
        <f t="shared" si="2"/>
        <v>1</v>
      </c>
    </row>
    <row r="15" spans="1:16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lena256_blurkernel7_31_0.00001_0.001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>VLOOKUP(N15,'Color codes'!$A$1:$B$3,2,FALSE)</f>
        <v>1</v>
      </c>
      <c r="P15" t="b">
        <f t="shared" si="2"/>
        <v>1</v>
      </c>
    </row>
    <row r="16" spans="1:16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lena256_blurkernel7_31_0.00001_0.01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>VLOOKUP(N16,'Color codes'!$A$1:$B$3,2,FALSE)</f>
        <v>1</v>
      </c>
      <c r="P16" t="b">
        <f t="shared" si="2"/>
        <v>0</v>
      </c>
    </row>
    <row r="17" spans="1:16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lena256_blurkernel7_31_0.00001_0.1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>VLOOKUP(N17,'Color codes'!$A$1:$B$3,2,FALSE)</f>
        <v>1</v>
      </c>
      <c r="P17" t="b">
        <f t="shared" si="2"/>
        <v>1</v>
      </c>
    </row>
    <row r="18" spans="1:16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lena256_blurkernel8_3_0.00001_0.0001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>VLOOKUP(N18,'Color codes'!$A$1:$B$3,2,FALSE)</f>
        <v>3</v>
      </c>
      <c r="P18" t="b">
        <f t="shared" si="2"/>
        <v>0</v>
      </c>
    </row>
    <row r="19" spans="1:16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lena256_blurkernel8_3_0.00001_0.001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>VLOOKUP(N19,'Color codes'!$A$1:$B$3,2,FALSE)</f>
        <v>3</v>
      </c>
      <c r="P19" t="b">
        <f t="shared" si="2"/>
        <v>1</v>
      </c>
    </row>
    <row r="20" spans="1:16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lena256_blurkernel8_3_0.00001_0.01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>VLOOKUP(N20,'Color codes'!$A$1:$B$3,2,FALSE)</f>
        <v>3</v>
      </c>
      <c r="P20" t="b">
        <f t="shared" si="2"/>
        <v>1</v>
      </c>
    </row>
    <row r="21" spans="1:16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lena256_blurkernel8_3_0.00001_0.1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>VLOOKUP(N21,'Color codes'!$A$1:$B$3,2,FALSE)</f>
        <v>3</v>
      </c>
      <c r="P21" t="b">
        <f t="shared" si="2"/>
        <v>1</v>
      </c>
    </row>
    <row r="22" spans="1:16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lena256_blurkernel8_7_0.00001_0.0001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>VLOOKUP(N22,'Color codes'!$A$1:$B$3,2,FALSE)</f>
        <v>1</v>
      </c>
      <c r="P22" t="b">
        <f t="shared" si="2"/>
        <v>1</v>
      </c>
    </row>
    <row r="23" spans="1:16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lena256_blurkernel8_7_0.00001_0.001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>VLOOKUP(N23,'Color codes'!$A$1:$B$3,2,FALSE)</f>
        <v>3</v>
      </c>
      <c r="P23" t="b">
        <f t="shared" si="2"/>
        <v>0</v>
      </c>
    </row>
    <row r="24" spans="1:16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lena256_blurkernel8_7_0.00001_0.01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>VLOOKUP(N24,'Color codes'!$A$1:$B$3,2,FALSE)</f>
        <v>3</v>
      </c>
      <c r="P24" t="b">
        <f t="shared" si="2"/>
        <v>1</v>
      </c>
    </row>
    <row r="25" spans="1:16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lena256_blurkernel8_7_0.00001_0.1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>VLOOKUP(N25,'Color codes'!$A$1:$B$3,2,FALSE)</f>
        <v>3</v>
      </c>
      <c r="P25" t="b">
        <f t="shared" si="2"/>
        <v>1</v>
      </c>
    </row>
    <row r="26" spans="1:16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lena256_blurkernel8_15_0.00001_0.0001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>VLOOKUP(N26,'Color codes'!$A$1:$B$3,2,FALSE)</f>
        <v>1</v>
      </c>
      <c r="P26" t="b">
        <f t="shared" si="2"/>
        <v>1</v>
      </c>
    </row>
    <row r="27" spans="1:16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lena256_blurkernel8_15_0.00001_0.001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>VLOOKUP(N27,'Color codes'!$A$1:$B$3,2,FALSE)</f>
        <v>1</v>
      </c>
      <c r="P27" t="b">
        <f t="shared" si="2"/>
        <v>0</v>
      </c>
    </row>
    <row r="28" spans="1:16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lena256_blurkernel8_15_0.00001_0.01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>VLOOKUP(N28,'Color codes'!$A$1:$B$3,2,FALSE)</f>
        <v>3</v>
      </c>
      <c r="P28" t="b">
        <f t="shared" si="2"/>
        <v>1</v>
      </c>
    </row>
    <row r="29" spans="1:16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lena256_blurkernel8_15_0.00001_0.1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>VLOOKUP(N29,'Color codes'!$A$1:$B$3,2,FALSE)</f>
        <v>3</v>
      </c>
      <c r="P29" t="b">
        <f t="shared" si="2"/>
        <v>0</v>
      </c>
    </row>
    <row r="30" spans="1:16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lena256_blurkernel8_31_0.00001_0.0001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>VLOOKUP(N30,'Color codes'!$A$1:$B$3,2,FALSE)</f>
        <v>1</v>
      </c>
      <c r="P30" t="b">
        <f t="shared" si="2"/>
        <v>1</v>
      </c>
    </row>
    <row r="31" spans="1:16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lena256_blurkernel8_31_0.00001_0.001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>VLOOKUP(N31,'Color codes'!$A$1:$B$3,2,FALSE)</f>
        <v>1</v>
      </c>
      <c r="P31" t="b">
        <f t="shared" si="2"/>
        <v>1</v>
      </c>
    </row>
    <row r="32" spans="1:16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lena256_blurkernel8_31_0.00001_0.01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>VLOOKUP(N32,'Color codes'!$A$1:$B$3,2,FALSE)</f>
        <v>1</v>
      </c>
      <c r="P32" t="b">
        <f t="shared" si="2"/>
        <v>0</v>
      </c>
    </row>
    <row r="33" spans="1:16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lena256_blurkernel8_31_0.00001_0.1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>VLOOKUP(N33,'Color codes'!$A$1:$B$3,2,FALSE)</f>
        <v>1</v>
      </c>
      <c r="P33" t="b">
        <f t="shared" si="2"/>
        <v>1</v>
      </c>
    </row>
    <row r="34" spans="1:16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lena256_line_3_0.00001_0.0001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>VLOOKUP(N34,'Color codes'!$A$1:$B$3,2,FALSE)</f>
        <v>3</v>
      </c>
      <c r="P34" t="b">
        <f t="shared" si="2"/>
        <v>0</v>
      </c>
    </row>
    <row r="35" spans="1:16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3">A35&amp;"_"&amp;B35&amp;"_"&amp;C35&amp;"_"&amp;D35&amp;"_"&amp;E35</f>
        <v>lena256_line_3_0.00001_0.001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>VLOOKUP(N35,'Color codes'!$A$1:$B$3,2,FALSE)</f>
        <v>3</v>
      </c>
      <c r="P35" t="b">
        <f t="shared" si="2"/>
        <v>1</v>
      </c>
    </row>
    <row r="36" spans="1:16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3"/>
        <v>lena256_line_3_0.00001_0.01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>VLOOKUP(N36,'Color codes'!$A$1:$B$3,2,FALSE)</f>
        <v>3</v>
      </c>
      <c r="P36" t="b">
        <f t="shared" si="2"/>
        <v>0</v>
      </c>
    </row>
    <row r="37" spans="1:16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3"/>
        <v>lena256_line_3_0.00001_0.1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>VLOOKUP(N37,'Color codes'!$A$1:$B$3,2,FALSE)</f>
        <v>3</v>
      </c>
      <c r="P37" t="b">
        <f t="shared" si="2"/>
        <v>1</v>
      </c>
    </row>
    <row r="38" spans="1:16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3"/>
        <v>lena256_line_7_0.00001_0.0001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>VLOOKUP(N38,'Color codes'!$A$1:$B$3,2,FALSE)</f>
        <v>1</v>
      </c>
      <c r="P38" t="b">
        <f t="shared" si="2"/>
        <v>1</v>
      </c>
    </row>
    <row r="39" spans="1:16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3"/>
        <v>lena256_line_7_0.00001_0.001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>VLOOKUP(N39,'Color codes'!$A$1:$B$3,2,FALSE)</f>
        <v>1</v>
      </c>
      <c r="P39" t="b">
        <f t="shared" si="2"/>
        <v>0</v>
      </c>
    </row>
    <row r="40" spans="1:16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3"/>
        <v>lena256_line_7_0.00001_0.01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>VLOOKUP(N40,'Color codes'!$A$1:$B$3,2,FALSE)</f>
        <v>1</v>
      </c>
      <c r="P40" t="b">
        <f t="shared" si="2"/>
        <v>1</v>
      </c>
    </row>
    <row r="41" spans="1:16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3"/>
        <v>lena256_line_7_0.00001_0.1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>VLOOKUP(N41,'Color codes'!$A$1:$B$3,2,FALSE)</f>
        <v>1</v>
      </c>
      <c r="P41" t="b">
        <f t="shared" si="2"/>
        <v>0</v>
      </c>
    </row>
    <row r="42" spans="1:16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3"/>
        <v>lena256_line_15_0.00001_0.0001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>VLOOKUP(N42,'Color codes'!$A$1:$B$3,2,FALSE)</f>
        <v>1</v>
      </c>
      <c r="P42" t="b">
        <f t="shared" si="2"/>
        <v>1</v>
      </c>
    </row>
    <row r="43" spans="1:16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3"/>
        <v>lena256_line_15_0.00001_0.001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>VLOOKUP(N43,'Color codes'!$A$1:$B$3,2,FALSE)</f>
        <v>1</v>
      </c>
      <c r="P43" t="b">
        <f t="shared" si="2"/>
        <v>1</v>
      </c>
    </row>
    <row r="44" spans="1:16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3"/>
        <v>lena256_line_15_0.00001_0.01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>VLOOKUP(N44,'Color codes'!$A$1:$B$3,2,FALSE)</f>
        <v>1</v>
      </c>
      <c r="P44" t="b">
        <f t="shared" si="2"/>
        <v>1</v>
      </c>
    </row>
    <row r="45" spans="1:16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3"/>
        <v>lena256_line_15_0.00001_0.1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>VLOOKUP(N45,'Color codes'!$A$1:$B$3,2,FALSE)</f>
        <v>1</v>
      </c>
      <c r="P45" t="b">
        <f t="shared" si="2"/>
        <v>1</v>
      </c>
    </row>
    <row r="46" spans="1:16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3"/>
        <v>lena256_line_31_0.00001_0.0001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>VLOOKUP(N46,'Color codes'!$A$1:$B$3,2,FALSE)</f>
        <v>1</v>
      </c>
      <c r="P46" t="b">
        <f t="shared" si="2"/>
        <v>1</v>
      </c>
    </row>
    <row r="47" spans="1:16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3"/>
        <v>lena256_line_31_0.00001_0.001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>VLOOKUP(N47,'Color codes'!$A$1:$B$3,2,FALSE)</f>
        <v>1</v>
      </c>
      <c r="P47" t="b">
        <f t="shared" si="2"/>
        <v>1</v>
      </c>
    </row>
    <row r="48" spans="1:16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3"/>
        <v>lena256_line_31_0.00001_0.01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>VLOOKUP(N48,'Color codes'!$A$1:$B$3,2,FALSE)</f>
        <v>1</v>
      </c>
      <c r="P48" t="b">
        <f t="shared" si="2"/>
        <v>1</v>
      </c>
    </row>
    <row r="49" spans="1:16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3"/>
        <v>lena256_line_31_0.00001_0.1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>VLOOKUP(N49,'Color codes'!$A$1:$B$3,2,FALSE)</f>
        <v>1</v>
      </c>
      <c r="P49" t="b">
        <f t="shared" si="2"/>
        <v>1</v>
      </c>
    </row>
    <row r="50" spans="1:16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3"/>
        <v>lena256_blurkernel10_3_0.00001_0.0001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>VLOOKUP(N50,'Color codes'!$A$1:$B$3,2,FALSE)</f>
        <v>3</v>
      </c>
      <c r="P50" t="b">
        <f t="shared" si="2"/>
        <v>0</v>
      </c>
    </row>
    <row r="51" spans="1:16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3"/>
        <v>lena256_blurkernel10_3_0.00001_0.001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>VLOOKUP(N51,'Color codes'!$A$1:$B$3,2,FALSE)</f>
        <v>3</v>
      </c>
      <c r="P51" t="b">
        <f t="shared" si="2"/>
        <v>1</v>
      </c>
    </row>
    <row r="52" spans="1:16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3"/>
        <v>lena256_blurkernel10_3_0.00001_0.01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>VLOOKUP(N52,'Color codes'!$A$1:$B$3,2,FALSE)</f>
        <v>3</v>
      </c>
      <c r="P52" t="b">
        <f t="shared" si="2"/>
        <v>1</v>
      </c>
    </row>
    <row r="53" spans="1:16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3"/>
        <v>lena256_blurkernel10_3_0.00001_0.1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>VLOOKUP(N53,'Color codes'!$A$1:$B$3,2,FALSE)</f>
        <v>3</v>
      </c>
      <c r="P53" t="b">
        <f t="shared" si="2"/>
        <v>1</v>
      </c>
    </row>
    <row r="54" spans="1:16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3"/>
        <v>lena256_blurkernel10_7_0.00001_0.0001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>VLOOKUP(N54,'Color codes'!$A$1:$B$3,2,FALSE)</f>
        <v>1</v>
      </c>
      <c r="P54" t="b">
        <f t="shared" si="2"/>
        <v>1</v>
      </c>
    </row>
    <row r="55" spans="1:16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3"/>
        <v>lena256_blurkernel10_7_0.00001_0.001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4">IF((M55&gt;(MAX(K55,L55))),"BM3D",IF(L55&gt;(MAX(K55,M55)),"SROU03","TICO09"))</f>
        <v>SROU03</v>
      </c>
      <c r="O55">
        <f>VLOOKUP(N55,'Color codes'!$A$1:$B$3,2,FALSE)</f>
        <v>3</v>
      </c>
      <c r="P55" t="b">
        <f t="shared" si="2"/>
        <v>0</v>
      </c>
    </row>
    <row r="56" spans="1:16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3"/>
        <v>lena256_blurkernel10_7_0.00001_0.01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4"/>
        <v>SROU03</v>
      </c>
      <c r="O56">
        <f>VLOOKUP(N56,'Color codes'!$A$1:$B$3,2,FALSE)</f>
        <v>3</v>
      </c>
      <c r="P56" t="b">
        <f t="shared" si="2"/>
        <v>1</v>
      </c>
    </row>
    <row r="57" spans="1:16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3"/>
        <v>lena256_blurkernel10_7_0.00001_0.1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4"/>
        <v>SROU03</v>
      </c>
      <c r="O57">
        <f>VLOOKUP(N57,'Color codes'!$A$1:$B$3,2,FALSE)</f>
        <v>3</v>
      </c>
      <c r="P57" t="b">
        <f t="shared" si="2"/>
        <v>1</v>
      </c>
    </row>
    <row r="58" spans="1:16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3"/>
        <v>lena256_blurkernel10_15_0.00001_0.0001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4"/>
        <v>BM3D</v>
      </c>
      <c r="O58">
        <f>VLOOKUP(N58,'Color codes'!$A$1:$B$3,2,FALSE)</f>
        <v>1</v>
      </c>
      <c r="P58" t="b">
        <f t="shared" si="2"/>
        <v>1</v>
      </c>
    </row>
    <row r="59" spans="1:16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3"/>
        <v>lena256_blurkernel10_15_0.00001_0.001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4"/>
        <v>BM3D</v>
      </c>
      <c r="O59">
        <f>VLOOKUP(N59,'Color codes'!$A$1:$B$3,2,FALSE)</f>
        <v>1</v>
      </c>
      <c r="P59" t="b">
        <f t="shared" si="2"/>
        <v>0</v>
      </c>
    </row>
    <row r="60" spans="1:16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3"/>
        <v>lena256_blurkernel10_15_0.00001_0.01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4"/>
        <v>SROU03</v>
      </c>
      <c r="O60">
        <f>VLOOKUP(N60,'Color codes'!$A$1:$B$3,2,FALSE)</f>
        <v>3</v>
      </c>
      <c r="P60" t="b">
        <f t="shared" si="2"/>
        <v>1</v>
      </c>
    </row>
    <row r="61" spans="1:16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3"/>
        <v>lena256_blurkernel10_15_0.00001_0.1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4"/>
        <v>SROU03</v>
      </c>
      <c r="O61">
        <f>VLOOKUP(N61,'Color codes'!$A$1:$B$3,2,FALSE)</f>
        <v>3</v>
      </c>
      <c r="P61" t="b">
        <f t="shared" si="2"/>
        <v>1</v>
      </c>
    </row>
    <row r="62" spans="1:16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3"/>
        <v>lena256_blurkernel10_31_0.00001_0.0001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4"/>
        <v>BM3D</v>
      </c>
      <c r="O62">
        <f>VLOOKUP(N62,'Color codes'!$A$1:$B$3,2,FALSE)</f>
        <v>1</v>
      </c>
      <c r="P62" t="b">
        <f t="shared" si="2"/>
        <v>1</v>
      </c>
    </row>
    <row r="63" spans="1:16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3"/>
        <v>lena256_blurkernel10_31_0.00001_0.001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4"/>
        <v>BM3D</v>
      </c>
      <c r="O63">
        <f>VLOOKUP(N63,'Color codes'!$A$1:$B$3,2,FALSE)</f>
        <v>1</v>
      </c>
      <c r="P63" t="b">
        <f t="shared" si="2"/>
        <v>1</v>
      </c>
    </row>
    <row r="64" spans="1:16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3"/>
        <v>lena256_blurkernel10_31_0.00001_0.01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4"/>
        <v>BM3D</v>
      </c>
      <c r="O64">
        <f>VLOOKUP(N64,'Color codes'!$A$1:$B$3,2,FALSE)</f>
        <v>1</v>
      </c>
      <c r="P64" t="b">
        <f t="shared" si="2"/>
        <v>0</v>
      </c>
    </row>
    <row r="65" spans="1:16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3"/>
        <v>lena256_blurkernel10_31_0.00001_0.1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4"/>
        <v>BM3D</v>
      </c>
      <c r="O65">
        <f>VLOOKUP(N65,'Color codes'!$A$1:$B$3,2,FALSE)</f>
        <v>1</v>
      </c>
      <c r="P65" t="b">
        <f t="shared" si="2"/>
        <v>1</v>
      </c>
    </row>
    <row r="66" spans="1:16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3"/>
        <v>tree256_blurkernel7_3_0.00001_0.0001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4"/>
        <v>BM3D</v>
      </c>
      <c r="O66">
        <f>VLOOKUP(N66,'Color codes'!$A$1:$B$3,2,FALSE)</f>
        <v>1</v>
      </c>
      <c r="P66" t="b">
        <f t="shared" si="2"/>
        <v>0</v>
      </c>
    </row>
    <row r="67" spans="1:16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3"/>
        <v>tree256_blurkernel7_3_0.00001_0.001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4"/>
        <v>SROU03</v>
      </c>
      <c r="O67">
        <f>VLOOKUP(N67,'Color codes'!$A$1:$B$3,2,FALSE)</f>
        <v>3</v>
      </c>
      <c r="P67" t="b">
        <f t="shared" ref="P67:P130" si="5">(ABS(L67-M67)  &gt; 1)</f>
        <v>0</v>
      </c>
    </row>
    <row r="68" spans="1:16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3"/>
        <v>tree256_blurkernel7_3_0.00001_0.01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4"/>
        <v>SROU03</v>
      </c>
      <c r="O68">
        <f>VLOOKUP(N68,'Color codes'!$A$1:$B$3,2,FALSE)</f>
        <v>3</v>
      </c>
      <c r="P68" t="b">
        <f t="shared" si="5"/>
        <v>1</v>
      </c>
    </row>
    <row r="69" spans="1:16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3"/>
        <v>tree256_blurkernel7_3_0.00001_0.1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4"/>
        <v>SROU03</v>
      </c>
      <c r="O69">
        <f>VLOOKUP(N69,'Color codes'!$A$1:$B$3,2,FALSE)</f>
        <v>3</v>
      </c>
      <c r="P69" t="b">
        <f t="shared" si="5"/>
        <v>1</v>
      </c>
    </row>
    <row r="70" spans="1:16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3"/>
        <v>tree256_blurkernel7_7_0.00001_0.0001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4"/>
        <v>BM3D</v>
      </c>
      <c r="O70">
        <f>VLOOKUP(N70,'Color codes'!$A$1:$B$3,2,FALSE)</f>
        <v>1</v>
      </c>
      <c r="P70" t="b">
        <f t="shared" si="5"/>
        <v>0</v>
      </c>
    </row>
    <row r="71" spans="1:16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3"/>
        <v>tree256_blurkernel7_7_0.00001_0.001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4"/>
        <v>BM3D</v>
      </c>
      <c r="O71">
        <f>VLOOKUP(N71,'Color codes'!$A$1:$B$3,2,FALSE)</f>
        <v>1</v>
      </c>
      <c r="P71" t="b">
        <f t="shared" si="5"/>
        <v>1</v>
      </c>
    </row>
    <row r="72" spans="1:16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3"/>
        <v>tree256_blurkernel7_7_0.00001_0.01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4"/>
        <v>SROU03</v>
      </c>
      <c r="O72">
        <f>VLOOKUP(N72,'Color codes'!$A$1:$B$3,2,FALSE)</f>
        <v>3</v>
      </c>
      <c r="P72" t="b">
        <f t="shared" si="5"/>
        <v>1</v>
      </c>
    </row>
    <row r="73" spans="1:16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3"/>
        <v>tree256_blurkernel7_7_0.00001_0.1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4"/>
        <v>SROU03</v>
      </c>
      <c r="O73">
        <f>VLOOKUP(N73,'Color codes'!$A$1:$B$3,2,FALSE)</f>
        <v>3</v>
      </c>
      <c r="P73" t="b">
        <f t="shared" si="5"/>
        <v>1</v>
      </c>
    </row>
    <row r="74" spans="1:16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3"/>
        <v>tree256_blurkernel7_15_0.00001_0.0001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4"/>
        <v>BM3D</v>
      </c>
      <c r="O74">
        <f>VLOOKUP(N74,'Color codes'!$A$1:$B$3,2,FALSE)</f>
        <v>1</v>
      </c>
      <c r="P74" t="b">
        <f t="shared" si="5"/>
        <v>0</v>
      </c>
    </row>
    <row r="75" spans="1:16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3"/>
        <v>tree256_blurkernel7_15_0.00001_0.001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4"/>
        <v>BM3D</v>
      </c>
      <c r="O75">
        <f>VLOOKUP(N75,'Color codes'!$A$1:$B$3,2,FALSE)</f>
        <v>1</v>
      </c>
      <c r="P75" t="b">
        <f t="shared" si="5"/>
        <v>0</v>
      </c>
    </row>
    <row r="76" spans="1:16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3"/>
        <v>tree256_blurkernel7_15_0.00001_0.01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4"/>
        <v>SROU03</v>
      </c>
      <c r="O76">
        <f>VLOOKUP(N76,'Color codes'!$A$1:$B$3,2,FALSE)</f>
        <v>3</v>
      </c>
      <c r="P76" t="b">
        <f t="shared" si="5"/>
        <v>1</v>
      </c>
    </row>
    <row r="77" spans="1:16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3"/>
        <v>tree256_blurkernel7_15_0.00001_0.1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4"/>
        <v>SROU03</v>
      </c>
      <c r="O77">
        <f>VLOOKUP(N77,'Color codes'!$A$1:$B$3,2,FALSE)</f>
        <v>3</v>
      </c>
      <c r="P77" t="b">
        <f t="shared" si="5"/>
        <v>1</v>
      </c>
    </row>
    <row r="78" spans="1:16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3"/>
        <v>tree256_blurkernel7_31_0.00001_0.0001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4"/>
        <v>BM3D</v>
      </c>
      <c r="O78">
        <f>VLOOKUP(N78,'Color codes'!$A$1:$B$3,2,FALSE)</f>
        <v>1</v>
      </c>
      <c r="P78" t="b">
        <f t="shared" si="5"/>
        <v>1</v>
      </c>
    </row>
    <row r="79" spans="1:16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3"/>
        <v>tree256_blurkernel7_31_0.00001_0.001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4"/>
        <v>BM3D</v>
      </c>
      <c r="O79">
        <f>VLOOKUP(N79,'Color codes'!$A$1:$B$3,2,FALSE)</f>
        <v>1</v>
      </c>
      <c r="P79" t="b">
        <f t="shared" si="5"/>
        <v>0</v>
      </c>
    </row>
    <row r="80" spans="1:16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3"/>
        <v>tree256_blurkernel7_31_0.00001_0.01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4"/>
        <v>SROU03</v>
      </c>
      <c r="O80">
        <f>VLOOKUP(N80,'Color codes'!$A$1:$B$3,2,FALSE)</f>
        <v>3</v>
      </c>
      <c r="P80" t="b">
        <f t="shared" si="5"/>
        <v>0</v>
      </c>
    </row>
    <row r="81" spans="1:16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3"/>
        <v>tree256_blurkernel7_31_0.00001_0.1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4"/>
        <v>SROU03</v>
      </c>
      <c r="O81">
        <f>VLOOKUP(N81,'Color codes'!$A$1:$B$3,2,FALSE)</f>
        <v>3</v>
      </c>
      <c r="P81" t="b">
        <f t="shared" si="5"/>
        <v>1</v>
      </c>
    </row>
    <row r="82" spans="1:16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3"/>
        <v>tree256_blurkernel8_3_0.00001_0.0001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4"/>
        <v>SROU03</v>
      </c>
      <c r="O82">
        <f>VLOOKUP(N82,'Color codes'!$A$1:$B$3,2,FALSE)</f>
        <v>3</v>
      </c>
      <c r="P82" t="b">
        <f t="shared" si="5"/>
        <v>0</v>
      </c>
    </row>
    <row r="83" spans="1:16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3"/>
        <v>tree256_blurkernel8_3_0.00001_0.001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4"/>
        <v>SROU03</v>
      </c>
      <c r="O83">
        <f>VLOOKUP(N83,'Color codes'!$A$1:$B$3,2,FALSE)</f>
        <v>3</v>
      </c>
      <c r="P83" t="b">
        <f t="shared" si="5"/>
        <v>1</v>
      </c>
    </row>
    <row r="84" spans="1:16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3"/>
        <v>tree256_blurkernel8_3_0.00001_0.01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4"/>
        <v>SROU03</v>
      </c>
      <c r="O84">
        <f>VLOOKUP(N84,'Color codes'!$A$1:$B$3,2,FALSE)</f>
        <v>3</v>
      </c>
      <c r="P84" t="b">
        <f t="shared" si="5"/>
        <v>1</v>
      </c>
    </row>
    <row r="85" spans="1:16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3"/>
        <v>tree256_blurkernel8_3_0.00001_0.1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4"/>
        <v>SROU03</v>
      </c>
      <c r="O85">
        <f>VLOOKUP(N85,'Color codes'!$A$1:$B$3,2,FALSE)</f>
        <v>3</v>
      </c>
      <c r="P85" t="b">
        <f t="shared" si="5"/>
        <v>1</v>
      </c>
    </row>
    <row r="86" spans="1:16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3"/>
        <v>tree256_blurkernel8_7_0.00001_0.0001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4"/>
        <v>BM3D</v>
      </c>
      <c r="O86">
        <f>VLOOKUP(N86,'Color codes'!$A$1:$B$3,2,FALSE)</f>
        <v>1</v>
      </c>
      <c r="P86" t="b">
        <f t="shared" si="5"/>
        <v>0</v>
      </c>
    </row>
    <row r="87" spans="1:16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6">A87&amp;"_"&amp;B87&amp;"_"&amp;C87&amp;"_"&amp;D87&amp;"_"&amp;E87</f>
        <v>tree256_blurkernel8_7_0.00001_0.001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4"/>
        <v>BM3D</v>
      </c>
      <c r="O87">
        <f>VLOOKUP(N87,'Color codes'!$A$1:$B$3,2,FALSE)</f>
        <v>1</v>
      </c>
      <c r="P87" t="b">
        <f t="shared" si="5"/>
        <v>0</v>
      </c>
    </row>
    <row r="88" spans="1:16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6"/>
        <v>tree256_blurkernel8_7_0.00001_0.01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4"/>
        <v>SROU03</v>
      </c>
      <c r="O88">
        <f>VLOOKUP(N88,'Color codes'!$A$1:$B$3,2,FALSE)</f>
        <v>3</v>
      </c>
      <c r="P88" t="b">
        <f t="shared" si="5"/>
        <v>1</v>
      </c>
    </row>
    <row r="89" spans="1:16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6"/>
        <v>tree256_blurkernel8_7_0.00001_0.1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4"/>
        <v>SROU03</v>
      </c>
      <c r="O89">
        <f>VLOOKUP(N89,'Color codes'!$A$1:$B$3,2,FALSE)</f>
        <v>3</v>
      </c>
      <c r="P89" t="b">
        <f t="shared" si="5"/>
        <v>1</v>
      </c>
    </row>
    <row r="90" spans="1:16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6"/>
        <v>tree256_blurkernel8_15_0.00001_0.0001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4"/>
        <v>BM3D</v>
      </c>
      <c r="O90">
        <f>VLOOKUP(N90,'Color codes'!$A$1:$B$3,2,FALSE)</f>
        <v>1</v>
      </c>
      <c r="P90" t="b">
        <f t="shared" si="5"/>
        <v>1</v>
      </c>
    </row>
    <row r="91" spans="1:16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6"/>
        <v>tree256_blurkernel8_15_0.00001_0.001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4"/>
        <v>BM3D</v>
      </c>
      <c r="O91">
        <f>VLOOKUP(N91,'Color codes'!$A$1:$B$3,2,FALSE)</f>
        <v>1</v>
      </c>
      <c r="P91" t="b">
        <f t="shared" si="5"/>
        <v>0</v>
      </c>
    </row>
    <row r="92" spans="1:16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6"/>
        <v>tree256_blurkernel8_15_0.00001_0.01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4"/>
        <v>SROU03</v>
      </c>
      <c r="O92">
        <f>VLOOKUP(N92,'Color codes'!$A$1:$B$3,2,FALSE)</f>
        <v>3</v>
      </c>
      <c r="P92" t="b">
        <f t="shared" si="5"/>
        <v>1</v>
      </c>
    </row>
    <row r="93" spans="1:16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6"/>
        <v>tree256_blurkernel8_15_0.00001_0.1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4"/>
        <v>SROU03</v>
      </c>
      <c r="O93">
        <f>VLOOKUP(N93,'Color codes'!$A$1:$B$3,2,FALSE)</f>
        <v>3</v>
      </c>
      <c r="P93" t="b">
        <f t="shared" si="5"/>
        <v>1</v>
      </c>
    </row>
    <row r="94" spans="1:16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6"/>
        <v>tree256_blurkernel8_31_0.00001_0.0001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4"/>
        <v>BM3D</v>
      </c>
      <c r="O94">
        <f>VLOOKUP(N94,'Color codes'!$A$1:$B$3,2,FALSE)</f>
        <v>1</v>
      </c>
      <c r="P94" t="b">
        <f t="shared" si="5"/>
        <v>1</v>
      </c>
    </row>
    <row r="95" spans="1:16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6"/>
        <v>tree256_blurkernel8_31_0.00001_0.001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4"/>
        <v>BM3D</v>
      </c>
      <c r="O95">
        <f>VLOOKUP(N95,'Color codes'!$A$1:$B$3,2,FALSE)</f>
        <v>1</v>
      </c>
      <c r="P95" t="b">
        <f t="shared" si="5"/>
        <v>0</v>
      </c>
    </row>
    <row r="96" spans="1:16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6"/>
        <v>tree256_blurkernel8_31_0.00001_0.01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4"/>
        <v>SROU03</v>
      </c>
      <c r="O96">
        <f>VLOOKUP(N96,'Color codes'!$A$1:$B$3,2,FALSE)</f>
        <v>3</v>
      </c>
      <c r="P96" t="b">
        <f t="shared" si="5"/>
        <v>0</v>
      </c>
    </row>
    <row r="97" spans="1:16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6"/>
        <v>tree256_blurkernel8_31_0.00001_0.1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4"/>
        <v>SROU03</v>
      </c>
      <c r="O97">
        <f>VLOOKUP(N97,'Color codes'!$A$1:$B$3,2,FALSE)</f>
        <v>3</v>
      </c>
      <c r="P97" t="b">
        <f t="shared" si="5"/>
        <v>1</v>
      </c>
    </row>
    <row r="98" spans="1:16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6"/>
        <v>tree256_line_3_0.00001_0.0001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4"/>
        <v>SROU03</v>
      </c>
      <c r="O98">
        <f>VLOOKUP(N98,'Color codes'!$A$1:$B$3,2,FALSE)</f>
        <v>3</v>
      </c>
      <c r="P98" t="b">
        <f t="shared" si="5"/>
        <v>0</v>
      </c>
    </row>
    <row r="99" spans="1:16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6"/>
        <v>tree256_line_3_0.00001_0.001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4"/>
        <v>SROU03</v>
      </c>
      <c r="O99">
        <f>VLOOKUP(N99,'Color codes'!$A$1:$B$3,2,FALSE)</f>
        <v>3</v>
      </c>
      <c r="P99" t="b">
        <f t="shared" si="5"/>
        <v>1</v>
      </c>
    </row>
    <row r="100" spans="1:16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6"/>
        <v>tree256_line_3_0.00001_0.01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4"/>
        <v>SROU03</v>
      </c>
      <c r="O100">
        <f>VLOOKUP(N100,'Color codes'!$A$1:$B$3,2,FALSE)</f>
        <v>3</v>
      </c>
      <c r="P100" t="b">
        <f t="shared" si="5"/>
        <v>1</v>
      </c>
    </row>
    <row r="101" spans="1:16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6"/>
        <v>tree256_line_3_0.00001_0.1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4"/>
        <v>SROU03</v>
      </c>
      <c r="O101">
        <f>VLOOKUP(N101,'Color codes'!$A$1:$B$3,2,FALSE)</f>
        <v>3</v>
      </c>
      <c r="P101" t="b">
        <f t="shared" si="5"/>
        <v>1</v>
      </c>
    </row>
    <row r="102" spans="1:16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6"/>
        <v>tree256_line_7_0.00001_0.0001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4"/>
        <v>BM3D</v>
      </c>
      <c r="O102">
        <f>VLOOKUP(N102,'Color codes'!$A$1:$B$3,2,FALSE)</f>
        <v>1</v>
      </c>
      <c r="P102" t="b">
        <f t="shared" si="5"/>
        <v>0</v>
      </c>
    </row>
    <row r="103" spans="1:16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6"/>
        <v>tree256_line_7_0.00001_0.001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4"/>
        <v>SROU03</v>
      </c>
      <c r="O103">
        <f>VLOOKUP(N103,'Color codes'!$A$1:$B$3,2,FALSE)</f>
        <v>3</v>
      </c>
      <c r="P103" t="b">
        <f t="shared" si="5"/>
        <v>0</v>
      </c>
    </row>
    <row r="104" spans="1:16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6"/>
        <v>tree256_line_7_0.00001_0.01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4"/>
        <v>SROU03</v>
      </c>
      <c r="O104">
        <f>VLOOKUP(N104,'Color codes'!$A$1:$B$3,2,FALSE)</f>
        <v>3</v>
      </c>
      <c r="P104" t="b">
        <f t="shared" si="5"/>
        <v>0</v>
      </c>
    </row>
    <row r="105" spans="1:16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6"/>
        <v>tree256_line_7_0.00001_0.1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4"/>
        <v>SROU03</v>
      </c>
      <c r="O105">
        <f>VLOOKUP(N105,'Color codes'!$A$1:$B$3,2,FALSE)</f>
        <v>3</v>
      </c>
      <c r="P105" t="b">
        <f t="shared" si="5"/>
        <v>1</v>
      </c>
    </row>
    <row r="106" spans="1:16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6"/>
        <v>tree256_line_15_0.00001_0.0001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4"/>
        <v>BM3D</v>
      </c>
      <c r="O106">
        <f>VLOOKUP(N106,'Color codes'!$A$1:$B$3,2,FALSE)</f>
        <v>1</v>
      </c>
      <c r="P106" t="b">
        <f t="shared" si="5"/>
        <v>1</v>
      </c>
    </row>
    <row r="107" spans="1:16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6"/>
        <v>tree256_line_15_0.00001_0.001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7">IF((M107&gt;(MAX(K107,L107))),"BM3D",IF(L107&gt;(MAX(K107,M107)),"SROU03","TICO09"))</f>
        <v>BM3D</v>
      </c>
      <c r="O107">
        <f>VLOOKUP(N107,'Color codes'!$A$1:$B$3,2,FALSE)</f>
        <v>1</v>
      </c>
      <c r="P107" t="b">
        <f t="shared" si="5"/>
        <v>1</v>
      </c>
    </row>
    <row r="108" spans="1:16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6"/>
        <v>tree256_line_15_0.00001_0.01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7"/>
        <v>BM3D</v>
      </c>
      <c r="O108">
        <f>VLOOKUP(N108,'Color codes'!$A$1:$B$3,2,FALSE)</f>
        <v>1</v>
      </c>
      <c r="P108" t="b">
        <f t="shared" si="5"/>
        <v>1</v>
      </c>
    </row>
    <row r="109" spans="1:16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6"/>
        <v>tree256_line_15_0.00001_0.1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7"/>
        <v>SROU03</v>
      </c>
      <c r="O109">
        <f>VLOOKUP(N109,'Color codes'!$A$1:$B$3,2,FALSE)</f>
        <v>3</v>
      </c>
      <c r="P109" t="b">
        <f t="shared" si="5"/>
        <v>0</v>
      </c>
    </row>
    <row r="110" spans="1:16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6"/>
        <v>tree256_line_31_0.00001_0.0001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7"/>
        <v>BM3D</v>
      </c>
      <c r="O110">
        <f>VLOOKUP(N110,'Color codes'!$A$1:$B$3,2,FALSE)</f>
        <v>1</v>
      </c>
      <c r="P110" t="b">
        <f t="shared" si="5"/>
        <v>0</v>
      </c>
    </row>
    <row r="111" spans="1:16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6"/>
        <v>tree256_line_31_0.00001_0.001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7"/>
        <v>BM3D</v>
      </c>
      <c r="O111">
        <f>VLOOKUP(N111,'Color codes'!$A$1:$B$3,2,FALSE)</f>
        <v>1</v>
      </c>
      <c r="P111" t="b">
        <f t="shared" si="5"/>
        <v>1</v>
      </c>
    </row>
    <row r="112" spans="1:16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6"/>
        <v>tree256_line_31_0.00001_0.01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7"/>
        <v>BM3D</v>
      </c>
      <c r="O112">
        <f>VLOOKUP(N112,'Color codes'!$A$1:$B$3,2,FALSE)</f>
        <v>1</v>
      </c>
      <c r="P112" t="b">
        <f t="shared" si="5"/>
        <v>1</v>
      </c>
    </row>
    <row r="113" spans="1:16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6"/>
        <v>tree256_line_31_0.00001_0.1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7"/>
        <v>BM3D</v>
      </c>
      <c r="O113">
        <f>VLOOKUP(N113,'Color codes'!$A$1:$B$3,2,FALSE)</f>
        <v>1</v>
      </c>
      <c r="P113" t="b">
        <f t="shared" si="5"/>
        <v>0</v>
      </c>
    </row>
    <row r="114" spans="1:16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6"/>
        <v>tree256_blurkernel10_3_0.00001_0.0001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7"/>
        <v>SROU03</v>
      </c>
      <c r="O114">
        <f>VLOOKUP(N114,'Color codes'!$A$1:$B$3,2,FALSE)</f>
        <v>3</v>
      </c>
      <c r="P114" t="b">
        <f t="shared" si="5"/>
        <v>0</v>
      </c>
    </row>
    <row r="115" spans="1:16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6"/>
        <v>tree256_blurkernel10_3_0.00001_0.001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7"/>
        <v>SROU03</v>
      </c>
      <c r="O115">
        <f>VLOOKUP(N115,'Color codes'!$A$1:$B$3,2,FALSE)</f>
        <v>3</v>
      </c>
      <c r="P115" t="b">
        <f t="shared" si="5"/>
        <v>1</v>
      </c>
    </row>
    <row r="116" spans="1:16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6"/>
        <v>tree256_blurkernel10_3_0.00001_0.01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7"/>
        <v>SROU03</v>
      </c>
      <c r="O116">
        <f>VLOOKUP(N116,'Color codes'!$A$1:$B$3,2,FALSE)</f>
        <v>3</v>
      </c>
      <c r="P116" t="b">
        <f t="shared" si="5"/>
        <v>1</v>
      </c>
    </row>
    <row r="117" spans="1:16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6"/>
        <v>tree256_blurkernel10_3_0.00001_0.1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7"/>
        <v>SROU03</v>
      </c>
      <c r="O117">
        <f>VLOOKUP(N117,'Color codes'!$A$1:$B$3,2,FALSE)</f>
        <v>3</v>
      </c>
      <c r="P117" t="b">
        <f t="shared" si="5"/>
        <v>1</v>
      </c>
    </row>
    <row r="118" spans="1:16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6"/>
        <v>tree256_blurkernel10_7_0.00001_0.0001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7"/>
        <v>BM3D</v>
      </c>
      <c r="O118">
        <f>VLOOKUP(N118,'Color codes'!$A$1:$B$3,2,FALSE)</f>
        <v>1</v>
      </c>
      <c r="P118" t="b">
        <f t="shared" si="5"/>
        <v>0</v>
      </c>
    </row>
    <row r="119" spans="1:16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6"/>
        <v>tree256_blurkernel10_7_0.00001_0.001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7"/>
        <v>SROU03</v>
      </c>
      <c r="O119">
        <f>VLOOKUP(N119,'Color codes'!$A$1:$B$3,2,FALSE)</f>
        <v>3</v>
      </c>
      <c r="P119" t="b">
        <f t="shared" si="5"/>
        <v>0</v>
      </c>
    </row>
    <row r="120" spans="1:16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6"/>
        <v>tree256_blurkernel10_7_0.00001_0.01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7"/>
        <v>SROU03</v>
      </c>
      <c r="O120">
        <f>VLOOKUP(N120,'Color codes'!$A$1:$B$3,2,FALSE)</f>
        <v>3</v>
      </c>
      <c r="P120" t="b">
        <f t="shared" si="5"/>
        <v>1</v>
      </c>
    </row>
    <row r="121" spans="1:16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6"/>
        <v>tree256_blurkernel10_7_0.00001_0.1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7"/>
        <v>SROU03</v>
      </c>
      <c r="O121">
        <f>VLOOKUP(N121,'Color codes'!$A$1:$B$3,2,FALSE)</f>
        <v>3</v>
      </c>
      <c r="P121" t="b">
        <f t="shared" si="5"/>
        <v>1</v>
      </c>
    </row>
    <row r="122" spans="1:16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6"/>
        <v>tree256_blurkernel10_15_0.00001_0.0001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7"/>
        <v>BM3D</v>
      </c>
      <c r="O122">
        <f>VLOOKUP(N122,'Color codes'!$A$1:$B$3,2,FALSE)</f>
        <v>1</v>
      </c>
      <c r="P122" t="b">
        <f t="shared" si="5"/>
        <v>1</v>
      </c>
    </row>
    <row r="123" spans="1:16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6"/>
        <v>tree256_blurkernel10_15_0.00001_0.001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7"/>
        <v>BM3D</v>
      </c>
      <c r="O123">
        <f>VLOOKUP(N123,'Color codes'!$A$1:$B$3,2,FALSE)</f>
        <v>1</v>
      </c>
      <c r="P123" t="b">
        <f t="shared" si="5"/>
        <v>0</v>
      </c>
    </row>
    <row r="124" spans="1:16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6"/>
        <v>tree256_blurkernel10_15_0.00001_0.01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7"/>
        <v>SROU03</v>
      </c>
      <c r="O124">
        <f>VLOOKUP(N124,'Color codes'!$A$1:$B$3,2,FALSE)</f>
        <v>3</v>
      </c>
      <c r="P124" t="b">
        <f t="shared" si="5"/>
        <v>1</v>
      </c>
    </row>
    <row r="125" spans="1:16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6"/>
        <v>tree256_blurkernel10_15_0.00001_0.1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7"/>
        <v>SROU03</v>
      </c>
      <c r="O125">
        <f>VLOOKUP(N125,'Color codes'!$A$1:$B$3,2,FALSE)</f>
        <v>3</v>
      </c>
      <c r="P125" t="b">
        <f t="shared" si="5"/>
        <v>1</v>
      </c>
    </row>
    <row r="126" spans="1:16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6"/>
        <v>tree256_blurkernel10_31_0.00001_0.0001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7"/>
        <v>BM3D</v>
      </c>
      <c r="O126">
        <f>VLOOKUP(N126,'Color codes'!$A$1:$B$3,2,FALSE)</f>
        <v>1</v>
      </c>
      <c r="P126" t="b">
        <f t="shared" si="5"/>
        <v>1</v>
      </c>
    </row>
    <row r="127" spans="1:16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6"/>
        <v>tree256_blurkernel10_31_0.00001_0.001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7"/>
        <v>BM3D</v>
      </c>
      <c r="O127">
        <f>VLOOKUP(N127,'Color codes'!$A$1:$B$3,2,FALSE)</f>
        <v>1</v>
      </c>
      <c r="P127" t="b">
        <f t="shared" si="5"/>
        <v>0</v>
      </c>
    </row>
    <row r="128" spans="1:16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6"/>
        <v>tree256_blurkernel10_31_0.00001_0.01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7"/>
        <v>SROU03</v>
      </c>
      <c r="O128">
        <f>VLOOKUP(N128,'Color codes'!$A$1:$B$3,2,FALSE)</f>
        <v>3</v>
      </c>
      <c r="P128" t="b">
        <f t="shared" si="5"/>
        <v>0</v>
      </c>
    </row>
    <row r="129" spans="1:16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6"/>
        <v>tree256_blurkernel10_31_0.00001_0.1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7"/>
        <v>SROU03</v>
      </c>
      <c r="O129">
        <f>VLOOKUP(N129,'Color codes'!$A$1:$B$3,2,FALSE)</f>
        <v>3</v>
      </c>
      <c r="P129" t="b">
        <f t="shared" si="5"/>
        <v>1</v>
      </c>
    </row>
    <row r="130" spans="1:16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6"/>
        <v>text256_blurkernel7_3_0.00001_0.0001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7"/>
        <v>BM3D</v>
      </c>
      <c r="O130">
        <f>VLOOKUP(N130,'Color codes'!$A$1:$B$3,2,FALSE)</f>
        <v>1</v>
      </c>
      <c r="P130" t="b">
        <f t="shared" si="5"/>
        <v>0</v>
      </c>
    </row>
    <row r="131" spans="1:16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6"/>
        <v>text256_blurkernel7_3_0.00001_0.001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7"/>
        <v>BM3D</v>
      </c>
      <c r="O131">
        <f>VLOOKUP(N131,'Color codes'!$A$1:$B$3,2,FALSE)</f>
        <v>1</v>
      </c>
      <c r="P131" t="b">
        <f t="shared" ref="P131:P194" si="8">(ABS(L131-M131)  &gt; 1)</f>
        <v>0</v>
      </c>
    </row>
    <row r="132" spans="1:16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6"/>
        <v>text256_blurkernel7_3_0.00001_0.01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7"/>
        <v>SROU03</v>
      </c>
      <c r="O132">
        <f>VLOOKUP(N132,'Color codes'!$A$1:$B$3,2,FALSE)</f>
        <v>3</v>
      </c>
      <c r="P132" t="b">
        <f t="shared" si="8"/>
        <v>1</v>
      </c>
    </row>
    <row r="133" spans="1:16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6"/>
        <v>text256_blurkernel7_3_0.00001_0.1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7"/>
        <v>SROU03</v>
      </c>
      <c r="O133">
        <f>VLOOKUP(N133,'Color codes'!$A$1:$B$3,2,FALSE)</f>
        <v>3</v>
      </c>
      <c r="P133" t="b">
        <f t="shared" si="8"/>
        <v>1</v>
      </c>
    </row>
    <row r="134" spans="1:16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6"/>
        <v>text256_blurkernel7_7_0.00001_0.0001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7"/>
        <v>BM3D</v>
      </c>
      <c r="O134">
        <f>VLOOKUP(N134,'Color codes'!$A$1:$B$3,2,FALSE)</f>
        <v>1</v>
      </c>
      <c r="P134" t="b">
        <f t="shared" si="8"/>
        <v>1</v>
      </c>
    </row>
    <row r="135" spans="1:16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6"/>
        <v>text256_blurkernel7_7_0.00001_0.001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7"/>
        <v>BM3D</v>
      </c>
      <c r="O135">
        <f>VLOOKUP(N135,'Color codes'!$A$1:$B$3,2,FALSE)</f>
        <v>1</v>
      </c>
      <c r="P135" t="b">
        <f t="shared" si="8"/>
        <v>0</v>
      </c>
    </row>
    <row r="136" spans="1:16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6"/>
        <v>text256_blurkernel7_7_0.00001_0.01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7"/>
        <v>BM3D</v>
      </c>
      <c r="O136">
        <f>VLOOKUP(N136,'Color codes'!$A$1:$B$3,2,FALSE)</f>
        <v>1</v>
      </c>
      <c r="P136" t="b">
        <f t="shared" si="8"/>
        <v>1</v>
      </c>
    </row>
    <row r="137" spans="1:16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6"/>
        <v>text256_blurkernel7_7_0.00001_0.1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7"/>
        <v>SROU03</v>
      </c>
      <c r="O137">
        <f>VLOOKUP(N137,'Color codes'!$A$1:$B$3,2,FALSE)</f>
        <v>3</v>
      </c>
      <c r="P137" t="b">
        <f t="shared" si="8"/>
        <v>1</v>
      </c>
    </row>
    <row r="138" spans="1:16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6"/>
        <v>text256_blurkernel7_15_0.00001_0.0001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7"/>
        <v>BM3D</v>
      </c>
      <c r="O138">
        <f>VLOOKUP(N138,'Color codes'!$A$1:$B$3,2,FALSE)</f>
        <v>1</v>
      </c>
      <c r="P138" t="b">
        <f t="shared" si="8"/>
        <v>1</v>
      </c>
    </row>
    <row r="139" spans="1:16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9">A139&amp;"_"&amp;B139&amp;"_"&amp;C139&amp;"_"&amp;D139&amp;"_"&amp;E139</f>
        <v>text256_blurkernel7_15_0.00001_0.001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7"/>
        <v>BM3D</v>
      </c>
      <c r="O139">
        <f>VLOOKUP(N139,'Color codes'!$A$1:$B$3,2,FALSE)</f>
        <v>1</v>
      </c>
      <c r="P139" t="b">
        <f t="shared" si="8"/>
        <v>1</v>
      </c>
    </row>
    <row r="140" spans="1:16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9"/>
        <v>text256_blurkernel7_15_0.00001_0.01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7"/>
        <v>SROU03</v>
      </c>
      <c r="O140">
        <f>VLOOKUP(N140,'Color codes'!$A$1:$B$3,2,FALSE)</f>
        <v>3</v>
      </c>
      <c r="P140" t="b">
        <f t="shared" si="8"/>
        <v>0</v>
      </c>
    </row>
    <row r="141" spans="1:16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9"/>
        <v>text256_blurkernel7_15_0.00001_0.1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7"/>
        <v>SROU03</v>
      </c>
      <c r="O141">
        <f>VLOOKUP(N141,'Color codes'!$A$1:$B$3,2,FALSE)</f>
        <v>3</v>
      </c>
      <c r="P141" t="b">
        <f t="shared" si="8"/>
        <v>1</v>
      </c>
    </row>
    <row r="142" spans="1:16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9"/>
        <v>text256_blurkernel7_31_0.00001_0.0001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7"/>
        <v>BM3D</v>
      </c>
      <c r="O142">
        <f>VLOOKUP(N142,'Color codes'!$A$1:$B$3,2,FALSE)</f>
        <v>1</v>
      </c>
      <c r="P142" t="b">
        <f t="shared" si="8"/>
        <v>1</v>
      </c>
    </row>
    <row r="143" spans="1:16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9"/>
        <v>text256_blurkernel7_31_0.00001_0.001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7"/>
        <v>BM3D</v>
      </c>
      <c r="O143">
        <f>VLOOKUP(N143,'Color codes'!$A$1:$B$3,2,FALSE)</f>
        <v>1</v>
      </c>
      <c r="P143" t="b">
        <f t="shared" si="8"/>
        <v>1</v>
      </c>
    </row>
    <row r="144" spans="1:16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9"/>
        <v>text256_blurkernel7_31_0.00001_0.01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7"/>
        <v>BM3D</v>
      </c>
      <c r="O144">
        <f>VLOOKUP(N144,'Color codes'!$A$1:$B$3,2,FALSE)</f>
        <v>1</v>
      </c>
      <c r="P144" t="b">
        <f t="shared" si="8"/>
        <v>1</v>
      </c>
    </row>
    <row r="145" spans="1:16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9"/>
        <v>text256_blurkernel7_31_0.00001_0.1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7"/>
        <v>SROU03</v>
      </c>
      <c r="O145">
        <f>VLOOKUP(N145,'Color codes'!$A$1:$B$3,2,FALSE)</f>
        <v>3</v>
      </c>
      <c r="P145" t="b">
        <f t="shared" si="8"/>
        <v>1</v>
      </c>
    </row>
    <row r="146" spans="1:16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9"/>
        <v>text256_blurkernel8_3_0.00001_0.0001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7"/>
        <v>SROU03</v>
      </c>
      <c r="O146">
        <f>VLOOKUP(N146,'Color codes'!$A$1:$B$3,2,FALSE)</f>
        <v>3</v>
      </c>
      <c r="P146" t="b">
        <f t="shared" si="8"/>
        <v>0</v>
      </c>
    </row>
    <row r="147" spans="1:16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9"/>
        <v>text256_blurkernel8_3_0.00001_0.001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7"/>
        <v>SROU03</v>
      </c>
      <c r="O147">
        <f>VLOOKUP(N147,'Color codes'!$A$1:$B$3,2,FALSE)</f>
        <v>3</v>
      </c>
      <c r="P147" t="b">
        <f t="shared" si="8"/>
        <v>0</v>
      </c>
    </row>
    <row r="148" spans="1:16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9"/>
        <v>text256_blurkernel8_3_0.00001_0.01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7"/>
        <v>SROU03</v>
      </c>
      <c r="O148">
        <f>VLOOKUP(N148,'Color codes'!$A$1:$B$3,2,FALSE)</f>
        <v>3</v>
      </c>
      <c r="P148" t="b">
        <f t="shared" si="8"/>
        <v>1</v>
      </c>
    </row>
    <row r="149" spans="1:16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9"/>
        <v>text256_blurkernel8_3_0.00001_0.1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7"/>
        <v>SROU03</v>
      </c>
      <c r="O149">
        <f>VLOOKUP(N149,'Color codes'!$A$1:$B$3,2,FALSE)</f>
        <v>3</v>
      </c>
      <c r="P149" t="b">
        <f t="shared" si="8"/>
        <v>1</v>
      </c>
    </row>
    <row r="150" spans="1:16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9"/>
        <v>text256_blurkernel8_7_0.00001_0.0001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7"/>
        <v>BM3D</v>
      </c>
      <c r="O150">
        <f>VLOOKUP(N150,'Color codes'!$A$1:$B$3,2,FALSE)</f>
        <v>1</v>
      </c>
      <c r="P150" t="b">
        <f t="shared" si="8"/>
        <v>1</v>
      </c>
    </row>
    <row r="151" spans="1:16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9"/>
        <v>text256_blurkernel8_7_0.00001_0.001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7"/>
        <v>BM3D</v>
      </c>
      <c r="O151">
        <f>VLOOKUP(N151,'Color codes'!$A$1:$B$3,2,FALSE)</f>
        <v>1</v>
      </c>
      <c r="P151" t="b">
        <f t="shared" si="8"/>
        <v>0</v>
      </c>
    </row>
    <row r="152" spans="1:16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9"/>
        <v>text256_blurkernel8_7_0.00001_0.01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7"/>
        <v>BM3D</v>
      </c>
      <c r="O152">
        <f>VLOOKUP(N152,'Color codes'!$A$1:$B$3,2,FALSE)</f>
        <v>1</v>
      </c>
      <c r="P152" t="b">
        <f t="shared" si="8"/>
        <v>0</v>
      </c>
    </row>
    <row r="153" spans="1:16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9"/>
        <v>text256_blurkernel8_7_0.00001_0.1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7"/>
        <v>SROU03</v>
      </c>
      <c r="O153">
        <f>VLOOKUP(N153,'Color codes'!$A$1:$B$3,2,FALSE)</f>
        <v>3</v>
      </c>
      <c r="P153" t="b">
        <f t="shared" si="8"/>
        <v>1</v>
      </c>
    </row>
    <row r="154" spans="1:16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9"/>
        <v>text256_blurkernel8_15_0.00001_0.0001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7"/>
        <v>BM3D</v>
      </c>
      <c r="O154">
        <f>VLOOKUP(N154,'Color codes'!$A$1:$B$3,2,FALSE)</f>
        <v>1</v>
      </c>
      <c r="P154" t="b">
        <f t="shared" si="8"/>
        <v>1</v>
      </c>
    </row>
    <row r="155" spans="1:16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9"/>
        <v>text256_blurkernel8_15_0.00001_0.001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7"/>
        <v>BM3D</v>
      </c>
      <c r="O155">
        <f>VLOOKUP(N155,'Color codes'!$A$1:$B$3,2,FALSE)</f>
        <v>1</v>
      </c>
      <c r="P155" t="b">
        <f t="shared" si="8"/>
        <v>1</v>
      </c>
    </row>
    <row r="156" spans="1:16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9"/>
        <v>text256_blurkernel8_15_0.00001_0.01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7"/>
        <v>SROU03</v>
      </c>
      <c r="O156">
        <f>VLOOKUP(N156,'Color codes'!$A$1:$B$3,2,FALSE)</f>
        <v>3</v>
      </c>
      <c r="P156" t="b">
        <f t="shared" si="8"/>
        <v>1</v>
      </c>
    </row>
    <row r="157" spans="1:16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9"/>
        <v>text256_blurkernel8_15_0.00001_0.1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7"/>
        <v>SROU03</v>
      </c>
      <c r="O157">
        <f>VLOOKUP(N157,'Color codes'!$A$1:$B$3,2,FALSE)</f>
        <v>3</v>
      </c>
      <c r="P157" t="b">
        <f t="shared" si="8"/>
        <v>1</v>
      </c>
    </row>
    <row r="158" spans="1:16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9"/>
        <v>text256_blurkernel8_31_0.00001_0.0001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7"/>
        <v>BM3D</v>
      </c>
      <c r="O158">
        <f>VLOOKUP(N158,'Color codes'!$A$1:$B$3,2,FALSE)</f>
        <v>1</v>
      </c>
      <c r="P158" t="b">
        <f t="shared" si="8"/>
        <v>1</v>
      </c>
    </row>
    <row r="159" spans="1:16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9"/>
        <v>text256_blurkernel8_31_0.00001_0.001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0">IF((M159&gt;(MAX(K159,L159))),"BM3D",IF(L159&gt;(MAX(K159,M159)),"SROU03","TICO09"))</f>
        <v>BM3D</v>
      </c>
      <c r="O159">
        <f>VLOOKUP(N159,'Color codes'!$A$1:$B$3,2,FALSE)</f>
        <v>1</v>
      </c>
      <c r="P159" t="b">
        <f t="shared" si="8"/>
        <v>1</v>
      </c>
    </row>
    <row r="160" spans="1:16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9"/>
        <v>text256_blurkernel8_31_0.00001_0.01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0"/>
        <v>BM3D</v>
      </c>
      <c r="O160">
        <f>VLOOKUP(N160,'Color codes'!$A$1:$B$3,2,FALSE)</f>
        <v>1</v>
      </c>
      <c r="P160" t="b">
        <f t="shared" si="8"/>
        <v>1</v>
      </c>
    </row>
    <row r="161" spans="1:16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9"/>
        <v>text256_blurkernel8_31_0.00001_0.1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0"/>
        <v>SROU03</v>
      </c>
      <c r="O161">
        <f>VLOOKUP(N161,'Color codes'!$A$1:$B$3,2,FALSE)</f>
        <v>3</v>
      </c>
      <c r="P161" t="b">
        <f t="shared" si="8"/>
        <v>1</v>
      </c>
    </row>
    <row r="162" spans="1:16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9"/>
        <v>text256_line_3_0.00001_0.0001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0"/>
        <v>SROU03</v>
      </c>
      <c r="O162">
        <f>VLOOKUP(N162,'Color codes'!$A$1:$B$3,2,FALSE)</f>
        <v>3</v>
      </c>
      <c r="P162" t="b">
        <f t="shared" si="8"/>
        <v>0</v>
      </c>
    </row>
    <row r="163" spans="1:16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9"/>
        <v>text256_line_3_0.00001_0.001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0"/>
        <v>SROU03</v>
      </c>
      <c r="O163">
        <f>VLOOKUP(N163,'Color codes'!$A$1:$B$3,2,FALSE)</f>
        <v>3</v>
      </c>
      <c r="P163" t="b">
        <f t="shared" si="8"/>
        <v>1</v>
      </c>
    </row>
    <row r="164" spans="1:16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9"/>
        <v>text256_line_3_0.00001_0.01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0"/>
        <v>SROU03</v>
      </c>
      <c r="O164">
        <f>VLOOKUP(N164,'Color codes'!$A$1:$B$3,2,FALSE)</f>
        <v>3</v>
      </c>
      <c r="P164" t="b">
        <f t="shared" si="8"/>
        <v>1</v>
      </c>
    </row>
    <row r="165" spans="1:16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9"/>
        <v>text256_line_3_0.00001_0.1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0"/>
        <v>SROU03</v>
      </c>
      <c r="O165">
        <f>VLOOKUP(N165,'Color codes'!$A$1:$B$3,2,FALSE)</f>
        <v>3</v>
      </c>
      <c r="P165" t="b">
        <f t="shared" si="8"/>
        <v>1</v>
      </c>
    </row>
    <row r="166" spans="1:16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9"/>
        <v>text256_line_7_0.00001_0.0001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0"/>
        <v>BM3D</v>
      </c>
      <c r="O166">
        <f>VLOOKUP(N166,'Color codes'!$A$1:$B$3,2,FALSE)</f>
        <v>1</v>
      </c>
      <c r="P166" t="b">
        <f t="shared" si="8"/>
        <v>1</v>
      </c>
    </row>
    <row r="167" spans="1:16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9"/>
        <v>text256_line_7_0.00001_0.001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0"/>
        <v>BM3D</v>
      </c>
      <c r="O167">
        <f>VLOOKUP(N167,'Color codes'!$A$1:$B$3,2,FALSE)</f>
        <v>1</v>
      </c>
      <c r="P167" t="b">
        <f t="shared" si="8"/>
        <v>0</v>
      </c>
    </row>
    <row r="168" spans="1:16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9"/>
        <v>text256_line_7_0.00001_0.01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0"/>
        <v>SROU03</v>
      </c>
      <c r="O168">
        <f>VLOOKUP(N168,'Color codes'!$A$1:$B$3,2,FALSE)</f>
        <v>3</v>
      </c>
      <c r="P168" t="b">
        <f t="shared" si="8"/>
        <v>1</v>
      </c>
    </row>
    <row r="169" spans="1:16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9"/>
        <v>text256_line_7_0.00001_0.1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0"/>
        <v>SROU03</v>
      </c>
      <c r="O169">
        <f>VLOOKUP(N169,'Color codes'!$A$1:$B$3,2,FALSE)</f>
        <v>3</v>
      </c>
      <c r="P169" t="b">
        <f t="shared" si="8"/>
        <v>1</v>
      </c>
    </row>
    <row r="170" spans="1:16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9"/>
        <v>text256_line_15_0.00001_0.0001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0"/>
        <v>BM3D</v>
      </c>
      <c r="O170">
        <f>VLOOKUP(N170,'Color codes'!$A$1:$B$3,2,FALSE)</f>
        <v>1</v>
      </c>
      <c r="P170" t="b">
        <f t="shared" si="8"/>
        <v>1</v>
      </c>
    </row>
    <row r="171" spans="1:16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9"/>
        <v>text256_line_15_0.00001_0.001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0"/>
        <v>BM3D</v>
      </c>
      <c r="O171">
        <f>VLOOKUP(N171,'Color codes'!$A$1:$B$3,2,FALSE)</f>
        <v>1</v>
      </c>
      <c r="P171" t="b">
        <f t="shared" si="8"/>
        <v>1</v>
      </c>
    </row>
    <row r="172" spans="1:16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9"/>
        <v>text256_line_15_0.00001_0.01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0"/>
        <v>BM3D</v>
      </c>
      <c r="O172">
        <f>VLOOKUP(N172,'Color codes'!$A$1:$B$3,2,FALSE)</f>
        <v>1</v>
      </c>
      <c r="P172" t="b">
        <f t="shared" si="8"/>
        <v>1</v>
      </c>
    </row>
    <row r="173" spans="1:16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9"/>
        <v>text256_line_15_0.00001_0.1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0"/>
        <v>TICO09</v>
      </c>
      <c r="O173">
        <f>VLOOKUP(N173,'Color codes'!$A$1:$B$3,2,FALSE)</f>
        <v>2</v>
      </c>
      <c r="P173" t="b">
        <f t="shared" si="8"/>
        <v>0</v>
      </c>
    </row>
    <row r="174" spans="1:16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9"/>
        <v>text256_line_31_0.00001_0.0001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0"/>
        <v>BM3D</v>
      </c>
      <c r="O174">
        <f>VLOOKUP(N174,'Color codes'!$A$1:$B$3,2,FALSE)</f>
        <v>1</v>
      </c>
      <c r="P174" t="b">
        <f t="shared" si="8"/>
        <v>1</v>
      </c>
    </row>
    <row r="175" spans="1:16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9"/>
        <v>text256_line_31_0.00001_0.001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0"/>
        <v>BM3D</v>
      </c>
      <c r="O175">
        <f>VLOOKUP(N175,'Color codes'!$A$1:$B$3,2,FALSE)</f>
        <v>1</v>
      </c>
      <c r="P175" t="b">
        <f t="shared" si="8"/>
        <v>1</v>
      </c>
    </row>
    <row r="176" spans="1:16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9"/>
        <v>text256_line_31_0.00001_0.01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0"/>
        <v>BM3D</v>
      </c>
      <c r="O176">
        <f>VLOOKUP(N176,'Color codes'!$A$1:$B$3,2,FALSE)</f>
        <v>1</v>
      </c>
      <c r="P176" t="b">
        <f t="shared" si="8"/>
        <v>1</v>
      </c>
    </row>
    <row r="177" spans="1:16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9"/>
        <v>text256_line_31_0.00001_0.1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0"/>
        <v>TICO09</v>
      </c>
      <c r="O177">
        <f>VLOOKUP(N177,'Color codes'!$A$1:$B$3,2,FALSE)</f>
        <v>2</v>
      </c>
      <c r="P177" t="b">
        <f t="shared" si="8"/>
        <v>1</v>
      </c>
    </row>
    <row r="178" spans="1:16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9"/>
        <v>text256_blurkernel10_3_0.00001_0.0001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0"/>
        <v>SROU03</v>
      </c>
      <c r="O178">
        <f>VLOOKUP(N178,'Color codes'!$A$1:$B$3,2,FALSE)</f>
        <v>3</v>
      </c>
      <c r="P178" t="b">
        <f t="shared" si="8"/>
        <v>0</v>
      </c>
    </row>
    <row r="179" spans="1:16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9"/>
        <v>text256_blurkernel10_3_0.00001_0.001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0"/>
        <v>SROU03</v>
      </c>
      <c r="O179">
        <f>VLOOKUP(N179,'Color codes'!$A$1:$B$3,2,FALSE)</f>
        <v>3</v>
      </c>
      <c r="P179" t="b">
        <f t="shared" si="8"/>
        <v>0</v>
      </c>
    </row>
    <row r="180" spans="1:16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9"/>
        <v>text256_blurkernel10_3_0.00001_0.01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0"/>
        <v>SROU03</v>
      </c>
      <c r="O180">
        <f>VLOOKUP(N180,'Color codes'!$A$1:$B$3,2,FALSE)</f>
        <v>3</v>
      </c>
      <c r="P180" t="b">
        <f t="shared" si="8"/>
        <v>1</v>
      </c>
    </row>
    <row r="181" spans="1:16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9"/>
        <v>text256_blurkernel10_3_0.00001_0.1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0"/>
        <v>SROU03</v>
      </c>
      <c r="O181">
        <f>VLOOKUP(N181,'Color codes'!$A$1:$B$3,2,FALSE)</f>
        <v>3</v>
      </c>
      <c r="P181" t="b">
        <f t="shared" si="8"/>
        <v>1</v>
      </c>
    </row>
    <row r="182" spans="1:16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9"/>
        <v>text256_blurkernel10_7_0.00001_0.0001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0"/>
        <v>BM3D</v>
      </c>
      <c r="O182">
        <f>VLOOKUP(N182,'Color codes'!$A$1:$B$3,2,FALSE)</f>
        <v>1</v>
      </c>
      <c r="P182" t="b">
        <f t="shared" si="8"/>
        <v>1</v>
      </c>
    </row>
    <row r="183" spans="1:16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9"/>
        <v>text256_blurkernel10_7_0.00001_0.001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0"/>
        <v>BM3D</v>
      </c>
      <c r="O183">
        <f>VLOOKUP(N183,'Color codes'!$A$1:$B$3,2,FALSE)</f>
        <v>1</v>
      </c>
      <c r="P183" t="b">
        <f t="shared" si="8"/>
        <v>0</v>
      </c>
    </row>
    <row r="184" spans="1:16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9"/>
        <v>text256_blurkernel10_7_0.00001_0.01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0"/>
        <v>SROU03</v>
      </c>
      <c r="O184">
        <f>VLOOKUP(N184,'Color codes'!$A$1:$B$3,2,FALSE)</f>
        <v>3</v>
      </c>
      <c r="P184" t="b">
        <f t="shared" si="8"/>
        <v>0</v>
      </c>
    </row>
    <row r="185" spans="1:16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9"/>
        <v>text256_blurkernel10_7_0.00001_0.1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0"/>
        <v>SROU03</v>
      </c>
      <c r="O185">
        <f>VLOOKUP(N185,'Color codes'!$A$1:$B$3,2,FALSE)</f>
        <v>3</v>
      </c>
      <c r="P185" t="b">
        <f t="shared" si="8"/>
        <v>1</v>
      </c>
    </row>
    <row r="186" spans="1:16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9"/>
        <v>text256_blurkernel10_15_0.00001_0.0001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0"/>
        <v>BM3D</v>
      </c>
      <c r="O186">
        <f>VLOOKUP(N186,'Color codes'!$A$1:$B$3,2,FALSE)</f>
        <v>1</v>
      </c>
      <c r="P186" t="b">
        <f t="shared" si="8"/>
        <v>1</v>
      </c>
    </row>
    <row r="187" spans="1:16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9"/>
        <v>text256_blurkernel10_15_0.00001_0.001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0"/>
        <v>BM3D</v>
      </c>
      <c r="O187">
        <f>VLOOKUP(N187,'Color codes'!$A$1:$B$3,2,FALSE)</f>
        <v>1</v>
      </c>
      <c r="P187" t="b">
        <f t="shared" si="8"/>
        <v>1</v>
      </c>
    </row>
    <row r="188" spans="1:16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9"/>
        <v>text256_blurkernel10_15_0.00001_0.01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0"/>
        <v>SROU03</v>
      </c>
      <c r="O188">
        <f>VLOOKUP(N188,'Color codes'!$A$1:$B$3,2,FALSE)</f>
        <v>3</v>
      </c>
      <c r="P188" t="b">
        <f t="shared" si="8"/>
        <v>0</v>
      </c>
    </row>
    <row r="189" spans="1:16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9"/>
        <v>text256_blurkernel10_15_0.00001_0.1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0"/>
        <v>SROU03</v>
      </c>
      <c r="O189">
        <f>VLOOKUP(N189,'Color codes'!$A$1:$B$3,2,FALSE)</f>
        <v>3</v>
      </c>
      <c r="P189" t="b">
        <f t="shared" si="8"/>
        <v>1</v>
      </c>
    </row>
    <row r="190" spans="1:16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9"/>
        <v>text256_blurkernel10_31_0.00001_0.0001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0"/>
        <v>BM3D</v>
      </c>
      <c r="O190">
        <f>VLOOKUP(N190,'Color codes'!$A$1:$B$3,2,FALSE)</f>
        <v>1</v>
      </c>
      <c r="P190" t="b">
        <f t="shared" si="8"/>
        <v>1</v>
      </c>
    </row>
    <row r="191" spans="1:16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1">A191&amp;"_"&amp;B191&amp;"_"&amp;C191&amp;"_"&amp;D191&amp;"_"&amp;E191</f>
        <v>text256_blurkernel10_31_0.00001_0.001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0"/>
        <v>BM3D</v>
      </c>
      <c r="O191">
        <f>VLOOKUP(N191,'Color codes'!$A$1:$B$3,2,FALSE)</f>
        <v>1</v>
      </c>
      <c r="P191" t="b">
        <f t="shared" si="8"/>
        <v>1</v>
      </c>
    </row>
    <row r="192" spans="1:16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1"/>
        <v>text256_blurkernel10_31_0.00001_0.01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0"/>
        <v>BM3D</v>
      </c>
      <c r="O192">
        <f>VLOOKUP(N192,'Color codes'!$A$1:$B$3,2,FALSE)</f>
        <v>1</v>
      </c>
      <c r="P192" t="b">
        <f t="shared" si="8"/>
        <v>1</v>
      </c>
    </row>
    <row r="193" spans="1:16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1"/>
        <v>text256_blurkernel10_31_0.00001_0.1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0"/>
        <v>SROU03</v>
      </c>
      <c r="O193">
        <f>VLOOKUP(N193,'Color codes'!$A$1:$B$3,2,FALSE)</f>
        <v>3</v>
      </c>
      <c r="P193" t="b">
        <f t="shared" si="8"/>
        <v>1</v>
      </c>
    </row>
    <row r="194" spans="1:16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1"/>
        <v>castle256_blurkernel7_3_0.00001_0.0001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0"/>
        <v>BM3D</v>
      </c>
      <c r="O194">
        <f>VLOOKUP(N194,'Color codes'!$A$1:$B$3,2,FALSE)</f>
        <v>1</v>
      </c>
      <c r="P194" t="b">
        <f t="shared" si="8"/>
        <v>0</v>
      </c>
    </row>
    <row r="195" spans="1:16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1"/>
        <v>castle256_blurkernel7_3_0.00001_0.001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0"/>
        <v>SROU03</v>
      </c>
      <c r="O195">
        <f>VLOOKUP(N195,'Color codes'!$A$1:$B$3,2,FALSE)</f>
        <v>3</v>
      </c>
      <c r="P195" t="b">
        <f t="shared" ref="P195:P257" si="12">(ABS(L195-M195)  &gt; 1)</f>
        <v>0</v>
      </c>
    </row>
    <row r="196" spans="1:16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1"/>
        <v>castle256_blurkernel7_3_0.00001_0.01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0"/>
        <v>SROU03</v>
      </c>
      <c r="O196">
        <f>VLOOKUP(N196,'Color codes'!$A$1:$B$3,2,FALSE)</f>
        <v>3</v>
      </c>
      <c r="P196" t="b">
        <f t="shared" si="12"/>
        <v>1</v>
      </c>
    </row>
    <row r="197" spans="1:16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1"/>
        <v>castle256_blurkernel7_3_0.00001_0.1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0"/>
        <v>SROU03</v>
      </c>
      <c r="O197">
        <f>VLOOKUP(N197,'Color codes'!$A$1:$B$3,2,FALSE)</f>
        <v>3</v>
      </c>
      <c r="P197" t="b">
        <f t="shared" si="12"/>
        <v>1</v>
      </c>
    </row>
    <row r="198" spans="1:16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1"/>
        <v>castle256_blurkernel7_7_0.00001_0.0001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0"/>
        <v>BM3D</v>
      </c>
      <c r="O198">
        <f>VLOOKUP(N198,'Color codes'!$A$1:$B$3,2,FALSE)</f>
        <v>1</v>
      </c>
      <c r="P198" t="b">
        <f t="shared" si="12"/>
        <v>1</v>
      </c>
    </row>
    <row r="199" spans="1:16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1"/>
        <v>castle256_blurkernel7_7_0.00001_0.001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0"/>
        <v>BM3D</v>
      </c>
      <c r="O199">
        <f>VLOOKUP(N199,'Color codes'!$A$1:$B$3,2,FALSE)</f>
        <v>1</v>
      </c>
      <c r="P199" t="b">
        <f t="shared" si="12"/>
        <v>0</v>
      </c>
    </row>
    <row r="200" spans="1:16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1"/>
        <v>castle256_blurkernel7_7_0.00001_0.01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0"/>
        <v>SROU03</v>
      </c>
      <c r="O200">
        <f>VLOOKUP(N200,'Color codes'!$A$1:$B$3,2,FALSE)</f>
        <v>3</v>
      </c>
      <c r="P200" t="b">
        <f t="shared" si="12"/>
        <v>0</v>
      </c>
    </row>
    <row r="201" spans="1:16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1"/>
        <v>castle256_blurkernel7_7_0.00001_0.1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0"/>
        <v>BM3D</v>
      </c>
      <c r="O201">
        <f>VLOOKUP(N201,'Color codes'!$A$1:$B$3,2,FALSE)</f>
        <v>1</v>
      </c>
      <c r="P201" t="b">
        <f t="shared" si="12"/>
        <v>0</v>
      </c>
    </row>
    <row r="202" spans="1:16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1"/>
        <v>castle256_blurkernel7_15_0.00001_0.0001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0"/>
        <v>BM3D</v>
      </c>
      <c r="O202">
        <f>VLOOKUP(N202,'Color codes'!$A$1:$B$3,2,FALSE)</f>
        <v>1</v>
      </c>
      <c r="P202" t="b">
        <f t="shared" si="12"/>
        <v>1</v>
      </c>
    </row>
    <row r="203" spans="1:16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1"/>
        <v>castle256_blurkernel7_15_0.00001_0.001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0"/>
        <v>BM3D</v>
      </c>
      <c r="O203">
        <f>VLOOKUP(N203,'Color codes'!$A$1:$B$3,2,FALSE)</f>
        <v>1</v>
      </c>
      <c r="P203" t="b">
        <f t="shared" si="12"/>
        <v>0</v>
      </c>
    </row>
    <row r="204" spans="1:16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1"/>
        <v>castle256_blurkernel7_15_0.00001_0.01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0"/>
        <v>SROU03</v>
      </c>
      <c r="O204">
        <f>VLOOKUP(N204,'Color codes'!$A$1:$B$3,2,FALSE)</f>
        <v>3</v>
      </c>
      <c r="P204" t="b">
        <f t="shared" si="12"/>
        <v>1</v>
      </c>
    </row>
    <row r="205" spans="1:16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1"/>
        <v>castle256_blurkernel7_15_0.00001_0.1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0"/>
        <v>SROU03</v>
      </c>
      <c r="O205">
        <f>VLOOKUP(N205,'Color codes'!$A$1:$B$3,2,FALSE)</f>
        <v>3</v>
      </c>
      <c r="P205" t="b">
        <f t="shared" si="12"/>
        <v>1</v>
      </c>
    </row>
    <row r="206" spans="1:16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1"/>
        <v>castle256_blurkernel7_31_0.00001_0.0001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0"/>
        <v>BM3D</v>
      </c>
      <c r="O206">
        <f>VLOOKUP(N206,'Color codes'!$A$1:$B$3,2,FALSE)</f>
        <v>1</v>
      </c>
      <c r="P206" t="b">
        <f t="shared" si="12"/>
        <v>1</v>
      </c>
    </row>
    <row r="207" spans="1:16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1"/>
        <v>castle256_blurkernel7_31_0.00001_0.001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0"/>
        <v>BM3D</v>
      </c>
      <c r="O207">
        <f>VLOOKUP(N207,'Color codes'!$A$1:$B$3,2,FALSE)</f>
        <v>1</v>
      </c>
      <c r="P207" t="b">
        <f t="shared" si="12"/>
        <v>1</v>
      </c>
    </row>
    <row r="208" spans="1:16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1"/>
        <v>castle256_blurkernel7_31_0.00001_0.01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0"/>
        <v>SROU03</v>
      </c>
      <c r="O208">
        <f>VLOOKUP(N208,'Color codes'!$A$1:$B$3,2,FALSE)</f>
        <v>3</v>
      </c>
      <c r="P208" t="b">
        <f t="shared" si="12"/>
        <v>0</v>
      </c>
    </row>
    <row r="209" spans="1:16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1"/>
        <v>castle256_blurkernel7_31_0.00001_0.1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0"/>
        <v>BM3D</v>
      </c>
      <c r="O209">
        <f>VLOOKUP(N209,'Color codes'!$A$1:$B$3,2,FALSE)</f>
        <v>1</v>
      </c>
      <c r="P209" t="b">
        <f t="shared" si="12"/>
        <v>1</v>
      </c>
    </row>
    <row r="210" spans="1:16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1"/>
        <v>castle256_blurkernel8_3_0.00001_0.0001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3">IF((M210&gt;(MAX(K210,L210))),"BM3D",IF(L210&gt;(MAX(K210,M210)),"SROU03","TICO09"))</f>
        <v>SROU03</v>
      </c>
      <c r="O210">
        <f>VLOOKUP(N210,'Color codes'!$A$1:$B$3,2,FALSE)</f>
        <v>3</v>
      </c>
      <c r="P210" t="b">
        <f t="shared" si="12"/>
        <v>0</v>
      </c>
    </row>
    <row r="211" spans="1:16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1"/>
        <v>castle256_blurkernel8_3_0.00001_0.001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3"/>
        <v>SROU03</v>
      </c>
      <c r="O211">
        <f>VLOOKUP(N211,'Color codes'!$A$1:$B$3,2,FALSE)</f>
        <v>3</v>
      </c>
      <c r="P211" t="b">
        <f t="shared" si="12"/>
        <v>1</v>
      </c>
    </row>
    <row r="212" spans="1:16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1"/>
        <v>castle256_blurkernel8_3_0.00001_0.01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3"/>
        <v>SROU03</v>
      </c>
      <c r="O212">
        <f>VLOOKUP(N212,'Color codes'!$A$1:$B$3,2,FALSE)</f>
        <v>3</v>
      </c>
      <c r="P212" t="b">
        <f t="shared" si="12"/>
        <v>1</v>
      </c>
    </row>
    <row r="213" spans="1:16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1"/>
        <v>castle256_blurkernel8_3_0.00001_0.1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3"/>
        <v>SROU03</v>
      </c>
      <c r="O213">
        <f>VLOOKUP(N213,'Color codes'!$A$1:$B$3,2,FALSE)</f>
        <v>3</v>
      </c>
      <c r="P213" t="b">
        <f t="shared" si="12"/>
        <v>1</v>
      </c>
    </row>
    <row r="214" spans="1:16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1"/>
        <v>castle256_blurkernel8_7_0.00001_0.0001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3"/>
        <v>BM3D</v>
      </c>
      <c r="O214">
        <f>VLOOKUP(N214,'Color codes'!$A$1:$B$3,2,FALSE)</f>
        <v>1</v>
      </c>
      <c r="P214" t="b">
        <f t="shared" si="12"/>
        <v>1</v>
      </c>
    </row>
    <row r="215" spans="1:16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1"/>
        <v>castle256_blurkernel8_7_0.00001_0.001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3"/>
        <v>BM3D</v>
      </c>
      <c r="O215">
        <f>VLOOKUP(N215,'Color codes'!$A$1:$B$3,2,FALSE)</f>
        <v>1</v>
      </c>
      <c r="P215" t="b">
        <f t="shared" si="12"/>
        <v>0</v>
      </c>
    </row>
    <row r="216" spans="1:16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1"/>
        <v>castle256_blurkernel8_7_0.00001_0.01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3"/>
        <v>SROU03</v>
      </c>
      <c r="O216">
        <f>VLOOKUP(N216,'Color codes'!$A$1:$B$3,2,FALSE)</f>
        <v>3</v>
      </c>
      <c r="P216" t="b">
        <f t="shared" si="12"/>
        <v>1</v>
      </c>
    </row>
    <row r="217" spans="1:16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1"/>
        <v>castle256_blurkernel8_7_0.00001_0.1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3"/>
        <v>BM3D</v>
      </c>
      <c r="O217">
        <f>VLOOKUP(N217,'Color codes'!$A$1:$B$3,2,FALSE)</f>
        <v>1</v>
      </c>
      <c r="P217" t="b">
        <f t="shared" si="12"/>
        <v>0</v>
      </c>
    </row>
    <row r="218" spans="1:16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1"/>
        <v>castle256_blurkernel8_15_0.00001_0.0001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3"/>
        <v>BM3D</v>
      </c>
      <c r="O218">
        <f>VLOOKUP(N218,'Color codes'!$A$1:$B$3,2,FALSE)</f>
        <v>1</v>
      </c>
      <c r="P218" t="b">
        <f t="shared" si="12"/>
        <v>1</v>
      </c>
    </row>
    <row r="219" spans="1:16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1"/>
        <v>castle256_blurkernel8_15_0.00001_0.001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3"/>
        <v>BM3D</v>
      </c>
      <c r="O219">
        <f>VLOOKUP(N219,'Color codes'!$A$1:$B$3,2,FALSE)</f>
        <v>1</v>
      </c>
      <c r="P219" t="b">
        <f t="shared" si="12"/>
        <v>0</v>
      </c>
    </row>
    <row r="220" spans="1:16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1"/>
        <v>castle256_blurkernel8_15_0.00001_0.01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3"/>
        <v>SROU03</v>
      </c>
      <c r="O220">
        <f>VLOOKUP(N220,'Color codes'!$A$1:$B$3,2,FALSE)</f>
        <v>3</v>
      </c>
      <c r="P220" t="b">
        <f t="shared" si="12"/>
        <v>1</v>
      </c>
    </row>
    <row r="221" spans="1:16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1"/>
        <v>castle256_blurkernel8_15_0.00001_0.1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3"/>
        <v>SROU03</v>
      </c>
      <c r="O221">
        <f>VLOOKUP(N221,'Color codes'!$A$1:$B$3,2,FALSE)</f>
        <v>3</v>
      </c>
      <c r="P221" t="b">
        <f t="shared" si="12"/>
        <v>1</v>
      </c>
    </row>
    <row r="222" spans="1:16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1"/>
        <v>castle256_blurkernel8_31_0.00001_0.0001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3"/>
        <v>BM3D</v>
      </c>
      <c r="O222">
        <f>VLOOKUP(N222,'Color codes'!$A$1:$B$3,2,FALSE)</f>
        <v>1</v>
      </c>
      <c r="P222" t="b">
        <f t="shared" si="12"/>
        <v>1</v>
      </c>
    </row>
    <row r="223" spans="1:16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1"/>
        <v>castle256_blurkernel8_31_0.00001_0.001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3"/>
        <v>BM3D</v>
      </c>
      <c r="O223">
        <f>VLOOKUP(N223,'Color codes'!$A$1:$B$3,2,FALSE)</f>
        <v>1</v>
      </c>
      <c r="P223" t="b">
        <f t="shared" si="12"/>
        <v>1</v>
      </c>
    </row>
    <row r="224" spans="1:16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1"/>
        <v>castle256_blurkernel8_31_0.00001_0.01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3"/>
        <v>SROU03</v>
      </c>
      <c r="O224">
        <f>VLOOKUP(N224,'Color codes'!$A$1:$B$3,2,FALSE)</f>
        <v>3</v>
      </c>
      <c r="P224" t="b">
        <f t="shared" si="12"/>
        <v>0</v>
      </c>
    </row>
    <row r="225" spans="1:16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1"/>
        <v>castle256_blurkernel8_31_0.00001_0.1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3"/>
        <v>BM3D</v>
      </c>
      <c r="O225">
        <f>VLOOKUP(N225,'Color codes'!$A$1:$B$3,2,FALSE)</f>
        <v>1</v>
      </c>
      <c r="P225" t="b">
        <f t="shared" si="12"/>
        <v>0</v>
      </c>
    </row>
    <row r="226" spans="1:16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1"/>
        <v>castle256_line_3_0.00001_0.0001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3"/>
        <v>SROU03</v>
      </c>
      <c r="O226">
        <f>VLOOKUP(N226,'Color codes'!$A$1:$B$3,2,FALSE)</f>
        <v>3</v>
      </c>
      <c r="P226" t="b">
        <f t="shared" si="12"/>
        <v>0</v>
      </c>
    </row>
    <row r="227" spans="1:16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1"/>
        <v>castle256_line_3_0.00001_0.001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3"/>
        <v>SROU03</v>
      </c>
      <c r="O227">
        <f>VLOOKUP(N227,'Color codes'!$A$1:$B$3,2,FALSE)</f>
        <v>3</v>
      </c>
      <c r="P227" t="b">
        <f t="shared" si="12"/>
        <v>1</v>
      </c>
    </row>
    <row r="228" spans="1:16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1"/>
        <v>castle256_line_3_0.00001_0.01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3"/>
        <v>SROU03</v>
      </c>
      <c r="O228">
        <f>VLOOKUP(N228,'Color codes'!$A$1:$B$3,2,FALSE)</f>
        <v>3</v>
      </c>
      <c r="P228" t="b">
        <f t="shared" si="12"/>
        <v>1</v>
      </c>
    </row>
    <row r="229" spans="1:16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1"/>
        <v>castle256_line_3_0.00001_0.1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3"/>
        <v>SROU03</v>
      </c>
      <c r="O229">
        <f>VLOOKUP(N229,'Color codes'!$A$1:$B$3,2,FALSE)</f>
        <v>3</v>
      </c>
      <c r="P229" t="b">
        <f t="shared" si="12"/>
        <v>1</v>
      </c>
    </row>
    <row r="230" spans="1:16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1"/>
        <v>castle256_line_7_0.00001_0.0001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3"/>
        <v>BM3D</v>
      </c>
      <c r="O230">
        <f>VLOOKUP(N230,'Color codes'!$A$1:$B$3,2,FALSE)</f>
        <v>1</v>
      </c>
      <c r="P230" t="b">
        <f t="shared" si="12"/>
        <v>1</v>
      </c>
    </row>
    <row r="231" spans="1:16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1"/>
        <v>castle256_line_7_0.00001_0.001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3"/>
        <v>SROU03</v>
      </c>
      <c r="O231">
        <f>VLOOKUP(N231,'Color codes'!$A$1:$B$3,2,FALSE)</f>
        <v>3</v>
      </c>
      <c r="P231" t="b">
        <f t="shared" si="12"/>
        <v>0</v>
      </c>
    </row>
    <row r="232" spans="1:16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1"/>
        <v>castle256_line_7_0.00001_0.01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3"/>
        <v>SROU03</v>
      </c>
      <c r="O232">
        <f>VLOOKUP(N232,'Color codes'!$A$1:$B$3,2,FALSE)</f>
        <v>3</v>
      </c>
      <c r="P232" t="b">
        <f t="shared" si="12"/>
        <v>0</v>
      </c>
    </row>
    <row r="233" spans="1:16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1"/>
        <v>castle256_line_7_0.00001_0.1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3"/>
        <v>BM3D</v>
      </c>
      <c r="O233">
        <f>VLOOKUP(N233,'Color codes'!$A$1:$B$3,2,FALSE)</f>
        <v>1</v>
      </c>
      <c r="P233" t="b">
        <f t="shared" si="12"/>
        <v>0</v>
      </c>
    </row>
    <row r="234" spans="1:16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1"/>
        <v>castle256_line_15_0.00001_0.0001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3"/>
        <v>BM3D</v>
      </c>
      <c r="O234">
        <f>VLOOKUP(N234,'Color codes'!$A$1:$B$3,2,FALSE)</f>
        <v>1</v>
      </c>
      <c r="P234" t="b">
        <f t="shared" si="12"/>
        <v>1</v>
      </c>
    </row>
    <row r="235" spans="1:16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1"/>
        <v>castle256_line_15_0.00001_0.001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3"/>
        <v>BM3D</v>
      </c>
      <c r="O235">
        <f>VLOOKUP(N235,'Color codes'!$A$1:$B$3,2,FALSE)</f>
        <v>1</v>
      </c>
      <c r="P235" t="b">
        <f t="shared" si="12"/>
        <v>1</v>
      </c>
    </row>
    <row r="236" spans="1:16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1"/>
        <v>castle256_line_15_0.00001_0.01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3"/>
        <v>BM3D</v>
      </c>
      <c r="O236">
        <f>VLOOKUP(N236,'Color codes'!$A$1:$B$3,2,FALSE)</f>
        <v>1</v>
      </c>
      <c r="P236" t="b">
        <f t="shared" si="12"/>
        <v>1</v>
      </c>
    </row>
    <row r="237" spans="1:16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1"/>
        <v>castle256_line_15_0.00001_0.1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3"/>
        <v>BM3D</v>
      </c>
      <c r="O237">
        <f>VLOOKUP(N237,'Color codes'!$A$1:$B$3,2,FALSE)</f>
        <v>1</v>
      </c>
      <c r="P237" t="b">
        <f t="shared" si="12"/>
        <v>1</v>
      </c>
    </row>
    <row r="238" spans="1:16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1"/>
        <v>castle256_line_31_0.00001_0.0001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3"/>
        <v>BM3D</v>
      </c>
      <c r="O238">
        <f>VLOOKUP(N238,'Color codes'!$A$1:$B$3,2,FALSE)</f>
        <v>1</v>
      </c>
      <c r="P238" t="b">
        <f t="shared" si="12"/>
        <v>1</v>
      </c>
    </row>
    <row r="239" spans="1:16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1"/>
        <v>castle256_line_31_0.00001_0.001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3"/>
        <v>BM3D</v>
      </c>
      <c r="O239">
        <f>VLOOKUP(N239,'Color codes'!$A$1:$B$3,2,FALSE)</f>
        <v>1</v>
      </c>
      <c r="P239" t="b">
        <f t="shared" si="12"/>
        <v>1</v>
      </c>
    </row>
    <row r="240" spans="1:16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1"/>
        <v>castle256_line_31_0.00001_0.01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3"/>
        <v>BM3D</v>
      </c>
      <c r="O240">
        <f>VLOOKUP(N240,'Color codes'!$A$1:$B$3,2,FALSE)</f>
        <v>1</v>
      </c>
      <c r="P240" t="b">
        <f t="shared" si="12"/>
        <v>1</v>
      </c>
    </row>
    <row r="241" spans="1:16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1"/>
        <v>castle256_line_31_0.00001_0.1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3"/>
        <v>BM3D</v>
      </c>
      <c r="O241">
        <f>VLOOKUP(N241,'Color codes'!$A$1:$B$3,2,FALSE)</f>
        <v>1</v>
      </c>
      <c r="P241" t="b">
        <f t="shared" si="12"/>
        <v>1</v>
      </c>
    </row>
    <row r="242" spans="1:16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4">A242&amp;"_"&amp;B242&amp;"_"&amp;C242&amp;"_"&amp;D242&amp;"_"&amp;E242</f>
        <v>castle256_blurkernel10_3_0.00001_0.0001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3"/>
        <v>BM3D</v>
      </c>
      <c r="O242">
        <f>VLOOKUP(N242,'Color codes'!$A$1:$B$3,2,FALSE)</f>
        <v>1</v>
      </c>
      <c r="P242" t="b">
        <f t="shared" si="12"/>
        <v>0</v>
      </c>
    </row>
    <row r="243" spans="1:16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4"/>
        <v>castle256_blurkernel10_3_0.00001_0.001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3"/>
        <v>SROU03</v>
      </c>
      <c r="O243">
        <f>VLOOKUP(N243,'Color codes'!$A$1:$B$3,2,FALSE)</f>
        <v>3</v>
      </c>
      <c r="P243" t="b">
        <f t="shared" si="12"/>
        <v>1</v>
      </c>
    </row>
    <row r="244" spans="1:16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4"/>
        <v>castle256_blurkernel10_3_0.00001_0.01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3"/>
        <v>SROU03</v>
      </c>
      <c r="O244">
        <f>VLOOKUP(N244,'Color codes'!$A$1:$B$3,2,FALSE)</f>
        <v>3</v>
      </c>
      <c r="P244" t="b">
        <f t="shared" si="12"/>
        <v>1</v>
      </c>
    </row>
    <row r="245" spans="1:16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4"/>
        <v>castle256_blurkernel10_3_0.00001_0.1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3"/>
        <v>SROU03</v>
      </c>
      <c r="O245">
        <f>VLOOKUP(N245,'Color codes'!$A$1:$B$3,2,FALSE)</f>
        <v>3</v>
      </c>
      <c r="P245" t="b">
        <f t="shared" si="12"/>
        <v>1</v>
      </c>
    </row>
    <row r="246" spans="1:16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4"/>
        <v>castle256_blurkernel10_7_0.00001_0.0001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3"/>
        <v>BM3D</v>
      </c>
      <c r="O246">
        <f>VLOOKUP(N246,'Color codes'!$A$1:$B$3,2,FALSE)</f>
        <v>1</v>
      </c>
      <c r="P246" t="b">
        <f t="shared" si="12"/>
        <v>1</v>
      </c>
    </row>
    <row r="247" spans="1:16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4"/>
        <v>castle256_blurkernel10_7_0.00001_0.001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3"/>
        <v>BM3D</v>
      </c>
      <c r="O247">
        <f>VLOOKUP(N247,'Color codes'!$A$1:$B$3,2,FALSE)</f>
        <v>1</v>
      </c>
      <c r="P247" t="b">
        <f t="shared" si="12"/>
        <v>0</v>
      </c>
    </row>
    <row r="248" spans="1:16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4"/>
        <v>castle256_blurkernel10_7_0.00001_0.01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3"/>
        <v>SROU03</v>
      </c>
      <c r="O248">
        <f>VLOOKUP(N248,'Color codes'!$A$1:$B$3,2,FALSE)</f>
        <v>3</v>
      </c>
      <c r="P248" t="b">
        <f t="shared" si="12"/>
        <v>1</v>
      </c>
    </row>
    <row r="249" spans="1:16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4"/>
        <v>castle256_blurkernel10_7_0.00001_0.1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3"/>
        <v>SROU03</v>
      </c>
      <c r="O249">
        <f>VLOOKUP(N249,'Color codes'!$A$1:$B$3,2,FALSE)</f>
        <v>3</v>
      </c>
      <c r="P249" t="b">
        <f t="shared" si="12"/>
        <v>0</v>
      </c>
    </row>
    <row r="250" spans="1:16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4"/>
        <v>castle256_blurkernel10_15_0.00001_0.0001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3"/>
        <v>BM3D</v>
      </c>
      <c r="O250">
        <f>VLOOKUP(N250,'Color codes'!$A$1:$B$3,2,FALSE)</f>
        <v>1</v>
      </c>
      <c r="P250" t="b">
        <f t="shared" si="12"/>
        <v>1</v>
      </c>
    </row>
    <row r="251" spans="1:16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4"/>
        <v>castle256_blurkernel10_15_0.00001_0.001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3"/>
        <v>SROU03</v>
      </c>
      <c r="O251">
        <f>VLOOKUP(N251,'Color codes'!$A$1:$B$3,2,FALSE)</f>
        <v>3</v>
      </c>
      <c r="P251" t="b">
        <f t="shared" si="12"/>
        <v>0</v>
      </c>
    </row>
    <row r="252" spans="1:16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4"/>
        <v>castle256_blurkernel10_15_0.00001_0.01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3"/>
        <v>SROU03</v>
      </c>
      <c r="O252">
        <f>VLOOKUP(N252,'Color codes'!$A$1:$B$3,2,FALSE)</f>
        <v>3</v>
      </c>
      <c r="P252" t="b">
        <f t="shared" si="12"/>
        <v>1</v>
      </c>
    </row>
    <row r="253" spans="1:16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4"/>
        <v>castle256_blurkernel10_15_0.00001_0.1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3"/>
        <v>SROU03</v>
      </c>
      <c r="O253">
        <f>VLOOKUP(N253,'Color codes'!$A$1:$B$3,2,FALSE)</f>
        <v>3</v>
      </c>
      <c r="P253" t="b">
        <f t="shared" si="12"/>
        <v>0</v>
      </c>
    </row>
    <row r="254" spans="1:16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4"/>
        <v>castle256_blurkernel10_31_0.00001_0.0001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3"/>
        <v>BM3D</v>
      </c>
      <c r="O254">
        <f>VLOOKUP(N254,'Color codes'!$A$1:$B$3,2,FALSE)</f>
        <v>1</v>
      </c>
      <c r="P254" t="b">
        <f t="shared" si="12"/>
        <v>1</v>
      </c>
    </row>
    <row r="255" spans="1:16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4"/>
        <v>castle256_blurkernel10_31_0.00001_0.001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3"/>
        <v>BM3D</v>
      </c>
      <c r="O255">
        <f>VLOOKUP(N255,'Color codes'!$A$1:$B$3,2,FALSE)</f>
        <v>1</v>
      </c>
      <c r="P255" t="b">
        <f t="shared" si="12"/>
        <v>0</v>
      </c>
    </row>
    <row r="256" spans="1:16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4"/>
        <v>castle256_blurkernel10_31_0.00001_0.01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3"/>
        <v>SROU03</v>
      </c>
      <c r="O256">
        <f>VLOOKUP(N256,'Color codes'!$A$1:$B$3,2,FALSE)</f>
        <v>3</v>
      </c>
      <c r="P256" t="b">
        <f t="shared" si="12"/>
        <v>1</v>
      </c>
    </row>
    <row r="257" spans="1:16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4"/>
        <v>castle256_blurkernel10_31_0.00001_0.1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3"/>
        <v>BM3D</v>
      </c>
      <c r="O257">
        <f>VLOOKUP(N257,'Color codes'!$A$1:$B$3,2,FALSE)</f>
        <v>1</v>
      </c>
      <c r="P257" t="b">
        <f t="shared" si="12"/>
        <v>1</v>
      </c>
    </row>
  </sheetData>
  <autoFilter ref="A1:P257">
    <filterColumn colId="14"/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21"/>
  <sheetViews>
    <sheetView workbookViewId="0">
      <pane ySplit="1" topLeftCell="A285" activePane="bottomLeft" state="frozen"/>
      <selection pane="bottomLeft" activeCell="B344" sqref="B344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lena256_blurkernel7_3_0.00001_0.0001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lena256_blurkernel7_3_0.00001_0.001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lena256_blurkernel7_3_0.00001_0.01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lena256_blurkernel7_3_0.00001_0.1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lena256_blurkernel7_7_0.00001_0.0001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lena256_blurkernel7_7_0.00001_0.001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lena256_blurkernel7_7_0.00001_0.01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lena256_blurkernel7_7_0.00001_0.1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lena256_blurkernel7_15_0.00001_0.0001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lena256_blurkernel7_15_0.00001_0.001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lena256_blurkernel7_15_0.00001_0.01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lena256_blurkernel7_15_0.00001_0.1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lena256_blurkernel7_31_0.00001_0.0001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lena256_blurkernel7_31_0.00001_0.001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lena256_blurkernel7_31_0.00001_0.01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lena256_blurkernel7_31_0.00001_0.1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lena256_blurkernel7_63_0.00001_0.0001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lena256_blurkernel7_63_0.00001_0.001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lena256_blurkernel7_63_0.00001_0.01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lena256_blurkernel7_63_0.00001_0.1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lena256_blurkernel8_3_0.00001_0.0001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lena256_blurkernel8_3_0.00001_0.001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lena256_blurkernel8_3_0.00001_0.01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lena256_blurkernel8_3_0.00001_0.1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lena256_blurkernel8_7_0.00001_0.0001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lena256_blurkernel8_7_0.00001_0.001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lena256_blurkernel8_7_0.00001_0.01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lena256_blurkernel8_7_0.00001_0.1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lena256_blurkernel8_15_0.00001_0.0001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lena256_blurkernel8_15_0.00001_0.001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lena256_blurkernel8_15_0.00001_0.01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lena256_blurkernel8_15_0.00001_0.1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lena256_blurkernel8_31_0.00001_0.0001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lena256_blurkernel8_31_0.00001_0.001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lena256_blurkernel8_31_0.00001_0.01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lena256_blurkernel8_31_0.00001_0.1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lena256_blurkernel8_63_0.00001_0.0001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lena256_blurkernel8_63_0.00001_0.001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lena256_blurkernel8_63_0.00001_0.01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lena256_blurkernel8_63_0.00001_0.1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lena256_line_3_0.00001_0.0001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lena256_line_3_0.00001_0.001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lena256_line_3_0.00001_0.01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lena256_line_3_0.00001_0.1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lena256_line_7_0.00001_0.0001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lena256_line_7_0.00001_0.001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lena256_line_7_0.00001_0.01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lena256_line_7_0.00001_0.1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lena256_line_15_0.00001_0.0001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lena256_line_15_0.00001_0.001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lena256_line_15_0.00001_0.01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lena256_line_15_0.00001_0.1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lena256_line_31_0.00001_0.0001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lena256_line_31_0.00001_0.001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lena256_line_31_0.00001_0.01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lena256_line_31_0.00001_0.1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lena256_line_63_0.00001_0.0001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lena256_line_63_0.00001_0.001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lena256_line_63_0.00001_0.01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lena256_line_63_0.00001_0.1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lena256_blurkernel10_3_0.00001_0.0001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lena256_blurkernel10_3_0.00001_0.001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lena256_blurkernel10_3_0.00001_0.01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lena256_blurkernel10_3_0.00001_0.1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lena256_blurkernel10_7_0.00001_0.0001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lena256_blurkernel10_7_0.00001_0.001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lena256_blurkernel10_7_0.00001_0.01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lena256_blurkernel10_7_0.00001_0.1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lena256_blurkernel10_15_0.00001_0.0001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lena256_blurkernel10_15_0.00001_0.001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lena256_blurkernel10_15_0.00001_0.01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lena256_blurkernel10_15_0.00001_0.1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lena256_blurkernel10_31_0.00001_0.0001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lena256_blurkernel10_31_0.00001_0.001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lena256_blurkernel10_31_0.00001_0.01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lena256_blurkernel10_31_0.00001_0.1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lena256_blurkernel10_63_0.00001_0.0001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lena256_blurkernel10_63_0.00001_0.001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lena256_blurkernel10_63_0.00001_0.01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lena256_blurkernel10_63_0.00001_0.1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tree256_blurkernel7_3_0.00001_0.0001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tree256_blurkernel7_3_0.00001_0.001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tree256_blurkernel7_3_0.00001_0.01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tree256_blurkernel7_3_0.00001_0.1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tree256_blurkernel7_7_0.00001_0.0001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tree256_blurkernel7_7_0.00001_0.001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tree256_blurkernel7_7_0.00001_0.01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tree256_blurkernel7_7_0.00001_0.1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tree256_blurkernel7_15_0.00001_0.0001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tree256_blurkernel7_15_0.00001_0.001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tree256_blurkernel7_15_0.00001_0.01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tree256_blurkernel7_15_0.00001_0.1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tree256_blurkernel7_31_0.00001_0.0001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tree256_blurkernel7_31_0.00001_0.001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tree256_blurkernel7_31_0.00001_0.01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tree256_blurkernel7_31_0.00001_0.1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tree256_blurkernel7_63_0.00001_0.0001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tree256_blurkernel7_63_0.00001_0.001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tree256_blurkernel7_63_0.00001_0.01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tree256_blurkernel7_63_0.00001_0.1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tree256_blurkernel8_3_0.00001_0.0001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tree256_blurkernel8_3_0.00001_0.001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tree256_blurkernel8_3_0.00001_0.01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tree256_blurkernel8_3_0.00001_0.1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tree256_blurkernel8_7_0.00001_0.0001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tree256_blurkernel8_7_0.00001_0.001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tree256_blurkernel8_7_0.00001_0.01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tree256_blurkernel8_7_0.00001_0.1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tree256_blurkernel8_15_0.00001_0.0001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tree256_blurkernel8_15_0.00001_0.001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tree256_blurkernel8_15_0.00001_0.01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tree256_blurkernel8_15_0.00001_0.1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tree256_blurkernel8_31_0.00001_0.0001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tree256_blurkernel8_31_0.00001_0.001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tree256_blurkernel8_31_0.00001_0.01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tree256_blurkernel8_31_0.00001_0.1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tree256_blurkernel8_63_0.00001_0.0001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tree256_blurkernel8_63_0.00001_0.001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tree256_blurkernel8_63_0.00001_0.01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tree256_blurkernel8_63_0.00001_0.1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tree256_line_3_0.00001_0.0001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tree256_line_3_0.00001_0.001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tree256_line_3_0.00001_0.01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tree256_line_3_0.00001_0.1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tree256_line_7_0.00001_0.0001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tree256_line_7_0.00001_0.001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tree256_line_7_0.00001_0.01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tree256_line_7_0.00001_0.1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tree256_line_15_0.00001_0.0001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tree256_line_15_0.00001_0.001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tree256_line_15_0.00001_0.01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tree256_line_15_0.00001_0.1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tree256_line_31_0.00001_0.0001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tree256_line_31_0.00001_0.001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tree256_line_31_0.00001_0.01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tree256_line_31_0.00001_0.1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tree256_line_63_0.00001_0.0001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tree256_line_63_0.00001_0.001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tree256_line_63_0.00001_0.01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tree256_line_63_0.00001_0.1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tree256_blurkernel10_3_0.00001_0.0001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tree256_blurkernel10_3_0.00001_0.001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tree256_blurkernel10_3_0.00001_0.01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tree256_blurkernel10_3_0.00001_0.1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tree256_blurkernel10_7_0.00001_0.0001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tree256_blurkernel10_7_0.00001_0.001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tree256_blurkernel10_7_0.00001_0.01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tree256_blurkernel10_7_0.00001_0.1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tree256_blurkernel10_15_0.00001_0.0001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tree256_blurkernel10_15_0.00001_0.001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tree256_blurkernel10_15_0.00001_0.01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tree256_blurkernel10_15_0.00001_0.1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tree256_blurkernel10_31_0.00001_0.0001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tree256_blurkernel10_31_0.00001_0.001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tree256_blurkernel10_31_0.00001_0.01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tree256_blurkernel10_31_0.00001_0.1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tree256_blurkernel10_63_0.00001_0.0001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tree256_blurkernel10_63_0.00001_0.001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tree256_blurkernel10_63_0.00001_0.01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tree256_blurkernel10_63_0.00001_0.1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text256_blurkernel7_3_0.00001_0.0001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text256_blurkernel7_3_0.00001_0.001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text256_blurkernel7_3_0.00001_0.01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text256_blurkernel7_3_0.00001_0.1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text256_blurkernel7_7_0.00001_0.0001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text256_blurkernel7_7_0.00001_0.001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text256_blurkernel7_7_0.00001_0.01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text256_blurkernel7_7_0.00001_0.1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text256_blurkernel7_15_0.00001_0.0001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text256_blurkernel7_15_0.00001_0.001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text256_blurkernel7_15_0.00001_0.01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text256_blurkernel7_15_0.00001_0.1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text256_blurkernel7_31_0.00001_0.0001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text256_blurkernel7_31_0.00001_0.001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text256_blurkernel7_31_0.00001_0.01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text256_blurkernel7_31_0.00001_0.1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text256_blurkernel7_63_0.00001_0.0001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text256_blurkernel7_63_0.00001_0.001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text256_blurkernel7_63_0.00001_0.01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text256_blurkernel7_63_0.00001_0.1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text256_blurkernel8_3_0.00001_0.0001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text256_blurkernel8_3_0.00001_0.001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text256_blurkernel8_3_0.00001_0.01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text256_blurkernel8_3_0.00001_0.1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text256_blurkernel8_7_0.00001_0.0001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text256_blurkernel8_7_0.00001_0.001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text256_blurkernel8_7_0.00001_0.01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text256_blurkernel8_7_0.00001_0.1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text256_blurkernel8_15_0.00001_0.0001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text256_blurkernel8_15_0.00001_0.001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text256_blurkernel8_15_0.00001_0.01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text256_blurkernel8_15_0.00001_0.1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text256_blurkernel8_31_0.00001_0.0001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text256_blurkernel8_31_0.00001_0.001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text256_blurkernel8_31_0.00001_0.01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text256_blurkernel8_31_0.00001_0.1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text256_blurkernel8_63_0.00001_0.0001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text256_blurkernel8_63_0.00001_0.001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text256_blurkernel8_63_0.00001_0.01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text256_blurkernel8_63_0.00001_0.1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text256_line_3_0.00001_0.0001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text256_line_3_0.00001_0.001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text256_line_3_0.00001_0.01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text256_line_3_0.00001_0.1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text256_line_7_0.00001_0.0001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text256_line_7_0.00001_0.001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text256_line_7_0.00001_0.01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text256_line_7_0.00001_0.1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text256_line_15_0.00001_0.0001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text256_line_15_0.00001_0.001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text256_line_15_0.00001_0.01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text256_line_15_0.00001_0.1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text256_line_31_0.00001_0.0001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text256_line_31_0.00001_0.001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text256_line_31_0.00001_0.01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text256_line_31_0.00001_0.1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text256_line_63_0.00001_0.0001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text256_line_63_0.00001_0.001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text256_line_63_0.00001_0.01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text256_line_63_0.00001_0.1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text256_blurkernel10_3_0.00001_0.0001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text256_blurkernel10_3_0.00001_0.001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text256_blurkernel10_3_0.00001_0.01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text256_blurkernel10_3_0.00001_0.1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text256_blurkernel10_7_0.00001_0.0001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text256_blurkernel10_7_0.00001_0.001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text256_blurkernel10_7_0.00001_0.01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text256_blurkernel10_7_0.00001_0.1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text256_blurkernel10_15_0.00001_0.0001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text256_blurkernel10_15_0.00001_0.001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text256_blurkernel10_15_0.00001_0.01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text256_blurkernel10_15_0.00001_0.1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text256_blurkernel10_31_0.00001_0.0001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text256_blurkernel10_31_0.00001_0.001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text256_blurkernel10_31_0.00001_0.01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text256_blurkernel10_31_0.00001_0.1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text256_blurkernel10_63_0.00001_0.0001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text256_blurkernel10_63_0.00001_0.001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text256_blurkernel10_63_0.00001_0.01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text256_blurkernel10_63_0.00001_0.1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castle256_blurkernel7_3_0.00001_0.0001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castle256_blurkernel7_3_0.00001_0.001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castle256_blurkernel7_3_0.00001_0.01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castle256_blurkernel7_3_0.00001_0.1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castle256_blurkernel7_7_0.00001_0.0001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castle256_blurkernel7_7_0.00001_0.001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castle256_blurkernel7_7_0.00001_0.01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castle256_blurkernel7_7_0.00001_0.1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castle256_blurkernel7_15_0.00001_0.0001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castle256_blurkernel7_15_0.00001_0.001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castle256_blurkernel7_15_0.00001_0.01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castle256_blurkernel7_15_0.00001_0.1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castle256_blurkernel7_31_0.00001_0.0001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castle256_blurkernel7_31_0.00001_0.001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castle256_blurkernel7_31_0.00001_0.01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castle256_blurkernel7_31_0.00001_0.1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castle256_blurkernel7_63_0.00001_0.0001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castle256_blurkernel7_63_0.00001_0.001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castle256_blurkernel7_63_0.00001_0.01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castle256_blurkernel7_63_0.00001_0.1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castle256_blurkernel8_3_0.00001_0.0001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castle256_blurkernel8_3_0.00001_0.001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castle256_blurkernel8_3_0.00001_0.01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castle256_blurkernel8_3_0.00001_0.1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castle256_blurkernel8_7_0.00001_0.0001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castle256_blurkernel8_7_0.00001_0.001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castle256_blurkernel8_7_0.00001_0.01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castle256_blurkernel8_7_0.00001_0.1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castle256_blurkernel8_15_0.00001_0.0001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castle256_blurkernel8_15_0.00001_0.001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castle256_blurkernel8_15_0.00001_0.01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castle256_blurkernel8_15_0.00001_0.1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castle256_blurkernel8_31_0.00001_0.0001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castle256_blurkernel8_31_0.00001_0.001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castle256_blurkernel8_31_0.00001_0.01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castle256_blurkernel8_31_0.00001_0.1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castle256_blurkernel8_63_0.00001_0.0001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castle256_blurkernel8_63_0.00001_0.001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castle256_blurkernel8_63_0.00001_0.01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castle256_blurkernel8_63_0.00001_0.1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castle256_line_3_0.00001_0.0001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castle256_line_3_0.00001_0.001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castle256_line_3_0.00001_0.01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castle256_line_3_0.00001_0.1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castle256_line_7_0.00001_0.0001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castle256_line_7_0.00001_0.001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castle256_line_7_0.00001_0.01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castle256_line_7_0.00001_0.1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castle256_line_15_0.00001_0.0001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castle256_line_15_0.00001_0.001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castle256_line_15_0.00001_0.01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castle256_line_15_0.00001_0.1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castle256_line_31_0.00001_0.0001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castle256_line_31_0.00001_0.001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castle256_line_31_0.00001_0.01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castle256_line_31_0.00001_0.1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castle256_line_63_0.00001_0.0001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castle256_line_63_0.00001_0.001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castle256_line_63_0.00001_0.01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castle256_line_63_0.00001_0.1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castle256_blurkernel10_3_0.00001_0.0001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castle256_blurkernel10_3_0.00001_0.001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castle256_blurkernel10_3_0.00001_0.01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castle256_blurkernel10_3_0.00001_0.1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castle256_blurkernel10_7_0.00001_0.0001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castle256_blurkernel10_7_0.00001_0.001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castle256_blurkernel10_7_0.00001_0.01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castle256_blurkernel10_7_0.00001_0.1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castle256_blurkernel10_15_0.00001_0.0001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castle256_blurkernel10_15_0.00001_0.001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castle256_blurkernel10_15_0.00001_0.01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castle256_blurkernel10_15_0.00001_0.1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castle256_blurkernel10_31_0.00001_0.0001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castle256_blurkernel10_31_0.00001_0.001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castle256_blurkernel10_31_0.00001_0.01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castle256_blurkernel10_31_0.00001_0.1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castle256_blurkernel10_63_0.00001_0.0001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castle256_blurkernel10_63_0.00001_0.001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castle256_blurkernel10_63_0.00001_0.01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castle256_blurkernel10_63_0.00001_0.1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257"/>
  <sheetViews>
    <sheetView workbookViewId="0">
      <pane ySplit="1" topLeftCell="A230" activePane="bottomLeft" state="frozen"/>
      <selection pane="bottomLeft" activeCell="A257" sqref="A257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lena256_blurkernel7_3_0.00001_0.0001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lena256_blurkernel7_3_0.00001_0.001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lena256_blurkernel7_3_0.00001_0.01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lena256_blurkernel7_3_0.00001_0.1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lena256_blurkernel7_7_0.00001_0.0001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lena256_blurkernel7_7_0.00001_0.001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lena256_blurkernel7_7_0.00001_0.01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lena256_blurkernel7_7_0.00001_0.1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lena256_blurkernel8_3_0.00001_0.0001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lena256_blurkernel8_3_0.00001_0.001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lena256_blurkernel8_3_0.00001_0.01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lena256_blurkernel8_3_0.00001_0.1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lena256_blurkernel8_7_0.00001_0.0001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lena256_blurkernel8_7_0.00001_0.001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lena256_blurkernel8_7_0.00001_0.01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lena256_blurkernel8_7_0.00001_0.1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lena256_line_3_0.00001_0.0001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lena256_line_3_0.00001_0.001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lena256_line_3_0.00001_0.01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lena256_line_3_0.00001_0.1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lena256_line_7_0.00001_0.0001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lena256_line_7_0.00001_0.001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lena256_line_7_0.00001_0.01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lena256_line_7_0.00001_0.1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lena256_blurkernel10_3_0.00001_0.0001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lena256_blurkernel10_3_0.00001_0.001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lena256_blurkernel10_3_0.00001_0.01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lena256_blurkernel10_3_0.00001_0.1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lena256_blurkernel10_7_0.00001_0.0001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lena256_blurkernel10_7_0.00001_0.001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lena256_blurkernel10_7_0.00001_0.01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lena256_blurkernel10_7_0.00001_0.1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tree256_blurkernel7_3_0.00001_0.0001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tree256_blurkernel7_3_0.00001_0.001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tree256_blurkernel7_3_0.00001_0.01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tree256_blurkernel7_3_0.00001_0.1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tree256_blurkernel7_7_0.00001_0.0001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tree256_blurkernel7_7_0.00001_0.001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tree256_blurkernel7_7_0.00001_0.01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tree256_blurkernel7_7_0.00001_0.1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tree256_blurkernel8_3_0.00001_0.0001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tree256_blurkernel8_3_0.00001_0.001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tree256_blurkernel8_3_0.00001_0.01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tree256_blurkernel8_3_0.00001_0.1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tree256_blurkernel8_7_0.00001_0.0001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tree256_blurkernel8_7_0.00001_0.001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tree256_blurkernel8_7_0.00001_0.01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tree256_blurkernel8_7_0.00001_0.1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tree256_line_3_0.00001_0.0001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tree256_line_3_0.00001_0.001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tree256_line_3_0.00001_0.01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tree256_line_3_0.00001_0.1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tree256_line_7_0.00001_0.0001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tree256_line_7_0.00001_0.001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tree256_line_7_0.00001_0.01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tree256_line_7_0.00001_0.1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tree256_blurkernel10_3_0.00001_0.0001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tree256_blurkernel10_3_0.00001_0.001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tree256_blurkernel10_3_0.00001_0.01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tree256_blurkernel10_3_0.00001_0.1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tree256_blurkernel10_7_0.00001_0.0001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tree256_blurkernel10_7_0.00001_0.001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tree256_blurkernel10_7_0.00001_0.01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tree256_blurkernel10_7_0.00001_0.1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text256_blurkernel7_3_0.00001_0.0001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text256_blurkernel7_3_0.00001_0.001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text256_blurkernel7_3_0.00001_0.01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text256_blurkernel7_3_0.00001_0.1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text256_blurkernel7_7_0.00001_0.0001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text256_blurkernel7_7_0.00001_0.001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text256_blurkernel7_7_0.00001_0.01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text256_blurkernel7_7_0.00001_0.1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text256_blurkernel8_3_0.00001_0.0001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text256_blurkernel8_3_0.00001_0.001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text256_blurkernel8_3_0.00001_0.01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text256_blurkernel8_3_0.00001_0.1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text256_blurkernel8_7_0.00001_0.0001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text256_blurkernel8_7_0.00001_0.001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text256_blurkernel8_7_0.00001_0.01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text256_blurkernel8_7_0.00001_0.1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text256_line_3_0.00001_0.0001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text256_line_3_0.00001_0.001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text256_line_3_0.00001_0.01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text256_line_3_0.00001_0.1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text256_line_7_0.00001_0.0001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text256_line_7_0.00001_0.001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text256_line_7_0.00001_0.01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text256_line_7_0.00001_0.1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text256_blurkernel10_3_0.00001_0.0001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text256_blurkernel10_3_0.00001_0.001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text256_blurkernel10_3_0.00001_0.01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text256_blurkernel10_3_0.00001_0.1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text256_blurkernel10_7_0.00001_0.0001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text256_blurkernel10_7_0.00001_0.001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text256_blurkernel10_7_0.00001_0.01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text256_blurkernel10_7_0.00001_0.1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castle256_blurkernel7_3_0.00001_0.0001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castle256_blurkernel7_3_0.00001_0.001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castle256_blurkernel7_3_0.00001_0.01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castle256_blurkernel7_3_0.00001_0.1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castle256_blurkernel7_7_0.00001_0.0001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castle256_blurkernel7_7_0.00001_0.001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castle256_blurkernel7_7_0.00001_0.01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castle256_blurkernel7_7_0.00001_0.1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castle256_blurkernel8_3_0.00001_0.0001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castle256_blurkernel8_3_0.00001_0.001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castle256_blurkernel8_3_0.00001_0.01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castle256_blurkernel8_3_0.00001_0.1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castle256_blurkernel8_7_0.00001_0.0001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castle256_blurkernel8_7_0.00001_0.001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castle256_blurkernel8_7_0.00001_0.01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castle256_blurkernel8_7_0.00001_0.1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castle256_line_3_0.00001_0.0001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castle256_line_3_0.00001_0.001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castle256_line_3_0.00001_0.01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castle256_line_3_0.00001_0.1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castle256_line_7_0.00001_0.0001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castle256_line_7_0.00001_0.001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castle256_line_7_0.00001_0.01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castle256_line_7_0.00001_0.1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castle256_blurkernel10_3_0.00001_0.0001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castle256_blurkernel10_3_0.00001_0.001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castle256_blurkernel10_3_0.00001_0.01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castle256_blurkernel10_3_0.00001_0.1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castle256_blurkernel10_7_0.00001_0.0001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castle256_blurkernel10_7_0.00001_0.001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castle256_blurkernel10_7_0.00001_0.01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castle256_blurkernel10_7_0.00001_0.1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lena256_blurkernel7_15_0.00001_0.0001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lena256_blurkernel7_15_0.00001_0.001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lena256_blurkernel7_15_0.00001_0.01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lena256_blurkernel7_15_0.00001_0.1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lena256_blurkernel8_15_0.00001_0.0001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lena256_blurkernel8_15_0.00001_0.001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lena256_blurkernel8_15_0.00001_0.01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lena256_blurkernel8_15_0.00001_0.1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lena256_line_15_0.00001_0.0001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lena256_line_15_0.00001_0.001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lena256_line_15_0.00001_0.01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lena256_line_15_0.00001_0.1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lena256_blurkernel10_15_0.00001_0.0001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lena256_blurkernel10_15_0.00001_0.001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lena256_blurkernel10_15_0.00001_0.01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lena256_blurkernel10_15_0.00001_0.1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tree256_blurkernel7_15_0.00001_0.0001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tree256_blurkernel7_15_0.00001_0.001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tree256_blurkernel7_15_0.00001_0.01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tree256_blurkernel7_15_0.00001_0.1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tree256_blurkernel8_15_0.00001_0.0001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tree256_blurkernel8_15_0.00001_0.001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tree256_blurkernel8_15_0.00001_0.01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tree256_blurkernel8_15_0.00001_0.1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tree256_line_15_0.00001_0.0001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tree256_line_15_0.00001_0.001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tree256_line_15_0.00001_0.01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tree256_line_15_0.00001_0.1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tree256_blurkernel10_15_0.00001_0.0001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tree256_blurkernel10_15_0.00001_0.001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tree256_blurkernel10_15_0.00001_0.01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tree256_blurkernel10_15_0.00001_0.1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text256_blurkernel7_15_0.00001_0.0001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text256_blurkernel7_15_0.00001_0.001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text256_blurkernel7_15_0.00001_0.01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text256_blurkernel7_15_0.00001_0.1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text256_blurkernel8_15_0.00001_0.0001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text256_blurkernel8_15_0.00001_0.001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text256_blurkernel8_15_0.00001_0.01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text256_blurkernel8_15_0.00001_0.1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text256_line_15_0.00001_0.0001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text256_line_15_0.00001_0.001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text256_line_15_0.00001_0.01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text256_line_15_0.00001_0.1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text256_blurkernel10_15_0.00001_0.0001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text256_blurkernel10_15_0.00001_0.001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text256_blurkernel10_15_0.00001_0.01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text256_blurkernel10_15_0.00001_0.1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castle256_blurkernel7_15_0.00001_0.0001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castle256_blurkernel7_15_0.00001_0.001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castle256_blurkernel7_15_0.00001_0.01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castle256_blurkernel7_15_0.00001_0.1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castle256_blurkernel8_15_0.00001_0.0001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castle256_blurkernel8_15_0.00001_0.001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castle256_blurkernel8_15_0.00001_0.01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castle256_blurkernel8_15_0.00001_0.1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castle256_line_15_0.00001_0.0001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castle256_line_15_0.00001_0.001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castle256_line_15_0.00001_0.01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castle256_line_15_0.00001_0.1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castle256_blurkernel10_15_0.00001_0.0001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castle256_blurkernel10_15_0.00001_0.001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castle256_blurkernel10_15_0.00001_0.01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castle256_blurkernel10_15_0.00001_0.1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lena256_blurkernel7_31_0.00001_0.0001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lena256_blurkernel7_31_0.00001_0.001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lena256_blurkernel7_31_0.00001_0.01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lena256_blurkernel7_31_0.00001_0.1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lena256_blurkernel8_31_0.00001_0.0001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lena256_blurkernel8_31_0.00001_0.001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lena256_blurkernel8_31_0.00001_0.01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lena256_blurkernel8_31_0.00001_0.1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lena256_line_31_0.00001_0.0001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lena256_line_31_0.00001_0.001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lena256_line_31_0.00001_0.01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lena256_line_31_0.00001_0.1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lena256_blurkernel10_31_0.00001_0.0001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lena256_blurkernel10_31_0.00001_0.001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lena256_blurkernel10_31_0.00001_0.01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lena256_blurkernel10_31_0.00001_0.1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tree256_blurkernel7_31_0.00001_0.0001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tree256_blurkernel7_31_0.00001_0.001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tree256_blurkernel7_31_0.00001_0.01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tree256_blurkernel7_31_0.00001_0.1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tree256_blurkernel8_31_0.00001_0.0001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tree256_blurkernel8_31_0.00001_0.001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tree256_blurkernel8_31_0.00001_0.01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tree256_blurkernel8_31_0.00001_0.1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tree256_line_31_0.00001_0.0001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tree256_line_31_0.00001_0.001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tree256_line_31_0.00001_0.01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tree256_line_31_0.00001_0.1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tree256_blurkernel10_31_0.00001_0.0001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tree256_blurkernel10_31_0.00001_0.001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tree256_blurkernel10_31_0.00001_0.01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tree256_blurkernel10_31_0.00001_0.1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text256_blurkernel7_31_0.00001_0.0001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text256_blurkernel7_31_0.00001_0.001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text256_blurkernel7_31_0.00001_0.01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text256_blurkernel7_31_0.00001_0.1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text256_blurkernel8_31_0.00001_0.0001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text256_blurkernel8_31_0.00001_0.001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text256_blurkernel8_31_0.00001_0.01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text256_blurkernel8_31_0.00001_0.1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text256_line_31_0.00001_0.0001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text256_line_31_0.00001_0.001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text256_line_31_0.00001_0.01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text256_line_31_0.00001_0.1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text256_blurkernel10_31_0.00001_0.0001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text256_blurkernel10_31_0.00001_0.001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text256_blurkernel10_31_0.00001_0.01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text256_blurkernel10_31_0.00001_0.1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castle256_blurkernel7_31_0.00001_0.0001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castle256_blurkernel7_31_0.00001_0.001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castle256_blurkernel7_31_0.00001_0.01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castle256_blurkernel7_31_0.00001_0.1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castle256_blurkernel8_31_0.00001_0.0001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castle256_blurkernel8_31_0.00001_0.001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castle256_blurkernel8_31_0.00001_0.01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castle256_blurkernel8_31_0.00001_0.1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castle256_line_31_0.00001_0.0001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castle256_line_31_0.00001_0.001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castle256_line_31_0.00001_0.01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castle256_line_31_0.00001_0.1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castle256_blurkernel10_31_0.00001_0.0001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castle256_blurkernel10_31_0.00001_0.001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castle256_blurkernel10_31_0.00001_0.01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castle256_blurkernel10_31_0.00001_0.1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lena256_blurkernel7_3_0.00001_0.0001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lena256_blurkernel7_3_0.00001_0.001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lena256_blurkernel7_3_0.00001_0.01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lena256_blurkernel7_3_0.00001_0.1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lena256_blurkernel7_7_0.00001_0.0001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lena256_blurkernel7_7_0.00001_0.001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lena256_blurkernel7_7_0.00001_0.01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lena256_blurkernel7_7_0.00001_0.1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lena256_blurkernel7_15_0.00001_0.0001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lena256_blurkernel7_15_0.00001_0.001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lena256_blurkernel7_15_0.00001_0.01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lena256_blurkernel7_15_0.00001_0.1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lena256_blurkernel7_31_0.00001_0.0001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lena256_blurkernel7_31_0.00001_0.001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lena256_blurkernel7_31_0.00001_0.01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lena256_blurkernel7_31_0.00001_0.1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lena256_blurkernel7_63_0.00001_0.0001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lena256_blurkernel7_63_0.00001_0.001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lena256_blurkernel7_63_0.00001_0.01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lena256_blurkernel7_63_0.00001_0.1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lena256_blurkernel8_3_0.00001_0.0001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lena256_blurkernel8_3_0.00001_0.001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lena256_blurkernel8_3_0.00001_0.01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lena256_blurkernel8_3_0.00001_0.1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lena256_blurkernel8_7_0.00001_0.0001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lena256_blurkernel8_7_0.00001_0.001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lena256_blurkernel8_7_0.00001_0.01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lena256_blurkernel8_7_0.00001_0.1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lena256_blurkernel8_15_0.00001_0.0001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lena256_blurkernel8_15_0.00001_0.001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lena256_blurkernel8_15_0.00001_0.01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lena256_blurkernel8_15_0.00001_0.1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lena256_blurkernel8_31_0.00001_0.0001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lena256_blurkernel8_31_0.00001_0.001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lena256_blurkernel8_31_0.00001_0.01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lena256_blurkernel8_31_0.00001_0.1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lena256_blurkernel8_63_0.00001_0.0001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lena256_blurkernel8_63_0.00001_0.001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lena256_blurkernel8_63_0.00001_0.01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lena256_blurkernel8_63_0.00001_0.1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lena256_line_3_0.00001_0.0001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lena256_line_3_0.00001_0.001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lena256_line_3_0.00001_0.01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lena256_line_3_0.00001_0.1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lena256_line_7_0.00001_0.0001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lena256_line_7_0.00001_0.001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lena256_line_7_0.00001_0.01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lena256_line_7_0.00001_0.1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lena256_line_15_0.00001_0.0001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lena256_line_15_0.00001_0.001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lena256_line_15_0.00001_0.01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lena256_line_15_0.00001_0.1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lena256_line_31_0.00001_0.0001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lena256_line_31_0.00001_0.001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lena256_line_31_0.00001_0.01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lena256_line_31_0.00001_0.1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lena256_line_63_0.00001_0.0001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lena256_line_63_0.00001_0.001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lena256_line_63_0.00001_0.01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lena256_line_63_0.00001_0.1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lena256_blurkernel10_3_0.00001_0.0001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lena256_blurkernel10_3_0.00001_0.001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lena256_blurkernel10_3_0.00001_0.01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lena256_blurkernel10_3_0.00001_0.1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lena256_blurkernel10_7_0.00001_0.0001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lena256_blurkernel10_7_0.00001_0.001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lena256_blurkernel10_7_0.00001_0.01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lena256_blurkernel10_7_0.00001_0.1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lena256_blurkernel10_15_0.00001_0.0001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lena256_blurkernel10_15_0.00001_0.001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lena256_blurkernel10_15_0.00001_0.01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lena256_blurkernel10_15_0.00001_0.1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lena256_blurkernel10_31_0.00001_0.0001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lena256_blurkernel10_31_0.00001_0.001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lena256_blurkernel10_31_0.00001_0.01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lena256_blurkernel10_31_0.00001_0.1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lena256_blurkernel10_63_0.00001_0.0001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lena256_blurkernel10_63_0.00001_0.001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lena256_blurkernel10_63_0.00001_0.01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lena256_blurkernel10_63_0.00001_0.1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tree256_blurkernel7_3_0.00001_0.0001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tree256_blurkernel7_3_0.00001_0.001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tree256_blurkernel7_3_0.00001_0.01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tree256_blurkernel7_3_0.00001_0.1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tree256_blurkernel7_7_0.00001_0.0001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tree256_blurkernel7_7_0.00001_0.001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tree256_blurkernel7_7_0.00001_0.01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tree256_blurkernel7_7_0.00001_0.1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tree256_blurkernel7_15_0.00001_0.0001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tree256_blurkernel7_15_0.00001_0.001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tree256_blurkernel7_15_0.00001_0.01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tree256_blurkernel7_15_0.00001_0.1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tree256_blurkernel7_31_0.00001_0.0001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tree256_blurkernel7_31_0.00001_0.001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tree256_blurkernel7_31_0.00001_0.01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tree256_blurkernel7_31_0.00001_0.1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tree256_blurkernel7_63_0.00001_0.0001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tree256_blurkernel7_63_0.00001_0.001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tree256_blurkernel7_63_0.00001_0.01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tree256_blurkernel7_63_0.00001_0.1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tree256_blurkernel8_3_0.00001_0.0001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tree256_blurkernel8_3_0.00001_0.001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tree256_blurkernel8_3_0.00001_0.01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tree256_blurkernel8_3_0.00001_0.1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tree256_blurkernel8_7_0.00001_0.0001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tree256_blurkernel8_7_0.00001_0.001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tree256_blurkernel8_7_0.00001_0.01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tree256_blurkernel8_7_0.00001_0.1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tree256_blurkernel8_15_0.00001_0.0001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tree256_blurkernel8_15_0.00001_0.001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tree256_blurkernel8_15_0.00001_0.01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tree256_blurkernel8_15_0.00001_0.1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tree256_blurkernel8_31_0.00001_0.0001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tree256_blurkernel8_31_0.00001_0.001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tree256_blurkernel8_31_0.00001_0.01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tree256_blurkernel8_31_0.00001_0.1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tree256_blurkernel8_63_0.00001_0.0001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tree256_blurkernel8_63_0.00001_0.001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tree256_blurkernel8_63_0.00001_0.01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tree256_blurkernel8_63_0.00001_0.1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tree256_line_3_0.00001_0.0001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tree256_line_3_0.00001_0.001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tree256_line_3_0.00001_0.01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tree256_line_3_0.00001_0.1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tree256_line_7_0.00001_0.0001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tree256_line_7_0.00001_0.001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tree256_line_7_0.00001_0.01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tree256_line_7_0.00001_0.1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tree256_line_15_0.00001_0.0001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tree256_line_15_0.00001_0.001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tree256_line_15_0.00001_0.01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tree256_line_15_0.00001_0.1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tree256_line_31_0.00001_0.0001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tree256_line_31_0.00001_0.001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tree256_line_31_0.00001_0.01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tree256_line_31_0.00001_0.1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tree256_line_63_0.00001_0.0001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tree256_line_63_0.00001_0.001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tree256_line_63_0.00001_0.01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tree256_line_63_0.00001_0.1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tree256_blurkernel10_3_0.00001_0.0001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tree256_blurkernel10_3_0.00001_0.001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tree256_blurkernel10_3_0.00001_0.01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tree256_blurkernel10_3_0.00001_0.1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tree256_blurkernel10_7_0.00001_0.0001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tree256_blurkernel10_7_0.00001_0.001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tree256_blurkernel10_7_0.00001_0.01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tree256_blurkernel10_7_0.00001_0.1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tree256_blurkernel10_15_0.00001_0.0001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tree256_blurkernel10_15_0.00001_0.001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tree256_blurkernel10_15_0.00001_0.01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tree256_blurkernel10_15_0.00001_0.1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tree256_blurkernel10_31_0.00001_0.0001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tree256_blurkernel10_31_0.00001_0.001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tree256_blurkernel10_31_0.00001_0.01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tree256_blurkernel10_31_0.00001_0.1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tree256_blurkernel10_63_0.00001_0.0001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tree256_blurkernel10_63_0.00001_0.001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tree256_blurkernel10_63_0.00001_0.01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tree256_blurkernel10_63_0.00001_0.1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text256_blurkernel7_3_0.00001_0.0001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text256_blurkernel7_3_0.00001_0.001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text256_blurkernel7_3_0.00001_0.01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text256_blurkernel7_3_0.00001_0.1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text256_blurkernel7_7_0.00001_0.0001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text256_blurkernel7_7_0.00001_0.001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text256_blurkernel7_7_0.00001_0.01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text256_blurkernel7_7_0.00001_0.1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text256_blurkernel7_15_0.00001_0.0001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text256_blurkernel7_15_0.00001_0.001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text256_blurkernel7_15_0.00001_0.01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text256_blurkernel7_15_0.00001_0.1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text256_blurkernel7_31_0.00001_0.0001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text256_blurkernel7_31_0.00001_0.001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text256_blurkernel7_31_0.00001_0.01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text256_blurkernel7_31_0.00001_0.1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text256_blurkernel7_63_0.00001_0.0001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text256_blurkernel7_63_0.00001_0.001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text256_blurkernel7_63_0.00001_0.01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text256_blurkernel7_63_0.00001_0.1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text256_blurkernel8_3_0.00001_0.0001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text256_blurkernel8_3_0.00001_0.001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text256_blurkernel8_3_0.00001_0.01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text256_blurkernel8_3_0.00001_0.1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text256_blurkernel8_7_0.00001_0.0001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text256_blurkernel8_7_0.00001_0.001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text256_blurkernel8_7_0.00001_0.01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text256_blurkernel8_7_0.00001_0.1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text256_blurkernel8_15_0.00001_0.0001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text256_blurkernel8_15_0.00001_0.001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text256_blurkernel8_15_0.00001_0.01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text256_blurkernel8_15_0.00001_0.1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text256_blurkernel8_31_0.00001_0.0001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text256_blurkernel8_31_0.00001_0.001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text256_blurkernel8_31_0.00001_0.01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text256_blurkernel8_31_0.00001_0.1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text256_blurkernel8_63_0.00001_0.0001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text256_blurkernel8_63_0.00001_0.001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text256_blurkernel8_63_0.00001_0.01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text256_blurkernel8_63_0.00001_0.1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text256_line_3_0.00001_0.0001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text256_line_3_0.00001_0.001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text256_line_3_0.00001_0.01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text256_line_3_0.00001_0.1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text256_line_7_0.00001_0.0001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text256_line_7_0.00001_0.001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text256_line_7_0.00001_0.01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text256_line_7_0.00001_0.1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text256_line_15_0.00001_0.0001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text256_line_15_0.00001_0.001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text256_line_15_0.00001_0.01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text256_line_15_0.00001_0.1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text256_line_31_0.00001_0.0001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text256_line_31_0.00001_0.001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text256_line_31_0.00001_0.01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text256_line_31_0.00001_0.1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text256_line_63_0.00001_0.0001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text256_line_63_0.00001_0.001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text256_line_63_0.00001_0.01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text256_line_63_0.00001_0.1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text256_blurkernel10_3_0.00001_0.0001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text256_blurkernel10_3_0.00001_0.001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text256_blurkernel10_3_0.00001_0.01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text256_blurkernel10_3_0.00001_0.1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text256_blurkernel10_7_0.00001_0.0001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text256_blurkernel10_7_0.00001_0.001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text256_blurkernel10_7_0.00001_0.01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text256_blurkernel10_7_0.00001_0.1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text256_blurkernel10_15_0.00001_0.0001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text256_blurkernel10_15_0.00001_0.001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text256_blurkernel10_15_0.00001_0.01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text256_blurkernel10_15_0.00001_0.1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text256_blurkernel10_31_0.00001_0.0001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text256_blurkernel10_31_0.00001_0.001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text256_blurkernel10_31_0.00001_0.01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text256_blurkernel10_31_0.00001_0.1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text256_blurkernel10_63_0.00001_0.0001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text256_blurkernel10_63_0.00001_0.001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text256_blurkernel10_63_0.00001_0.01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text256_blurkernel10_63_0.00001_0.1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castle256_blurkernel7_3_0.00001_0.0001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castle256_blurkernel7_3_0.00001_0.001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castle256_blurkernel7_3_0.00001_0.01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castle256_blurkernel7_3_0.00001_0.1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castle256_blurkernel7_7_0.00001_0.0001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castle256_blurkernel7_7_0.00001_0.001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castle256_blurkernel7_7_0.00001_0.01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castle256_blurkernel7_7_0.00001_0.1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castle256_blurkernel7_15_0.00001_0.0001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castle256_blurkernel7_15_0.00001_0.001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castle256_blurkernel7_15_0.00001_0.01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castle256_blurkernel7_15_0.00001_0.1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castle256_blurkernel7_31_0.00001_0.0001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castle256_blurkernel7_31_0.00001_0.001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castle256_blurkernel7_31_0.00001_0.01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castle256_blurkernel7_31_0.00001_0.1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castle256_blurkernel7_63_0.00001_0.0001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castle256_blurkernel7_63_0.00001_0.001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castle256_blurkernel7_63_0.00001_0.01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castle256_blurkernel7_63_0.00001_0.1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castle256_blurkernel8_3_0.00001_0.0001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castle256_blurkernel8_3_0.00001_0.001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castle256_blurkernel8_3_0.00001_0.01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castle256_blurkernel8_3_0.00001_0.1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castle256_blurkernel8_7_0.00001_0.0001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castle256_blurkernel8_7_0.00001_0.001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castle256_blurkernel8_7_0.00001_0.01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castle256_blurkernel8_7_0.00001_0.1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castle256_blurkernel8_15_0.00001_0.0001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castle256_blurkernel8_15_0.00001_0.001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castle256_blurkernel8_15_0.00001_0.01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castle256_blurkernel8_15_0.00001_0.1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castle256_blurkernel8_31_0.00001_0.0001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castle256_blurkernel8_31_0.00001_0.001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castle256_blurkernel8_31_0.00001_0.01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castle256_blurkernel8_31_0.00001_0.1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castle256_blurkernel8_63_0.00001_0.0001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castle256_blurkernel8_63_0.00001_0.001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castle256_blurkernel8_63_0.00001_0.01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castle256_blurkernel8_63_0.00001_0.1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castle256_line_3_0.00001_0.0001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castle256_line_3_0.00001_0.001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castle256_line_3_0.00001_0.01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castle256_line_3_0.00001_0.1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castle256_line_7_0.00001_0.0001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castle256_line_7_0.00001_0.001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castle256_line_7_0.00001_0.01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castle256_line_7_0.00001_0.1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castle256_line_15_0.00001_0.0001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castle256_line_15_0.00001_0.001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castle256_line_15_0.00001_0.01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castle256_line_15_0.00001_0.1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castle256_line_31_0.00001_0.0001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castle256_line_31_0.00001_0.001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castle256_line_31_0.00001_0.01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castle256_line_31_0.00001_0.1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castle256_line_63_0.00001_0.0001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castle256_line_63_0.00001_0.001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castle256_line_63_0.00001_0.01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castle256_line_63_0.00001_0.1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castle256_blurkernel10_3_0.00001_0.0001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castle256_blurkernel10_3_0.00001_0.001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castle256_blurkernel10_3_0.00001_0.01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castle256_blurkernel10_3_0.00001_0.1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castle256_blurkernel10_7_0.00001_0.0001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castle256_blurkernel10_7_0.00001_0.001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castle256_blurkernel10_7_0.00001_0.01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castle256_blurkernel10_7_0.00001_0.1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castle256_blurkernel10_15_0.00001_0.0001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castle256_blurkernel10_15_0.00001_0.001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castle256_blurkernel10_15_0.00001_0.01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castle256_blurkernel10_15_0.00001_0.1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castle256_blurkernel10_31_0.00001_0.0001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castle256_blurkernel10_31_0.00001_0.001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castle256_blurkernel10_31_0.00001_0.01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castle256_blurkernel10_31_0.00001_0.1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castle256_blurkernel10_63_0.00001_0.0001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castle256_blurkernel10_63_0.00001_0.001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castle256_blurkernel10_63_0.00001_0.01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castle256_blurkernel10_63_0.00001_0.1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lena256_blurkernel7_3_0.00001_0.00001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lena256_blurkernel7_7_0.00001_0.00001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lena256_blurkernel7_15_0.00001_0.00001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lena256_blurkernel7_31_0.00001_0.00001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lena256_blurkernel8_3_0.00001_0.00001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lena256_blurkernel8_7_0.00001_0.00001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lena256_blurkernel8_15_0.00001_0.00001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lena256_blurkernel8_31_0.00001_0.00001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lena256_line_3_0.00001_0.00001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lena256_line_7_0.00001_0.00001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lena256_line_15_0.00001_0.00001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lena256_line_31_0.00001_0.00001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lena256_blurkernel10_3_0.00001_0.00001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lena256_blurkernel10_7_0.00001_0.00001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lena256_blurkernel10_15_0.00001_0.00001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lena256_blurkernel10_31_0.00001_0.00001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tree256_blurkernel7_3_0.00001_0.00001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tree256_blurkernel7_7_0.00001_0.00001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tree256_blurkernel7_15_0.00001_0.00001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tree256_blurkernel7_31_0.00001_0.00001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tree256_blurkernel8_3_0.00001_0.00001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tree256_blurkernel8_7_0.00001_0.00001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tree256_blurkernel8_15_0.00001_0.00001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tree256_blurkernel8_31_0.00001_0.00001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tree256_line_3_0.00001_0.00001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tree256_line_7_0.00001_0.00001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tree256_line_15_0.00001_0.00001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tree256_line_31_0.00001_0.00001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tree256_blurkernel10_3_0.00001_0.00001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tree256_blurkernel10_7_0.00001_0.00001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tree256_blurkernel10_15_0.00001_0.00001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tree256_blurkernel10_31_0.00001_0.00001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text256_blurkernel7_3_0.00001_0.00001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text256_blurkernel7_7_0.00001_0.00001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text256_blurkernel7_15_0.00001_0.00001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text256_blurkernel7_31_0.00001_0.00001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text256_blurkernel8_3_0.00001_0.00001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text256_blurkernel8_7_0.00001_0.00001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text256_blurkernel8_15_0.00001_0.00001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text256_blurkernel8_31_0.00001_0.00001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text256_line_3_0.00001_0.00001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text256_line_7_0.00001_0.00001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text256_line_15_0.00001_0.00001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text256_line_31_0.00001_0.00001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text256_blurkernel10_3_0.00001_0.00001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text256_blurkernel10_7_0.00001_0.00001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text256_blurkernel10_15_0.00001_0.00001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text256_blurkernel10_31_0.00001_0.00001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castle256_blurkernel7_3_0.00001_0.00001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castle256_blurkernel7_7_0.00001_0.00001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castle256_blurkernel7_15_0.00001_0.00001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castle256_blurkernel7_31_0.00001_0.00001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castle256_blurkernel8_3_0.00001_0.00001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castle256_blurkernel8_7_0.00001_0.00001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castle256_blurkernel8_15_0.00001_0.00001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castle256_blurkernel8_31_0.00001_0.00001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castle256_line_3_0.00001_0.00001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castle256_line_7_0.00001_0.00001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castle256_line_15_0.00001_0.00001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castle256_line_31_0.00001_0.00001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castle256_blurkernel10_3_0.00001_0.00001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castle256_blurkernel10_7_0.00001_0.00001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castle256_blurkernel10_15_0.00001_0.00001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castle256_blurkernel10_31_0.00001_0.00001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D9"/>
  <sheetViews>
    <sheetView workbookViewId="0">
      <selection activeCell="H29" sqref="H29"/>
    </sheetView>
  </sheetViews>
  <sheetFormatPr defaultRowHeight="15"/>
  <cols>
    <col min="1" max="1" width="13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4">
      <c r="B3" s="2" t="s">
        <v>25</v>
      </c>
    </row>
    <row r="4" spans="1:4">
      <c r="A4" s="2" t="s">
        <v>23</v>
      </c>
      <c r="B4" t="s">
        <v>26</v>
      </c>
      <c r="C4" t="s">
        <v>27</v>
      </c>
      <c r="D4" t="s">
        <v>28</v>
      </c>
    </row>
    <row r="5" spans="1:4">
      <c r="A5" s="3">
        <v>1E-4</v>
      </c>
      <c r="B5" s="4">
        <v>18.056987499999991</v>
      </c>
      <c r="C5" s="4">
        <v>27.925159375000007</v>
      </c>
      <c r="D5" s="4">
        <v>29.437448437499999</v>
      </c>
    </row>
    <row r="6" spans="1:4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4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4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4">
      <c r="A9" s="3" t="s">
        <v>24</v>
      </c>
      <c r="B9" s="4">
        <v>13.724387890624998</v>
      </c>
      <c r="C9" s="4">
        <v>18.88133749999999</v>
      </c>
      <c r="D9" s="4">
        <v>17.905706640624995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4:D10"/>
  <sheetViews>
    <sheetView workbookViewId="0">
      <selection activeCell="H23" sqref="H23"/>
    </sheetView>
  </sheetViews>
  <sheetFormatPr defaultRowHeight="15"/>
  <cols>
    <col min="1" max="1" width="13" customWidth="1"/>
    <col min="2" max="2" width="17.42578125" customWidth="1"/>
    <col min="3" max="3" width="18.28515625" customWidth="1"/>
    <col min="4" max="4" width="16.42578125" bestFit="1" customWidth="1"/>
  </cols>
  <sheetData>
    <row r="4" spans="1:4">
      <c r="B4" s="2" t="s">
        <v>25</v>
      </c>
    </row>
    <row r="5" spans="1:4">
      <c r="A5" s="2" t="s">
        <v>23</v>
      </c>
      <c r="B5" t="s">
        <v>26</v>
      </c>
      <c r="C5" t="s">
        <v>27</v>
      </c>
      <c r="D5" t="s">
        <v>28</v>
      </c>
    </row>
    <row r="6" spans="1:4">
      <c r="A6" s="3">
        <v>3</v>
      </c>
      <c r="B6" s="4">
        <v>14.3957203125</v>
      </c>
      <c r="C6" s="4">
        <v>22.662701562500001</v>
      </c>
      <c r="D6" s="4">
        <v>17.913820312499997</v>
      </c>
    </row>
    <row r="7" spans="1:4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4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4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4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H29"/>
  <sheetViews>
    <sheetView workbookViewId="0">
      <selection activeCell="B5" sqref="B5"/>
    </sheetView>
  </sheetViews>
  <sheetFormatPr defaultRowHeight="1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>
      <c r="A1" s="2" t="s">
        <v>0</v>
      </c>
      <c r="B1" t="s">
        <v>12</v>
      </c>
    </row>
    <row r="2" spans="1:8">
      <c r="A2" s="2" t="s">
        <v>1</v>
      </c>
      <c r="B2" t="s">
        <v>10</v>
      </c>
    </row>
    <row r="3" spans="1:8">
      <c r="H3" t="str">
        <f>B1 &amp; "_" &amp; B2</f>
        <v>tree256_line</v>
      </c>
    </row>
    <row r="4" spans="1:8">
      <c r="A4" s="2" t="s">
        <v>26</v>
      </c>
      <c r="B4" s="2" t="s">
        <v>29</v>
      </c>
    </row>
    <row r="5" spans="1:8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>
      <c r="A27" s="5" t="s">
        <v>30</v>
      </c>
      <c r="B27" t="str">
        <f>"var_tico09_"&amp;B1&amp;"_"&amp;B2</f>
        <v>var_tico09_tree256_line</v>
      </c>
    </row>
    <row r="28" spans="1:2">
      <c r="A28" s="5" t="s">
        <v>31</v>
      </c>
      <c r="B28" t="str">
        <f>Range2MatlabMatrix(B6:E9)</f>
        <v>[11.8714 11.4696 10.4293 8.189; 13.0983 12.1981 9.3389 5.7596; 13.3728 12.4 9.1562 4.9248; 13.5007 12.444 9.1544 4.6658]</v>
      </c>
    </row>
    <row r="29" spans="1:2">
      <c r="A29" s="5" t="s">
        <v>32</v>
      </c>
      <c r="B29" t="str">
        <f>B27&amp;" = "&amp;B28&amp;";"</f>
        <v>var_tico09_tree256_line = [11.8714 11.4696 10.4293 8.189; 13.0983 12.1981 9.3389 5.7596; 13.3728 12.4 9.1562 4.9248; 13.5007 12.444 9.1544 4.6658];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29"/>
  <sheetViews>
    <sheetView workbookViewId="0">
      <selection activeCell="B29" sqref="B29"/>
    </sheetView>
  </sheetViews>
  <sheetFormatPr defaultRowHeight="1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>
      <c r="A1" s="2" t="s">
        <v>0</v>
      </c>
      <c r="B1" t="s">
        <v>12</v>
      </c>
    </row>
    <row r="2" spans="1:6">
      <c r="A2" s="2" t="s">
        <v>1</v>
      </c>
      <c r="B2" t="s">
        <v>10</v>
      </c>
    </row>
    <row r="4" spans="1:6">
      <c r="A4" s="2" t="s">
        <v>27</v>
      </c>
      <c r="B4" s="2" t="s">
        <v>29</v>
      </c>
    </row>
    <row r="5" spans="1:6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>
      <c r="A27" s="5" t="s">
        <v>30</v>
      </c>
      <c r="B27" t="str">
        <f>"var_srou03_"&amp;B1&amp;"_"&amp;B2</f>
        <v>var_srou03_tree256_line</v>
      </c>
    </row>
    <row r="28" spans="1:2">
      <c r="A28" s="5" t="s">
        <v>31</v>
      </c>
      <c r="B28" t="str">
        <f>Range2MatlabMatrix(B6:E9)</f>
        <v>[26.3867 19.728 17.1734 8.4076; 25.0238 16.8501 10.6439 6.1926; 24.6791 15.7165 8.6239 5.7814; 24.714 15.4445 7.9021 4.5087]</v>
      </c>
    </row>
    <row r="29" spans="1:2">
      <c r="A29" s="5" t="s">
        <v>32</v>
      </c>
      <c r="B29" t="str">
        <f>B27&amp;" = "&amp;B28&amp;";"</f>
        <v>var_srou03_tree256_line = [26.3867 19.728 17.1734 8.4076; 25.0238 16.8501 10.6439 6.1926; 24.6791 15.7165 8.6239 5.7814; 24.714 15.4445 7.9021 4.5087];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29"/>
  <sheetViews>
    <sheetView workbookViewId="0">
      <selection activeCell="A27" sqref="A27:B29"/>
    </sheetView>
  </sheetViews>
  <sheetFormatPr defaultRowHeight="1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>
      <c r="A1" s="2" t="s">
        <v>0</v>
      </c>
      <c r="B1" t="s">
        <v>12</v>
      </c>
    </row>
    <row r="2" spans="1:6">
      <c r="A2" s="2" t="s">
        <v>1</v>
      </c>
      <c r="B2" t="s">
        <v>10</v>
      </c>
    </row>
    <row r="4" spans="1:6">
      <c r="A4" s="2" t="s">
        <v>28</v>
      </c>
      <c r="B4" s="2" t="s">
        <v>29</v>
      </c>
    </row>
    <row r="5" spans="1:6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>
      <c r="A27" s="5" t="s">
        <v>30</v>
      </c>
      <c r="B27" t="str">
        <f>"var_bm3d_"&amp;B1&amp;"_"&amp;B2</f>
        <v>var_bm3d_tree256_line</v>
      </c>
    </row>
    <row r="28" spans="1:2">
      <c r="A28" s="5" t="s">
        <v>31</v>
      </c>
      <c r="B28" t="str">
        <f>Range2MatlabMatrix(B6:E9)</f>
        <v>[25.759 16.742 9.8666 5.1236; 25.731 16.7206 9.7831 5.0258; 25.7506 16.7485 9.7968 5.0247; 25.6934 16.6896 9.8237 5.0248]</v>
      </c>
    </row>
    <row r="29" spans="1:2">
      <c r="A29" s="5" t="s">
        <v>32</v>
      </c>
      <c r="B29" t="str">
        <f>B27&amp;" = "&amp;B28&amp;";"</f>
        <v>var_bm3d_tree256_line = [25.759 16.742 9.8666 5.1236; 25.731 16.7206 9.7831 5.0258; 25.7506 16.7485 9.7968 5.0247; 25.6934 16.6896 9.8237 5.0248];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F15"/>
  <sheetViews>
    <sheetView tabSelected="1" workbookViewId="0">
      <selection activeCell="B15" sqref="B15"/>
    </sheetView>
  </sheetViews>
  <sheetFormatPr defaultRowHeight="15"/>
  <cols>
    <col min="1" max="1" width="18.28515625" customWidth="1"/>
    <col min="2" max="2" width="16.140625" bestFit="1" customWidth="1"/>
    <col min="3" max="3" width="6" customWidth="1"/>
    <col min="4" max="4" width="5" customWidth="1"/>
    <col min="5" max="5" width="4" customWidth="1"/>
    <col min="6" max="7" width="11.28515625" bestFit="1" customWidth="1"/>
  </cols>
  <sheetData>
    <row r="1" spans="1:6">
      <c r="A1" s="2" t="s">
        <v>0</v>
      </c>
      <c r="B1" t="s">
        <v>12</v>
      </c>
    </row>
    <row r="2" spans="1:6">
      <c r="A2" s="2" t="s">
        <v>1</v>
      </c>
      <c r="B2" t="s">
        <v>10</v>
      </c>
    </row>
    <row r="4" spans="1:6">
      <c r="A4" s="2" t="s">
        <v>34</v>
      </c>
      <c r="B4" s="2" t="s">
        <v>29</v>
      </c>
    </row>
    <row r="5" spans="1:6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>
      <c r="A6" s="3">
        <v>3</v>
      </c>
      <c r="B6" s="4">
        <v>3</v>
      </c>
      <c r="C6" s="4">
        <v>3</v>
      </c>
      <c r="D6" s="4">
        <v>3</v>
      </c>
      <c r="E6" s="4">
        <v>3</v>
      </c>
      <c r="F6" s="4">
        <v>3</v>
      </c>
    </row>
    <row r="7" spans="1:6">
      <c r="A7" s="3">
        <v>7</v>
      </c>
      <c r="B7" s="4">
        <v>1</v>
      </c>
      <c r="C7" s="4">
        <v>3</v>
      </c>
      <c r="D7" s="4">
        <v>3</v>
      </c>
      <c r="E7" s="4">
        <v>3</v>
      </c>
      <c r="F7" s="4">
        <v>3</v>
      </c>
    </row>
    <row r="8" spans="1:6">
      <c r="A8" s="3">
        <v>15</v>
      </c>
      <c r="B8" s="4">
        <v>1</v>
      </c>
      <c r="C8" s="4">
        <v>1</v>
      </c>
      <c r="D8" s="4">
        <v>1</v>
      </c>
      <c r="E8" s="4">
        <v>3</v>
      </c>
      <c r="F8" s="4">
        <v>3</v>
      </c>
    </row>
    <row r="9" spans="1:6">
      <c r="A9" s="3">
        <v>31</v>
      </c>
      <c r="B9" s="4">
        <v>1</v>
      </c>
      <c r="C9" s="4">
        <v>1</v>
      </c>
      <c r="D9" s="4">
        <v>1</v>
      </c>
      <c r="E9" s="4">
        <v>1</v>
      </c>
      <c r="F9" s="4">
        <v>1</v>
      </c>
    </row>
    <row r="10" spans="1:6">
      <c r="A10" s="3" t="s">
        <v>24</v>
      </c>
      <c r="B10" s="4">
        <v>3</v>
      </c>
      <c r="C10" s="4">
        <v>3</v>
      </c>
      <c r="D10" s="4">
        <v>3</v>
      </c>
      <c r="E10" s="4">
        <v>3</v>
      </c>
      <c r="F10" s="4">
        <v>3</v>
      </c>
    </row>
    <row r="13" spans="1:6">
      <c r="A13" s="5" t="s">
        <v>30</v>
      </c>
      <c r="B13" t="str">
        <f>"var_"&amp;B1&amp;"_"&amp;B2</f>
        <v>var_tree256_line</v>
      </c>
    </row>
    <row r="14" spans="1:6">
      <c r="A14" s="5" t="s">
        <v>31</v>
      </c>
      <c r="B14" t="str">
        <f>Range2MatlabMatrix(B6:E9)</f>
        <v>[3 3 3 3; 1 3 3 3; 1 1 1 3; 1 1 1 1]</v>
      </c>
    </row>
    <row r="15" spans="1:6">
      <c r="A15" s="5" t="s">
        <v>32</v>
      </c>
      <c r="B15" t="str">
        <f>B13&amp;" = "&amp;B14&amp;";"</f>
        <v>var_tree256_line = [3 3 3 3; 1 3 3 3; 1 1 1 3; 1 1 1 1];</v>
      </c>
    </row>
  </sheetData>
  <pageMargins left="0.7" right="0.7" top="0.75" bottom="0.75" header="0.3" footer="0.3"/>
  <pageSetup orientation="portrait" horizontalDpi="180" verticalDpi="180"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B3"/>
  <sheetViews>
    <sheetView workbookViewId="0">
      <selection activeCell="G11" sqref="G11"/>
    </sheetView>
  </sheetViews>
  <sheetFormatPr defaultRowHeight="15"/>
  <sheetData>
    <row r="1" spans="1:2">
      <c r="A1" t="s">
        <v>17</v>
      </c>
      <c r="B1">
        <v>1</v>
      </c>
    </row>
    <row r="2" spans="1:2">
      <c r="A2" t="s">
        <v>19</v>
      </c>
      <c r="B2">
        <v>2</v>
      </c>
    </row>
    <row r="3" spans="1:2">
      <c r="A3" t="s">
        <v>18</v>
      </c>
      <c r="B3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</cp:lastModifiedBy>
  <dcterms:created xsi:type="dcterms:W3CDTF">2011-12-09T09:07:13Z</dcterms:created>
  <dcterms:modified xsi:type="dcterms:W3CDTF">2012-03-09T00:56:31Z</dcterms:modified>
</cp:coreProperties>
</file>
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240" yWindow="60" windowWidth="24720" windowHeight="12345"/>
  </bookViews>
  <sheets>
    <sheet name="report COMPLETE VAR DATA" sheetId="1" r:id="rId1"/>
    <sheet name="TICO09" sheetId="2" r:id="rId2"/>
    <sheet name="SROU03" sheetId="3" r:id="rId3"/>
    <sheet name="BM3D" sheetId="4" r:id="rId4"/>
    <sheet name="AVG methods vs VAR" sheetId="5" r:id="rId5"/>
    <sheet name="AVG methods vs PSF size" sheetId="6" r:id="rId6"/>
    <sheet name="Surface TICO09" sheetId="8" r:id="rId7"/>
    <sheet name="Surface SROU03" sheetId="9" r:id="rId8"/>
    <sheet name="Surface BM3D" sheetId="10" r:id="rId9"/>
    <sheet name="Winners" sheetId="11" r:id="rId10"/>
    <sheet name="Winning counts" sheetId="13" r:id="rId11"/>
    <sheet name="Color codes" sheetId="12" r:id="rId12"/>
  </sheets>
  <functionGroups builtInGroupCount="17"/>
  <definedNames>
    <definedName name="_xlnm._FilterDatabase" localSheetId="3" hidden="1">BM3D!$A$1:$M$321</definedName>
    <definedName name="_xlnm._FilterDatabase" localSheetId="0" hidden="1">'report COMPLETE VAR DATA'!$A$1:$T$257</definedName>
    <definedName name="_xlnm._FilterDatabase" localSheetId="2" hidden="1">SROU03!$A$1:$M$217</definedName>
    <definedName name="_xlnm._FilterDatabase" localSheetId="1" hidden="1">TICO09!$A$1:$M$321</definedName>
  </definedNames>
  <calcPr calcId="145621"/>
  <pivotCaches>
    <pivotCache cacheId="0" r:id="rId13"/>
    <pivotCache cacheId="1" r:id="rId14"/>
  </pivotCaches>
</workbook>
</file>

<file path=xl/calcChain.xml><?xml version="1.0" encoding="utf-8"?>
<calcChain xmlns="http://schemas.openxmlformats.org/spreadsheetml/2006/main">
  <c r="J28" i="11" l="1"/>
  <c r="B28" i="11"/>
  <c r="J12" i="11"/>
  <c r="B12" i="11"/>
  <c r="G6" i="6"/>
  <c r="G5" i="5"/>
  <c r="F5" i="5"/>
  <c r="E5" i="5"/>
  <c r="F6" i="6"/>
  <c r="E6" i="6"/>
  <c r="J13" i="11"/>
  <c r="J29" i="11"/>
  <c r="B29" i="11"/>
  <c r="B7" i="13"/>
  <c r="A12" i="6" l="1"/>
  <c r="A11" i="5"/>
  <c r="J30" i="11"/>
  <c r="B30" i="11"/>
  <c r="J14" i="11"/>
  <c r="B27" i="8"/>
  <c r="B27" i="9"/>
  <c r="B27" i="10"/>
  <c r="B28" i="8"/>
  <c r="B28" i="10"/>
  <c r="B28" i="9"/>
  <c r="B13" i="11"/>
  <c r="B14" i="11" l="1"/>
  <c r="B34" i="11" s="1"/>
  <c r="B29" i="9"/>
  <c r="B29" i="8"/>
  <c r="B29" i="10"/>
  <c r="H3" i="8"/>
  <c r="F322" i="4" l="1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2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" i="4"/>
  <c r="F2" i="3"/>
  <c r="F3" i="1"/>
  <c r="F4" i="1"/>
  <c r="F5" i="1"/>
  <c r="F2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H9" i="1" l="1"/>
  <c r="G9" i="1"/>
  <c r="H252" i="1"/>
  <c r="G252" i="1"/>
  <c r="H244" i="1"/>
  <c r="G244" i="1"/>
  <c r="H240" i="1"/>
  <c r="G240" i="1"/>
  <c r="H232" i="1"/>
  <c r="G232" i="1"/>
  <c r="H220" i="1"/>
  <c r="G220" i="1"/>
  <c r="H212" i="1"/>
  <c r="G212" i="1"/>
  <c r="H208" i="1"/>
  <c r="G208" i="1"/>
  <c r="H200" i="1"/>
  <c r="G200" i="1"/>
  <c r="H188" i="1"/>
  <c r="G188" i="1"/>
  <c r="H180" i="1"/>
  <c r="G180" i="1"/>
  <c r="H176" i="1"/>
  <c r="G176" i="1"/>
  <c r="H168" i="1"/>
  <c r="G168" i="1"/>
  <c r="H156" i="1"/>
  <c r="G156" i="1"/>
  <c r="H148" i="1"/>
  <c r="G148" i="1"/>
  <c r="H144" i="1"/>
  <c r="G144" i="1"/>
  <c r="H136" i="1"/>
  <c r="G136" i="1"/>
  <c r="H124" i="1"/>
  <c r="G124" i="1"/>
  <c r="H116" i="1"/>
  <c r="G116" i="1"/>
  <c r="H112" i="1"/>
  <c r="G112" i="1"/>
  <c r="H104" i="1"/>
  <c r="G104" i="1"/>
  <c r="H92" i="1"/>
  <c r="G92" i="1"/>
  <c r="H84" i="1"/>
  <c r="G84" i="1"/>
  <c r="H80" i="1"/>
  <c r="G80" i="1"/>
  <c r="H72" i="1"/>
  <c r="G72" i="1"/>
  <c r="H60" i="1"/>
  <c r="G60" i="1"/>
  <c r="H52" i="1"/>
  <c r="G52" i="1"/>
  <c r="H48" i="1"/>
  <c r="G48" i="1"/>
  <c r="H40" i="1"/>
  <c r="G40" i="1"/>
  <c r="H28" i="1"/>
  <c r="G28" i="1"/>
  <c r="H20" i="1"/>
  <c r="G20" i="1"/>
  <c r="H16" i="1"/>
  <c r="G16" i="1"/>
  <c r="H8" i="1"/>
  <c r="G8" i="1"/>
  <c r="H179" i="1"/>
  <c r="G179" i="1"/>
  <c r="G175" i="1"/>
  <c r="H175" i="1"/>
  <c r="G167" i="1"/>
  <c r="H167" i="1"/>
  <c r="H155" i="1"/>
  <c r="G155" i="1"/>
  <c r="H147" i="1"/>
  <c r="G147" i="1"/>
  <c r="G143" i="1"/>
  <c r="H143" i="1"/>
  <c r="G135" i="1"/>
  <c r="H135" i="1"/>
  <c r="H123" i="1"/>
  <c r="G123" i="1"/>
  <c r="G115" i="1"/>
  <c r="H115" i="1"/>
  <c r="H111" i="1"/>
  <c r="G111" i="1"/>
  <c r="H103" i="1"/>
  <c r="G103" i="1"/>
  <c r="G91" i="1"/>
  <c r="H91" i="1"/>
  <c r="G83" i="1"/>
  <c r="H83" i="1"/>
  <c r="H79" i="1"/>
  <c r="G79" i="1"/>
  <c r="H71" i="1"/>
  <c r="G71" i="1"/>
  <c r="H59" i="1"/>
  <c r="G59" i="1"/>
  <c r="H51" i="1"/>
  <c r="G51" i="1"/>
  <c r="H47" i="1"/>
  <c r="G47" i="1"/>
  <c r="G39" i="1"/>
  <c r="H39" i="1"/>
  <c r="G27" i="1"/>
  <c r="H27" i="1"/>
  <c r="H19" i="1"/>
  <c r="G19" i="1"/>
  <c r="G15" i="1"/>
  <c r="H15" i="1"/>
  <c r="H7" i="1"/>
  <c r="G7" i="1"/>
  <c r="G245" i="1"/>
  <c r="H245" i="1"/>
  <c r="G233" i="1"/>
  <c r="H233" i="1"/>
  <c r="H221" i="1"/>
  <c r="G221" i="1"/>
  <c r="H209" i="1"/>
  <c r="G209" i="1"/>
  <c r="H181" i="1"/>
  <c r="G181" i="1"/>
  <c r="H169" i="1"/>
  <c r="G169" i="1"/>
  <c r="G157" i="1"/>
  <c r="H157" i="1"/>
  <c r="G145" i="1"/>
  <c r="H145" i="1"/>
  <c r="H117" i="1"/>
  <c r="G117" i="1"/>
  <c r="G105" i="1"/>
  <c r="H105" i="1"/>
  <c r="G93" i="1"/>
  <c r="H93" i="1"/>
  <c r="H81" i="1"/>
  <c r="G81" i="1"/>
  <c r="H49" i="1"/>
  <c r="G49" i="1"/>
  <c r="H29" i="1"/>
  <c r="G29" i="1"/>
  <c r="H17" i="1"/>
  <c r="G17" i="1"/>
  <c r="H251" i="1"/>
  <c r="G251" i="1"/>
  <c r="H239" i="1"/>
  <c r="G239" i="1"/>
  <c r="H211" i="1"/>
  <c r="G211" i="1"/>
  <c r="H199" i="1"/>
  <c r="G199" i="1"/>
  <c r="H187" i="1"/>
  <c r="G187" i="1"/>
  <c r="H250" i="1"/>
  <c r="G250" i="1"/>
  <c r="H230" i="1"/>
  <c r="G230" i="1"/>
  <c r="G218" i="1"/>
  <c r="H218" i="1"/>
  <c r="H206" i="1"/>
  <c r="G206" i="1"/>
  <c r="H178" i="1"/>
  <c r="G178" i="1"/>
  <c r="G174" i="1"/>
  <c r="H174" i="1"/>
  <c r="H166" i="1"/>
  <c r="G166" i="1"/>
  <c r="H154" i="1"/>
  <c r="G154" i="1"/>
  <c r="G146" i="1"/>
  <c r="H146" i="1"/>
  <c r="H142" i="1"/>
  <c r="G142" i="1"/>
  <c r="H134" i="1"/>
  <c r="G134" i="1"/>
  <c r="G122" i="1"/>
  <c r="H122" i="1"/>
  <c r="H114" i="1"/>
  <c r="G114" i="1"/>
  <c r="H110" i="1"/>
  <c r="G110" i="1"/>
  <c r="H102" i="1"/>
  <c r="G102" i="1"/>
  <c r="G90" i="1"/>
  <c r="H90" i="1"/>
  <c r="H82" i="1"/>
  <c r="G82" i="1"/>
  <c r="H78" i="1"/>
  <c r="G78" i="1"/>
  <c r="H70" i="1"/>
  <c r="G70" i="1"/>
  <c r="H58" i="1"/>
  <c r="G58" i="1"/>
  <c r="H50" i="1"/>
  <c r="G50" i="1"/>
  <c r="H46" i="1"/>
  <c r="G46" i="1"/>
  <c r="G38" i="1"/>
  <c r="H38" i="1"/>
  <c r="G26" i="1"/>
  <c r="H26" i="1"/>
  <c r="H18" i="1"/>
  <c r="G18" i="1"/>
  <c r="G14" i="1"/>
  <c r="H14" i="1"/>
  <c r="H6" i="1"/>
  <c r="G6" i="1"/>
  <c r="G257" i="1"/>
  <c r="H257" i="1"/>
  <c r="H249" i="1"/>
  <c r="G249" i="1"/>
  <c r="G237" i="1"/>
  <c r="H237" i="1"/>
  <c r="H229" i="1"/>
  <c r="G229" i="1"/>
  <c r="H225" i="1"/>
  <c r="G225" i="1"/>
  <c r="H217" i="1"/>
  <c r="G217" i="1"/>
  <c r="G205" i="1"/>
  <c r="H205" i="1"/>
  <c r="H197" i="1"/>
  <c r="G197" i="1"/>
  <c r="G193" i="1"/>
  <c r="H193" i="1"/>
  <c r="H185" i="1"/>
  <c r="G185" i="1"/>
  <c r="G173" i="1"/>
  <c r="H173" i="1"/>
  <c r="H165" i="1"/>
  <c r="G165" i="1"/>
  <c r="H161" i="1"/>
  <c r="G161" i="1"/>
  <c r="H153" i="1"/>
  <c r="G153" i="1"/>
  <c r="G141" i="1"/>
  <c r="H141" i="1"/>
  <c r="H133" i="1"/>
  <c r="G133" i="1"/>
  <c r="H129" i="1"/>
  <c r="G129" i="1"/>
  <c r="G121" i="1"/>
  <c r="H121" i="1"/>
  <c r="H109" i="1"/>
  <c r="G109" i="1"/>
  <c r="H101" i="1"/>
  <c r="G101" i="1"/>
  <c r="H97" i="1"/>
  <c r="G97" i="1"/>
  <c r="G89" i="1"/>
  <c r="H89" i="1"/>
  <c r="H77" i="1"/>
  <c r="G77" i="1"/>
  <c r="G69" i="1"/>
  <c r="H69" i="1"/>
  <c r="H65" i="1"/>
  <c r="G65" i="1"/>
  <c r="H57" i="1"/>
  <c r="G57" i="1"/>
  <c r="H45" i="1"/>
  <c r="G45" i="1"/>
  <c r="H37" i="1"/>
  <c r="G37" i="1"/>
  <c r="H33" i="1"/>
  <c r="G33" i="1"/>
  <c r="G25" i="1"/>
  <c r="H25" i="1"/>
  <c r="G13" i="1"/>
  <c r="H13" i="1"/>
  <c r="H5" i="1"/>
  <c r="G5" i="1"/>
  <c r="H159" i="1"/>
  <c r="G159" i="1"/>
  <c r="H151" i="1"/>
  <c r="G151" i="1"/>
  <c r="H139" i="1"/>
  <c r="G139" i="1"/>
  <c r="H131" i="1"/>
  <c r="G131" i="1"/>
  <c r="H127" i="1"/>
  <c r="G127" i="1"/>
  <c r="H119" i="1"/>
  <c r="G119" i="1"/>
  <c r="H107" i="1"/>
  <c r="G107" i="1"/>
  <c r="H99" i="1"/>
  <c r="G99" i="1"/>
  <c r="H95" i="1"/>
  <c r="G95" i="1"/>
  <c r="H87" i="1"/>
  <c r="G87" i="1"/>
  <c r="H75" i="1"/>
  <c r="G75" i="1"/>
  <c r="H67" i="1"/>
  <c r="G67" i="1"/>
  <c r="H63" i="1"/>
  <c r="G63" i="1"/>
  <c r="H55" i="1"/>
  <c r="G55" i="1"/>
  <c r="H43" i="1"/>
  <c r="G43" i="1"/>
  <c r="H35" i="1"/>
  <c r="G35" i="1"/>
  <c r="H31" i="1"/>
  <c r="G31" i="1"/>
  <c r="H23" i="1"/>
  <c r="G23" i="1"/>
  <c r="H11" i="1"/>
  <c r="G11" i="1"/>
  <c r="H3" i="1"/>
  <c r="G3" i="1"/>
  <c r="G253" i="1"/>
  <c r="H253" i="1"/>
  <c r="H241" i="1"/>
  <c r="G241" i="1"/>
  <c r="H213" i="1"/>
  <c r="G213" i="1"/>
  <c r="G201" i="1"/>
  <c r="H201" i="1"/>
  <c r="G189" i="1"/>
  <c r="H189" i="1"/>
  <c r="H177" i="1"/>
  <c r="G177" i="1"/>
  <c r="G149" i="1"/>
  <c r="H149" i="1"/>
  <c r="H137" i="1"/>
  <c r="G137" i="1"/>
  <c r="H125" i="1"/>
  <c r="G125" i="1"/>
  <c r="H113" i="1"/>
  <c r="G113" i="1"/>
  <c r="H85" i="1"/>
  <c r="G85" i="1"/>
  <c r="H73" i="1"/>
  <c r="G73" i="1"/>
  <c r="G61" i="1"/>
  <c r="H61" i="1"/>
  <c r="G53" i="1"/>
  <c r="H53" i="1"/>
  <c r="H41" i="1"/>
  <c r="G41" i="1"/>
  <c r="H21" i="1"/>
  <c r="G21" i="1"/>
  <c r="G243" i="1"/>
  <c r="H243" i="1"/>
  <c r="H231" i="1"/>
  <c r="G231" i="1"/>
  <c r="H219" i="1"/>
  <c r="G219" i="1"/>
  <c r="H207" i="1"/>
  <c r="G207" i="1"/>
  <c r="G242" i="1"/>
  <c r="H242" i="1"/>
  <c r="H238" i="1"/>
  <c r="G238" i="1"/>
  <c r="H210" i="1"/>
  <c r="G210" i="1"/>
  <c r="H198" i="1"/>
  <c r="G198" i="1"/>
  <c r="H186" i="1"/>
  <c r="G186" i="1"/>
  <c r="H256" i="1"/>
  <c r="G256" i="1"/>
  <c r="H248" i="1"/>
  <c r="G248" i="1"/>
  <c r="H236" i="1"/>
  <c r="G236" i="1"/>
  <c r="H228" i="1"/>
  <c r="G228" i="1"/>
  <c r="G224" i="1"/>
  <c r="H224" i="1"/>
  <c r="H216" i="1"/>
  <c r="G216" i="1"/>
  <c r="G204" i="1"/>
  <c r="H204" i="1"/>
  <c r="H196" i="1"/>
  <c r="G196" i="1"/>
  <c r="G192" i="1"/>
  <c r="H192" i="1"/>
  <c r="G184" i="1"/>
  <c r="H184" i="1"/>
  <c r="G172" i="1"/>
  <c r="H172" i="1"/>
  <c r="H164" i="1"/>
  <c r="G164" i="1"/>
  <c r="G160" i="1"/>
  <c r="H160" i="1"/>
  <c r="G152" i="1"/>
  <c r="H152" i="1"/>
  <c r="G140" i="1"/>
  <c r="H140" i="1"/>
  <c r="G132" i="1"/>
  <c r="H132" i="1"/>
  <c r="H128" i="1"/>
  <c r="G128" i="1"/>
  <c r="G120" i="1"/>
  <c r="H120" i="1"/>
  <c r="H108" i="1"/>
  <c r="G108" i="1"/>
  <c r="H100" i="1"/>
  <c r="G100" i="1"/>
  <c r="H96" i="1"/>
  <c r="G96" i="1"/>
  <c r="H88" i="1"/>
  <c r="G88" i="1"/>
  <c r="H76" i="1"/>
  <c r="G76" i="1"/>
  <c r="H68" i="1"/>
  <c r="G68" i="1"/>
  <c r="H64" i="1"/>
  <c r="G64" i="1"/>
  <c r="H56" i="1"/>
  <c r="G56" i="1"/>
  <c r="H44" i="1"/>
  <c r="G44" i="1"/>
  <c r="H36" i="1"/>
  <c r="G36" i="1"/>
  <c r="H32" i="1"/>
  <c r="G32" i="1"/>
  <c r="H24" i="1"/>
  <c r="G24" i="1"/>
  <c r="H12" i="1"/>
  <c r="G12" i="1"/>
  <c r="H4" i="1"/>
  <c r="G4" i="1"/>
  <c r="H255" i="1"/>
  <c r="G255" i="1"/>
  <c r="H247" i="1"/>
  <c r="G247" i="1"/>
  <c r="H235" i="1"/>
  <c r="G235" i="1"/>
  <c r="H227" i="1"/>
  <c r="G227" i="1"/>
  <c r="H223" i="1"/>
  <c r="G223" i="1"/>
  <c r="H215" i="1"/>
  <c r="G215" i="1"/>
  <c r="H203" i="1"/>
  <c r="G203" i="1"/>
  <c r="H195" i="1"/>
  <c r="G195" i="1"/>
  <c r="H191" i="1"/>
  <c r="G191" i="1"/>
  <c r="H183" i="1"/>
  <c r="G183" i="1"/>
  <c r="H171" i="1"/>
  <c r="G171" i="1"/>
  <c r="H163" i="1"/>
  <c r="G163" i="1"/>
  <c r="G254" i="1"/>
  <c r="H254" i="1"/>
  <c r="H246" i="1"/>
  <c r="G246" i="1"/>
  <c r="H234" i="1"/>
  <c r="G234" i="1"/>
  <c r="H226" i="1"/>
  <c r="G226" i="1"/>
  <c r="G222" i="1"/>
  <c r="H222" i="1"/>
  <c r="H214" i="1"/>
  <c r="G214" i="1"/>
  <c r="G202" i="1"/>
  <c r="H202" i="1"/>
  <c r="H194" i="1"/>
  <c r="G194" i="1"/>
  <c r="H190" i="1"/>
  <c r="G190" i="1"/>
  <c r="H182" i="1"/>
  <c r="G182" i="1"/>
  <c r="G170" i="1"/>
  <c r="H170" i="1"/>
  <c r="H162" i="1"/>
  <c r="G162" i="1"/>
  <c r="H158" i="1"/>
  <c r="G158" i="1"/>
  <c r="G150" i="1"/>
  <c r="H150" i="1"/>
  <c r="H138" i="1"/>
  <c r="G138" i="1"/>
  <c r="H130" i="1"/>
  <c r="G130" i="1"/>
  <c r="G126" i="1"/>
  <c r="H126" i="1"/>
  <c r="G118" i="1"/>
  <c r="H118" i="1"/>
  <c r="H106" i="1"/>
  <c r="G106" i="1"/>
  <c r="H98" i="1"/>
  <c r="G98" i="1"/>
  <c r="H94" i="1"/>
  <c r="G94" i="1"/>
  <c r="H86" i="1"/>
  <c r="G86" i="1"/>
  <c r="G74" i="1"/>
  <c r="H74" i="1"/>
  <c r="H66" i="1"/>
  <c r="G66" i="1"/>
  <c r="G62" i="1"/>
  <c r="H62" i="1"/>
  <c r="H54" i="1"/>
  <c r="G54" i="1"/>
  <c r="H42" i="1"/>
  <c r="G42" i="1"/>
  <c r="H34" i="1"/>
  <c r="G34" i="1"/>
  <c r="G30" i="1"/>
  <c r="H30" i="1"/>
  <c r="G22" i="1"/>
  <c r="H22" i="1"/>
  <c r="H10" i="1"/>
  <c r="G10" i="1"/>
  <c r="H2" i="1"/>
  <c r="G2" i="1"/>
  <c r="L230" i="1"/>
  <c r="T230" i="1" s="1"/>
  <c r="K230" i="1"/>
  <c r="K146" i="1"/>
  <c r="L146" i="1"/>
  <c r="T146" i="1" s="1"/>
  <c r="L110" i="1"/>
  <c r="T110" i="1" s="1"/>
  <c r="K110" i="1"/>
  <c r="K82" i="1"/>
  <c r="L82" i="1"/>
  <c r="T82" i="1" s="1"/>
  <c r="L38" i="1"/>
  <c r="T38" i="1" s="1"/>
  <c r="K38" i="1"/>
  <c r="L18" i="1"/>
  <c r="T18" i="1" s="1"/>
  <c r="K18" i="1"/>
  <c r="K229" i="1"/>
  <c r="L229" i="1"/>
  <c r="T229" i="1" s="1"/>
  <c r="K185" i="1"/>
  <c r="L185" i="1"/>
  <c r="T185" i="1" s="1"/>
  <c r="L121" i="1"/>
  <c r="T121" i="1" s="1"/>
  <c r="K121" i="1"/>
  <c r="L5" i="1"/>
  <c r="T5" i="1" s="1"/>
  <c r="K5" i="1"/>
  <c r="L256" i="1"/>
  <c r="T256" i="1" s="1"/>
  <c r="K256" i="1"/>
  <c r="L248" i="1"/>
  <c r="T248" i="1" s="1"/>
  <c r="K248" i="1"/>
  <c r="L236" i="1"/>
  <c r="T236" i="1" s="1"/>
  <c r="K236" i="1"/>
  <c r="L228" i="1"/>
  <c r="T228" i="1" s="1"/>
  <c r="K228" i="1"/>
  <c r="L224" i="1"/>
  <c r="T224" i="1" s="1"/>
  <c r="K224" i="1"/>
  <c r="L216" i="1"/>
  <c r="T216" i="1" s="1"/>
  <c r="K216" i="1"/>
  <c r="L204" i="1"/>
  <c r="T204" i="1" s="1"/>
  <c r="K204" i="1"/>
  <c r="L196" i="1"/>
  <c r="T196" i="1" s="1"/>
  <c r="K196" i="1"/>
  <c r="L192" i="1"/>
  <c r="T192" i="1" s="1"/>
  <c r="K192" i="1"/>
  <c r="L184" i="1"/>
  <c r="T184" i="1" s="1"/>
  <c r="K184" i="1"/>
  <c r="L172" i="1"/>
  <c r="T172" i="1" s="1"/>
  <c r="K172" i="1"/>
  <c r="L164" i="1"/>
  <c r="T164" i="1" s="1"/>
  <c r="K164" i="1"/>
  <c r="L160" i="1"/>
  <c r="T160" i="1" s="1"/>
  <c r="K160" i="1"/>
  <c r="L152" i="1"/>
  <c r="T152" i="1" s="1"/>
  <c r="K152" i="1"/>
  <c r="L140" i="1"/>
  <c r="T140" i="1" s="1"/>
  <c r="K140" i="1"/>
  <c r="L132" i="1"/>
  <c r="T132" i="1" s="1"/>
  <c r="K132" i="1"/>
  <c r="L128" i="1"/>
  <c r="T128" i="1" s="1"/>
  <c r="K128" i="1"/>
  <c r="L120" i="1"/>
  <c r="T120" i="1" s="1"/>
  <c r="K120" i="1"/>
  <c r="L108" i="1"/>
  <c r="T108" i="1" s="1"/>
  <c r="K108" i="1"/>
  <c r="L100" i="1"/>
  <c r="T100" i="1" s="1"/>
  <c r="K100" i="1"/>
  <c r="L96" i="1"/>
  <c r="T96" i="1" s="1"/>
  <c r="K96" i="1"/>
  <c r="L88" i="1"/>
  <c r="T88" i="1" s="1"/>
  <c r="K88" i="1"/>
  <c r="L76" i="1"/>
  <c r="T76" i="1" s="1"/>
  <c r="K76" i="1"/>
  <c r="K68" i="1"/>
  <c r="L68" i="1"/>
  <c r="T68" i="1" s="1"/>
  <c r="K64" i="1"/>
  <c r="L64" i="1"/>
  <c r="T64" i="1" s="1"/>
  <c r="K56" i="1"/>
  <c r="L56" i="1"/>
  <c r="T56" i="1" s="1"/>
  <c r="K44" i="1"/>
  <c r="L44" i="1"/>
  <c r="T44" i="1" s="1"/>
  <c r="L36" i="1"/>
  <c r="T36" i="1" s="1"/>
  <c r="K36" i="1"/>
  <c r="L32" i="1"/>
  <c r="T32" i="1" s="1"/>
  <c r="K32" i="1"/>
  <c r="L24" i="1"/>
  <c r="T24" i="1" s="1"/>
  <c r="K24" i="1"/>
  <c r="L12" i="1"/>
  <c r="T12" i="1" s="1"/>
  <c r="K12" i="1"/>
  <c r="L4" i="1"/>
  <c r="T4" i="1" s="1"/>
  <c r="K4" i="1"/>
  <c r="K250" i="1"/>
  <c r="L250" i="1"/>
  <c r="T250" i="1" s="1"/>
  <c r="K206" i="1"/>
  <c r="L206" i="1"/>
  <c r="T206" i="1" s="1"/>
  <c r="L154" i="1"/>
  <c r="T154" i="1" s="1"/>
  <c r="K154" i="1"/>
  <c r="K114" i="1"/>
  <c r="L114" i="1"/>
  <c r="T114" i="1" s="1"/>
  <c r="K90" i="1"/>
  <c r="L90" i="1"/>
  <c r="T90" i="1" s="1"/>
  <c r="K46" i="1"/>
  <c r="L46" i="1"/>
  <c r="T46" i="1" s="1"/>
  <c r="L14" i="1"/>
  <c r="T14" i="1" s="1"/>
  <c r="K14" i="1"/>
  <c r="L205" i="1"/>
  <c r="T205" i="1" s="1"/>
  <c r="K205" i="1"/>
  <c r="L161" i="1"/>
  <c r="T161" i="1" s="1"/>
  <c r="K161" i="1"/>
  <c r="K101" i="1"/>
  <c r="L101" i="1"/>
  <c r="T101" i="1" s="1"/>
  <c r="L57" i="1"/>
  <c r="T57" i="1" s="1"/>
  <c r="K57" i="1"/>
  <c r="K25" i="1"/>
  <c r="L25" i="1"/>
  <c r="T25" i="1" s="1"/>
  <c r="L235" i="1"/>
  <c r="T235" i="1" s="1"/>
  <c r="K235" i="1"/>
  <c r="L195" i="1"/>
  <c r="T195" i="1" s="1"/>
  <c r="K195" i="1"/>
  <c r="L163" i="1"/>
  <c r="T163" i="1" s="1"/>
  <c r="K163" i="1"/>
  <c r="L127" i="1"/>
  <c r="T127" i="1" s="1"/>
  <c r="K127" i="1"/>
  <c r="L99" i="1"/>
  <c r="T99" i="1" s="1"/>
  <c r="K99" i="1"/>
  <c r="L55" i="1"/>
  <c r="T55" i="1" s="1"/>
  <c r="K55" i="1"/>
  <c r="L23" i="1"/>
  <c r="T23" i="1" s="1"/>
  <c r="K23" i="1"/>
  <c r="L194" i="1"/>
  <c r="T194" i="1" s="1"/>
  <c r="K194" i="1"/>
  <c r="L170" i="1"/>
  <c r="T170" i="1" s="1"/>
  <c r="K170" i="1"/>
  <c r="K162" i="1"/>
  <c r="L162" i="1"/>
  <c r="T162" i="1" s="1"/>
  <c r="K158" i="1"/>
  <c r="L158" i="1"/>
  <c r="T158" i="1" s="1"/>
  <c r="L150" i="1"/>
  <c r="T150" i="1" s="1"/>
  <c r="K150" i="1"/>
  <c r="L138" i="1"/>
  <c r="T138" i="1" s="1"/>
  <c r="K138" i="1"/>
  <c r="K130" i="1"/>
  <c r="L130" i="1"/>
  <c r="T130" i="1" s="1"/>
  <c r="K126" i="1"/>
  <c r="L126" i="1"/>
  <c r="T126" i="1" s="1"/>
  <c r="L118" i="1"/>
  <c r="T118" i="1" s="1"/>
  <c r="K118" i="1"/>
  <c r="K106" i="1"/>
  <c r="L106" i="1"/>
  <c r="T106" i="1" s="1"/>
  <c r="L98" i="1"/>
  <c r="T98" i="1" s="1"/>
  <c r="K98" i="1"/>
  <c r="L94" i="1"/>
  <c r="T94" i="1" s="1"/>
  <c r="K94" i="1"/>
  <c r="L86" i="1"/>
  <c r="T86" i="1" s="1"/>
  <c r="K86" i="1"/>
  <c r="K74" i="1"/>
  <c r="L74" i="1"/>
  <c r="T74" i="1" s="1"/>
  <c r="L66" i="1"/>
  <c r="T66" i="1" s="1"/>
  <c r="K66" i="1"/>
  <c r="L62" i="1"/>
  <c r="T62" i="1" s="1"/>
  <c r="K62" i="1"/>
  <c r="L54" i="1"/>
  <c r="T54" i="1" s="1"/>
  <c r="K54" i="1"/>
  <c r="L42" i="1"/>
  <c r="T42" i="1" s="1"/>
  <c r="K42" i="1"/>
  <c r="L34" i="1"/>
  <c r="T34" i="1" s="1"/>
  <c r="K34" i="1"/>
  <c r="L30" i="1"/>
  <c r="T30" i="1" s="1"/>
  <c r="K30" i="1"/>
  <c r="L22" i="1"/>
  <c r="T22" i="1" s="1"/>
  <c r="K22" i="1"/>
  <c r="L10" i="1"/>
  <c r="T10" i="1" s="1"/>
  <c r="K10" i="1"/>
  <c r="L2" i="1"/>
  <c r="T2" i="1" s="1"/>
  <c r="K2" i="1"/>
  <c r="K242" i="1"/>
  <c r="L242" i="1"/>
  <c r="T242" i="1" s="1"/>
  <c r="K218" i="1"/>
  <c r="L218" i="1"/>
  <c r="T218" i="1" s="1"/>
  <c r="K186" i="1"/>
  <c r="L186" i="1"/>
  <c r="T186" i="1" s="1"/>
  <c r="K166" i="1"/>
  <c r="L166" i="1"/>
  <c r="T166" i="1" s="1"/>
  <c r="L70" i="1"/>
  <c r="T70" i="1" s="1"/>
  <c r="K70" i="1"/>
  <c r="L50" i="1"/>
  <c r="T50" i="1" s="1"/>
  <c r="K50" i="1"/>
  <c r="L26" i="1"/>
  <c r="T26" i="1" s="1"/>
  <c r="K26" i="1"/>
  <c r="L249" i="1"/>
  <c r="T249" i="1" s="1"/>
  <c r="K249" i="1"/>
  <c r="L225" i="1"/>
  <c r="T225" i="1" s="1"/>
  <c r="K225" i="1"/>
  <c r="L197" i="1"/>
  <c r="T197" i="1" s="1"/>
  <c r="K197" i="1"/>
  <c r="L173" i="1"/>
  <c r="T173" i="1" s="1"/>
  <c r="K173" i="1"/>
  <c r="K141" i="1"/>
  <c r="L141" i="1"/>
  <c r="T141" i="1" s="1"/>
  <c r="K129" i="1"/>
  <c r="L129" i="1"/>
  <c r="T129" i="1" s="1"/>
  <c r="L97" i="1"/>
  <c r="T97" i="1" s="1"/>
  <c r="K97" i="1"/>
  <c r="K77" i="1"/>
  <c r="L77" i="1"/>
  <c r="T77" i="1" s="1"/>
  <c r="L45" i="1"/>
  <c r="T45" i="1" s="1"/>
  <c r="K45" i="1"/>
  <c r="L247" i="1"/>
  <c r="T247" i="1" s="1"/>
  <c r="K247" i="1"/>
  <c r="L227" i="1"/>
  <c r="T227" i="1" s="1"/>
  <c r="K227" i="1"/>
  <c r="L183" i="1"/>
  <c r="T183" i="1" s="1"/>
  <c r="K183" i="1"/>
  <c r="L159" i="1"/>
  <c r="T159" i="1" s="1"/>
  <c r="K159" i="1"/>
  <c r="L87" i="1"/>
  <c r="T87" i="1" s="1"/>
  <c r="K87" i="1"/>
  <c r="L67" i="1"/>
  <c r="T67" i="1" s="1"/>
  <c r="K67" i="1"/>
  <c r="L43" i="1"/>
  <c r="T43" i="1" s="1"/>
  <c r="K43" i="1"/>
  <c r="L11" i="1"/>
  <c r="T11" i="1" s="1"/>
  <c r="K11" i="1"/>
  <c r="L254" i="1"/>
  <c r="T254" i="1" s="1"/>
  <c r="K254" i="1"/>
  <c r="L226" i="1"/>
  <c r="T226" i="1" s="1"/>
  <c r="K226" i="1"/>
  <c r="L202" i="1"/>
  <c r="T202" i="1" s="1"/>
  <c r="K202" i="1"/>
  <c r="K245" i="1"/>
  <c r="L245" i="1"/>
  <c r="T245" i="1" s="1"/>
  <c r="L233" i="1"/>
  <c r="T233" i="1" s="1"/>
  <c r="K233" i="1"/>
  <c r="L221" i="1"/>
  <c r="T221" i="1" s="1"/>
  <c r="K221" i="1"/>
  <c r="K213" i="1"/>
  <c r="L213" i="1"/>
  <c r="T213" i="1" s="1"/>
  <c r="K209" i="1"/>
  <c r="L209" i="1"/>
  <c r="T209" i="1" s="1"/>
  <c r="L201" i="1"/>
  <c r="T201" i="1" s="1"/>
  <c r="K201" i="1"/>
  <c r="K189" i="1"/>
  <c r="L189" i="1"/>
  <c r="T189" i="1" s="1"/>
  <c r="L181" i="1"/>
  <c r="T181" i="1" s="1"/>
  <c r="K181" i="1"/>
  <c r="L177" i="1"/>
  <c r="T177" i="1" s="1"/>
  <c r="K177" i="1"/>
  <c r="L169" i="1"/>
  <c r="T169" i="1" s="1"/>
  <c r="K169" i="1"/>
  <c r="K157" i="1"/>
  <c r="L157" i="1"/>
  <c r="T157" i="1" s="1"/>
  <c r="L149" i="1"/>
  <c r="T149" i="1" s="1"/>
  <c r="K149" i="1"/>
  <c r="L145" i="1"/>
  <c r="T145" i="1" s="1"/>
  <c r="K145" i="1"/>
  <c r="K137" i="1"/>
  <c r="L137" i="1"/>
  <c r="T137" i="1" s="1"/>
  <c r="L125" i="1"/>
  <c r="T125" i="1" s="1"/>
  <c r="K125" i="1"/>
  <c r="L117" i="1"/>
  <c r="T117" i="1" s="1"/>
  <c r="K117" i="1"/>
  <c r="K113" i="1"/>
  <c r="L113" i="1"/>
  <c r="T113" i="1" s="1"/>
  <c r="K105" i="1"/>
  <c r="L105" i="1"/>
  <c r="T105" i="1" s="1"/>
  <c r="L93" i="1"/>
  <c r="T93" i="1" s="1"/>
  <c r="K93" i="1"/>
  <c r="K85" i="1"/>
  <c r="L85" i="1"/>
  <c r="T85" i="1" s="1"/>
  <c r="L81" i="1"/>
  <c r="T81" i="1" s="1"/>
  <c r="K81" i="1"/>
  <c r="L73" i="1"/>
  <c r="T73" i="1" s="1"/>
  <c r="K73" i="1"/>
  <c r="L61" i="1"/>
  <c r="T61" i="1" s="1"/>
  <c r="K61" i="1"/>
  <c r="L53" i="1"/>
  <c r="T53" i="1" s="1"/>
  <c r="K53" i="1"/>
  <c r="L49" i="1"/>
  <c r="T49" i="1" s="1"/>
  <c r="K49" i="1"/>
  <c r="K41" i="1"/>
  <c r="L41" i="1"/>
  <c r="T41" i="1" s="1"/>
  <c r="L29" i="1"/>
  <c r="T29" i="1" s="1"/>
  <c r="K29" i="1"/>
  <c r="L21" i="1"/>
  <c r="T21" i="1" s="1"/>
  <c r="K21" i="1"/>
  <c r="L17" i="1"/>
  <c r="T17" i="1" s="1"/>
  <c r="K17" i="1"/>
  <c r="L9" i="1"/>
  <c r="T9" i="1" s="1"/>
  <c r="K9" i="1"/>
  <c r="K238" i="1"/>
  <c r="L238" i="1"/>
  <c r="T238" i="1" s="1"/>
  <c r="L210" i="1"/>
  <c r="T210" i="1" s="1"/>
  <c r="K210" i="1"/>
  <c r="L178" i="1"/>
  <c r="T178" i="1" s="1"/>
  <c r="K178" i="1"/>
  <c r="K134" i="1"/>
  <c r="L134" i="1"/>
  <c r="T134" i="1" s="1"/>
  <c r="K102" i="1"/>
  <c r="L102" i="1"/>
  <c r="T102" i="1" s="1"/>
  <c r="L78" i="1"/>
  <c r="T78" i="1" s="1"/>
  <c r="K78" i="1"/>
  <c r="L58" i="1"/>
  <c r="T58" i="1" s="1"/>
  <c r="K58" i="1"/>
  <c r="L6" i="1"/>
  <c r="T6" i="1" s="1"/>
  <c r="K6" i="1"/>
  <c r="K237" i="1"/>
  <c r="L237" i="1"/>
  <c r="T237" i="1" s="1"/>
  <c r="L153" i="1"/>
  <c r="T153" i="1" s="1"/>
  <c r="K153" i="1"/>
  <c r="K89" i="1"/>
  <c r="L89" i="1"/>
  <c r="T89" i="1" s="1"/>
  <c r="L69" i="1"/>
  <c r="T69" i="1" s="1"/>
  <c r="K69" i="1"/>
  <c r="L37" i="1"/>
  <c r="T37" i="1" s="1"/>
  <c r="K37" i="1"/>
  <c r="L13" i="1"/>
  <c r="T13" i="1" s="1"/>
  <c r="K13" i="1"/>
  <c r="L215" i="1"/>
  <c r="T215" i="1" s="1"/>
  <c r="K215" i="1"/>
  <c r="L203" i="1"/>
  <c r="T203" i="1" s="1"/>
  <c r="K203" i="1"/>
  <c r="L131" i="1"/>
  <c r="T131" i="1" s="1"/>
  <c r="K131" i="1"/>
  <c r="L107" i="1"/>
  <c r="T107" i="1" s="1"/>
  <c r="K107" i="1"/>
  <c r="L63" i="1"/>
  <c r="T63" i="1" s="1"/>
  <c r="K63" i="1"/>
  <c r="L35" i="1"/>
  <c r="T35" i="1" s="1"/>
  <c r="K35" i="1"/>
  <c r="L3" i="1"/>
  <c r="T3" i="1" s="1"/>
  <c r="K3" i="1"/>
  <c r="L234" i="1"/>
  <c r="T234" i="1" s="1"/>
  <c r="K234" i="1"/>
  <c r="L182" i="1"/>
  <c r="T182" i="1" s="1"/>
  <c r="K182" i="1"/>
  <c r="L253" i="1"/>
  <c r="T253" i="1" s="1"/>
  <c r="K253" i="1"/>
  <c r="L244" i="1"/>
  <c r="T244" i="1" s="1"/>
  <c r="K244" i="1"/>
  <c r="L232" i="1"/>
  <c r="T232" i="1" s="1"/>
  <c r="K232" i="1"/>
  <c r="L220" i="1"/>
  <c r="T220" i="1" s="1"/>
  <c r="K220" i="1"/>
  <c r="L212" i="1"/>
  <c r="T212" i="1" s="1"/>
  <c r="K212" i="1"/>
  <c r="L208" i="1"/>
  <c r="T208" i="1" s="1"/>
  <c r="K208" i="1"/>
  <c r="L200" i="1"/>
  <c r="T200" i="1" s="1"/>
  <c r="K200" i="1"/>
  <c r="L188" i="1"/>
  <c r="T188" i="1" s="1"/>
  <c r="K188" i="1"/>
  <c r="L180" i="1"/>
  <c r="T180" i="1" s="1"/>
  <c r="K180" i="1"/>
  <c r="L176" i="1"/>
  <c r="T176" i="1" s="1"/>
  <c r="K176" i="1"/>
  <c r="L168" i="1"/>
  <c r="T168" i="1" s="1"/>
  <c r="K168" i="1"/>
  <c r="L156" i="1"/>
  <c r="T156" i="1" s="1"/>
  <c r="K156" i="1"/>
  <c r="L148" i="1"/>
  <c r="T148" i="1" s="1"/>
  <c r="K148" i="1"/>
  <c r="L144" i="1"/>
  <c r="T144" i="1" s="1"/>
  <c r="K144" i="1"/>
  <c r="L136" i="1"/>
  <c r="T136" i="1" s="1"/>
  <c r="K136" i="1"/>
  <c r="L124" i="1"/>
  <c r="T124" i="1" s="1"/>
  <c r="K124" i="1"/>
  <c r="L116" i="1"/>
  <c r="T116" i="1" s="1"/>
  <c r="K116" i="1"/>
  <c r="L112" i="1"/>
  <c r="T112" i="1" s="1"/>
  <c r="K112" i="1"/>
  <c r="L104" i="1"/>
  <c r="T104" i="1" s="1"/>
  <c r="K104" i="1"/>
  <c r="L92" i="1"/>
  <c r="T92" i="1" s="1"/>
  <c r="K92" i="1"/>
  <c r="L84" i="1"/>
  <c r="T84" i="1" s="1"/>
  <c r="K84" i="1"/>
  <c r="L80" i="1"/>
  <c r="T80" i="1" s="1"/>
  <c r="K80" i="1"/>
  <c r="L72" i="1"/>
  <c r="T72" i="1" s="1"/>
  <c r="K72" i="1"/>
  <c r="L60" i="1"/>
  <c r="T60" i="1" s="1"/>
  <c r="K60" i="1"/>
  <c r="L52" i="1"/>
  <c r="T52" i="1" s="1"/>
  <c r="K52" i="1"/>
  <c r="L48" i="1"/>
  <c r="T48" i="1" s="1"/>
  <c r="K48" i="1"/>
  <c r="L40" i="1"/>
  <c r="T40" i="1" s="1"/>
  <c r="K40" i="1"/>
  <c r="L28" i="1"/>
  <c r="T28" i="1" s="1"/>
  <c r="K28" i="1"/>
  <c r="L20" i="1"/>
  <c r="T20" i="1" s="1"/>
  <c r="K20" i="1"/>
  <c r="L16" i="1"/>
  <c r="T16" i="1" s="1"/>
  <c r="K16" i="1"/>
  <c r="L8" i="1"/>
  <c r="T8" i="1" s="1"/>
  <c r="K8" i="1"/>
  <c r="K198" i="1"/>
  <c r="L198" i="1"/>
  <c r="T198" i="1" s="1"/>
  <c r="L174" i="1"/>
  <c r="T174" i="1" s="1"/>
  <c r="K174" i="1"/>
  <c r="K142" i="1"/>
  <c r="L142" i="1"/>
  <c r="T142" i="1" s="1"/>
  <c r="L122" i="1"/>
  <c r="T122" i="1" s="1"/>
  <c r="K122" i="1"/>
  <c r="L257" i="1"/>
  <c r="T257" i="1" s="1"/>
  <c r="K257" i="1"/>
  <c r="L217" i="1"/>
  <c r="T217" i="1" s="1"/>
  <c r="K217" i="1"/>
  <c r="K193" i="1"/>
  <c r="L193" i="1"/>
  <c r="T193" i="1" s="1"/>
  <c r="L165" i="1"/>
  <c r="T165" i="1" s="1"/>
  <c r="K165" i="1"/>
  <c r="K133" i="1"/>
  <c r="L133" i="1"/>
  <c r="T133" i="1" s="1"/>
  <c r="L109" i="1"/>
  <c r="T109" i="1" s="1"/>
  <c r="K109" i="1"/>
  <c r="L65" i="1"/>
  <c r="T65" i="1" s="1"/>
  <c r="K65" i="1"/>
  <c r="K33" i="1"/>
  <c r="L33" i="1"/>
  <c r="T33" i="1" s="1"/>
  <c r="L255" i="1"/>
  <c r="T255" i="1" s="1"/>
  <c r="K255" i="1"/>
  <c r="L223" i="1"/>
  <c r="T223" i="1" s="1"/>
  <c r="K223" i="1"/>
  <c r="L191" i="1"/>
  <c r="T191" i="1" s="1"/>
  <c r="K191" i="1"/>
  <c r="L171" i="1"/>
  <c r="T171" i="1" s="1"/>
  <c r="K171" i="1"/>
  <c r="L151" i="1"/>
  <c r="T151" i="1" s="1"/>
  <c r="K151" i="1"/>
  <c r="L139" i="1"/>
  <c r="T139" i="1" s="1"/>
  <c r="K139" i="1"/>
  <c r="L119" i="1"/>
  <c r="T119" i="1" s="1"/>
  <c r="K119" i="1"/>
  <c r="L95" i="1"/>
  <c r="T95" i="1" s="1"/>
  <c r="K95" i="1"/>
  <c r="L75" i="1"/>
  <c r="T75" i="1" s="1"/>
  <c r="K75" i="1"/>
  <c r="L31" i="1"/>
  <c r="T31" i="1" s="1"/>
  <c r="K31" i="1"/>
  <c r="L246" i="1"/>
  <c r="T246" i="1" s="1"/>
  <c r="K246" i="1"/>
  <c r="L222" i="1"/>
  <c r="T222" i="1" s="1"/>
  <c r="K222" i="1"/>
  <c r="K214" i="1"/>
  <c r="L214" i="1"/>
  <c r="T214" i="1" s="1"/>
  <c r="L190" i="1"/>
  <c r="T190" i="1" s="1"/>
  <c r="K190" i="1"/>
  <c r="K241" i="1"/>
  <c r="L241" i="1"/>
  <c r="T241" i="1" s="1"/>
  <c r="L252" i="1"/>
  <c r="T252" i="1" s="1"/>
  <c r="K252" i="1"/>
  <c r="L240" i="1"/>
  <c r="T240" i="1" s="1"/>
  <c r="K240" i="1"/>
  <c r="L251" i="1"/>
  <c r="T251" i="1" s="1"/>
  <c r="K251" i="1"/>
  <c r="K243" i="1"/>
  <c r="L243" i="1"/>
  <c r="T243" i="1" s="1"/>
  <c r="L239" i="1"/>
  <c r="T239" i="1" s="1"/>
  <c r="K239" i="1"/>
  <c r="L231" i="1"/>
  <c r="T231" i="1" s="1"/>
  <c r="K231" i="1"/>
  <c r="K219" i="1"/>
  <c r="L219" i="1"/>
  <c r="T219" i="1" s="1"/>
  <c r="L211" i="1"/>
  <c r="T211" i="1" s="1"/>
  <c r="K211" i="1"/>
  <c r="K207" i="1"/>
  <c r="L207" i="1"/>
  <c r="T207" i="1" s="1"/>
  <c r="L199" i="1"/>
  <c r="T199" i="1" s="1"/>
  <c r="K199" i="1"/>
  <c r="L187" i="1"/>
  <c r="T187" i="1" s="1"/>
  <c r="K187" i="1"/>
  <c r="L179" i="1"/>
  <c r="T179" i="1" s="1"/>
  <c r="K179" i="1"/>
  <c r="K175" i="1"/>
  <c r="L175" i="1"/>
  <c r="T175" i="1" s="1"/>
  <c r="K167" i="1"/>
  <c r="L167" i="1"/>
  <c r="T167" i="1" s="1"/>
  <c r="K155" i="1"/>
  <c r="L155" i="1"/>
  <c r="T155" i="1" s="1"/>
  <c r="L147" i="1"/>
  <c r="T147" i="1" s="1"/>
  <c r="K147" i="1"/>
  <c r="K143" i="1"/>
  <c r="L143" i="1"/>
  <c r="T143" i="1" s="1"/>
  <c r="L135" i="1"/>
  <c r="T135" i="1" s="1"/>
  <c r="K135" i="1"/>
  <c r="K123" i="1"/>
  <c r="L123" i="1"/>
  <c r="T123" i="1" s="1"/>
  <c r="L115" i="1"/>
  <c r="T115" i="1" s="1"/>
  <c r="K115" i="1"/>
  <c r="L111" i="1"/>
  <c r="T111" i="1" s="1"/>
  <c r="K111" i="1"/>
  <c r="K103" i="1"/>
  <c r="L103" i="1"/>
  <c r="T103" i="1" s="1"/>
  <c r="K91" i="1"/>
  <c r="L91" i="1"/>
  <c r="T91" i="1" s="1"/>
  <c r="L83" i="1"/>
  <c r="T83" i="1" s="1"/>
  <c r="K83" i="1"/>
  <c r="L79" i="1"/>
  <c r="T79" i="1" s="1"/>
  <c r="K79" i="1"/>
  <c r="K71" i="1"/>
  <c r="L71" i="1"/>
  <c r="T71" i="1" s="1"/>
  <c r="L59" i="1"/>
  <c r="T59" i="1" s="1"/>
  <c r="K59" i="1"/>
  <c r="L51" i="1"/>
  <c r="T51" i="1" s="1"/>
  <c r="K51" i="1"/>
  <c r="L47" i="1"/>
  <c r="T47" i="1" s="1"/>
  <c r="K47" i="1"/>
  <c r="L39" i="1"/>
  <c r="T39" i="1" s="1"/>
  <c r="K39" i="1"/>
  <c r="L27" i="1"/>
  <c r="T27" i="1" s="1"/>
  <c r="K27" i="1"/>
  <c r="L19" i="1"/>
  <c r="T19" i="1" s="1"/>
  <c r="K19" i="1"/>
  <c r="L15" i="1"/>
  <c r="T15" i="1" s="1"/>
  <c r="K15" i="1"/>
  <c r="L7" i="1"/>
  <c r="T7" i="1" s="1"/>
  <c r="K7" i="1"/>
  <c r="O27" i="1" l="1"/>
  <c r="O59" i="1"/>
  <c r="O187" i="1"/>
  <c r="O251" i="1"/>
  <c r="O190" i="1"/>
  <c r="O31" i="1"/>
  <c r="O139" i="1"/>
  <c r="O223" i="1"/>
  <c r="O109" i="1"/>
  <c r="O217" i="1"/>
  <c r="O174" i="1"/>
  <c r="O20" i="1"/>
  <c r="O52" i="1"/>
  <c r="O84" i="1"/>
  <c r="O116" i="1"/>
  <c r="O148" i="1"/>
  <c r="O180" i="1"/>
  <c r="O212" i="1"/>
  <c r="O253" i="1"/>
  <c r="O35" i="1"/>
  <c r="O203" i="1"/>
  <c r="O69" i="1"/>
  <c r="O6" i="1"/>
  <c r="O9" i="1"/>
  <c r="O73" i="1"/>
  <c r="O169" i="1"/>
  <c r="O201" i="1"/>
  <c r="O233" i="1"/>
  <c r="O254" i="1"/>
  <c r="O87" i="1"/>
  <c r="O247" i="1"/>
  <c r="O225" i="1"/>
  <c r="O70" i="1"/>
  <c r="O30" i="1"/>
  <c r="O62" i="1"/>
  <c r="O94" i="1"/>
  <c r="O23" i="1"/>
  <c r="O163" i="1"/>
  <c r="O57" i="1"/>
  <c r="O154" i="1"/>
  <c r="O12" i="1"/>
  <c r="O76" i="1"/>
  <c r="O108" i="1"/>
  <c r="O140" i="1"/>
  <c r="O172" i="1"/>
  <c r="O204" i="1"/>
  <c r="O236" i="1"/>
  <c r="O121" i="1"/>
  <c r="O14" i="1"/>
  <c r="O38" i="1"/>
  <c r="O230" i="1"/>
  <c r="O89" i="1"/>
  <c r="O82" i="1"/>
  <c r="O185" i="1"/>
  <c r="O25" i="1"/>
  <c r="O157" i="1"/>
  <c r="O68" i="1"/>
  <c r="O189" i="1"/>
  <c r="O218" i="1"/>
  <c r="O114" i="1"/>
  <c r="O146" i="1"/>
  <c r="O135" i="1"/>
  <c r="O243" i="1"/>
  <c r="O238" i="1"/>
  <c r="O199" i="1"/>
  <c r="O231" i="1"/>
  <c r="O81" i="1"/>
  <c r="O145" i="1"/>
  <c r="O177" i="1"/>
  <c r="O11" i="1"/>
  <c r="O159" i="1"/>
  <c r="O45" i="1"/>
  <c r="O249" i="1"/>
  <c r="O2" i="1"/>
  <c r="O34" i="1"/>
  <c r="O66" i="1"/>
  <c r="O98" i="1"/>
  <c r="O55" i="1"/>
  <c r="O195" i="1"/>
  <c r="O24" i="1"/>
  <c r="O88" i="1"/>
  <c r="O120" i="1"/>
  <c r="O152" i="1"/>
  <c r="O193" i="1"/>
  <c r="O15" i="1"/>
  <c r="O47" i="1"/>
  <c r="O79" i="1"/>
  <c r="O111" i="1"/>
  <c r="O239" i="1"/>
  <c r="O252" i="1"/>
  <c r="O222" i="1"/>
  <c r="O95" i="1"/>
  <c r="O171" i="1"/>
  <c r="O165" i="1"/>
  <c r="O122" i="1"/>
  <c r="O8" i="1"/>
  <c r="O40" i="1"/>
  <c r="O72" i="1"/>
  <c r="O104" i="1"/>
  <c r="O136" i="1"/>
  <c r="O168" i="1"/>
  <c r="O200" i="1"/>
  <c r="O232" i="1"/>
  <c r="O234" i="1"/>
  <c r="O107" i="1"/>
  <c r="O13" i="1"/>
  <c r="O153" i="1"/>
  <c r="O78" i="1"/>
  <c r="O210" i="1"/>
  <c r="O21" i="1"/>
  <c r="O53" i="1"/>
  <c r="O117" i="1"/>
  <c r="O149" i="1"/>
  <c r="O181" i="1"/>
  <c r="O202" i="1"/>
  <c r="O43" i="1"/>
  <c r="O183" i="1"/>
  <c r="O173" i="1"/>
  <c r="O26" i="1"/>
  <c r="O10" i="1"/>
  <c r="O42" i="1"/>
  <c r="O138" i="1"/>
  <c r="O170" i="1"/>
  <c r="O99" i="1"/>
  <c r="O235" i="1"/>
  <c r="O161" i="1"/>
  <c r="O32" i="1"/>
  <c r="O96" i="1"/>
  <c r="O128" i="1"/>
  <c r="O160" i="1"/>
  <c r="O192" i="1"/>
  <c r="O224" i="1"/>
  <c r="O256" i="1"/>
  <c r="O110" i="1"/>
  <c r="O241" i="1"/>
  <c r="O237" i="1"/>
  <c r="O142" i="1"/>
  <c r="O102" i="1"/>
  <c r="O71" i="1"/>
  <c r="O103" i="1"/>
  <c r="O167" i="1"/>
  <c r="O214" i="1"/>
  <c r="O133" i="1"/>
  <c r="O198" i="1"/>
  <c r="O7" i="1"/>
  <c r="O39" i="1"/>
  <c r="O240" i="1"/>
  <c r="O75" i="1"/>
  <c r="O151" i="1"/>
  <c r="O255" i="1"/>
  <c r="O257" i="1"/>
  <c r="O28" i="1"/>
  <c r="O60" i="1"/>
  <c r="O92" i="1"/>
  <c r="O124" i="1"/>
  <c r="O156" i="1"/>
  <c r="O188" i="1"/>
  <c r="O220" i="1"/>
  <c r="O182" i="1"/>
  <c r="O63" i="1"/>
  <c r="O215" i="1"/>
  <c r="O58" i="1"/>
  <c r="O178" i="1"/>
  <c r="O17" i="1"/>
  <c r="O49" i="1"/>
  <c r="O184" i="1"/>
  <c r="O216" i="1"/>
  <c r="O248" i="1"/>
  <c r="O113" i="1"/>
  <c r="O209" i="1"/>
  <c r="O245" i="1"/>
  <c r="O141" i="1"/>
  <c r="O166" i="1"/>
  <c r="O130" i="1"/>
  <c r="O162" i="1"/>
  <c r="O101" i="1"/>
  <c r="O46" i="1"/>
  <c r="O206" i="1"/>
  <c r="O56" i="1"/>
  <c r="O143" i="1"/>
  <c r="O175" i="1"/>
  <c r="O207" i="1"/>
  <c r="O33" i="1"/>
  <c r="O85" i="1"/>
  <c r="O213" i="1"/>
  <c r="O77" i="1"/>
  <c r="O186" i="1"/>
  <c r="O74" i="1"/>
  <c r="O106" i="1"/>
  <c r="O90" i="1"/>
  <c r="O250" i="1"/>
  <c r="O64" i="1"/>
  <c r="O229" i="1"/>
  <c r="O19" i="1"/>
  <c r="O51" i="1"/>
  <c r="O83" i="1"/>
  <c r="O115" i="1"/>
  <c r="O147" i="1"/>
  <c r="O179" i="1"/>
  <c r="O211" i="1"/>
  <c r="O246" i="1"/>
  <c r="O119" i="1"/>
  <c r="O191" i="1"/>
  <c r="O65" i="1"/>
  <c r="O16" i="1"/>
  <c r="O48" i="1"/>
  <c r="O80" i="1"/>
  <c r="O112" i="1"/>
  <c r="O144" i="1"/>
  <c r="O176" i="1"/>
  <c r="O208" i="1"/>
  <c r="O244" i="1"/>
  <c r="O3" i="1"/>
  <c r="O131" i="1"/>
  <c r="O37" i="1"/>
  <c r="O29" i="1"/>
  <c r="O61" i="1"/>
  <c r="O93" i="1"/>
  <c r="O125" i="1"/>
  <c r="O221" i="1"/>
  <c r="O226" i="1"/>
  <c r="O67" i="1"/>
  <c r="O227" i="1"/>
  <c r="O97" i="1"/>
  <c r="O197" i="1"/>
  <c r="O50" i="1"/>
  <c r="O22" i="1"/>
  <c r="O54" i="1"/>
  <c r="O86" i="1"/>
  <c r="O118" i="1"/>
  <c r="O150" i="1"/>
  <c r="O194" i="1"/>
  <c r="O127" i="1"/>
  <c r="O205" i="1"/>
  <c r="O4" i="1"/>
  <c r="O36" i="1"/>
  <c r="O100" i="1"/>
  <c r="O132" i="1"/>
  <c r="O164" i="1"/>
  <c r="O196" i="1"/>
  <c r="O228" i="1"/>
  <c r="O5" i="1"/>
  <c r="O18" i="1"/>
  <c r="O91" i="1"/>
  <c r="O123" i="1"/>
  <c r="O155" i="1"/>
  <c r="O219" i="1"/>
  <c r="O134" i="1"/>
  <c r="O41" i="1"/>
  <c r="O105" i="1"/>
  <c r="O137" i="1"/>
  <c r="O129" i="1"/>
  <c r="O242" i="1"/>
  <c r="O126" i="1"/>
  <c r="O158" i="1"/>
  <c r="O44" i="1"/>
  <c r="N251" i="1"/>
  <c r="N31" i="1"/>
  <c r="N20" i="1"/>
  <c r="N148" i="1"/>
  <c r="N35" i="1"/>
  <c r="N69" i="1"/>
  <c r="N19" i="1"/>
  <c r="N147" i="1"/>
  <c r="N119" i="1"/>
  <c r="N191" i="1"/>
  <c r="N47" i="1"/>
  <c r="N252" i="1"/>
  <c r="N122" i="1"/>
  <c r="N72" i="1"/>
  <c r="N200" i="1"/>
  <c r="N232" i="1"/>
  <c r="N65" i="1"/>
  <c r="N48" i="1"/>
  <c r="N176" i="1"/>
  <c r="N131" i="1"/>
  <c r="N29" i="1"/>
  <c r="N199" i="1"/>
  <c r="N124" i="1"/>
  <c r="N182" i="1"/>
  <c r="N215" i="1"/>
  <c r="N53" i="1"/>
  <c r="N81" i="1"/>
  <c r="N181" i="1"/>
  <c r="N233" i="1"/>
  <c r="N226" i="1"/>
  <c r="N67" i="1"/>
  <c r="N183" i="1"/>
  <c r="N225" i="1"/>
  <c r="N70" i="1"/>
  <c r="N10" i="1"/>
  <c r="N34" i="1"/>
  <c r="N62" i="1"/>
  <c r="N86" i="1"/>
  <c r="N138" i="1"/>
  <c r="N23" i="1"/>
  <c r="N163" i="1"/>
  <c r="N57" i="1"/>
  <c r="N108" i="1"/>
  <c r="N132" i="1"/>
  <c r="N160" i="1"/>
  <c r="N184" i="1"/>
  <c r="N236" i="1"/>
  <c r="N5" i="1"/>
  <c r="N38" i="1"/>
  <c r="N7" i="1"/>
  <c r="N59" i="1"/>
  <c r="N83" i="1"/>
  <c r="N111" i="1"/>
  <c r="N135" i="1"/>
  <c r="N187" i="1"/>
  <c r="N211" i="1"/>
  <c r="N239" i="1"/>
  <c r="N246" i="1"/>
  <c r="N75" i="1"/>
  <c r="N151" i="1"/>
  <c r="N255" i="1"/>
  <c r="N257" i="1"/>
  <c r="N174" i="1"/>
  <c r="N8" i="1"/>
  <c r="N60" i="1"/>
  <c r="N84" i="1"/>
  <c r="N112" i="1"/>
  <c r="N136" i="1"/>
  <c r="N188" i="1"/>
  <c r="N212" i="1"/>
  <c r="N234" i="1"/>
  <c r="N13" i="1"/>
  <c r="N78" i="1"/>
  <c r="N178" i="1"/>
  <c r="N17" i="1"/>
  <c r="N93" i="1"/>
  <c r="N117" i="1"/>
  <c r="N145" i="1"/>
  <c r="N169" i="1"/>
  <c r="N221" i="1"/>
  <c r="N11" i="1"/>
  <c r="N227" i="1"/>
  <c r="N173" i="1"/>
  <c r="N26" i="1"/>
  <c r="N22" i="1"/>
  <c r="N98" i="1"/>
  <c r="N150" i="1"/>
  <c r="N194" i="1"/>
  <c r="N99" i="1"/>
  <c r="N235" i="1"/>
  <c r="N161" i="1"/>
  <c r="N96" i="1"/>
  <c r="N120" i="1"/>
  <c r="N172" i="1"/>
  <c r="N196" i="1"/>
  <c r="N224" i="1"/>
  <c r="N248" i="1"/>
  <c r="N110" i="1"/>
  <c r="N198" i="1"/>
  <c r="N25" i="1"/>
  <c r="N167" i="1"/>
  <c r="N243" i="1"/>
  <c r="N102" i="1"/>
  <c r="N166" i="1"/>
  <c r="N90" i="1"/>
  <c r="N4" i="1"/>
  <c r="N32" i="1"/>
  <c r="N106" i="1"/>
  <c r="N158" i="1"/>
  <c r="N91" i="1"/>
  <c r="N143" i="1"/>
  <c r="N219" i="1"/>
  <c r="N33" i="1"/>
  <c r="N130" i="1"/>
  <c r="N250" i="1"/>
  <c r="N146" i="1"/>
  <c r="N27" i="1"/>
  <c r="N51" i="1"/>
  <c r="N79" i="1"/>
  <c r="N179" i="1"/>
  <c r="N231" i="1"/>
  <c r="N222" i="1"/>
  <c r="N139" i="1"/>
  <c r="N223" i="1"/>
  <c r="N109" i="1"/>
  <c r="N217" i="1"/>
  <c r="N28" i="1"/>
  <c r="N52" i="1"/>
  <c r="N80" i="1"/>
  <c r="N104" i="1"/>
  <c r="N156" i="1"/>
  <c r="N180" i="1"/>
  <c r="N208" i="1"/>
  <c r="N244" i="1"/>
  <c r="N63" i="1"/>
  <c r="N58" i="1"/>
  <c r="N9" i="1"/>
  <c r="N61" i="1"/>
  <c r="N254" i="1"/>
  <c r="N87" i="1"/>
  <c r="N45" i="1"/>
  <c r="N249" i="1"/>
  <c r="N42" i="1"/>
  <c r="N66" i="1"/>
  <c r="N94" i="1"/>
  <c r="N118" i="1"/>
  <c r="N170" i="1"/>
  <c r="N55" i="1"/>
  <c r="N195" i="1"/>
  <c r="N14" i="1"/>
  <c r="N154" i="1"/>
  <c r="N12" i="1"/>
  <c r="N36" i="1"/>
  <c r="N88" i="1"/>
  <c r="N140" i="1"/>
  <c r="N164" i="1"/>
  <c r="N192" i="1"/>
  <c r="N216" i="1"/>
  <c r="N230" i="1"/>
  <c r="N46" i="1"/>
  <c r="N206" i="1"/>
  <c r="N15" i="1"/>
  <c r="N39" i="1"/>
  <c r="N115" i="1"/>
  <c r="N240" i="1"/>
  <c r="N190" i="1"/>
  <c r="N95" i="1"/>
  <c r="N171" i="1"/>
  <c r="N165" i="1"/>
  <c r="N16" i="1"/>
  <c r="N40" i="1"/>
  <c r="N92" i="1"/>
  <c r="N116" i="1"/>
  <c r="N144" i="1"/>
  <c r="N168" i="1"/>
  <c r="N220" i="1"/>
  <c r="N253" i="1"/>
  <c r="N3" i="1"/>
  <c r="N107" i="1"/>
  <c r="N203" i="1"/>
  <c r="N37" i="1"/>
  <c r="N153" i="1"/>
  <c r="N6" i="1"/>
  <c r="N210" i="1"/>
  <c r="N21" i="1"/>
  <c r="N49" i="1"/>
  <c r="N73" i="1"/>
  <c r="N125" i="1"/>
  <c r="N149" i="1"/>
  <c r="N177" i="1"/>
  <c r="N201" i="1"/>
  <c r="N202" i="1"/>
  <c r="N43" i="1"/>
  <c r="N159" i="1"/>
  <c r="N247" i="1"/>
  <c r="N97" i="1"/>
  <c r="N197" i="1"/>
  <c r="N50" i="1"/>
  <c r="N2" i="1"/>
  <c r="N30" i="1"/>
  <c r="N54" i="1"/>
  <c r="N127" i="1"/>
  <c r="N205" i="1"/>
  <c r="N24" i="1"/>
  <c r="N76" i="1"/>
  <c r="N100" i="1"/>
  <c r="N128" i="1"/>
  <c r="N152" i="1"/>
  <c r="N204" i="1"/>
  <c r="N228" i="1"/>
  <c r="N256" i="1"/>
  <c r="N121" i="1"/>
  <c r="N18" i="1"/>
  <c r="N74" i="1"/>
  <c r="N77" i="1"/>
  <c r="N175" i="1"/>
  <c r="N214" i="1"/>
  <c r="N157" i="1"/>
  <c r="N209" i="1"/>
  <c r="N129" i="1"/>
  <c r="N186" i="1"/>
  <c r="N162" i="1"/>
  <c r="N114" i="1"/>
  <c r="N56" i="1"/>
  <c r="N133" i="1"/>
  <c r="N237" i="1"/>
  <c r="N44" i="1"/>
  <c r="N68" i="1"/>
  <c r="N229" i="1"/>
  <c r="N71" i="1"/>
  <c r="N123" i="1"/>
  <c r="N238" i="1"/>
  <c r="N105" i="1"/>
  <c r="N41" i="1"/>
  <c r="N242" i="1"/>
  <c r="N126" i="1"/>
  <c r="N193" i="1"/>
  <c r="N134" i="1"/>
  <c r="N103" i="1"/>
  <c r="N155" i="1"/>
  <c r="N207" i="1"/>
  <c r="N241" i="1"/>
  <c r="N142" i="1"/>
  <c r="N89" i="1"/>
  <c r="N85" i="1"/>
  <c r="N113" i="1"/>
  <c r="N137" i="1"/>
  <c r="N189" i="1"/>
  <c r="N213" i="1"/>
  <c r="N245" i="1"/>
  <c r="N141" i="1"/>
  <c r="N218" i="1"/>
  <c r="N101" i="1"/>
  <c r="N64" i="1"/>
  <c r="N185" i="1"/>
  <c r="N82" i="1"/>
  <c r="E2" i="13" l="1"/>
  <c r="E4" i="13"/>
  <c r="B4" i="13"/>
  <c r="C3" i="13"/>
  <c r="E5" i="13"/>
  <c r="B3" i="13"/>
  <c r="E3" i="13"/>
  <c r="C5" i="13"/>
  <c r="D3" i="13"/>
  <c r="D2" i="13"/>
  <c r="D4" i="13"/>
  <c r="D5" i="13"/>
  <c r="C4" i="13"/>
  <c r="B5" i="13"/>
  <c r="B2" i="13"/>
  <c r="C2" i="13"/>
  <c r="P85" i="1"/>
  <c r="Q85" i="1"/>
  <c r="R85" i="1"/>
  <c r="S85" i="1"/>
  <c r="P186" i="1"/>
  <c r="Q186" i="1"/>
  <c r="R186" i="1"/>
  <c r="S186" i="1"/>
  <c r="P197" i="1"/>
  <c r="Q197" i="1"/>
  <c r="R197" i="1"/>
  <c r="S197" i="1"/>
  <c r="P116" i="1"/>
  <c r="R116" i="1"/>
  <c r="S116" i="1"/>
  <c r="Q116" i="1"/>
  <c r="P192" i="1"/>
  <c r="Q192" i="1"/>
  <c r="R192" i="1"/>
  <c r="S192" i="1"/>
  <c r="P208" i="1"/>
  <c r="Q208" i="1"/>
  <c r="R208" i="1"/>
  <c r="S208" i="1"/>
  <c r="P167" i="1"/>
  <c r="Q167" i="1"/>
  <c r="R167" i="1"/>
  <c r="S167" i="1"/>
  <c r="P117" i="1"/>
  <c r="Q117" i="1"/>
  <c r="R117" i="1"/>
  <c r="S117" i="1"/>
  <c r="P111" i="1"/>
  <c r="Q111" i="1"/>
  <c r="R111" i="1"/>
  <c r="S111" i="1"/>
  <c r="P233" i="1"/>
  <c r="R233" i="1"/>
  <c r="Q233" i="1"/>
  <c r="S233" i="1"/>
  <c r="P122" i="1"/>
  <c r="Q122" i="1"/>
  <c r="R122" i="1"/>
  <c r="S122" i="1"/>
  <c r="P218" i="1"/>
  <c r="Q218" i="1"/>
  <c r="R218" i="1"/>
  <c r="S218" i="1"/>
  <c r="P126" i="1"/>
  <c r="R126" i="1"/>
  <c r="S126" i="1"/>
  <c r="Q126" i="1"/>
  <c r="P121" i="1"/>
  <c r="S121" i="1"/>
  <c r="Q121" i="1"/>
  <c r="R121" i="1"/>
  <c r="P125" i="1"/>
  <c r="Q125" i="1"/>
  <c r="R125" i="1"/>
  <c r="S125" i="1"/>
  <c r="P115" i="1"/>
  <c r="R115" i="1"/>
  <c r="S115" i="1"/>
  <c r="Q115" i="1"/>
  <c r="P87" i="1"/>
  <c r="Q87" i="1"/>
  <c r="R87" i="1"/>
  <c r="S87" i="1"/>
  <c r="P146" i="1"/>
  <c r="Q146" i="1"/>
  <c r="R146" i="1"/>
  <c r="S146" i="1"/>
  <c r="P96" i="1"/>
  <c r="Q96" i="1"/>
  <c r="R96" i="1"/>
  <c r="S96" i="1"/>
  <c r="P151" i="1"/>
  <c r="Q151" i="1"/>
  <c r="R151" i="1"/>
  <c r="S151" i="1"/>
  <c r="P34" i="1"/>
  <c r="Q34" i="1"/>
  <c r="R34" i="1"/>
  <c r="S34" i="1"/>
  <c r="P148" i="1"/>
  <c r="R148" i="1"/>
  <c r="S148" i="1"/>
  <c r="Q148" i="1"/>
  <c r="P142" i="1"/>
  <c r="Q142" i="1"/>
  <c r="S142" i="1"/>
  <c r="R142" i="1"/>
  <c r="P256" i="1"/>
  <c r="R256" i="1"/>
  <c r="S256" i="1"/>
  <c r="Q256" i="1"/>
  <c r="P247" i="1"/>
  <c r="Q247" i="1"/>
  <c r="R247" i="1"/>
  <c r="S247" i="1"/>
  <c r="P140" i="1"/>
  <c r="R140" i="1"/>
  <c r="S140" i="1"/>
  <c r="Q140" i="1"/>
  <c r="P156" i="1"/>
  <c r="R156" i="1"/>
  <c r="S156" i="1"/>
  <c r="Q156" i="1"/>
  <c r="P32" i="1"/>
  <c r="Q32" i="1"/>
  <c r="R32" i="1"/>
  <c r="S32" i="1"/>
  <c r="P173" i="1"/>
  <c r="Q173" i="1"/>
  <c r="R173" i="1"/>
  <c r="S173" i="1"/>
  <c r="P75" i="1"/>
  <c r="Q75" i="1"/>
  <c r="R75" i="1"/>
  <c r="S75" i="1"/>
  <c r="P81" i="1"/>
  <c r="S81" i="1"/>
  <c r="R81" i="1"/>
  <c r="Q81" i="1"/>
  <c r="P47" i="1"/>
  <c r="Q47" i="1"/>
  <c r="R47" i="1"/>
  <c r="S47" i="1"/>
  <c r="P245" i="1"/>
  <c r="S245" i="1"/>
  <c r="Q245" i="1"/>
  <c r="R245" i="1"/>
  <c r="P237" i="1"/>
  <c r="S237" i="1"/>
  <c r="R237" i="1"/>
  <c r="Q237" i="1"/>
  <c r="P127" i="1"/>
  <c r="Q127" i="1"/>
  <c r="R127" i="1"/>
  <c r="S127" i="1"/>
  <c r="P3" i="1"/>
  <c r="Q3" i="1"/>
  <c r="R3" i="1"/>
  <c r="S3" i="1"/>
  <c r="P88" i="1"/>
  <c r="Q88" i="1"/>
  <c r="R88" i="1"/>
  <c r="S88" i="1"/>
  <c r="P104" i="1"/>
  <c r="Q104" i="1"/>
  <c r="R104" i="1"/>
  <c r="S104" i="1"/>
  <c r="P130" i="1"/>
  <c r="Q130" i="1"/>
  <c r="R130" i="1"/>
  <c r="S130" i="1"/>
  <c r="P4" i="1"/>
  <c r="R4" i="1"/>
  <c r="S4" i="1"/>
  <c r="Q4" i="1"/>
  <c r="P110" i="1"/>
  <c r="Q110" i="1"/>
  <c r="R110" i="1"/>
  <c r="S110" i="1"/>
  <c r="P235" i="1"/>
  <c r="Q235" i="1"/>
  <c r="R235" i="1"/>
  <c r="S235" i="1"/>
  <c r="P227" i="1"/>
  <c r="Q227" i="1"/>
  <c r="R227" i="1"/>
  <c r="S227" i="1"/>
  <c r="P178" i="1"/>
  <c r="Q178" i="1"/>
  <c r="R178" i="1"/>
  <c r="S178" i="1"/>
  <c r="P84" i="1"/>
  <c r="R84" i="1"/>
  <c r="S84" i="1"/>
  <c r="Q84" i="1"/>
  <c r="P246" i="1"/>
  <c r="S246" i="1"/>
  <c r="Q246" i="1"/>
  <c r="R246" i="1"/>
  <c r="P7" i="1"/>
  <c r="Q7" i="1"/>
  <c r="R7" i="1"/>
  <c r="S7" i="1"/>
  <c r="P57" i="1"/>
  <c r="S57" i="1"/>
  <c r="Q57" i="1"/>
  <c r="R57" i="1"/>
  <c r="P70" i="1"/>
  <c r="Q70" i="1"/>
  <c r="S70" i="1"/>
  <c r="R70" i="1"/>
  <c r="P53" i="1"/>
  <c r="Q53" i="1"/>
  <c r="R53" i="1"/>
  <c r="S53" i="1"/>
  <c r="P48" i="1"/>
  <c r="Q48" i="1"/>
  <c r="R48" i="1"/>
  <c r="S48" i="1"/>
  <c r="P191" i="1"/>
  <c r="Q191" i="1"/>
  <c r="R191" i="1"/>
  <c r="S191" i="1"/>
  <c r="P31" i="1"/>
  <c r="Q31" i="1"/>
  <c r="R31" i="1"/>
  <c r="S31" i="1"/>
  <c r="P213" i="1"/>
  <c r="Q213" i="1"/>
  <c r="R213" i="1"/>
  <c r="S213" i="1"/>
  <c r="P207" i="1"/>
  <c r="Q207" i="1"/>
  <c r="R207" i="1"/>
  <c r="S207" i="1"/>
  <c r="P105" i="1"/>
  <c r="S105" i="1"/>
  <c r="R105" i="1"/>
  <c r="Q105" i="1"/>
  <c r="P133" i="1"/>
  <c r="Q133" i="1"/>
  <c r="R133" i="1"/>
  <c r="S133" i="1"/>
  <c r="P214" i="1"/>
  <c r="S214" i="1"/>
  <c r="Q214" i="1"/>
  <c r="R214" i="1"/>
  <c r="P204" i="1"/>
  <c r="R204" i="1"/>
  <c r="S204" i="1"/>
  <c r="Q204" i="1"/>
  <c r="P54" i="1"/>
  <c r="Q54" i="1"/>
  <c r="S54" i="1"/>
  <c r="R54" i="1"/>
  <c r="P43" i="1"/>
  <c r="Q43" i="1"/>
  <c r="R43" i="1"/>
  <c r="S43" i="1"/>
  <c r="P21" i="1"/>
  <c r="Q21" i="1"/>
  <c r="R21" i="1"/>
  <c r="S21" i="1"/>
  <c r="P253" i="1"/>
  <c r="S253" i="1"/>
  <c r="Q253" i="1"/>
  <c r="R253" i="1"/>
  <c r="P165" i="1"/>
  <c r="Q165" i="1"/>
  <c r="R165" i="1"/>
  <c r="S165" i="1"/>
  <c r="P206" i="1"/>
  <c r="Q206" i="1"/>
  <c r="R206" i="1"/>
  <c r="S206" i="1"/>
  <c r="P36" i="1"/>
  <c r="R36" i="1"/>
  <c r="S36" i="1"/>
  <c r="Q36" i="1"/>
  <c r="P94" i="1"/>
  <c r="Q94" i="1"/>
  <c r="R94" i="1"/>
  <c r="S94" i="1"/>
  <c r="P9" i="1"/>
  <c r="S9" i="1"/>
  <c r="Q9" i="1"/>
  <c r="R9" i="1"/>
  <c r="P80" i="1"/>
  <c r="Q80" i="1"/>
  <c r="R80" i="1"/>
  <c r="S80" i="1"/>
  <c r="P231" i="1"/>
  <c r="Q231" i="1"/>
  <c r="S231" i="1"/>
  <c r="R231" i="1"/>
  <c r="P33" i="1"/>
  <c r="S33" i="1"/>
  <c r="R33" i="1"/>
  <c r="Q33" i="1"/>
  <c r="P90" i="1"/>
  <c r="Q90" i="1"/>
  <c r="R90" i="1"/>
  <c r="S90" i="1"/>
  <c r="P248" i="1"/>
  <c r="R248" i="1"/>
  <c r="Q248" i="1"/>
  <c r="S248" i="1"/>
  <c r="P99" i="1"/>
  <c r="Q99" i="1"/>
  <c r="R99" i="1"/>
  <c r="S99" i="1"/>
  <c r="P11" i="1"/>
  <c r="Q11" i="1"/>
  <c r="R11" i="1"/>
  <c r="S11" i="1"/>
  <c r="P78" i="1"/>
  <c r="Q78" i="1"/>
  <c r="R78" i="1"/>
  <c r="S78" i="1"/>
  <c r="P60" i="1"/>
  <c r="R60" i="1"/>
  <c r="S60" i="1"/>
  <c r="Q60" i="1"/>
  <c r="P239" i="1"/>
  <c r="Q239" i="1"/>
  <c r="R239" i="1"/>
  <c r="S239" i="1"/>
  <c r="P38" i="1"/>
  <c r="Q38" i="1"/>
  <c r="S38" i="1"/>
  <c r="R38" i="1"/>
  <c r="P163" i="1"/>
  <c r="Q163" i="1"/>
  <c r="R163" i="1"/>
  <c r="S163" i="1"/>
  <c r="P225" i="1"/>
  <c r="S225" i="1"/>
  <c r="R225" i="1"/>
  <c r="Q225" i="1"/>
  <c r="P215" i="1"/>
  <c r="Q215" i="1"/>
  <c r="R215" i="1"/>
  <c r="S215" i="1"/>
  <c r="P65" i="1"/>
  <c r="S65" i="1"/>
  <c r="R65" i="1"/>
  <c r="Q65" i="1"/>
  <c r="P119" i="1"/>
  <c r="Q119" i="1"/>
  <c r="R119" i="1"/>
  <c r="S119" i="1"/>
  <c r="P251" i="1"/>
  <c r="Q251" i="1"/>
  <c r="S251" i="1"/>
  <c r="R251" i="1"/>
  <c r="P101" i="1"/>
  <c r="Q101" i="1"/>
  <c r="R101" i="1"/>
  <c r="S101" i="1"/>
  <c r="P229" i="1"/>
  <c r="Q229" i="1"/>
  <c r="R229" i="1"/>
  <c r="S229" i="1"/>
  <c r="P18" i="1"/>
  <c r="Q18" i="1"/>
  <c r="R18" i="1"/>
  <c r="S18" i="1"/>
  <c r="P149" i="1"/>
  <c r="Q149" i="1"/>
  <c r="R149" i="1"/>
  <c r="S149" i="1"/>
  <c r="P240" i="1"/>
  <c r="R240" i="1"/>
  <c r="Q240" i="1"/>
  <c r="S240" i="1"/>
  <c r="P45" i="1"/>
  <c r="Q45" i="1"/>
  <c r="R45" i="1"/>
  <c r="S45" i="1"/>
  <c r="P27" i="1"/>
  <c r="Q27" i="1"/>
  <c r="R27" i="1"/>
  <c r="S27" i="1"/>
  <c r="P120" i="1"/>
  <c r="Q120" i="1"/>
  <c r="R120" i="1"/>
  <c r="S120" i="1"/>
  <c r="P188" i="1"/>
  <c r="R188" i="1"/>
  <c r="S188" i="1"/>
  <c r="Q188" i="1"/>
  <c r="P160" i="1"/>
  <c r="Q160" i="1"/>
  <c r="R160" i="1"/>
  <c r="S160" i="1"/>
  <c r="P29" i="1"/>
  <c r="Q29" i="1"/>
  <c r="R29" i="1"/>
  <c r="S29" i="1"/>
  <c r="P89" i="1"/>
  <c r="S89" i="1"/>
  <c r="Q89" i="1"/>
  <c r="R89" i="1"/>
  <c r="P129" i="1"/>
  <c r="S129" i="1"/>
  <c r="R129" i="1"/>
  <c r="Q129" i="1"/>
  <c r="P97" i="1"/>
  <c r="S97" i="1"/>
  <c r="R97" i="1"/>
  <c r="Q97" i="1"/>
  <c r="P92" i="1"/>
  <c r="R92" i="1"/>
  <c r="S92" i="1"/>
  <c r="Q92" i="1"/>
  <c r="P55" i="1"/>
  <c r="Q55" i="1"/>
  <c r="R55" i="1"/>
  <c r="S55" i="1"/>
  <c r="P223" i="1"/>
  <c r="Q223" i="1"/>
  <c r="R223" i="1"/>
  <c r="S223" i="1"/>
  <c r="P106" i="1"/>
  <c r="Q106" i="1"/>
  <c r="R106" i="1"/>
  <c r="S106" i="1"/>
  <c r="P93" i="1"/>
  <c r="Q93" i="1"/>
  <c r="R93" i="1"/>
  <c r="S93" i="1"/>
  <c r="P83" i="1"/>
  <c r="Q83" i="1"/>
  <c r="S83" i="1"/>
  <c r="R83" i="1"/>
  <c r="P181" i="1"/>
  <c r="Q181" i="1"/>
  <c r="R181" i="1"/>
  <c r="S181" i="1"/>
  <c r="P131" i="1"/>
  <c r="S131" i="1"/>
  <c r="Q131" i="1"/>
  <c r="R131" i="1"/>
  <c r="P242" i="1"/>
  <c r="R242" i="1"/>
  <c r="S242" i="1"/>
  <c r="Q242" i="1"/>
  <c r="P209" i="1"/>
  <c r="S209" i="1"/>
  <c r="R209" i="1"/>
  <c r="Q209" i="1"/>
  <c r="P73" i="1"/>
  <c r="S73" i="1"/>
  <c r="Q73" i="1"/>
  <c r="R73" i="1"/>
  <c r="P40" i="1"/>
  <c r="Q40" i="1"/>
  <c r="R40" i="1"/>
  <c r="S40" i="1"/>
  <c r="P170" i="1"/>
  <c r="Q170" i="1"/>
  <c r="R170" i="1"/>
  <c r="S170" i="1"/>
  <c r="P139" i="1"/>
  <c r="Q139" i="1"/>
  <c r="R139" i="1"/>
  <c r="S139" i="1"/>
  <c r="P198" i="1"/>
  <c r="S198" i="1"/>
  <c r="Q198" i="1"/>
  <c r="R198" i="1"/>
  <c r="P17" i="1"/>
  <c r="S17" i="1"/>
  <c r="R17" i="1"/>
  <c r="Q17" i="1"/>
  <c r="P59" i="1"/>
  <c r="Q59" i="1"/>
  <c r="R59" i="1"/>
  <c r="S59" i="1"/>
  <c r="P10" i="1"/>
  <c r="Q10" i="1"/>
  <c r="R10" i="1"/>
  <c r="S10" i="1"/>
  <c r="P176" i="1"/>
  <c r="Q176" i="1"/>
  <c r="R176" i="1"/>
  <c r="S176" i="1"/>
  <c r="P241" i="1"/>
  <c r="R241" i="1"/>
  <c r="Q241" i="1"/>
  <c r="S241" i="1"/>
  <c r="P157" i="1"/>
  <c r="Q157" i="1"/>
  <c r="R157" i="1"/>
  <c r="S157" i="1"/>
  <c r="P49" i="1"/>
  <c r="S49" i="1"/>
  <c r="R49" i="1"/>
  <c r="Q49" i="1"/>
  <c r="P15" i="1"/>
  <c r="Q15" i="1"/>
  <c r="R15" i="1"/>
  <c r="S15" i="1"/>
  <c r="P118" i="1"/>
  <c r="Q118" i="1"/>
  <c r="S118" i="1"/>
  <c r="R118" i="1"/>
  <c r="P222" i="1"/>
  <c r="S222" i="1"/>
  <c r="Q222" i="1"/>
  <c r="R222" i="1"/>
  <c r="P189" i="1"/>
  <c r="Q189" i="1"/>
  <c r="R189" i="1"/>
  <c r="S189" i="1"/>
  <c r="P238" i="1"/>
  <c r="S238" i="1"/>
  <c r="Q238" i="1"/>
  <c r="R238" i="1"/>
  <c r="P175" i="1"/>
  <c r="Q175" i="1"/>
  <c r="R175" i="1"/>
  <c r="S175" i="1"/>
  <c r="P30" i="1"/>
  <c r="Q30" i="1"/>
  <c r="R30" i="1"/>
  <c r="S30" i="1"/>
  <c r="P210" i="1"/>
  <c r="Q210" i="1"/>
  <c r="R210" i="1"/>
  <c r="S210" i="1"/>
  <c r="P171" i="1"/>
  <c r="Q171" i="1"/>
  <c r="R171" i="1"/>
  <c r="S171" i="1"/>
  <c r="P12" i="1"/>
  <c r="R12" i="1"/>
  <c r="S12" i="1"/>
  <c r="Q12" i="1"/>
  <c r="P58" i="1"/>
  <c r="Q58" i="1"/>
  <c r="R58" i="1"/>
  <c r="S58" i="1"/>
  <c r="P179" i="1"/>
  <c r="Q179" i="1"/>
  <c r="R179" i="1"/>
  <c r="S179" i="1"/>
  <c r="P224" i="1"/>
  <c r="Q224" i="1"/>
  <c r="R224" i="1"/>
  <c r="S224" i="1"/>
  <c r="P194" i="1"/>
  <c r="Q194" i="1"/>
  <c r="R194" i="1"/>
  <c r="S194" i="1"/>
  <c r="P13" i="1"/>
  <c r="Q13" i="1"/>
  <c r="R13" i="1"/>
  <c r="S13" i="1"/>
  <c r="P211" i="1"/>
  <c r="Q211" i="1"/>
  <c r="S211" i="1"/>
  <c r="R211" i="1"/>
  <c r="P23" i="1"/>
  <c r="Q23" i="1"/>
  <c r="R23" i="1"/>
  <c r="S23" i="1"/>
  <c r="P182" i="1"/>
  <c r="S182" i="1"/>
  <c r="Q182" i="1"/>
  <c r="R182" i="1"/>
  <c r="P147" i="1"/>
  <c r="Q147" i="1"/>
  <c r="R147" i="1"/>
  <c r="S147" i="1"/>
  <c r="P185" i="1"/>
  <c r="S185" i="1"/>
  <c r="Q185" i="1"/>
  <c r="R185" i="1"/>
  <c r="P137" i="1"/>
  <c r="S137" i="1"/>
  <c r="Q137" i="1"/>
  <c r="R137" i="1"/>
  <c r="P103" i="1"/>
  <c r="Q103" i="1"/>
  <c r="R103" i="1"/>
  <c r="S103" i="1"/>
  <c r="P123" i="1"/>
  <c r="Q123" i="1"/>
  <c r="R123" i="1"/>
  <c r="S123" i="1"/>
  <c r="P114" i="1"/>
  <c r="Q114" i="1"/>
  <c r="R114" i="1"/>
  <c r="S114" i="1"/>
  <c r="P77" i="1"/>
  <c r="Q77" i="1"/>
  <c r="R77" i="1"/>
  <c r="S77" i="1"/>
  <c r="P128" i="1"/>
  <c r="Q128" i="1"/>
  <c r="R128" i="1"/>
  <c r="S128" i="1"/>
  <c r="P2" i="1"/>
  <c r="Q2" i="1"/>
  <c r="S2" i="1"/>
  <c r="R2" i="1"/>
  <c r="P201" i="1"/>
  <c r="S201" i="1"/>
  <c r="R201" i="1"/>
  <c r="Q201" i="1"/>
  <c r="P6" i="1"/>
  <c r="Q6" i="1"/>
  <c r="S6" i="1"/>
  <c r="R6" i="1"/>
  <c r="P168" i="1"/>
  <c r="Q168" i="1"/>
  <c r="R168" i="1"/>
  <c r="S168" i="1"/>
  <c r="P95" i="1"/>
  <c r="Q95" i="1"/>
  <c r="R95" i="1"/>
  <c r="S95" i="1"/>
  <c r="P230" i="1"/>
  <c r="S230" i="1"/>
  <c r="R230" i="1"/>
  <c r="Q230" i="1"/>
  <c r="P154" i="1"/>
  <c r="Q154" i="1"/>
  <c r="R154" i="1"/>
  <c r="S154" i="1"/>
  <c r="P42" i="1"/>
  <c r="Q42" i="1"/>
  <c r="R42" i="1"/>
  <c r="S42" i="1"/>
  <c r="P63" i="1"/>
  <c r="Q63" i="1"/>
  <c r="R63" i="1"/>
  <c r="S63" i="1"/>
  <c r="P28" i="1"/>
  <c r="R28" i="1"/>
  <c r="S28" i="1"/>
  <c r="Q28" i="1"/>
  <c r="P79" i="1"/>
  <c r="Q79" i="1"/>
  <c r="R79" i="1"/>
  <c r="S79" i="1"/>
  <c r="P143" i="1"/>
  <c r="Q143" i="1"/>
  <c r="R143" i="1"/>
  <c r="S143" i="1"/>
  <c r="P102" i="1"/>
  <c r="Q102" i="1"/>
  <c r="S102" i="1"/>
  <c r="R102" i="1"/>
  <c r="P196" i="1"/>
  <c r="R196" i="1"/>
  <c r="S196" i="1"/>
  <c r="Q196" i="1"/>
  <c r="P150" i="1"/>
  <c r="Q150" i="1"/>
  <c r="S150" i="1"/>
  <c r="R150" i="1"/>
  <c r="P169" i="1"/>
  <c r="S169" i="1"/>
  <c r="Q169" i="1"/>
  <c r="R169" i="1"/>
  <c r="P234" i="1"/>
  <c r="Q234" i="1"/>
  <c r="R234" i="1"/>
  <c r="S234" i="1"/>
  <c r="P174" i="1"/>
  <c r="Q174" i="1"/>
  <c r="R174" i="1"/>
  <c r="S174" i="1"/>
  <c r="P187" i="1"/>
  <c r="Q187" i="1"/>
  <c r="S187" i="1"/>
  <c r="R187" i="1"/>
  <c r="P236" i="1"/>
  <c r="Q236" i="1"/>
  <c r="R236" i="1"/>
  <c r="S236" i="1"/>
  <c r="P138" i="1"/>
  <c r="Q138" i="1"/>
  <c r="R138" i="1"/>
  <c r="S138" i="1"/>
  <c r="P67" i="1"/>
  <c r="Q67" i="1"/>
  <c r="R67" i="1"/>
  <c r="S67" i="1"/>
  <c r="P124" i="1"/>
  <c r="R124" i="1"/>
  <c r="S124" i="1"/>
  <c r="Q124" i="1"/>
  <c r="P200" i="1"/>
  <c r="Q200" i="1"/>
  <c r="R200" i="1"/>
  <c r="S200" i="1"/>
  <c r="P19" i="1"/>
  <c r="Q19" i="1"/>
  <c r="R19" i="1"/>
  <c r="S19" i="1"/>
  <c r="P193" i="1"/>
  <c r="S193" i="1"/>
  <c r="R193" i="1"/>
  <c r="Q193" i="1"/>
  <c r="P76" i="1"/>
  <c r="R76" i="1"/>
  <c r="S76" i="1"/>
  <c r="Q76" i="1"/>
  <c r="P37" i="1"/>
  <c r="Q37" i="1"/>
  <c r="R37" i="1"/>
  <c r="S37" i="1"/>
  <c r="P195" i="1"/>
  <c r="R195" i="1"/>
  <c r="S195" i="1"/>
  <c r="Q195" i="1"/>
  <c r="P109" i="1"/>
  <c r="Q109" i="1"/>
  <c r="R109" i="1"/>
  <c r="S109" i="1"/>
  <c r="P158" i="1"/>
  <c r="Q158" i="1"/>
  <c r="R158" i="1"/>
  <c r="S158" i="1"/>
  <c r="P22" i="1"/>
  <c r="Q22" i="1"/>
  <c r="S22" i="1"/>
  <c r="R22" i="1"/>
  <c r="P255" i="1"/>
  <c r="R255" i="1"/>
  <c r="S255" i="1"/>
  <c r="Q255" i="1"/>
  <c r="P62" i="1"/>
  <c r="Q62" i="1"/>
  <c r="R62" i="1"/>
  <c r="S62" i="1"/>
  <c r="P35" i="1"/>
  <c r="Q35" i="1"/>
  <c r="R35" i="1"/>
  <c r="S35" i="1"/>
  <c r="P68" i="1"/>
  <c r="R68" i="1"/>
  <c r="S68" i="1"/>
  <c r="Q68" i="1"/>
  <c r="P24" i="1"/>
  <c r="Q24" i="1"/>
  <c r="R24" i="1"/>
  <c r="S24" i="1"/>
  <c r="P203" i="1"/>
  <c r="Q203" i="1"/>
  <c r="R203" i="1"/>
  <c r="S203" i="1"/>
  <c r="P164" i="1"/>
  <c r="R164" i="1"/>
  <c r="S164" i="1"/>
  <c r="Q164" i="1"/>
  <c r="P180" i="1"/>
  <c r="R180" i="1"/>
  <c r="S180" i="1"/>
  <c r="Q180" i="1"/>
  <c r="P25" i="1"/>
  <c r="S25" i="1"/>
  <c r="Q25" i="1"/>
  <c r="R25" i="1"/>
  <c r="P26" i="1"/>
  <c r="Q26" i="1"/>
  <c r="R26" i="1"/>
  <c r="S26" i="1"/>
  <c r="P136" i="1"/>
  <c r="Q136" i="1"/>
  <c r="R136" i="1"/>
  <c r="S136" i="1"/>
  <c r="P132" i="1"/>
  <c r="R132" i="1"/>
  <c r="S132" i="1"/>
  <c r="Q132" i="1"/>
  <c r="P252" i="1"/>
  <c r="Q252" i="1"/>
  <c r="R252" i="1"/>
  <c r="S252" i="1"/>
  <c r="P141" i="1"/>
  <c r="Q141" i="1"/>
  <c r="R141" i="1"/>
  <c r="S141" i="1"/>
  <c r="P44" i="1"/>
  <c r="R44" i="1"/>
  <c r="S44" i="1"/>
  <c r="Q44" i="1"/>
  <c r="P205" i="1"/>
  <c r="Q205" i="1"/>
  <c r="R205" i="1"/>
  <c r="S205" i="1"/>
  <c r="P107" i="1"/>
  <c r="Q107" i="1"/>
  <c r="R107" i="1"/>
  <c r="S107" i="1"/>
  <c r="P39" i="1"/>
  <c r="Q39" i="1"/>
  <c r="R39" i="1"/>
  <c r="S39" i="1"/>
  <c r="P254" i="1"/>
  <c r="S254" i="1"/>
  <c r="Q254" i="1"/>
  <c r="R254" i="1"/>
  <c r="P250" i="1"/>
  <c r="Q250" i="1"/>
  <c r="R250" i="1"/>
  <c r="S250" i="1"/>
  <c r="P161" i="1"/>
  <c r="S161" i="1"/>
  <c r="R161" i="1"/>
  <c r="Q161" i="1"/>
  <c r="P112" i="1"/>
  <c r="Q112" i="1"/>
  <c r="R112" i="1"/>
  <c r="S112" i="1"/>
  <c r="P108" i="1"/>
  <c r="R108" i="1"/>
  <c r="S108" i="1"/>
  <c r="Q108" i="1"/>
  <c r="P20" i="1"/>
  <c r="R20" i="1"/>
  <c r="S20" i="1"/>
  <c r="Q20" i="1"/>
  <c r="P41" i="1"/>
  <c r="S41" i="1"/>
  <c r="Q41" i="1"/>
  <c r="R41" i="1"/>
  <c r="P228" i="1"/>
  <c r="R228" i="1"/>
  <c r="S228" i="1"/>
  <c r="Q228" i="1"/>
  <c r="P159" i="1"/>
  <c r="Q159" i="1"/>
  <c r="R159" i="1"/>
  <c r="S159" i="1"/>
  <c r="P16" i="1"/>
  <c r="Q16" i="1"/>
  <c r="R16" i="1"/>
  <c r="S16" i="1"/>
  <c r="P61" i="1"/>
  <c r="Q61" i="1"/>
  <c r="R61" i="1"/>
  <c r="S61" i="1"/>
  <c r="P82" i="1"/>
  <c r="Q82" i="1"/>
  <c r="R82" i="1"/>
  <c r="S82" i="1"/>
  <c r="P155" i="1"/>
  <c r="Q155" i="1"/>
  <c r="R155" i="1"/>
  <c r="S155" i="1"/>
  <c r="P56" i="1"/>
  <c r="Q56" i="1"/>
  <c r="R56" i="1"/>
  <c r="S56" i="1"/>
  <c r="P152" i="1"/>
  <c r="Q152" i="1"/>
  <c r="S152" i="1"/>
  <c r="R152" i="1"/>
  <c r="P202" i="1"/>
  <c r="Q202" i="1"/>
  <c r="R202" i="1"/>
  <c r="S202" i="1"/>
  <c r="P220" i="1"/>
  <c r="R220" i="1"/>
  <c r="S220" i="1"/>
  <c r="Q220" i="1"/>
  <c r="P46" i="1"/>
  <c r="Q46" i="1"/>
  <c r="R46" i="1"/>
  <c r="S46" i="1"/>
  <c r="P66" i="1"/>
  <c r="Q66" i="1"/>
  <c r="R66" i="1"/>
  <c r="S66" i="1"/>
  <c r="P52" i="1"/>
  <c r="R52" i="1"/>
  <c r="S52" i="1"/>
  <c r="Q52" i="1"/>
  <c r="P219" i="1"/>
  <c r="Q219" i="1"/>
  <c r="R219" i="1"/>
  <c r="S219" i="1"/>
  <c r="P166" i="1"/>
  <c r="Q166" i="1"/>
  <c r="S166" i="1"/>
  <c r="R166" i="1"/>
  <c r="P221" i="1"/>
  <c r="Q221" i="1"/>
  <c r="R221" i="1"/>
  <c r="S221" i="1"/>
  <c r="P8" i="1"/>
  <c r="Q8" i="1"/>
  <c r="R8" i="1"/>
  <c r="S8" i="1"/>
  <c r="P5" i="1"/>
  <c r="Q5" i="1"/>
  <c r="R5" i="1"/>
  <c r="S5" i="1"/>
  <c r="P183" i="1"/>
  <c r="Q183" i="1"/>
  <c r="R183" i="1"/>
  <c r="S183" i="1"/>
  <c r="P232" i="1"/>
  <c r="R232" i="1"/>
  <c r="Q232" i="1"/>
  <c r="S232" i="1"/>
  <c r="P64" i="1"/>
  <c r="Q64" i="1"/>
  <c r="R64" i="1"/>
  <c r="S64" i="1"/>
  <c r="P113" i="1"/>
  <c r="S113" i="1"/>
  <c r="R113" i="1"/>
  <c r="Q113" i="1"/>
  <c r="P134" i="1"/>
  <c r="Q134" i="1"/>
  <c r="S134" i="1"/>
  <c r="R134" i="1"/>
  <c r="P71" i="1"/>
  <c r="Q71" i="1"/>
  <c r="R71" i="1"/>
  <c r="S71" i="1"/>
  <c r="P162" i="1"/>
  <c r="Q162" i="1"/>
  <c r="R162" i="1"/>
  <c r="S162" i="1"/>
  <c r="P74" i="1"/>
  <c r="Q74" i="1"/>
  <c r="R74" i="1"/>
  <c r="S74" i="1"/>
  <c r="P100" i="1"/>
  <c r="R100" i="1"/>
  <c r="S100" i="1"/>
  <c r="Q100" i="1"/>
  <c r="P50" i="1"/>
  <c r="Q50" i="1"/>
  <c r="R50" i="1"/>
  <c r="S50" i="1"/>
  <c r="P177" i="1"/>
  <c r="S177" i="1"/>
  <c r="R177" i="1"/>
  <c r="Q177" i="1"/>
  <c r="P153" i="1"/>
  <c r="S153" i="1"/>
  <c r="Q153" i="1"/>
  <c r="R153" i="1"/>
  <c r="P144" i="1"/>
  <c r="Q144" i="1"/>
  <c r="R144" i="1"/>
  <c r="S144" i="1"/>
  <c r="P190" i="1"/>
  <c r="R190" i="1"/>
  <c r="S190" i="1"/>
  <c r="Q190" i="1"/>
  <c r="P216" i="1"/>
  <c r="Q216" i="1"/>
  <c r="S216" i="1"/>
  <c r="R216" i="1"/>
  <c r="P14" i="1"/>
  <c r="Q14" i="1"/>
  <c r="R14" i="1"/>
  <c r="S14" i="1"/>
  <c r="P249" i="1"/>
  <c r="R249" i="1"/>
  <c r="S249" i="1"/>
  <c r="Q249" i="1"/>
  <c r="P244" i="1"/>
  <c r="Q244" i="1"/>
  <c r="S244" i="1"/>
  <c r="R244" i="1"/>
  <c r="P217" i="1"/>
  <c r="S217" i="1"/>
  <c r="Q217" i="1"/>
  <c r="R217" i="1"/>
  <c r="P51" i="1"/>
  <c r="Q51" i="1"/>
  <c r="R51" i="1"/>
  <c r="S51" i="1"/>
  <c r="P91" i="1"/>
  <c r="Q91" i="1"/>
  <c r="R91" i="1"/>
  <c r="S91" i="1"/>
  <c r="P243" i="1"/>
  <c r="Q243" i="1"/>
  <c r="R243" i="1"/>
  <c r="S243" i="1"/>
  <c r="P172" i="1"/>
  <c r="R172" i="1"/>
  <c r="S172" i="1"/>
  <c r="Q172" i="1"/>
  <c r="P98" i="1"/>
  <c r="Q98" i="1"/>
  <c r="R98" i="1"/>
  <c r="S98" i="1"/>
  <c r="P145" i="1"/>
  <c r="S145" i="1"/>
  <c r="R145" i="1"/>
  <c r="Q145" i="1"/>
  <c r="P212" i="1"/>
  <c r="R212" i="1"/>
  <c r="S212" i="1"/>
  <c r="Q212" i="1"/>
  <c r="P257" i="1"/>
  <c r="R257" i="1"/>
  <c r="Q257" i="1"/>
  <c r="S257" i="1"/>
  <c r="P135" i="1"/>
  <c r="Q135" i="1"/>
  <c r="R135" i="1"/>
  <c r="S135" i="1"/>
  <c r="P184" i="1"/>
  <c r="Q184" i="1"/>
  <c r="R184" i="1"/>
  <c r="S184" i="1"/>
  <c r="P86" i="1"/>
  <c r="Q86" i="1"/>
  <c r="S86" i="1"/>
  <c r="R86" i="1"/>
  <c r="P226" i="1"/>
  <c r="Q226" i="1"/>
  <c r="R226" i="1"/>
  <c r="S226" i="1"/>
  <c r="P199" i="1"/>
  <c r="Q199" i="1"/>
  <c r="R199" i="1"/>
  <c r="S199" i="1"/>
  <c r="P72" i="1"/>
  <c r="Q72" i="1"/>
  <c r="R72" i="1"/>
  <c r="S72" i="1"/>
  <c r="P69" i="1"/>
  <c r="Q69" i="1"/>
  <c r="R69" i="1"/>
  <c r="S69" i="1"/>
</calcChain>
</file>

<file path=xl/sharedStrings.xml><?xml version="1.0" encoding="utf-8"?>
<sst xmlns="http://schemas.openxmlformats.org/spreadsheetml/2006/main" count="2606" uniqueCount="49">
  <si>
    <t>Image</t>
  </si>
  <si>
    <t>PSF</t>
  </si>
  <si>
    <t>PSF size</t>
  </si>
  <si>
    <t>Base VAR</t>
  </si>
  <si>
    <t>Input VAR</t>
  </si>
  <si>
    <t>Lambda</t>
  </si>
  <si>
    <t>Gamma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</si>
  <si>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</si>
  <si>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</si>
  <si>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</si>
  <si>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</si>
  <si>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</si>
  <si>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</si>
  <si>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</si>
  <si>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</si>
  <si>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</si>
  <si>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</si>
  <si>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BM3D</t>
  </si>
  <si>
    <t>SROU03</t>
  </si>
  <si>
    <t>TICO09</t>
  </si>
  <si>
    <t>Blurred</t>
  </si>
  <si>
    <t>Noisy</t>
  </si>
  <si>
    <t>DEGREE</t>
  </si>
  <si>
    <t>Row Labels</t>
  </si>
  <si>
    <t>Grand Total</t>
  </si>
  <si>
    <t>Values</t>
  </si>
  <si>
    <t>Average of TICO09</t>
  </si>
  <si>
    <t>Average of SROU03</t>
  </si>
  <si>
    <t>Average of BM3D</t>
  </si>
  <si>
    <t>Column Labels</t>
  </si>
  <si>
    <t>Name</t>
  </si>
  <si>
    <t>Matlab matrix</t>
  </si>
  <si>
    <t>Matlab code</t>
  </si>
  <si>
    <t>BEST - Color</t>
  </si>
  <si>
    <t>Max of BEST - Color</t>
  </si>
  <si>
    <t>String</t>
  </si>
  <si>
    <t>Code</t>
  </si>
  <si>
    <t>R</t>
  </si>
  <si>
    <t>G</t>
  </si>
  <si>
    <t>B</t>
  </si>
  <si>
    <t>BEST - value</t>
  </si>
  <si>
    <t>Max of R</t>
  </si>
  <si>
    <t xml:space="preserve"> </t>
  </si>
  <si>
    <t>Max of G</t>
  </si>
  <si>
    <t>Max of B</t>
  </si>
  <si>
    <t>RGB</t>
  </si>
  <si>
    <t>avg_methods_vs_var.eps</t>
  </si>
  <si>
    <t>avg_methods_vs_var_PSF_size.eps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</si>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</sst>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  <xf numFmtId="0" fontId="18" fillId="34" borderId="0" xfId="0" applyFont="1" applyFill="1"/>
    <xf numFmtId="0" fontId="18" fillId="0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VAR!PivotTable17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VAR'!$B$3:$B$4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VAR'!$B$5:$B$9</c:f>
              <c:numCache>
                <c:formatCode>General</c:formatCode>
                <c:ptCount val="4"/>
                <c:pt idx="0">
                  <c:v>18.056987499999991</c:v>
                </c:pt>
                <c:pt idx="1">
                  <c:v>16.5671265625</c:v>
                </c:pt>
                <c:pt idx="2">
                  <c:v>12.756959374999997</c:v>
                </c:pt>
                <c:pt idx="3">
                  <c:v>7.5164781249999999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VAR'!$C$3:$C$4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VAR'!$C$5:$C$9</c:f>
              <c:numCache>
                <c:formatCode>General</c:formatCode>
                <c:ptCount val="4"/>
                <c:pt idx="0">
                  <c:v>27.925159375000007</c:v>
                </c:pt>
                <c:pt idx="1">
                  <c:v>20.637748437500001</c:v>
                </c:pt>
                <c:pt idx="2">
                  <c:v>15.594006249999998</c:v>
                </c:pt>
                <c:pt idx="3">
                  <c:v>11.368435937499999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VAR'!$D$3:$D$4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VAR'!$D$5:$D$9</c:f>
              <c:numCache>
                <c:formatCode>General</c:formatCode>
                <c:ptCount val="4"/>
                <c:pt idx="0">
                  <c:v>29.437448437499999</c:v>
                </c:pt>
                <c:pt idx="1">
                  <c:v>21.040099999999999</c:v>
                </c:pt>
                <c:pt idx="2">
                  <c:v>13.709373437500002</c:v>
                </c:pt>
                <c:pt idx="3">
                  <c:v>7.4359046874999999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043648"/>
        <c:axId val="108045440"/>
      </c:lineChart>
      <c:catAx>
        <c:axId val="1080436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045440"/>
        <c:crosses val="autoZero"/>
        <c:auto val="1"/>
        <c:lblAlgn val="ctr"/>
        <c:lblOffset val="100"/>
        <c:noMultiLvlLbl val="0"/>
      </c:catAx>
      <c:valAx>
        <c:axId val="10804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0436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PSF size!PivotTable18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size'!$B$4:$B$5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size'!$B$6:$B$10</c:f>
              <c:numCache>
                <c:formatCode>General</c:formatCode>
                <c:ptCount val="4"/>
                <c:pt idx="0">
                  <c:v>14.3957203125</c:v>
                </c:pt>
                <c:pt idx="1">
                  <c:v>13.579276562499995</c:v>
                </c:pt>
                <c:pt idx="2">
                  <c:v>13.4968796875</c:v>
                </c:pt>
                <c:pt idx="3">
                  <c:v>13.425674999999996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size'!$C$4:$C$5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size'!$C$6:$C$10</c:f>
              <c:numCache>
                <c:formatCode>General</c:formatCode>
                <c:ptCount val="4"/>
                <c:pt idx="0">
                  <c:v>22.662701562500001</c:v>
                </c:pt>
                <c:pt idx="1">
                  <c:v>18.636443750000005</c:v>
                </c:pt>
                <c:pt idx="2">
                  <c:v>17.848704687500003</c:v>
                </c:pt>
                <c:pt idx="3">
                  <c:v>16.377499999999998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size'!$D$4:$D$5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size'!$D$6:$D$10</c:f>
              <c:numCache>
                <c:formatCode>General</c:formatCode>
                <c:ptCount val="4"/>
                <c:pt idx="0">
                  <c:v>17.913820312499997</c:v>
                </c:pt>
                <c:pt idx="1">
                  <c:v>17.904293750000001</c:v>
                </c:pt>
                <c:pt idx="2">
                  <c:v>17.905606250000005</c:v>
                </c:pt>
                <c:pt idx="3">
                  <c:v>17.899106249999996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23200"/>
        <c:axId val="109191936"/>
      </c:lineChart>
      <c:catAx>
        <c:axId val="1087232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9191936"/>
        <c:crosses val="autoZero"/>
        <c:auto val="1"/>
        <c:lblAlgn val="ctr"/>
        <c:lblOffset val="100"/>
        <c:noMultiLvlLbl val="0"/>
      </c:catAx>
      <c:valAx>
        <c:axId val="10919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87232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TICO09!PivotTable1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11.8714</c:v>
                </c:pt>
                <c:pt idx="1">
                  <c:v>13.0983</c:v>
                </c:pt>
                <c:pt idx="2">
                  <c:v>13.3728</c:v>
                </c:pt>
                <c:pt idx="3">
                  <c:v>13.5007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11.4696</c:v>
                </c:pt>
                <c:pt idx="1">
                  <c:v>12.1981</c:v>
                </c:pt>
                <c:pt idx="2">
                  <c:v>12.4</c:v>
                </c:pt>
                <c:pt idx="3">
                  <c:v>12.444000000000001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10.4293</c:v>
                </c:pt>
                <c:pt idx="1">
                  <c:v>9.3389000000000006</c:v>
                </c:pt>
                <c:pt idx="2">
                  <c:v>9.1562000000000001</c:v>
                </c:pt>
                <c:pt idx="3">
                  <c:v>9.1544000000000008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8.1890000000000001</c:v>
                </c:pt>
                <c:pt idx="1">
                  <c:v>5.7595999999999998</c:v>
                </c:pt>
                <c:pt idx="2">
                  <c:v>4.9248000000000003</c:v>
                </c:pt>
                <c:pt idx="3">
                  <c:v>4.6657999999999999</c:v>
                </c:pt>
              </c:numCache>
            </c:numRef>
          </c:val>
        </c:ser>
        <c:bandFmts/>
        <c:axId val="110641152"/>
        <c:axId val="110642688"/>
        <c:axId val="108660928"/>
      </c:surface3DChart>
      <c:catAx>
        <c:axId val="1106411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642688"/>
        <c:crosses val="autoZero"/>
        <c:auto val="1"/>
        <c:lblAlgn val="ctr"/>
        <c:lblOffset val="100"/>
        <c:noMultiLvlLbl val="0"/>
      </c:catAx>
      <c:valAx>
        <c:axId val="11064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641152"/>
        <c:crosses val="autoZero"/>
        <c:crossBetween val="midCat"/>
      </c:valAx>
      <c:serAx>
        <c:axId val="1086609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0642688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SROU03!PivotTable4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26.386700000000001</c:v>
                </c:pt>
                <c:pt idx="1">
                  <c:v>25.023800000000001</c:v>
                </c:pt>
                <c:pt idx="2">
                  <c:v>24.679099999999998</c:v>
                </c:pt>
                <c:pt idx="3">
                  <c:v>24.713999999999999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19.728000000000002</c:v>
                </c:pt>
                <c:pt idx="1">
                  <c:v>16.850100000000001</c:v>
                </c:pt>
                <c:pt idx="2">
                  <c:v>15.7165</c:v>
                </c:pt>
                <c:pt idx="3">
                  <c:v>15.4445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17.173400000000001</c:v>
                </c:pt>
                <c:pt idx="1">
                  <c:v>10.6439</c:v>
                </c:pt>
                <c:pt idx="2">
                  <c:v>8.6239000000000008</c:v>
                </c:pt>
                <c:pt idx="3">
                  <c:v>7.9020999999999999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8.4076000000000004</c:v>
                </c:pt>
                <c:pt idx="1">
                  <c:v>6.1925999999999997</c:v>
                </c:pt>
                <c:pt idx="2">
                  <c:v>5.7813999999999997</c:v>
                </c:pt>
                <c:pt idx="3">
                  <c:v>4.5087000000000002</c:v>
                </c:pt>
              </c:numCache>
            </c:numRef>
          </c:val>
        </c:ser>
        <c:bandFmts/>
        <c:axId val="111265664"/>
        <c:axId val="111267200"/>
        <c:axId val="110646144"/>
      </c:surface3DChart>
      <c:catAx>
        <c:axId val="1112656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1267200"/>
        <c:crosses val="autoZero"/>
        <c:auto val="1"/>
        <c:lblAlgn val="ctr"/>
        <c:lblOffset val="100"/>
        <c:noMultiLvlLbl val="0"/>
      </c:catAx>
      <c:valAx>
        <c:axId val="11126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1265664"/>
        <c:crosses val="autoZero"/>
        <c:crossBetween val="midCat"/>
      </c:valAx>
      <c:serAx>
        <c:axId val="1106461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1267200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BM3D!PivotTable5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25.759</c:v>
                </c:pt>
                <c:pt idx="1">
                  <c:v>25.731000000000002</c:v>
                </c:pt>
                <c:pt idx="2">
                  <c:v>25.750599999999999</c:v>
                </c:pt>
                <c:pt idx="3">
                  <c:v>25.6934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16.742000000000001</c:v>
                </c:pt>
                <c:pt idx="1">
                  <c:v>16.720600000000001</c:v>
                </c:pt>
                <c:pt idx="2">
                  <c:v>16.7485</c:v>
                </c:pt>
                <c:pt idx="3">
                  <c:v>16.689599999999999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9.8666</c:v>
                </c:pt>
                <c:pt idx="1">
                  <c:v>9.7830999999999992</c:v>
                </c:pt>
                <c:pt idx="2">
                  <c:v>9.7967999999999993</c:v>
                </c:pt>
                <c:pt idx="3">
                  <c:v>9.8237000000000005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5.1235999999999997</c:v>
                </c:pt>
                <c:pt idx="1">
                  <c:v>5.0258000000000003</c:v>
                </c:pt>
                <c:pt idx="2">
                  <c:v>5.0247000000000002</c:v>
                </c:pt>
                <c:pt idx="3">
                  <c:v>5.0247999999999999</c:v>
                </c:pt>
              </c:numCache>
            </c:numRef>
          </c:val>
        </c:ser>
        <c:bandFmts/>
        <c:axId val="111355392"/>
        <c:axId val="111356928"/>
        <c:axId val="110648832"/>
      </c:surface3DChart>
      <c:catAx>
        <c:axId val="1113553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1356928"/>
        <c:crosses val="autoZero"/>
        <c:auto val="1"/>
        <c:lblAlgn val="ctr"/>
        <c:lblOffset val="100"/>
        <c:noMultiLvlLbl val="0"/>
      </c:catAx>
      <c:valAx>
        <c:axId val="11135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1355392"/>
        <c:crosses val="autoZero"/>
        <c:crossBetween val="midCat"/>
      </c:valAx>
      <c:serAx>
        <c:axId val="1106488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1356928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</xdr:row>
      <xdr:rowOff>133350</xdr:rowOff>
    </xdr:from>
    <xdr:to>
      <xdr:col>4</xdr:col>
      <xdr:colOff>371475</xdr:colOff>
      <xdr:row>27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13</xdr:row>
      <xdr:rowOff>161925</xdr:rowOff>
    </xdr:from>
    <xdr:to>
      <xdr:col>4</xdr:col>
      <xdr:colOff>361950</xdr:colOff>
      <xdr:row>28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0</xdr:rowOff>
    </xdr:from>
    <xdr:to>
      <xdr:col>5</xdr:col>
      <xdr:colOff>19050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0</xdr:rowOff>
    </xdr:from>
    <xdr:to>
      <xdr:col>5</xdr:col>
      <xdr:colOff>95250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" refreshedDate="40977.027614930557" createdVersion="3" refreshedVersion="3" minRefreshableVersion="3" recordCount="257">
  <cacheSource type="worksheet">
    <worksheetSource ref="A1:M1048576" sheet="report COMPLETE VAR DATA"/>
  </cacheSource>
  <cacheFields count="13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zef Sabo" refreshedDate="40993.961455787037" createdVersion="3" refreshedVersion="4" minRefreshableVersion="3" recordCount="257">
  <cacheSource type="worksheet">
    <worksheetSource ref="A1:T1048576" sheet="report COMPLETE VAR DATA"/>
  </cacheSource>
  <cacheFields count="20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  <cacheField name="BEST" numFmtId="0">
      <sharedItems containsBlank="1"/>
    </cacheField>
    <cacheField name="BEST - value" numFmtId="0">
      <sharedItems containsString="0" containsBlank="1" containsNumber="1" minValue="5.0247999999999999" maxValue="34.936700000000002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38" maxValue="227"/>
    </cacheField>
    <cacheField name="G" numFmtId="0">
      <sharedItems containsString="0" containsBlank="1" containsNumber="1" containsInteger="1" minValue="36" maxValue="159"/>
    </cacheField>
    <cacheField name="B" numFmtId="0">
      <sharedItems containsString="0" containsBlank="1" containsNumber="1" containsInteger="1" minValue="35" maxValue="230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.00001_0.0001"/>
    <n v="32.260831000000003"/>
    <n v="3.4785339999999998"/>
    <n v="25.397200000000002"/>
    <n v="18.031300000000002"/>
    <n v="20.678899999999999"/>
    <n v="29.180299999999999"/>
    <n v="29.330400000000001"/>
  </r>
  <r>
    <x v="0"/>
    <x v="0"/>
    <x v="0"/>
    <n v="1.0000000000000001E-5"/>
    <x v="1"/>
    <s v="lena256_blurkernel7_3_0.00001_0.001"/>
    <n v="23.370987"/>
    <n v="3.4364029999999999"/>
    <n v="15.4665"/>
    <n v="18.031300000000002"/>
    <n v="19.561900000000001"/>
    <n v="24.4711"/>
    <n v="22.180499999999999"/>
  </r>
  <r>
    <x v="0"/>
    <x v="0"/>
    <x v="0"/>
    <n v="1.0000000000000001E-5"/>
    <x v="2"/>
    <s v="lena256_blurkernel7_3_0.00001_0.01"/>
    <n v="20.963733999999999"/>
    <n v="3.4717739999999999"/>
    <n v="6.5141999999999998"/>
    <n v="18.031300000000002"/>
    <n v="17.215399999999999"/>
    <n v="22.8185"/>
    <n v="15.7753"/>
  </r>
  <r>
    <x v="0"/>
    <x v="0"/>
    <x v="0"/>
    <n v="1.0000000000000001E-5"/>
    <x v="3"/>
    <s v="lena256_blurkernel7_3_0.00001_0.1"/>
    <n v="19.382439000000002"/>
    <n v="3.4874779999999999"/>
    <n v="1.2513000000000001"/>
    <n v="18.031300000000002"/>
    <n v="11.4527"/>
    <n v="21.4526"/>
    <n v="10.326599999999999"/>
  </r>
  <r>
    <x v="0"/>
    <x v="0"/>
    <x v="1"/>
    <n v="1.0000000000000001E-5"/>
    <x v="0"/>
    <s v="lena256_blurkernel7_7_0.00001_0.0001"/>
    <n v="23.905918"/>
    <n v="9.0063759999999995"/>
    <n v="25.450399999999998"/>
    <n v="12.1754"/>
    <n v="20.502500000000001"/>
    <n v="27.524899999999999"/>
    <n v="29.376999999999999"/>
  </r>
  <r>
    <x v="0"/>
    <x v="0"/>
    <x v="1"/>
    <n v="1.0000000000000001E-5"/>
    <x v="1"/>
    <s v="lena256_blurkernel7_7_0.00001_0.001"/>
    <n v="13.819652"/>
    <n v="8.6742010000000001"/>
    <n v="15.5129"/>
    <n v="12.1754"/>
    <n v="18.297499999999999"/>
    <n v="21.5318"/>
    <n v="22.194700000000001"/>
  </r>
  <r>
    <x v="0"/>
    <x v="0"/>
    <x v="1"/>
    <n v="1.0000000000000001E-5"/>
    <x v="2"/>
    <s v="lena256_blurkernel7_7_0.00001_0.01"/>
    <n v="10.544936"/>
    <n v="8.7246009999999998"/>
    <n v="6.5285000000000002"/>
    <n v="12.1754"/>
    <n v="14.407500000000001"/>
    <n v="17.1616"/>
    <n v="15.901400000000001"/>
  </r>
  <r>
    <x v="0"/>
    <x v="0"/>
    <x v="1"/>
    <n v="1.0000000000000001E-5"/>
    <x v="3"/>
    <s v="lena256_blurkernel7_7_0.00001_0.1"/>
    <n v="8.8418050000000008"/>
    <n v="8.7683319999999991"/>
    <n v="1.2424999999999999"/>
    <n v="12.1754"/>
    <n v="9.5831999999999997"/>
    <n v="12.1669"/>
    <n v="10.2119"/>
  </r>
  <r>
    <x v="0"/>
    <x v="0"/>
    <x v="2"/>
    <n v="1.0000000000000001E-5"/>
    <x v="0"/>
    <s v="lena256_blurkernel7_15_0.00001_0.0001"/>
    <n v="21.302917999999998"/>
    <n v="19.724388999999999"/>
    <n v="25.39"/>
    <n v="8.2112999999999996"/>
    <n v="21.2897"/>
    <n v="26.959299999999999"/>
    <n v="29.338799999999999"/>
  </r>
  <r>
    <x v="0"/>
    <x v="0"/>
    <x v="2"/>
    <n v="1.0000000000000001E-5"/>
    <x v="1"/>
    <s v="lena256_blurkernel7_15_0.00001_0.001"/>
    <n v="9.2041240000000002"/>
    <n v="18.917470999999999"/>
    <n v="15.5168"/>
    <n v="8.2112999999999996"/>
    <n v="18.6632"/>
    <n v="20.640499999999999"/>
    <n v="22.134399999999999"/>
  </r>
  <r>
    <x v="0"/>
    <x v="0"/>
    <x v="2"/>
    <n v="1.0000000000000001E-5"/>
    <x v="2"/>
    <s v="lena256_blurkernel7_15_0.00001_0.01"/>
    <n v="6.1624420000000004"/>
    <n v="18.878160999999999"/>
    <n v="6.5491999999999999"/>
    <n v="8.2112999999999996"/>
    <n v="13.740399999999999"/>
    <n v="17.5151"/>
    <n v="15.8233"/>
  </r>
  <r>
    <x v="0"/>
    <x v="0"/>
    <x v="2"/>
    <n v="1.0000000000000001E-5"/>
    <x v="3"/>
    <s v="lena256_blurkernel7_15_0.00001_0.1"/>
    <n v="5.1002859999999997"/>
    <n v="18.896519999999999"/>
    <n v="1.2482"/>
    <n v="8.2112999999999996"/>
    <n v="8.2053999999999991"/>
    <n v="11.1317"/>
    <n v="10.2546"/>
  </r>
  <r>
    <x v="0"/>
    <x v="0"/>
    <x v="3"/>
    <n v="1.0000000000000001E-5"/>
    <x v="0"/>
    <s v="lena256_blurkernel7_31_0.00001_0.0001"/>
    <n v="20.477471000000001"/>
    <n v="40.714295"/>
    <n v="25.386600000000001"/>
    <n v="5.3192000000000004"/>
    <n v="21.2895"/>
    <n v="26.051300000000001"/>
    <n v="29.312200000000001"/>
  </r>
  <r>
    <x v="0"/>
    <x v="0"/>
    <x v="3"/>
    <n v="1.0000000000000001E-5"/>
    <x v="1"/>
    <s v="lena256_blurkernel7_31_0.00001_0.001"/>
    <n v="7.654541"/>
    <n v="38.887275000000002"/>
    <n v="15.5265"/>
    <n v="5.3192000000000004"/>
    <n v="18.517199999999999"/>
    <n v="19.459800000000001"/>
    <n v="22.143999999999998"/>
  </r>
  <r>
    <x v="0"/>
    <x v="0"/>
    <x v="3"/>
    <n v="1.0000000000000001E-5"/>
    <x v="2"/>
    <s v="lena256_blurkernel7_31_0.00001_0.01"/>
    <n v="4.0996449999999998"/>
    <n v="38.752980000000001"/>
    <n v="6.5175999999999998"/>
    <n v="5.3192000000000004"/>
    <n v="13.5914"/>
    <n v="15.3955"/>
    <n v="15.7689"/>
  </r>
  <r>
    <x v="0"/>
    <x v="0"/>
    <x v="3"/>
    <n v="1.0000000000000001E-5"/>
    <x v="3"/>
    <s v="lena256_blurkernel7_31_0.00001_0.1"/>
    <n v="3.2188210000000002"/>
    <n v="38.751489999999997"/>
    <n v="1.2656000000000001"/>
    <n v="5.3192000000000004"/>
    <n v="7.7866"/>
    <n v="8.4518000000000004"/>
    <n v="10.2241"/>
  </r>
  <r>
    <x v="0"/>
    <x v="1"/>
    <x v="0"/>
    <n v="1.0000000000000001E-5"/>
    <x v="0"/>
    <s v="lena256_blurkernel8_3_0.00001_0.0001"/>
    <n v="33.624616000000003"/>
    <n v="3.4125200000000002"/>
    <n v="25.432700000000001"/>
    <n v="17.587499999999999"/>
    <n v="20.760100000000001"/>
    <n v="29.79"/>
    <n v="29.328099999999999"/>
  </r>
  <r>
    <x v="0"/>
    <x v="1"/>
    <x v="0"/>
    <n v="1.0000000000000001E-5"/>
    <x v="1"/>
    <s v="lena256_blurkernel8_3_0.00001_0.001"/>
    <n v="24.065653999999999"/>
    <n v="3.412312"/>
    <n v="15.489699999999999"/>
    <n v="17.587499999999999"/>
    <n v="19.631399999999999"/>
    <n v="26.088699999999999"/>
    <n v="22.172599999999999"/>
  </r>
  <r>
    <x v="0"/>
    <x v="1"/>
    <x v="0"/>
    <n v="1.0000000000000001E-5"/>
    <x v="2"/>
    <s v="lena256_blurkernel8_3_0.00001_0.01"/>
    <n v="21.096729"/>
    <n v="3.4675370000000001"/>
    <n v="6.5178000000000003"/>
    <n v="17.587499999999999"/>
    <n v="17.038599999999999"/>
    <n v="24.357800000000001"/>
    <n v="15.7791"/>
  </r>
  <r>
    <x v="0"/>
    <x v="1"/>
    <x v="0"/>
    <n v="1.0000000000000001E-5"/>
    <x v="3"/>
    <s v="lena256_blurkernel8_3_0.00001_0.1"/>
    <n v="19.465325"/>
    <n v="3.4865680000000001"/>
    <n v="1.2971999999999999"/>
    <n v="17.587499999999999"/>
    <n v="11.45"/>
    <n v="20.802499999999998"/>
    <n v="10.3835"/>
  </r>
  <r>
    <x v="0"/>
    <x v="1"/>
    <x v="1"/>
    <n v="1.0000000000000001E-5"/>
    <x v="0"/>
    <s v="lena256_blurkernel8_7_0.00001_0.0001"/>
    <n v="24.855751000000001"/>
    <n v="8.9081270000000004"/>
    <n v="25.3992"/>
    <n v="12.0008"/>
    <n v="20.541499999999999"/>
    <n v="27.8691"/>
    <n v="29.3401"/>
  </r>
  <r>
    <x v="0"/>
    <x v="1"/>
    <x v="1"/>
    <n v="1.0000000000000001E-5"/>
    <x v="1"/>
    <s v="lena256_blurkernel8_7_0.00001_0.001"/>
    <n v="14.517318"/>
    <n v="8.6343990000000002"/>
    <n v="15.536899999999999"/>
    <n v="12.0008"/>
    <n v="18.462599999999998"/>
    <n v="22.538799999999998"/>
    <n v="22.2196"/>
  </r>
  <r>
    <x v="0"/>
    <x v="1"/>
    <x v="1"/>
    <n v="1.0000000000000001E-5"/>
    <x v="2"/>
    <s v="lena256_blurkernel8_7_0.00001_0.01"/>
    <n v="10.60272"/>
    <n v="8.7242130000000007"/>
    <n v="6.5476000000000001"/>
    <n v="12.0008"/>
    <n v="14.476699999999999"/>
    <n v="18.850100000000001"/>
    <n v="15.865"/>
  </r>
  <r>
    <x v="0"/>
    <x v="1"/>
    <x v="1"/>
    <n v="1.0000000000000001E-5"/>
    <x v="3"/>
    <s v="lena256_blurkernel8_7_0.00001_0.1"/>
    <n v="8.9057949999999995"/>
    <n v="8.7683079999999993"/>
    <n v="1.2689999999999999"/>
    <n v="12.0008"/>
    <n v="9.6356000000000002"/>
    <n v="12.938499999999999"/>
    <n v="10.468999999999999"/>
  </r>
  <r>
    <x v="0"/>
    <x v="1"/>
    <x v="2"/>
    <n v="1.0000000000000001E-5"/>
    <x v="0"/>
    <s v="lena256_blurkernel8_15_0.00001_0.0001"/>
    <n v="21.969874999999998"/>
    <n v="19.605080000000001"/>
    <n v="25.367699999999999"/>
    <n v="8.2166999999999994"/>
    <n v="21.2013"/>
    <n v="27.152100000000001"/>
    <n v="29.304200000000002"/>
  </r>
  <r>
    <x v="0"/>
    <x v="1"/>
    <x v="2"/>
    <n v="1.0000000000000001E-5"/>
    <x v="1"/>
    <s v="lena256_blurkernel8_15_0.00001_0.001"/>
    <n v="10.334087999999999"/>
    <n v="18.838365"/>
    <n v="15.5152"/>
    <n v="8.2166999999999994"/>
    <n v="18.516999999999999"/>
    <n v="21.352699999999999"/>
    <n v="22.1128"/>
  </r>
  <r>
    <x v="0"/>
    <x v="1"/>
    <x v="2"/>
    <n v="1.0000000000000001E-5"/>
    <x v="2"/>
    <s v="lena256_blurkernel8_15_0.00001_0.01"/>
    <n v="6.8174609999999998"/>
    <n v="18.862148999999999"/>
    <n v="6.5099"/>
    <n v="8.2166999999999994"/>
    <n v="13.802"/>
    <n v="17.6172"/>
    <n v="15.8598"/>
  </r>
  <r>
    <x v="0"/>
    <x v="1"/>
    <x v="2"/>
    <n v="1.0000000000000001E-5"/>
    <x v="3"/>
    <s v="lena256_blurkernel8_15_0.00001_0.1"/>
    <n v="5.325177"/>
    <n v="18.908894"/>
    <n v="1.2796000000000001"/>
    <n v="8.2166999999999994"/>
    <n v="8.2497000000000007"/>
    <n v="10.9245"/>
    <n v="10.335100000000001"/>
  </r>
  <r>
    <x v="0"/>
    <x v="1"/>
    <x v="3"/>
    <n v="1.0000000000000001E-5"/>
    <x v="0"/>
    <s v="lena256_blurkernel8_31_0.00001_0.0001"/>
    <n v="20.860859000000001"/>
    <n v="40.622995000000003"/>
    <n v="25.412600000000001"/>
    <n v="5.3045"/>
    <n v="21.268899999999999"/>
    <n v="26.177299999999999"/>
    <n v="29.3353"/>
  </r>
  <r>
    <x v="0"/>
    <x v="1"/>
    <x v="3"/>
    <n v="1.0000000000000001E-5"/>
    <x v="1"/>
    <s v="lena256_blurkernel8_31_0.00001_0.001"/>
    <n v="8.2425320000000006"/>
    <n v="38.876001000000002"/>
    <n v="15.508900000000001"/>
    <n v="5.3045"/>
    <n v="18.4665"/>
    <n v="19.448399999999999"/>
    <n v="22.122599999999998"/>
  </r>
  <r>
    <x v="0"/>
    <x v="1"/>
    <x v="3"/>
    <n v="1.0000000000000001E-5"/>
    <x v="2"/>
    <s v="lena256_blurkernel8_31_0.00001_0.01"/>
    <n v="4.7473599999999996"/>
    <n v="38.776406000000001"/>
    <n v="6.4911000000000003"/>
    <n v="5.3045"/>
    <n v="13.563800000000001"/>
    <n v="15.4335"/>
    <n v="15.8719"/>
  </r>
  <r>
    <x v="0"/>
    <x v="1"/>
    <x v="3"/>
    <n v="1.0000000000000001E-5"/>
    <x v="3"/>
    <s v="lena256_blurkernel8_31_0.00001_0.1"/>
    <n v="3.563847"/>
    <n v="38.80641"/>
    <n v="1.2687999999999999"/>
    <n v="5.3045"/>
    <n v="7.7237999999999998"/>
    <n v="9.1178000000000008"/>
    <n v="10.2873"/>
  </r>
  <r>
    <x v="0"/>
    <x v="2"/>
    <x v="0"/>
    <n v="1.0000000000000001E-5"/>
    <x v="0"/>
    <s v="lena256_line_3_0.00001_0.0001"/>
    <n v="38.089689999999997"/>
    <n v="3.1906650000000001"/>
    <n v="25.389700000000001"/>
    <n v="15.065099999999999"/>
    <n v="20.779800000000002"/>
    <n v="29.680599999999998"/>
    <n v="29.292899999999999"/>
  </r>
  <r>
    <x v="0"/>
    <x v="2"/>
    <x v="0"/>
    <n v="1.0000000000000001E-5"/>
    <x v="1"/>
    <s v="lena256_line_3_0.00001_0.001"/>
    <n v="25.952594000000001"/>
    <n v="3.3373780000000002"/>
    <n v="15.5185"/>
    <n v="15.065099999999999"/>
    <n v="18.9648"/>
    <n v="24.941199999999998"/>
    <n v="22.130700000000001"/>
  </r>
  <r>
    <x v="0"/>
    <x v="2"/>
    <x v="0"/>
    <n v="1.0000000000000001E-5"/>
    <x v="2"/>
    <s v="lena256_line_3_0.00001_0.01"/>
    <n v="21.019501000000002"/>
    <n v="3.4655079999999998"/>
    <n v="6.5212000000000003"/>
    <n v="15.065099999999999"/>
    <n v="15.717599999999999"/>
    <n v="16.601700000000001"/>
    <n v="15.8378"/>
  </r>
  <r>
    <x v="0"/>
    <x v="2"/>
    <x v="0"/>
    <n v="1.0000000000000001E-5"/>
    <x v="3"/>
    <s v="lena256_line_3_0.00001_0.1"/>
    <n v="19.372187"/>
    <n v="3.4843989999999998"/>
    <n v="1.2553000000000001"/>
    <n v="15.065099999999999"/>
    <n v="10.6799"/>
    <n v="14.0822"/>
    <n v="10.383699999999999"/>
  </r>
  <r>
    <x v="0"/>
    <x v="2"/>
    <x v="1"/>
    <n v="1.0000000000000001E-5"/>
    <x v="0"/>
    <s v="lena256_line_7_0.00001_0.0001"/>
    <n v="28.876815000000001"/>
    <n v="8.4481819999999992"/>
    <n v="25.354800000000001"/>
    <n v="10.0802"/>
    <n v="21.337499999999999"/>
    <n v="28.014099999999999"/>
    <n v="29.294699999999999"/>
  </r>
  <r>
    <x v="0"/>
    <x v="2"/>
    <x v="1"/>
    <n v="1.0000000000000001E-5"/>
    <x v="1"/>
    <s v="lena256_line_7_0.00001_0.001"/>
    <n v="16.686104"/>
    <n v="8.4666879999999995"/>
    <n v="15.555199999999999"/>
    <n v="10.0802"/>
    <n v="18.863399999999999"/>
    <n v="21.497299999999999"/>
    <n v="22.171800000000001"/>
  </r>
  <r>
    <x v="0"/>
    <x v="2"/>
    <x v="1"/>
    <n v="1.0000000000000001E-5"/>
    <x v="2"/>
    <s v="lena256_line_7_0.00001_0.01"/>
    <n v="11.193917000000001"/>
    <n v="8.6656189999999995"/>
    <n v="6.5246000000000004"/>
    <n v="10.0802"/>
    <n v="14.3185"/>
    <n v="14.6929"/>
    <n v="15.866199999999999"/>
  </r>
  <r>
    <x v="0"/>
    <x v="2"/>
    <x v="1"/>
    <n v="1.0000000000000001E-5"/>
    <x v="3"/>
    <s v="lena256_line_7_0.00001_0.1"/>
    <n v="8.7482760000000006"/>
    <n v="8.7435779999999994"/>
    <n v="1.2521"/>
    <n v="10.0802"/>
    <n v="8.9170999999999996"/>
    <n v="9.6738"/>
    <n v="10.352499999999999"/>
  </r>
  <r>
    <x v="0"/>
    <x v="2"/>
    <x v="2"/>
    <n v="1.0000000000000001E-5"/>
    <x v="0"/>
    <s v="lena256_line_15_0.00001_0.0001"/>
    <n v="24.617514"/>
    <n v="18.926286999999999"/>
    <n v="25.3811"/>
    <n v="6.5651000000000002"/>
    <n v="21.478999999999999"/>
    <n v="27.347200000000001"/>
    <n v="29.281600000000001"/>
  </r>
  <r>
    <x v="0"/>
    <x v="2"/>
    <x v="2"/>
    <n v="1.0000000000000001E-5"/>
    <x v="1"/>
    <s v="lena256_line_15_0.00001_0.001"/>
    <n v="12.183339999999999"/>
    <n v="18.521283"/>
    <n v="15.513400000000001"/>
    <n v="6.5651000000000002"/>
    <n v="18.748000000000001"/>
    <n v="20.300999999999998"/>
    <n v="22.180199999999999"/>
  </r>
  <r>
    <x v="0"/>
    <x v="2"/>
    <x v="2"/>
    <n v="1.0000000000000001E-5"/>
    <x v="2"/>
    <s v="lena256_line_15_0.00001_0.01"/>
    <n v="7.4619239999999998"/>
    <n v="18.687505999999999"/>
    <n v="6.4988000000000001"/>
    <n v="6.5651000000000002"/>
    <n v="13.795999999999999"/>
    <n v="14.009"/>
    <n v="15.8774"/>
  </r>
  <r>
    <x v="0"/>
    <x v="2"/>
    <x v="2"/>
    <n v="1.0000000000000001E-5"/>
    <x v="3"/>
    <s v="lena256_line_15_0.00001_0.1"/>
    <n v="5.0990960000000003"/>
    <n v="18.789075"/>
    <n v="1.2384999999999999"/>
    <n v="6.5651000000000002"/>
    <n v="7.9833999999999996"/>
    <n v="8.0343999999999998"/>
    <n v="10.195499999999999"/>
  </r>
  <r>
    <x v="0"/>
    <x v="2"/>
    <x v="3"/>
    <n v="1.0000000000000001E-5"/>
    <x v="0"/>
    <s v="lena256_line_31_0.00001_0.0001"/>
    <n v="22.492854000000001"/>
    <n v="39.615116999999998"/>
    <n v="25.391300000000001"/>
    <n v="3.6454"/>
    <n v="21.286200000000001"/>
    <n v="26.974799999999998"/>
    <n v="29.330200000000001"/>
  </r>
  <r>
    <x v="0"/>
    <x v="2"/>
    <x v="3"/>
    <n v="1.0000000000000001E-5"/>
    <x v="1"/>
    <s v="lena256_line_31_0.00001_0.001"/>
    <n v="9.643084"/>
    <n v="38.264721000000002"/>
    <n v="15.5299"/>
    <n v="3.6454"/>
    <n v="18.5152"/>
    <n v="19.8185"/>
    <n v="22.197500000000002"/>
  </r>
  <r>
    <x v="0"/>
    <x v="2"/>
    <x v="3"/>
    <n v="1.0000000000000001E-5"/>
    <x v="2"/>
    <s v="lena256_line_31_0.00001_0.01"/>
    <n v="5.4025840000000001"/>
    <n v="38.329014999999998"/>
    <n v="6.5111999999999997"/>
    <n v="3.6454"/>
    <n v="13.750299999999999"/>
    <n v="13.7613"/>
    <n v="15.8704"/>
  </r>
  <r>
    <x v="0"/>
    <x v="2"/>
    <x v="3"/>
    <n v="1.0000000000000001E-5"/>
    <x v="3"/>
    <s v="lena256_line_31_0.00001_0.1"/>
    <n v="3.5717599999999998"/>
    <n v="38.420444000000003"/>
    <n v="1.2879"/>
    <n v="3.6454"/>
    <n v="7.7840999999999996"/>
    <n v="6.7876000000000003"/>
    <n v="10.3871"/>
  </r>
  <r>
    <x v="0"/>
    <x v="3"/>
    <x v="0"/>
    <n v="1.0000000000000001E-5"/>
    <x v="0"/>
    <s v="lena256_blurkernel10_3_0.00001_0.0001"/>
    <n v="32.791966000000002"/>
    <n v="3.4524080000000001"/>
    <n v="25.402799999999999"/>
    <n v="17.635200000000001"/>
    <n v="20.521999999999998"/>
    <n v="29.459700000000002"/>
    <n v="29.2973"/>
  </r>
  <r>
    <x v="0"/>
    <x v="3"/>
    <x v="0"/>
    <n v="1.0000000000000001E-5"/>
    <x v="1"/>
    <s v="lena256_blurkernel10_3_0.00001_0.001"/>
    <n v="24.485966000000001"/>
    <n v="3.395715"/>
    <n v="15.5144"/>
    <n v="17.635200000000001"/>
    <n v="19.3979"/>
    <n v="25.1617"/>
    <n v="22.174099999999999"/>
  </r>
  <r>
    <x v="0"/>
    <x v="3"/>
    <x v="0"/>
    <n v="1.0000000000000001E-5"/>
    <x v="2"/>
    <s v="lena256_blurkernel10_3_0.00001_0.01"/>
    <n v="21.025161000000001"/>
    <n v="3.469014"/>
    <n v="6.4867999999999997"/>
    <n v="17.635200000000001"/>
    <n v="16.971699999999998"/>
    <n v="21.820399999999999"/>
    <n v="15.753500000000001"/>
  </r>
  <r>
    <x v="0"/>
    <x v="3"/>
    <x v="0"/>
    <n v="1.0000000000000001E-5"/>
    <x v="3"/>
    <s v="lena256_blurkernel10_3_0.00001_0.1"/>
    <n v="19.506181000000002"/>
    <n v="3.4844970000000002"/>
    <n v="1.2827"/>
    <n v="17.635200000000001"/>
    <n v="11.238300000000001"/>
    <n v="19.7286"/>
    <n v="10.382199999999999"/>
  </r>
  <r>
    <x v="0"/>
    <x v="3"/>
    <x v="1"/>
    <n v="1.0000000000000001E-5"/>
    <x v="0"/>
    <s v="lena256_blurkernel10_7_0.00001_0.0001"/>
    <n v="24.185366999999999"/>
    <n v="8.9770699999999994"/>
    <n v="25.365400000000001"/>
    <n v="12.012700000000001"/>
    <n v="20.811900000000001"/>
    <n v="27.714099999999998"/>
    <n v="29.319199999999999"/>
  </r>
  <r>
    <x v="0"/>
    <x v="3"/>
    <x v="1"/>
    <n v="1.0000000000000001E-5"/>
    <x v="1"/>
    <s v="lena256_blurkernel10_7_0.00001_0.001"/>
    <n v="14.272964999999999"/>
    <n v="8.6472099999999994"/>
    <n v="15.5282"/>
    <n v="12.012700000000001"/>
    <n v="18.7227"/>
    <n v="22.389800000000001"/>
    <n v="22.156400000000001"/>
  </r>
  <r>
    <x v="0"/>
    <x v="3"/>
    <x v="1"/>
    <n v="1.0000000000000001E-5"/>
    <x v="2"/>
    <s v="lena256_blurkernel10_7_0.00001_0.01"/>
    <n v="11.154995"/>
    <n v="8.6959160000000004"/>
    <n v="6.5035999999999996"/>
    <n v="12.012700000000001"/>
    <n v="14.667400000000001"/>
    <n v="19.2559"/>
    <n v="15.759600000000001"/>
  </r>
  <r>
    <x v="0"/>
    <x v="3"/>
    <x v="1"/>
    <n v="1.0000000000000001E-5"/>
    <x v="3"/>
    <s v="lena256_blurkernel10_7_0.00001_0.1"/>
    <n v="8.9981489999999997"/>
    <n v="8.7617890000000003"/>
    <n v="1.2404999999999999"/>
    <n v="12.012700000000001"/>
    <n v="9.6396999999999995"/>
    <n v="13.0787"/>
    <n v="10.268000000000001"/>
  </r>
  <r>
    <x v="0"/>
    <x v="3"/>
    <x v="2"/>
    <n v="1.0000000000000001E-5"/>
    <x v="0"/>
    <s v="lena256_blurkernel10_15_0.00001_0.0001"/>
    <n v="21.780586"/>
    <n v="19.654114"/>
    <n v="25.413900000000002"/>
    <n v="8.4251000000000005"/>
    <n v="21.132899999999999"/>
    <n v="27.075700000000001"/>
    <n v="29.358499999999999"/>
  </r>
  <r>
    <x v="0"/>
    <x v="3"/>
    <x v="2"/>
    <n v="1.0000000000000001E-5"/>
    <x v="1"/>
    <s v="lena256_blurkernel10_15_0.00001_0.001"/>
    <n v="10.06354"/>
    <n v="18.874655000000001"/>
    <n v="15.4777"/>
    <n v="8.4251000000000005"/>
    <n v="18.624300000000002"/>
    <n v="21.311499999999999"/>
    <n v="22.171199999999999"/>
  </r>
  <r>
    <x v="0"/>
    <x v="3"/>
    <x v="2"/>
    <n v="1.0000000000000001E-5"/>
    <x v="2"/>
    <s v="lena256_blurkernel10_15_0.00001_0.01"/>
    <n v="6.9808669999999999"/>
    <n v="18.862404000000002"/>
    <n v="6.4850000000000003"/>
    <n v="8.4251000000000005"/>
    <n v="13.915699999999999"/>
    <n v="17.9529"/>
    <n v="15.7842"/>
  </r>
  <r>
    <x v="0"/>
    <x v="3"/>
    <x v="2"/>
    <n v="1.0000000000000001E-5"/>
    <x v="3"/>
    <s v="lena256_blurkernel10_15_0.00001_0.1"/>
    <n v="5.699497"/>
    <n v="18.898703000000001"/>
    <n v="1.2773000000000001"/>
    <n v="8.4251000000000005"/>
    <n v="8.5427"/>
    <n v="13.1046"/>
    <n v="10.315799999999999"/>
  </r>
  <r>
    <x v="0"/>
    <x v="3"/>
    <x v="3"/>
    <n v="1.0000000000000001E-5"/>
    <x v="0"/>
    <s v="lena256_blurkernel10_31_0.00001_0.0001"/>
    <n v="20.939412999999998"/>
    <n v="40.621605000000002"/>
    <n v="25.3994"/>
    <n v="5.6351000000000004"/>
    <n v="21.052600000000002"/>
    <n v="25.561299999999999"/>
    <n v="29.3583"/>
  </r>
  <r>
    <x v="0"/>
    <x v="3"/>
    <x v="3"/>
    <n v="1.0000000000000001E-5"/>
    <x v="1"/>
    <s v="lena256_blurkernel10_31_0.00001_0.001"/>
    <n v="7.7283020000000002"/>
    <n v="38.991622"/>
    <n v="15.4948"/>
    <n v="5.6351000000000004"/>
    <n v="18.394200000000001"/>
    <n v="17.3353"/>
    <n v="22.151399999999999"/>
  </r>
  <r>
    <x v="0"/>
    <x v="3"/>
    <x v="3"/>
    <n v="1.0000000000000001E-5"/>
    <x v="2"/>
    <s v="lena256_blurkernel10_31_0.00001_0.01"/>
    <n v="4.8831509999999998"/>
    <n v="38.801219000000003"/>
    <n v="6.5204000000000004"/>
    <n v="5.6351000000000004"/>
    <n v="13.7232"/>
    <n v="14.9146"/>
    <n v="15.8941"/>
  </r>
  <r>
    <x v="0"/>
    <x v="3"/>
    <x v="3"/>
    <n v="1.0000000000000001E-5"/>
    <x v="3"/>
    <s v="lena256_blurkernel10_31_0.00001_0.1"/>
    <n v="3.7066490000000001"/>
    <n v="38.833258999999998"/>
    <n v="1.2785"/>
    <n v="5.6351000000000004"/>
    <n v="7.9951999999999996"/>
    <n v="9.2941000000000003"/>
    <n v="10.326499999999999"/>
  </r>
  <r>
    <x v="1"/>
    <x v="0"/>
    <x v="0"/>
    <n v="1.0000000000000001E-5"/>
    <x v="0"/>
    <s v="tree256_blurkernel7_3_0.00001_0.0001"/>
    <n v="34.472690999999998"/>
    <n v="3.2802639999999998"/>
    <n v="25.645399999999999"/>
    <n v="12.2697"/>
    <n v="12.639799999999999"/>
    <n v="25.332999999999998"/>
    <n v="25.755199999999999"/>
  </r>
  <r>
    <x v="1"/>
    <x v="0"/>
    <x v="0"/>
    <n v="1.0000000000000001E-5"/>
    <x v="1"/>
    <s v="tree256_blurkernel7_3_0.00001_0.001"/>
    <n v="27.035435"/>
    <n v="3.1829529999999999"/>
    <n v="15.6715"/>
    <n v="12.2697"/>
    <n v="12.5724"/>
    <n v="17.485399999999998"/>
    <n v="16.6891"/>
  </r>
  <r>
    <x v="1"/>
    <x v="0"/>
    <x v="0"/>
    <n v="1.0000000000000001E-5"/>
    <x v="2"/>
    <s v="tree256_blurkernel7_3_0.00001_0.01"/>
    <n v="22.767109999999999"/>
    <n v="3.2772380000000001"/>
    <n v="6.6473000000000004"/>
    <n v="12.2697"/>
    <n v="12.4857"/>
    <n v="16.2194"/>
    <n v="9.8323"/>
  </r>
  <r>
    <x v="1"/>
    <x v="0"/>
    <x v="0"/>
    <n v="1.0000000000000001E-5"/>
    <x v="3"/>
    <s v="tree256_blurkernel7_3_0.00001_0.1"/>
    <n v="20.164594000000001"/>
    <n v="3.3193199999999998"/>
    <n v="1.2901"/>
    <n v="12.2697"/>
    <n v="9.9596999999999998"/>
    <n v="16.194700000000001"/>
    <n v="5.1035000000000004"/>
  </r>
  <r>
    <x v="1"/>
    <x v="0"/>
    <x v="1"/>
    <n v="1.0000000000000001E-5"/>
    <x v="0"/>
    <s v="tree256_blurkernel7_7_0.00001_0.0001"/>
    <n v="25.289180000000002"/>
    <n v="8.5016029999999994"/>
    <n v="25.639099999999999"/>
    <n v="6.8818999999999999"/>
    <n v="12.0754"/>
    <n v="24.791799999999999"/>
    <n v="25.7637"/>
  </r>
  <r>
    <x v="1"/>
    <x v="0"/>
    <x v="1"/>
    <n v="1.0000000000000001E-5"/>
    <x v="1"/>
    <s v="tree256_blurkernel7_7_0.00001_0.001"/>
    <n v="15.292589"/>
    <n v="8.1521050000000006"/>
    <n v="15.7446"/>
    <n v="6.8818999999999999"/>
    <n v="11.3147"/>
    <n v="15.603300000000001"/>
    <n v="16.736799999999999"/>
  </r>
  <r>
    <x v="1"/>
    <x v="0"/>
    <x v="1"/>
    <n v="1.0000000000000001E-5"/>
    <x v="2"/>
    <s v="tree256_blurkernel7_7_0.00001_0.01"/>
    <n v="12.509428"/>
    <n v="8.1779159999999997"/>
    <n v="6.6375000000000002"/>
    <n v="6.8818999999999999"/>
    <n v="9.0643999999999991"/>
    <n v="11.455500000000001"/>
    <n v="9.7920999999999996"/>
  </r>
  <r>
    <x v="1"/>
    <x v="0"/>
    <x v="1"/>
    <n v="1.0000000000000001E-5"/>
    <x v="3"/>
    <s v="tree256_blurkernel7_7_0.00001_0.1"/>
    <n v="9.863607"/>
    <n v="8.2567909999999998"/>
    <n v="1.2766999999999999"/>
    <n v="6.8818999999999999"/>
    <n v="6.5049000000000001"/>
    <n v="8.7687000000000008"/>
    <n v="5.0496999999999996"/>
  </r>
  <r>
    <x v="1"/>
    <x v="0"/>
    <x v="2"/>
    <n v="1.0000000000000001E-5"/>
    <x v="0"/>
    <s v="tree256_blurkernel7_15_0.00001_0.0001"/>
    <n v="22.503813999999998"/>
    <n v="18.571337"/>
    <n v="25.628499999999999"/>
    <n v="3.9232"/>
    <n v="13.3748"/>
    <n v="24.794699999999999"/>
    <n v="25.7517"/>
  </r>
  <r>
    <x v="1"/>
    <x v="0"/>
    <x v="2"/>
    <n v="1.0000000000000001E-5"/>
    <x v="1"/>
    <s v="tree256_blurkernel7_15_0.00001_0.001"/>
    <n v="10.112631"/>
    <n v="17.763186000000001"/>
    <n v="15.738300000000001"/>
    <n v="3.9232"/>
    <n v="12.3065"/>
    <n v="16.386199999999999"/>
    <n v="16.751799999999999"/>
  </r>
  <r>
    <x v="1"/>
    <x v="0"/>
    <x v="2"/>
    <n v="1.0000000000000001E-5"/>
    <x v="2"/>
    <s v="tree256_blurkernel7_15_0.00001_0.01"/>
    <n v="7.0511889999999999"/>
    <n v="17.725826999999999"/>
    <n v="6.6646000000000001"/>
    <n v="3.9232"/>
    <n v="9.0094999999999992"/>
    <n v="11.477499999999999"/>
    <n v="9.8483999999999998"/>
  </r>
  <r>
    <x v="1"/>
    <x v="0"/>
    <x v="2"/>
    <n v="1.0000000000000001E-5"/>
    <x v="3"/>
    <s v="tree256_blurkernel7_15_0.00001_0.1"/>
    <n v="5.8110860000000004"/>
    <n v="17.749348000000001"/>
    <n v="1.2672000000000001"/>
    <n v="3.9232"/>
    <n v="4.8752000000000004"/>
    <n v="7.3704999999999998"/>
    <n v="5.0944000000000003"/>
  </r>
  <r>
    <x v="1"/>
    <x v="0"/>
    <x v="3"/>
    <n v="1.0000000000000001E-5"/>
    <x v="0"/>
    <s v="tree256_blurkernel7_31_0.00001_0.0001"/>
    <n v="21.662075999999999"/>
    <n v="38.411172999999998"/>
    <n v="25.604600000000001"/>
    <n v="2.42"/>
    <n v="13.696899999999999"/>
    <n v="24.5549"/>
    <n v="25.724599999999999"/>
  </r>
  <r>
    <x v="1"/>
    <x v="0"/>
    <x v="3"/>
    <n v="1.0000000000000001E-5"/>
    <x v="1"/>
    <s v="tree256_blurkernel7_31_0.00001_0.001"/>
    <n v="8.1901969999999995"/>
    <n v="36.664512999999999"/>
    <n v="15.72"/>
    <n v="2.42"/>
    <n v="12.521800000000001"/>
    <n v="15.746700000000001"/>
    <n v="16.7302"/>
  </r>
  <r>
    <x v="1"/>
    <x v="0"/>
    <x v="3"/>
    <n v="1.0000000000000001E-5"/>
    <x v="2"/>
    <s v="tree256_blurkernel7_31_0.00001_0.01"/>
    <n v="4.688644"/>
    <n v="36.522537999999997"/>
    <n v="6.6585999999999999"/>
    <n v="2.42"/>
    <n v="9.0954999999999995"/>
    <n v="10.5305"/>
    <n v="9.8333999999999993"/>
  </r>
  <r>
    <x v="1"/>
    <x v="0"/>
    <x v="3"/>
    <n v="1.0000000000000001E-5"/>
    <x v="3"/>
    <s v="tree256_blurkernel7_31_0.00001_0.1"/>
    <n v="3.436906"/>
    <n v="36.544604999999997"/>
    <n v="1.2689999999999999"/>
    <n v="2.42"/>
    <n v="4.4759000000000002"/>
    <n v="7.3154000000000003"/>
    <n v="5.0289000000000001"/>
  </r>
  <r>
    <x v="1"/>
    <x v="1"/>
    <x v="0"/>
    <n v="1.0000000000000001E-5"/>
    <x v="0"/>
    <s v="tree256_blurkernel8_3_0.00001_0.0001"/>
    <n v="36.234701000000001"/>
    <n v="3.203424"/>
    <n v="25.635200000000001"/>
    <n v="12.2698"/>
    <n v="12.698"/>
    <n v="25.831"/>
    <n v="25.7593"/>
  </r>
  <r>
    <x v="1"/>
    <x v="1"/>
    <x v="0"/>
    <n v="1.0000000000000001E-5"/>
    <x v="1"/>
    <s v="tree256_blurkernel8_3_0.00001_0.001"/>
    <n v="28.701722"/>
    <n v="3.1273049999999998"/>
    <n v="15.721299999999999"/>
    <n v="12.2698"/>
    <n v="12.636200000000001"/>
    <n v="19.401"/>
    <n v="16.747499999999999"/>
  </r>
  <r>
    <x v="1"/>
    <x v="1"/>
    <x v="0"/>
    <n v="1.0000000000000001E-5"/>
    <x v="2"/>
    <s v="tree256_blurkernel8_3_0.00001_0.01"/>
    <n v="23.273617999999999"/>
    <n v="3.263782"/>
    <n v="6.6342999999999996"/>
    <n v="12.2698"/>
    <n v="12.518000000000001"/>
    <n v="18.621600000000001"/>
    <n v="9.8343000000000007"/>
  </r>
  <r>
    <x v="1"/>
    <x v="1"/>
    <x v="0"/>
    <n v="1.0000000000000001E-5"/>
    <x v="3"/>
    <s v="tree256_blurkernel8_3_0.00001_0.1"/>
    <n v="20.242751999999999"/>
    <n v="3.3199890000000001"/>
    <n v="1.2664"/>
    <n v="12.2698"/>
    <n v="9.8120999999999992"/>
    <n v="16.988800000000001"/>
    <n v="4.9739000000000004"/>
  </r>
  <r>
    <x v="1"/>
    <x v="1"/>
    <x v="1"/>
    <n v="1.0000000000000001E-5"/>
    <x v="0"/>
    <s v="tree256_blurkernel8_7_0.00001_0.0001"/>
    <n v="26.482206999999999"/>
    <n v="8.3913639999999994"/>
    <n v="25.611999999999998"/>
    <n v="6.9607999999999999"/>
    <n v="12.019399999999999"/>
    <n v="25.2956"/>
    <n v="25.737500000000001"/>
  </r>
  <r>
    <x v="1"/>
    <x v="1"/>
    <x v="1"/>
    <n v="1.0000000000000001E-5"/>
    <x v="1"/>
    <s v="tree256_blurkernel8_7_0.00001_0.001"/>
    <n v="16.717133"/>
    <n v="8.0748829999999998"/>
    <n v="15.686199999999999"/>
    <n v="6.9607999999999999"/>
    <n v="11.292299999999999"/>
    <n v="16.578299999999999"/>
    <n v="16.708600000000001"/>
  </r>
  <r>
    <x v="1"/>
    <x v="1"/>
    <x v="1"/>
    <n v="1.0000000000000001E-5"/>
    <x v="2"/>
    <s v="tree256_blurkernel8_7_0.00001_0.01"/>
    <n v="13.075782"/>
    <n v="8.1554359999999999"/>
    <n v="6.6559999999999997"/>
    <n v="6.9607999999999999"/>
    <n v="9.1798000000000002"/>
    <n v="14.138500000000001"/>
    <n v="9.8195999999999994"/>
  </r>
  <r>
    <x v="1"/>
    <x v="1"/>
    <x v="1"/>
    <n v="1.0000000000000001E-5"/>
    <x v="3"/>
    <s v="tree256_blurkernel8_7_0.00001_0.1"/>
    <n v="9.9124859999999995"/>
    <n v="8.25807"/>
    <n v="1.2742"/>
    <n v="6.9607999999999999"/>
    <n v="6.5795000000000003"/>
    <n v="11.1684"/>
    <n v="5.1013999999999999"/>
  </r>
  <r>
    <x v="1"/>
    <x v="1"/>
    <x v="2"/>
    <n v="1.0000000000000001E-5"/>
    <x v="0"/>
    <s v="tree256_blurkernel8_15_0.00001_0.0001"/>
    <n v="23.245142999999999"/>
    <n v="18.44979"/>
    <n v="25.6327"/>
    <n v="4.1384999999999996"/>
    <n v="13.2781"/>
    <n v="24.718599999999999"/>
    <n v="25.751999999999999"/>
  </r>
  <r>
    <x v="1"/>
    <x v="1"/>
    <x v="2"/>
    <n v="1.0000000000000001E-5"/>
    <x v="1"/>
    <s v="tree256_blurkernel8_15_0.00001_0.001"/>
    <n v="11.571281000000001"/>
    <n v="17.659464"/>
    <n v="15.710100000000001"/>
    <n v="4.1384999999999996"/>
    <n v="12.196999999999999"/>
    <n v="16.631599999999999"/>
    <n v="16.717199999999998"/>
  </r>
  <r>
    <x v="1"/>
    <x v="1"/>
    <x v="2"/>
    <n v="1.0000000000000001E-5"/>
    <x v="2"/>
    <s v="tree256_blurkernel8_15_0.00001_0.01"/>
    <n v="8.2928069999999998"/>
    <n v="17.670248999999998"/>
    <n v="6.6269999999999998"/>
    <n v="4.1384999999999996"/>
    <n v="8.8828999999999994"/>
    <n v="12.403600000000001"/>
    <n v="9.8370999999999995"/>
  </r>
  <r>
    <x v="1"/>
    <x v="1"/>
    <x v="2"/>
    <n v="1.0000000000000001E-5"/>
    <x v="3"/>
    <s v="tree256_blurkernel8_15_0.00001_0.1"/>
    <n v="6.3521169999999998"/>
    <n v="17.741949000000002"/>
    <n v="1.2907"/>
    <n v="4.1384999999999996"/>
    <n v="4.9417"/>
    <n v="9.7248999999999999"/>
    <n v="5.1132999999999997"/>
  </r>
  <r>
    <x v="1"/>
    <x v="1"/>
    <x v="3"/>
    <n v="1.0000000000000001E-5"/>
    <x v="0"/>
    <s v="tree256_blurkernel8_31_0.00001_0.0001"/>
    <n v="21.954425000000001"/>
    <n v="38.325780999999999"/>
    <n v="25.63"/>
    <n v="2.5009000000000001"/>
    <n v="13.6685"/>
    <n v="24.2319"/>
    <n v="25.741499999999998"/>
  </r>
  <r>
    <x v="1"/>
    <x v="1"/>
    <x v="3"/>
    <n v="1.0000000000000001E-5"/>
    <x v="1"/>
    <s v="tree256_blurkernel8_31_0.00001_0.001"/>
    <n v="8.8831900000000008"/>
    <n v="36.595289000000001"/>
    <n v="15.7043"/>
    <n v="2.5009000000000001"/>
    <n v="12.6198"/>
    <n v="15.8531"/>
    <n v="16.7193"/>
  </r>
  <r>
    <x v="1"/>
    <x v="1"/>
    <x v="3"/>
    <n v="1.0000000000000001E-5"/>
    <x v="2"/>
    <s v="tree256_blurkernel8_31_0.00001_0.01"/>
    <n v="5.5687860000000002"/>
    <n v="36.475808000000001"/>
    <n v="6.5842000000000001"/>
    <n v="2.5009000000000001"/>
    <n v="8.9992999999999999"/>
    <n v="10.608700000000001"/>
    <n v="9.7990999999999993"/>
  </r>
  <r>
    <x v="1"/>
    <x v="1"/>
    <x v="3"/>
    <n v="1.0000000000000001E-5"/>
    <x v="3"/>
    <s v="tree256_blurkernel8_31_0.00001_0.1"/>
    <n v="4.1147960000000001"/>
    <n v="36.525795000000002"/>
    <n v="1.2714000000000001"/>
    <n v="2.5009000000000001"/>
    <n v="4.4349999999999996"/>
    <n v="7.5681000000000003"/>
    <n v="5.0468000000000002"/>
  </r>
  <r>
    <x v="1"/>
    <x v="2"/>
    <x v="0"/>
    <n v="1.0000000000000001E-5"/>
    <x v="0"/>
    <s v="tree256_line_3_0.00001_0.0001"/>
    <n v="42.500205999999999"/>
    <n v="2.9211010000000002"/>
    <n v="25.641500000000001"/>
    <n v="9.3459000000000003"/>
    <n v="11.8714"/>
    <n v="26.386700000000001"/>
    <n v="25.759"/>
  </r>
  <r>
    <x v="1"/>
    <x v="2"/>
    <x v="0"/>
    <n v="1.0000000000000001E-5"/>
    <x v="1"/>
    <s v="tree256_line_3_0.00001_0.001"/>
    <n v="32.852992"/>
    <n v="2.9713889999999998"/>
    <n v="15.709099999999999"/>
    <n v="9.3459000000000003"/>
    <n v="11.4696"/>
    <n v="19.728000000000002"/>
    <n v="16.742000000000001"/>
  </r>
  <r>
    <x v="1"/>
    <x v="2"/>
    <x v="0"/>
    <n v="1.0000000000000001E-5"/>
    <x v="2"/>
    <s v="tree256_line_3_0.00001_0.01"/>
    <n v="24.059252999999998"/>
    <n v="3.2318129999999998"/>
    <n v="6.6239999999999997"/>
    <n v="9.3459000000000003"/>
    <n v="10.4293"/>
    <n v="17.173400000000001"/>
    <n v="9.8666"/>
  </r>
  <r>
    <x v="1"/>
    <x v="2"/>
    <x v="0"/>
    <n v="1.0000000000000001E-5"/>
    <x v="3"/>
    <s v="tree256_line_3_0.00001_0.1"/>
    <n v="20.021588000000001"/>
    <n v="3.318047"/>
    <n v="1.2818000000000001"/>
    <n v="9.3459000000000003"/>
    <n v="8.1890000000000001"/>
    <n v="8.4076000000000004"/>
    <n v="5.1235999999999997"/>
  </r>
  <r>
    <x v="1"/>
    <x v="2"/>
    <x v="1"/>
    <n v="1.0000000000000001E-5"/>
    <x v="0"/>
    <s v="tree256_line_7_0.00001_0.0001"/>
    <n v="32.112152000000002"/>
    <n v="7.8178929999999998"/>
    <n v="25.6081"/>
    <n v="5.2511999999999999"/>
    <n v="13.0983"/>
    <n v="25.023800000000001"/>
    <n v="25.731000000000002"/>
  </r>
  <r>
    <x v="1"/>
    <x v="2"/>
    <x v="1"/>
    <n v="1.0000000000000001E-5"/>
    <x v="1"/>
    <s v="tree256_line_7_0.00001_0.001"/>
    <n v="21.566970999999999"/>
    <n v="7.7422089999999999"/>
    <n v="15.7111"/>
    <n v="5.2511999999999999"/>
    <n v="12.1981"/>
    <n v="16.850100000000001"/>
    <n v="16.720600000000001"/>
  </r>
  <r>
    <x v="1"/>
    <x v="2"/>
    <x v="1"/>
    <n v="1.0000000000000001E-5"/>
    <x v="2"/>
    <s v="tree256_line_7_0.00001_0.01"/>
    <n v="14.643162"/>
    <n v="8.0560530000000004"/>
    <n v="6.6104000000000003"/>
    <n v="5.2511999999999999"/>
    <n v="9.3389000000000006"/>
    <n v="10.6439"/>
    <n v="9.7830999999999992"/>
  </r>
  <r>
    <x v="1"/>
    <x v="2"/>
    <x v="1"/>
    <n v="1.0000000000000001E-5"/>
    <x v="3"/>
    <s v="tree256_line_7_0.00001_0.1"/>
    <n v="10.106241000000001"/>
    <n v="8.2295809999999996"/>
    <n v="1.2918000000000001"/>
    <n v="5.2511999999999999"/>
    <n v="5.7595999999999998"/>
    <n v="6.1925999999999997"/>
    <n v="5.0258000000000003"/>
  </r>
  <r>
    <x v="1"/>
    <x v="2"/>
    <x v="2"/>
    <n v="1.0000000000000001E-5"/>
    <x v="0"/>
    <s v="tree256_line_15_0.00001_0.0001"/>
    <n v="26.788083"/>
    <n v="17.743539999999999"/>
    <n v="25.626300000000001"/>
    <n v="3.2846000000000002"/>
    <n v="13.3728"/>
    <n v="24.679099999999998"/>
    <n v="25.750599999999999"/>
  </r>
  <r>
    <x v="1"/>
    <x v="2"/>
    <x v="2"/>
    <n v="1.0000000000000001E-5"/>
    <x v="1"/>
    <s v="tree256_line_15_0.00001_0.001"/>
    <n v="15.281193999999999"/>
    <n v="17.265825"/>
    <n v="15.738200000000001"/>
    <n v="3.2846000000000002"/>
    <n v="12.4"/>
    <n v="15.7165"/>
    <n v="16.7485"/>
  </r>
  <r>
    <x v="1"/>
    <x v="2"/>
    <x v="2"/>
    <n v="1.0000000000000001E-5"/>
    <x v="2"/>
    <s v="tree256_line_15_0.00001_0.01"/>
    <n v="9.8952980000000004"/>
    <n v="17.542798999999999"/>
    <n v="6.6273"/>
    <n v="3.2846000000000002"/>
    <n v="9.1562000000000001"/>
    <n v="8.6239000000000008"/>
    <n v="9.7967999999999993"/>
  </r>
  <r>
    <x v="1"/>
    <x v="2"/>
    <x v="2"/>
    <n v="1.0000000000000001E-5"/>
    <x v="3"/>
    <s v="tree256_line_15_0.00001_0.1"/>
    <n v="6.4112130000000001"/>
    <n v="17.726725999999999"/>
    <n v="1.286"/>
    <n v="3.2846000000000002"/>
    <n v="4.9248000000000003"/>
    <n v="5.7813999999999997"/>
    <n v="5.0247000000000002"/>
  </r>
  <r>
    <x v="1"/>
    <x v="2"/>
    <x v="3"/>
    <n v="1.0000000000000001E-5"/>
    <x v="0"/>
    <s v="tree256_line_31_0.00001_0.0001"/>
    <n v="24.076516999999999"/>
    <n v="37.588718999999998"/>
    <n v="25.576799999999999"/>
    <n v="2.3241999999999998"/>
    <n v="13.5007"/>
    <n v="24.713999999999999"/>
    <n v="25.6934"/>
  </r>
  <r>
    <x v="1"/>
    <x v="2"/>
    <x v="3"/>
    <n v="1.0000000000000001E-5"/>
    <x v="1"/>
    <s v="tree256_line_31_0.00001_0.001"/>
    <n v="11.791567000000001"/>
    <n v="36.204016000000003"/>
    <n v="15.7056"/>
    <n v="2.3241999999999998"/>
    <n v="12.444000000000001"/>
    <n v="15.4445"/>
    <n v="16.689599999999999"/>
  </r>
  <r>
    <x v="1"/>
    <x v="2"/>
    <x v="3"/>
    <n v="1.0000000000000001E-5"/>
    <x v="2"/>
    <s v="tree256_line_31_0.00001_0.01"/>
    <n v="7.0743400000000003"/>
    <n v="36.415385000000001"/>
    <n v="6.6348000000000003"/>
    <n v="2.3241999999999998"/>
    <n v="9.1544000000000008"/>
    <n v="7.9020999999999999"/>
    <n v="9.8237000000000005"/>
  </r>
  <r>
    <x v="1"/>
    <x v="2"/>
    <x v="3"/>
    <n v="1.0000000000000001E-5"/>
    <x v="3"/>
    <s v="tree256_line_31_0.00001_0.1"/>
    <n v="4.446142"/>
    <n v="36.596992"/>
    <n v="1.2824"/>
    <n v="2.3241999999999998"/>
    <n v="4.6657999999999999"/>
    <n v="4.5087000000000002"/>
    <n v="5.0247999999999999"/>
  </r>
  <r>
    <x v="1"/>
    <x v="3"/>
    <x v="0"/>
    <n v="1.0000000000000001E-5"/>
    <x v="0"/>
    <s v="tree256_blurkernel10_3_0.00001_0.0001"/>
    <n v="34.761901999999999"/>
    <n v="3.2655460000000001"/>
    <n v="25.613"/>
    <n v="10.563599999999999"/>
    <n v="11.9267"/>
    <n v="26.225899999999999"/>
    <n v="25.734500000000001"/>
  </r>
  <r>
    <x v="1"/>
    <x v="3"/>
    <x v="0"/>
    <n v="1.0000000000000001E-5"/>
    <x v="1"/>
    <s v="tree256_blurkernel10_3_0.00001_0.001"/>
    <n v="27.372761000000001"/>
    <n v="3.1692170000000002"/>
    <n v="15.661099999999999"/>
    <n v="10.563599999999999"/>
    <n v="11.6998"/>
    <n v="18.670300000000001"/>
    <n v="16.679300000000001"/>
  </r>
  <r>
    <x v="1"/>
    <x v="3"/>
    <x v="0"/>
    <n v="1.0000000000000001E-5"/>
    <x v="2"/>
    <s v="tree256_blurkernel10_3_0.00001_0.01"/>
    <n v="23.154679000000002"/>
    <n v="3.2625660000000001"/>
    <n v="6.6040000000000001"/>
    <n v="10.563599999999999"/>
    <n v="11.1874"/>
    <n v="16.601700000000001"/>
    <n v="9.8213000000000008"/>
  </r>
  <r>
    <x v="1"/>
    <x v="3"/>
    <x v="0"/>
    <n v="1.0000000000000001E-5"/>
    <x v="3"/>
    <s v="tree256_blurkernel10_3_0.00001_0.1"/>
    <n v="20.047853"/>
    <n v="3.3191310000000001"/>
    <n v="1.2718"/>
    <n v="10.563599999999999"/>
    <n v="8.8571000000000009"/>
    <n v="13.100099999999999"/>
    <n v="5.0285000000000002"/>
  </r>
  <r>
    <x v="1"/>
    <x v="3"/>
    <x v="1"/>
    <n v="1.0000000000000001E-5"/>
    <x v="0"/>
    <s v="tree256_blurkernel10_7_0.00001_0.0001"/>
    <n v="25.620992999999999"/>
    <n v="8.4580099999999998"/>
    <n v="25.601700000000001"/>
    <n v="5.9894999999999996"/>
    <n v="12.784700000000001"/>
    <n v="25.174800000000001"/>
    <n v="25.722200000000001"/>
  </r>
  <r>
    <x v="1"/>
    <x v="3"/>
    <x v="1"/>
    <n v="1.0000000000000001E-5"/>
    <x v="1"/>
    <s v="tree256_blurkernel10_7_0.00001_0.001"/>
    <n v="15.713266000000001"/>
    <n v="8.1143450000000001"/>
    <n v="15.7104"/>
    <n v="5.9894999999999996"/>
    <n v="11.981"/>
    <n v="16.9009"/>
    <n v="16.738700000000001"/>
  </r>
  <r>
    <x v="1"/>
    <x v="3"/>
    <x v="1"/>
    <n v="1.0000000000000001E-5"/>
    <x v="2"/>
    <s v="tree256_blurkernel10_7_0.00001_0.01"/>
    <n v="12.643542"/>
    <n v="8.1567030000000003"/>
    <n v="6.6203000000000003"/>
    <n v="5.9894999999999996"/>
    <n v="9.2650000000000006"/>
    <n v="12.9291"/>
    <n v="9.8383000000000003"/>
  </r>
  <r>
    <x v="1"/>
    <x v="3"/>
    <x v="1"/>
    <n v="1.0000000000000001E-5"/>
    <x v="3"/>
    <s v="tree256_blurkernel10_7_0.00001_0.1"/>
    <n v="9.9194549999999992"/>
    <n v="8.2389150000000004"/>
    <n v="1.2551000000000001"/>
    <n v="5.9894999999999996"/>
    <n v="6.0018000000000002"/>
    <n v="9.9074000000000009"/>
    <n v="4.9875999999999996"/>
  </r>
  <r>
    <x v="1"/>
    <x v="3"/>
    <x v="2"/>
    <n v="1.0000000000000001E-5"/>
    <x v="0"/>
    <s v="tree256_blurkernel10_15_0.00001_0.0001"/>
    <n v="23.048929999999999"/>
    <n v="18.458176000000002"/>
    <n v="25.565999999999999"/>
    <n v="3.7442000000000002"/>
    <n v="13.329000000000001"/>
    <n v="24.5961"/>
    <n v="25.695499999999999"/>
  </r>
  <r>
    <x v="1"/>
    <x v="3"/>
    <x v="2"/>
    <n v="1.0000000000000001E-5"/>
    <x v="1"/>
    <s v="tree256_blurkernel10_15_0.00001_0.001"/>
    <n v="11.13199"/>
    <n v="17.664906999999999"/>
    <n v="15.6976"/>
    <n v="3.7442000000000002"/>
    <n v="12.328099999999999"/>
    <n v="16.401599999999998"/>
    <n v="16.725999999999999"/>
  </r>
  <r>
    <x v="1"/>
    <x v="3"/>
    <x v="2"/>
    <n v="1.0000000000000001E-5"/>
    <x v="2"/>
    <s v="tree256_blurkernel10_15_0.00001_0.01"/>
    <n v="7.925789"/>
    <n v="17.659611000000002"/>
    <n v="6.6397000000000004"/>
    <n v="3.7442000000000002"/>
    <n v="9.2149000000000001"/>
    <n v="11.972"/>
    <n v="9.8338999999999999"/>
  </r>
  <r>
    <x v="1"/>
    <x v="3"/>
    <x v="2"/>
    <n v="1.0000000000000001E-5"/>
    <x v="3"/>
    <s v="tree256_blurkernel10_15_0.00001_0.1"/>
    <n v="6.2487199999999996"/>
    <n v="17.712686999999999"/>
    <n v="1.2868999999999999"/>
    <n v="3.7442000000000002"/>
    <n v="5.0941999999999998"/>
    <n v="9.7885000000000009"/>
    <n v="5.1101999999999999"/>
  </r>
  <r>
    <x v="1"/>
    <x v="3"/>
    <x v="3"/>
    <n v="1.0000000000000001E-5"/>
    <x v="0"/>
    <s v="tree256_blurkernel10_31_0.00001_0.0001"/>
    <n v="22.085160999999999"/>
    <n v="38.204839999999997"/>
    <n v="25.610600000000002"/>
    <n v="2.5832000000000002"/>
    <n v="13.391400000000001"/>
    <n v="23.9483"/>
    <n v="25.7317"/>
  </r>
  <r>
    <x v="1"/>
    <x v="3"/>
    <x v="3"/>
    <n v="1.0000000000000001E-5"/>
    <x v="1"/>
    <s v="tree256_blurkernel10_31_0.00001_0.001"/>
    <n v="9.1245139999999996"/>
    <n v="36.476284"/>
    <n v="15.738099999999999"/>
    <n v="2.5832000000000002"/>
    <n v="12.4003"/>
    <n v="15.8172"/>
    <n v="16.744499999999999"/>
  </r>
  <r>
    <x v="1"/>
    <x v="3"/>
    <x v="3"/>
    <n v="1.0000000000000001E-5"/>
    <x v="2"/>
    <s v="tree256_blurkernel10_31_0.00001_0.01"/>
    <n v="5.6277949999999999"/>
    <n v="36.385145999999999"/>
    <n v="6.6936"/>
    <n v="2.5832000000000002"/>
    <n v="9.1976999999999993"/>
    <n v="10.755100000000001"/>
    <n v="9.9206000000000003"/>
  </r>
  <r>
    <x v="1"/>
    <x v="3"/>
    <x v="3"/>
    <n v="1.0000000000000001E-5"/>
    <x v="3"/>
    <s v="tree256_blurkernel10_31_0.00001_0.1"/>
    <n v="4.0006979999999999"/>
    <n v="36.448644000000002"/>
    <n v="1.2823"/>
    <n v="2.5832000000000002"/>
    <n v="4.7446999999999999"/>
    <n v="7.6505999999999998"/>
    <n v="5.1032000000000002"/>
  </r>
  <r>
    <x v="2"/>
    <x v="0"/>
    <x v="0"/>
    <n v="1.0000000000000001E-5"/>
    <x v="0"/>
    <s v="text256_blurkernel7_3_0.00001_0.0001"/>
    <n v="18.617412999999999"/>
    <n v="6.1026939999999996"/>
    <n v="31.154499999999999"/>
    <n v="9.2067999999999994"/>
    <n v="17.302299999999999"/>
    <n v="34.175800000000002"/>
    <n v="34.256999999999998"/>
  </r>
  <r>
    <x v="2"/>
    <x v="0"/>
    <x v="0"/>
    <n v="1.0000000000000001E-5"/>
    <x v="1"/>
    <s v="text256_blurkernel7_3_0.00001_0.001"/>
    <n v="15.446187999999999"/>
    <n v="5.8357950000000001"/>
    <n v="21.163799999999998"/>
    <n v="9.2067999999999994"/>
    <n v="16.664899999999999"/>
    <n v="23.7639"/>
    <n v="24.7424"/>
  </r>
  <r>
    <x v="2"/>
    <x v="0"/>
    <x v="0"/>
    <n v="1.0000000000000001E-5"/>
    <x v="2"/>
    <s v="text256_blurkernel7_3_0.00001_0.01"/>
    <n v="15.024877"/>
    <n v="5.836849"/>
    <n v="11.1706"/>
    <n v="9.2067999999999994"/>
    <n v="12.879099999999999"/>
    <n v="20.237400000000001"/>
    <n v="15.046799999999999"/>
  </r>
  <r>
    <x v="2"/>
    <x v="0"/>
    <x v="0"/>
    <n v="1.0000000000000001E-5"/>
    <x v="3"/>
    <s v="text256_blurkernel7_3_0.00001_0.1"/>
    <n v="14.590434999999999"/>
    <n v="5.9308019999999999"/>
    <n v="2.7606000000000002"/>
    <n v="9.2067999999999994"/>
    <n v="8.5205000000000002"/>
    <n v="20.337499999999999"/>
    <n v="5.0578000000000003"/>
  </r>
  <r>
    <x v="2"/>
    <x v="0"/>
    <x v="1"/>
    <n v="1.0000000000000001E-5"/>
    <x v="0"/>
    <s v="text256_blurkernel7_7_0.00001_0.0001"/>
    <n v="13.580299"/>
    <n v="15.902549"/>
    <n v="31.077400000000001"/>
    <n v="3.1002999999999998"/>
    <n v="18.841699999999999"/>
    <n v="31.776700000000002"/>
    <n v="34.258899999999997"/>
  </r>
  <r>
    <x v="2"/>
    <x v="0"/>
    <x v="1"/>
    <n v="1.0000000000000001E-5"/>
    <x v="1"/>
    <s v="text256_blurkernel7_7_0.00001_0.001"/>
    <n v="8.5453419999999998"/>
    <n v="15.205392"/>
    <n v="21.1004"/>
    <n v="3.1002999999999998"/>
    <n v="17.744900000000001"/>
    <n v="23.7209"/>
    <n v="24.6236"/>
  </r>
  <r>
    <x v="2"/>
    <x v="0"/>
    <x v="1"/>
    <n v="1.0000000000000001E-5"/>
    <x v="2"/>
    <s v="text256_blurkernel7_7_0.00001_0.01"/>
    <n v="7.9163370000000004"/>
    <n v="15.141078"/>
    <n v="11.156599999999999"/>
    <n v="3.1002999999999998"/>
    <n v="12.7392"/>
    <n v="12.145799999999999"/>
    <n v="14.9437"/>
  </r>
  <r>
    <x v="2"/>
    <x v="0"/>
    <x v="1"/>
    <n v="1.0000000000000001E-5"/>
    <x v="3"/>
    <s v="text256_blurkernel7_7_0.00001_0.1"/>
    <n v="7.8678650000000001"/>
    <n v="15.172454"/>
    <n v="2.7522000000000002"/>
    <n v="3.1002999999999998"/>
    <n v="5.6731999999999996"/>
    <n v="11.8012"/>
    <n v="5.0845000000000002"/>
  </r>
  <r>
    <x v="2"/>
    <x v="0"/>
    <x v="2"/>
    <n v="1.0000000000000001E-5"/>
    <x v="0"/>
    <s v="text256_blurkernel7_15_0.00001_0.0001"/>
    <n v="12.015909000000001"/>
    <n v="35.020679000000001"/>
    <n v="31.107700000000001"/>
    <n v="1.5184"/>
    <n v="19.591100000000001"/>
    <n v="31.459599999999998"/>
    <n v="34.215400000000002"/>
  </r>
  <r>
    <x v="2"/>
    <x v="0"/>
    <x v="2"/>
    <n v="1.0000000000000001E-5"/>
    <x v="1"/>
    <s v="text256_blurkernel7_15_0.00001_0.001"/>
    <n v="5.6199240000000001"/>
    <n v="33.485757"/>
    <n v="21.061299999999999"/>
    <n v="1.5184"/>
    <n v="18.3066"/>
    <n v="23.014399999999998"/>
    <n v="24.611799999999999"/>
  </r>
  <r>
    <x v="2"/>
    <x v="0"/>
    <x v="2"/>
    <n v="1.0000000000000001E-5"/>
    <x v="2"/>
    <s v="text256_blurkernel7_15_0.00001_0.01"/>
    <n v="4.4576510000000003"/>
    <n v="33.351106999999999"/>
    <n v="11.2577"/>
    <n v="1.5184"/>
    <n v="12.9398"/>
    <n v="15.261200000000001"/>
    <n v="15.088699999999999"/>
  </r>
  <r>
    <x v="2"/>
    <x v="0"/>
    <x v="2"/>
    <n v="1.0000000000000001E-5"/>
    <x v="3"/>
    <s v="text256_blurkernel7_15_0.00001_0.1"/>
    <n v="4.2674690000000002"/>
    <n v="33.376131000000001"/>
    <n v="2.7530000000000001"/>
    <n v="1.5184"/>
    <n v="5.2827999999999999"/>
    <n v="10.9748"/>
    <n v="5.1097000000000001"/>
  </r>
  <r>
    <x v="2"/>
    <x v="0"/>
    <x v="3"/>
    <n v="1.0000000000000001E-5"/>
    <x v="0"/>
    <s v="text256_blurkernel7_31_0.00001_0.0001"/>
    <n v="11.521022"/>
    <n v="72.830184000000003"/>
    <n v="31.114899999999999"/>
    <n v="0.78390000000000004"/>
    <n v="19.409600000000001"/>
    <n v="30.9206"/>
    <n v="34.210900000000002"/>
  </r>
  <r>
    <x v="2"/>
    <x v="0"/>
    <x v="3"/>
    <n v="1.0000000000000001E-5"/>
    <x v="1"/>
    <s v="text256_blurkernel7_31_0.00001_0.001"/>
    <n v="4.4013270000000002"/>
    <n v="69.619961000000004"/>
    <n v="21.131900000000002"/>
    <n v="0.78390000000000004"/>
    <n v="18.241700000000002"/>
    <n v="21.665099999999999"/>
    <n v="24.679500000000001"/>
  </r>
  <r>
    <x v="2"/>
    <x v="0"/>
    <x v="3"/>
    <n v="1.0000000000000001E-5"/>
    <x v="2"/>
    <s v="text256_blurkernel7_31_0.00001_0.01"/>
    <n v="1.9716720000000001"/>
    <n v="69.519779"/>
    <n v="11.1556"/>
    <n v="0.78390000000000004"/>
    <n v="13.018599999999999"/>
    <n v="9.1242999999999999"/>
    <n v="15.0037"/>
  </r>
  <r>
    <x v="2"/>
    <x v="0"/>
    <x v="3"/>
    <n v="1.0000000000000001E-5"/>
    <x v="3"/>
    <s v="text256_blurkernel7_31_0.00001_0.1"/>
    <n v="2.5616690000000002"/>
    <n v="69.305104"/>
    <n v="2.7778"/>
    <n v="0.78390000000000004"/>
    <n v="5.2916999999999996"/>
    <n v="7.7367999999999997"/>
    <n v="5.0152000000000001"/>
  </r>
  <r>
    <x v="2"/>
    <x v="1"/>
    <x v="0"/>
    <n v="1.0000000000000001E-5"/>
    <x v="0"/>
    <s v="text256_blurkernel8_3_0.00001_0.0001"/>
    <n v="19.601205"/>
    <n v="5.9521189999999997"/>
    <n v="31.129300000000001"/>
    <n v="8.6220999999999997"/>
    <n v="17.149999999999999"/>
    <n v="34.6875"/>
    <n v="34.262500000000003"/>
  </r>
  <r>
    <x v="2"/>
    <x v="1"/>
    <x v="0"/>
    <n v="1.0000000000000001E-5"/>
    <x v="1"/>
    <s v="text256_blurkernel8_3_0.00001_0.001"/>
    <n v="16.588915"/>
    <n v="5.6972680000000002"/>
    <n v="21.1571"/>
    <n v="8.6220999999999997"/>
    <n v="16.497599999999998"/>
    <n v="25.0458"/>
    <n v="24.731300000000001"/>
  </r>
  <r>
    <x v="2"/>
    <x v="1"/>
    <x v="0"/>
    <n v="1.0000000000000001E-5"/>
    <x v="2"/>
    <s v="text256_blurkernel8_3_0.00001_0.01"/>
    <n v="15.861338999999999"/>
    <n v="5.7406689999999996"/>
    <n v="11.183199999999999"/>
    <n v="8.6220999999999997"/>
    <n v="12.8148"/>
    <n v="20.4252"/>
    <n v="15.085100000000001"/>
  </r>
  <r>
    <x v="2"/>
    <x v="1"/>
    <x v="0"/>
    <n v="1.0000000000000001E-5"/>
    <x v="3"/>
    <s v="text256_blurkernel8_3_0.00001_0.1"/>
    <n v="14.866759999999999"/>
    <n v="5.9033759999999997"/>
    <n v="2.8163"/>
    <n v="8.6220999999999997"/>
    <n v="8.4269999999999996"/>
    <n v="24.0687"/>
    <n v="5.1051000000000002"/>
  </r>
  <r>
    <x v="2"/>
    <x v="1"/>
    <x v="1"/>
    <n v="1.0000000000000001E-5"/>
    <x v="0"/>
    <s v="text256_blurkernel8_7_0.00001_0.0001"/>
    <n v="14.253970000000001"/>
    <n v="15.68275"/>
    <n v="31.137699999999999"/>
    <n v="2.7486000000000002"/>
    <n v="18.8965"/>
    <n v="31.4757"/>
    <n v="34.241100000000003"/>
  </r>
  <r>
    <x v="2"/>
    <x v="1"/>
    <x v="1"/>
    <n v="1.0000000000000001E-5"/>
    <x v="1"/>
    <s v="text256_blurkernel8_7_0.00001_0.001"/>
    <n v="9.5433299999999992"/>
    <n v="15.005687999999999"/>
    <n v="21.1294"/>
    <n v="2.7486000000000002"/>
    <n v="17.8004"/>
    <n v="23.9528"/>
    <n v="24.746400000000001"/>
  </r>
  <r>
    <x v="2"/>
    <x v="1"/>
    <x v="1"/>
    <n v="1.0000000000000001E-5"/>
    <x v="2"/>
    <s v="text256_blurkernel8_7_0.00001_0.01"/>
    <n v="8.7260880000000007"/>
    <n v="14.997251"/>
    <n v="11.241899999999999"/>
    <n v="2.7486000000000002"/>
    <n v="12.833"/>
    <n v="14.971299999999999"/>
    <n v="15.018700000000001"/>
  </r>
  <r>
    <x v="2"/>
    <x v="1"/>
    <x v="1"/>
    <n v="1.0000000000000001E-5"/>
    <x v="3"/>
    <s v="text256_blurkernel8_7_0.00001_0.1"/>
    <n v="8.0959850000000007"/>
    <n v="15.139229"/>
    <n v="2.7446000000000002"/>
    <n v="2.7486000000000002"/>
    <n v="5.6341000000000001"/>
    <n v="16.6388"/>
    <n v="5.0671999999999997"/>
  </r>
  <r>
    <x v="2"/>
    <x v="1"/>
    <x v="2"/>
    <n v="1.0000000000000001E-5"/>
    <x v="0"/>
    <s v="text256_blurkernel8_15_0.00001_0.0001"/>
    <n v="12.42435"/>
    <n v="34.777996999999999"/>
    <n v="31.1"/>
    <n v="1.6815"/>
    <n v="19.662800000000001"/>
    <n v="30.904"/>
    <n v="34.260300000000001"/>
  </r>
  <r>
    <x v="2"/>
    <x v="1"/>
    <x v="2"/>
    <n v="1.0000000000000001E-5"/>
    <x v="1"/>
    <s v="text256_blurkernel8_15_0.00001_0.001"/>
    <n v="6.4738230000000003"/>
    <n v="33.252903000000003"/>
    <n v="21.0947"/>
    <n v="1.6815"/>
    <n v="18.265000000000001"/>
    <n v="23.0991"/>
    <n v="24.6264"/>
  </r>
  <r>
    <x v="2"/>
    <x v="1"/>
    <x v="2"/>
    <n v="1.0000000000000001E-5"/>
    <x v="2"/>
    <s v="text256_blurkernel8_15_0.00001_0.01"/>
    <n v="5.497808"/>
    <n v="33.125292999999999"/>
    <n v="11.1656"/>
    <n v="1.6815"/>
    <n v="12.789300000000001"/>
    <n v="15.938499999999999"/>
    <n v="14.923500000000001"/>
  </r>
  <r>
    <x v="2"/>
    <x v="1"/>
    <x v="2"/>
    <n v="1.0000000000000001E-5"/>
    <x v="3"/>
    <s v="text256_blurkernel8_15_0.00001_0.1"/>
    <n v="5.0986760000000002"/>
    <n v="33.226844"/>
    <n v="2.7433999999999998"/>
    <n v="1.6815"/>
    <n v="5.2685000000000004"/>
    <n v="11.7601"/>
    <n v="5.0293000000000001"/>
  </r>
  <r>
    <x v="2"/>
    <x v="1"/>
    <x v="3"/>
    <n v="1.0000000000000001E-5"/>
    <x v="0"/>
    <s v="text256_blurkernel8_31_0.00001_0.0001"/>
    <n v="11.672393"/>
    <n v="72.678031000000004"/>
    <n v="31.1617"/>
    <n v="0.8679"/>
    <n v="19.463200000000001"/>
    <n v="29.962599999999998"/>
    <n v="34.279699999999998"/>
  </r>
  <r>
    <x v="2"/>
    <x v="1"/>
    <x v="3"/>
    <n v="1.0000000000000001E-5"/>
    <x v="1"/>
    <s v="text256_blurkernel8_31_0.00001_0.001"/>
    <n v="4.8286410000000002"/>
    <n v="69.462635000000006"/>
    <n v="21.147099999999998"/>
    <n v="0.8679"/>
    <n v="18.256599999999999"/>
    <n v="21.293399999999998"/>
    <n v="24.738"/>
  </r>
  <r>
    <x v="2"/>
    <x v="1"/>
    <x v="3"/>
    <n v="1.0000000000000001E-5"/>
    <x v="2"/>
    <s v="text256_blurkernel8_31_0.00001_0.01"/>
    <n v="3.4802059999999999"/>
    <n v="69.141686000000007"/>
    <n v="11.1447"/>
    <n v="0.8679"/>
    <n v="12.8581"/>
    <n v="13.7052"/>
    <n v="14.9398"/>
  </r>
  <r>
    <x v="2"/>
    <x v="1"/>
    <x v="3"/>
    <n v="1.0000000000000001E-5"/>
    <x v="3"/>
    <s v="text256_blurkernel8_31_0.00001_0.1"/>
    <n v="3.1240730000000001"/>
    <n v="69.204763999999997"/>
    <n v="2.7357"/>
    <n v="0.8679"/>
    <n v="5.2591999999999999"/>
    <n v="7.9705000000000004"/>
    <n v="5.0437000000000003"/>
  </r>
  <r>
    <x v="2"/>
    <x v="2"/>
    <x v="0"/>
    <n v="1.0000000000000001E-5"/>
    <x v="0"/>
    <s v="text256_line_3_0.00001_0.0001"/>
    <n v="23.149763"/>
    <n v="5.399483"/>
    <n v="31.069500000000001"/>
    <n v="5.9840999999999998"/>
    <n v="18.4602"/>
    <n v="34.936700000000002"/>
    <n v="34.296399999999998"/>
  </r>
  <r>
    <x v="2"/>
    <x v="2"/>
    <x v="0"/>
    <n v="1.0000000000000001E-5"/>
    <x v="1"/>
    <s v="text256_line_3_0.00001_0.001"/>
    <n v="20.163658999999999"/>
    <n v="5.2348119999999998"/>
    <n v="21.103000000000002"/>
    <n v="5.9840999999999998"/>
    <n v="17.530899999999999"/>
    <n v="29.498200000000001"/>
    <n v="24.684100000000001"/>
  </r>
  <r>
    <x v="2"/>
    <x v="2"/>
    <x v="0"/>
    <n v="1.0000000000000001E-5"/>
    <x v="2"/>
    <s v="text256_line_3_0.00001_0.01"/>
    <n v="17.137445"/>
    <n v="5.5795789999999998"/>
    <n v="11.196400000000001"/>
    <n v="5.9840999999999998"/>
    <n v="12.882300000000001"/>
    <n v="26.715399999999999"/>
    <n v="15.026999999999999"/>
  </r>
  <r>
    <x v="2"/>
    <x v="2"/>
    <x v="0"/>
    <n v="1.0000000000000001E-5"/>
    <x v="3"/>
    <s v="text256_line_3_0.00001_0.1"/>
    <n v="14.614938"/>
    <n v="5.9219379999999999"/>
    <n v="2.7692000000000001"/>
    <n v="5.9840999999999998"/>
    <n v="6.8053999999999997"/>
    <n v="19.0566"/>
    <n v="4.9509999999999996"/>
  </r>
  <r>
    <x v="2"/>
    <x v="2"/>
    <x v="1"/>
    <n v="1.0000000000000001E-5"/>
    <x v="0"/>
    <s v="text256_line_7_0.00001_0.0001"/>
    <n v="17.416855000000002"/>
    <n v="14.578094999999999"/>
    <n v="31.120899999999999"/>
    <n v="1.8161"/>
    <n v="19.3385"/>
    <n v="32.675699999999999"/>
    <n v="34.282200000000003"/>
  </r>
  <r>
    <x v="2"/>
    <x v="2"/>
    <x v="1"/>
    <n v="1.0000000000000001E-5"/>
    <x v="1"/>
    <s v="text256_line_7_0.00001_0.001"/>
    <n v="13.519119999999999"/>
    <n v="14.037715"/>
    <n v="21.0852"/>
    <n v="1.8161"/>
    <n v="18.074300000000001"/>
    <n v="24.375399999999999"/>
    <n v="24.675899999999999"/>
  </r>
  <r>
    <x v="2"/>
    <x v="2"/>
    <x v="1"/>
    <n v="1.0000000000000001E-5"/>
    <x v="2"/>
    <s v="text256_line_7_0.00001_0.01"/>
    <n v="10.980422000000001"/>
    <n v="14.518281999999999"/>
    <n v="11.1249"/>
    <n v="1.8161"/>
    <n v="12.909800000000001"/>
    <n v="18.169899999999998"/>
    <n v="15.0022"/>
  </r>
  <r>
    <x v="2"/>
    <x v="2"/>
    <x v="1"/>
    <n v="1.0000000000000001E-5"/>
    <x v="3"/>
    <s v="text256_line_7_0.00001_0.1"/>
    <n v="8.512613"/>
    <n v="15.05986"/>
    <n v="2.7757000000000001"/>
    <n v="1.8161"/>
    <n v="5.5785"/>
    <n v="9.9948999999999995"/>
    <n v="5.0050999999999997"/>
  </r>
  <r>
    <x v="2"/>
    <x v="2"/>
    <x v="2"/>
    <n v="1.0000000000000001E-5"/>
    <x v="0"/>
    <s v="text256_line_15_0.00001_0.0001"/>
    <n v="14.463706999999999"/>
    <n v="33.304606999999997"/>
    <n v="31.151900000000001"/>
    <n v="1.343"/>
    <n v="19.399999999999999"/>
    <n v="31.8659"/>
    <n v="34.2821"/>
  </r>
  <r>
    <x v="2"/>
    <x v="2"/>
    <x v="2"/>
    <n v="1.0000000000000001E-5"/>
    <x v="1"/>
    <s v="text256_line_15_0.00001_0.001"/>
    <n v="9.6491299999999995"/>
    <n v="31.930401"/>
    <n v="21.122699999999998"/>
    <n v="1.343"/>
    <n v="18.073599999999999"/>
    <n v="22.141999999999999"/>
    <n v="24.634799999999998"/>
  </r>
  <r>
    <x v="2"/>
    <x v="2"/>
    <x v="2"/>
    <n v="1.0000000000000001E-5"/>
    <x v="2"/>
    <s v="text256_line_15_0.00001_0.01"/>
    <n v="7.6290909999999998"/>
    <n v="32.379291000000002"/>
    <n v="11.161799999999999"/>
    <n v="1.343"/>
    <n v="12.7331"/>
    <n v="8.8129000000000008"/>
    <n v="15.1076"/>
  </r>
  <r>
    <x v="2"/>
    <x v="2"/>
    <x v="2"/>
    <n v="1.0000000000000001E-5"/>
    <x v="3"/>
    <s v="text256_line_15_0.00001_0.1"/>
    <n v="5.7465869999999999"/>
    <n v="32.998987"/>
    <n v="2.7686999999999999"/>
    <n v="1.343"/>
    <n v="5.3334999999999999"/>
    <n v="5.3334000000000001"/>
    <n v="4.9889999999999999"/>
  </r>
  <r>
    <x v="2"/>
    <x v="2"/>
    <x v="3"/>
    <n v="1.0000000000000001E-5"/>
    <x v="0"/>
    <s v="text256_line_31_0.00001_0.0001"/>
    <n v="12.893397999999999"/>
    <n v="70.984235999999996"/>
    <n v="31.163599999999999"/>
    <n v="0.1772"/>
    <n v="19.3002"/>
    <n v="31.149100000000001"/>
    <n v="34.263800000000003"/>
  </r>
  <r>
    <x v="2"/>
    <x v="2"/>
    <x v="3"/>
    <n v="1.0000000000000001E-5"/>
    <x v="1"/>
    <s v="text256_line_31_0.00001_0.001"/>
    <n v="7.1925480000000004"/>
    <n v="67.935063"/>
    <n v="21.096299999999999"/>
    <n v="0.1772"/>
    <n v="17.923300000000001"/>
    <n v="21.520800000000001"/>
    <n v="24.570699999999999"/>
  </r>
  <r>
    <x v="2"/>
    <x v="2"/>
    <x v="3"/>
    <n v="1.0000000000000001E-5"/>
    <x v="2"/>
    <s v="text256_line_31_0.00001_0.01"/>
    <n v="5.3732449999999998"/>
    <n v="68.249542000000005"/>
    <n v="11.1355"/>
    <n v="0.1772"/>
    <n v="12.7013"/>
    <n v="7.7976000000000001"/>
    <n v="15.057700000000001"/>
  </r>
  <r>
    <x v="2"/>
    <x v="2"/>
    <x v="3"/>
    <n v="1.0000000000000001E-5"/>
    <x v="3"/>
    <s v="text256_line_31_0.00001_0.1"/>
    <n v="3.977182"/>
    <n v="68.884913999999995"/>
    <n v="2.7812000000000001"/>
    <n v="0.1772"/>
    <n v="5.3947000000000003"/>
    <n v="2.5659000000000001"/>
    <n v="5.0675999999999997"/>
  </r>
  <r>
    <x v="2"/>
    <x v="3"/>
    <x v="0"/>
    <n v="1.0000000000000001E-5"/>
    <x v="0"/>
    <s v="text256_blurkernel10_3_0.00001_0.0001"/>
    <n v="18.770441000000002"/>
    <n v="6.0733550000000003"/>
    <n v="31.110600000000002"/>
    <n v="7.1266999999999996"/>
    <n v="17.267600000000002"/>
    <n v="34.313099999999999"/>
    <n v="34.268799999999999"/>
  </r>
  <r>
    <x v="2"/>
    <x v="3"/>
    <x v="0"/>
    <n v="1.0000000000000001E-5"/>
    <x v="1"/>
    <s v="text256_blurkernel10_3_0.00001_0.001"/>
    <n v="15.559269"/>
    <n v="5.8151739999999998"/>
    <n v="21.117000000000001"/>
    <n v="7.1266999999999996"/>
    <n v="16.5871"/>
    <n v="25.020700000000001"/>
    <n v="24.735600000000002"/>
  </r>
  <r>
    <x v="2"/>
    <x v="3"/>
    <x v="0"/>
    <n v="1.0000000000000001E-5"/>
    <x v="2"/>
    <s v="text256_blurkernel10_3_0.00001_0.01"/>
    <n v="14.885357000000001"/>
    <n v="5.846241"/>
    <n v="11.1663"/>
    <n v="7.1266999999999996"/>
    <n v="12.4762"/>
    <n v="18.906700000000001"/>
    <n v="14.9864"/>
  </r>
  <r>
    <x v="2"/>
    <x v="3"/>
    <x v="0"/>
    <n v="1.0000000000000001E-5"/>
    <x v="3"/>
    <s v="text256_blurkernel10_3_0.00001_0.1"/>
    <n v="14.454488"/>
    <n v="5.9387470000000002"/>
    <n v="2.7448999999999999"/>
    <n v="7.1266999999999996"/>
    <n v="7.2297000000000002"/>
    <n v="15.467599999999999"/>
    <n v="4.9977999999999998"/>
  </r>
  <r>
    <x v="2"/>
    <x v="3"/>
    <x v="1"/>
    <n v="1.0000000000000001E-5"/>
    <x v="0"/>
    <s v="text256_blurkernel10_7_0.00001_0.0001"/>
    <n v="13.765853999999999"/>
    <n v="15.82527"/>
    <n v="31.104800000000001"/>
    <n v="2.1823000000000001"/>
    <n v="19.356000000000002"/>
    <n v="31.826899999999998"/>
    <n v="34.220599999999997"/>
  </r>
  <r>
    <x v="2"/>
    <x v="3"/>
    <x v="1"/>
    <n v="1.0000000000000001E-5"/>
    <x v="1"/>
    <s v="text256_blurkernel10_7_0.00001_0.001"/>
    <n v="8.8052030000000006"/>
    <n v="15.134888"/>
    <n v="21.086200000000002"/>
    <n v="2.1823000000000001"/>
    <n v="18.1127"/>
    <n v="23.988299999999999"/>
    <n v="24.7149"/>
  </r>
  <r>
    <x v="2"/>
    <x v="3"/>
    <x v="1"/>
    <n v="1.0000000000000001E-5"/>
    <x v="2"/>
    <s v="text256_blurkernel10_7_0.00001_0.01"/>
    <n v="8.1290809999999993"/>
    <n v="15.084194999999999"/>
    <n v="11.178699999999999"/>
    <n v="2.1823000000000001"/>
    <n v="12.8947"/>
    <n v="15.577400000000001"/>
    <n v="14.9595"/>
  </r>
  <r>
    <x v="2"/>
    <x v="3"/>
    <x v="1"/>
    <n v="1.0000000000000001E-5"/>
    <x v="3"/>
    <s v="text256_blurkernel10_7_0.00001_0.1"/>
    <n v="7.5770819999999999"/>
    <n v="15.199932"/>
    <n v="2.7202000000000002"/>
    <n v="2.1823000000000001"/>
    <n v="5.4851000000000001"/>
    <n v="11.6432"/>
    <n v="5.0309999999999997"/>
  </r>
  <r>
    <x v="2"/>
    <x v="3"/>
    <x v="2"/>
    <n v="1.0000000000000001E-5"/>
    <x v="0"/>
    <s v="text256_blurkernel10_15_0.00001_0.0001"/>
    <n v="12.315303"/>
    <n v="34.794257999999999"/>
    <n v="31.0883"/>
    <n v="1.3013999999999999"/>
    <n v="19.366800000000001"/>
    <n v="30.032900000000001"/>
    <n v="34.244599999999998"/>
  </r>
  <r>
    <x v="2"/>
    <x v="3"/>
    <x v="2"/>
    <n v="1.0000000000000001E-5"/>
    <x v="1"/>
    <s v="text256_blurkernel10_15_0.00001_0.001"/>
    <n v="6.2210599999999996"/>
    <n v="33.269317999999998"/>
    <n v="21.0929"/>
    <n v="1.3013999999999999"/>
    <n v="18.0535"/>
    <n v="22.293399999999998"/>
    <n v="24.611799999999999"/>
  </r>
  <r>
    <x v="2"/>
    <x v="3"/>
    <x v="2"/>
    <n v="1.0000000000000001E-5"/>
    <x v="2"/>
    <s v="text256_blurkernel10_15_0.00001_0.01"/>
    <n v="5.1556189999999997"/>
    <n v="33.149351000000003"/>
    <n v="11.1629"/>
    <n v="1.3013999999999999"/>
    <n v="12.9239"/>
    <n v="15.2806"/>
    <n v="15.007099999999999"/>
  </r>
  <r>
    <x v="2"/>
    <x v="3"/>
    <x v="2"/>
    <n v="1.0000000000000001E-5"/>
    <x v="3"/>
    <s v="text256_blurkernel10_15_0.00001_0.1"/>
    <n v="4.6883790000000003"/>
    <n v="33.253756000000003"/>
    <n v="2.7730000000000001"/>
    <n v="1.3013999999999999"/>
    <n v="5.4363999999999999"/>
    <n v="13.141400000000001"/>
    <n v="4.9652000000000003"/>
  </r>
  <r>
    <x v="2"/>
    <x v="3"/>
    <x v="3"/>
    <n v="1.0000000000000001E-5"/>
    <x v="0"/>
    <s v="text256_blurkernel10_31_0.00001_0.0001"/>
    <n v="11.750482"/>
    <n v="72.540250999999998"/>
    <n v="31.175599999999999"/>
    <n v="0.23910000000000001"/>
    <n v="19.319800000000001"/>
    <n v="28.2516"/>
    <n v="34.320399999999999"/>
  </r>
  <r>
    <x v="2"/>
    <x v="3"/>
    <x v="3"/>
    <n v="1.0000000000000001E-5"/>
    <x v="1"/>
    <s v="text256_blurkernel10_31_0.00001_0.001"/>
    <n v="4.9964310000000003"/>
    <n v="69.334665999999999"/>
    <n v="21.0869"/>
    <n v="0.23910000000000001"/>
    <n v="18.070599999999999"/>
    <n v="20.0534"/>
    <n v="24.651199999999999"/>
  </r>
  <r>
    <x v="2"/>
    <x v="3"/>
    <x v="3"/>
    <n v="1.0000000000000001E-5"/>
    <x v="2"/>
    <s v="text256_blurkernel10_31_0.00001_0.01"/>
    <n v="3.671767"/>
    <n v="69.030535"/>
    <n v="11.133800000000001"/>
    <n v="0.23910000000000001"/>
    <n v="12.839700000000001"/>
    <n v="13.5924"/>
    <n v="14.982200000000001"/>
  </r>
  <r>
    <x v="2"/>
    <x v="3"/>
    <x v="3"/>
    <n v="1.0000000000000001E-5"/>
    <x v="3"/>
    <s v="text256_blurkernel10_31_0.00001_0.1"/>
    <n v="3.2388150000000002"/>
    <n v="69.129480000000001"/>
    <n v="2.77"/>
    <n v="0.23910000000000001"/>
    <n v="5.4076000000000004"/>
    <n v="8.0114000000000001"/>
    <n v="5.0061999999999998"/>
  </r>
  <r>
    <x v="3"/>
    <x v="0"/>
    <x v="0"/>
    <n v="1.0000000000000001E-5"/>
    <x v="0"/>
    <s v="castle256_blurkernel7_3_0.00001_0.0001"/>
    <n v="35.407710999999999"/>
    <n v="3.1912039999999999"/>
    <n v="25.385999999999999"/>
    <n v="15.654199999999999"/>
    <n v="19.024000000000001"/>
    <n v="28.072099999999999"/>
    <n v="28.4024"/>
  </r>
  <r>
    <x v="3"/>
    <x v="0"/>
    <x v="0"/>
    <n v="1.0000000000000001E-5"/>
    <x v="1"/>
    <s v="castle256_blurkernel7_3_0.00001_0.001"/>
    <n v="26.578341999999999"/>
    <n v="3.1324350000000001"/>
    <n v="15.5131"/>
    <n v="15.654199999999999"/>
    <n v="18.0427"/>
    <n v="21.287600000000001"/>
    <n v="20.6205"/>
  </r>
  <r>
    <x v="3"/>
    <x v="0"/>
    <x v="0"/>
    <n v="1.0000000000000001E-5"/>
    <x v="2"/>
    <s v="castle256_blurkernel7_3_0.00001_0.01"/>
    <n v="22.848984999999999"/>
    <n v="3.1997230000000001"/>
    <n v="6.4279000000000002"/>
    <n v="15.654199999999999"/>
    <n v="15.7294"/>
    <n v="20.3888"/>
    <n v="14.138299999999999"/>
  </r>
  <r>
    <x v="3"/>
    <x v="0"/>
    <x v="0"/>
    <n v="1.0000000000000001E-5"/>
    <x v="3"/>
    <s v="castle256_blurkernel7_3_0.00001_0.1"/>
    <n v="20.584607999999999"/>
    <n v="3.2247460000000001"/>
    <n v="1.2261"/>
    <n v="15.654199999999999"/>
    <n v="10.454499999999999"/>
    <n v="19.517199999999999"/>
    <n v="9.2522000000000002"/>
  </r>
  <r>
    <x v="3"/>
    <x v="0"/>
    <x v="1"/>
    <n v="1.0000000000000001E-5"/>
    <x v="0"/>
    <s v="castle256_blurkernel7_7_0.00001_0.0001"/>
    <n v="25.966497"/>
    <n v="8.3118859999999994"/>
    <n v="25.370799999999999"/>
    <n v="10.9254"/>
    <n v="18.894600000000001"/>
    <n v="26.890999999999998"/>
    <n v="28.392499999999998"/>
  </r>
  <r>
    <x v="3"/>
    <x v="0"/>
    <x v="1"/>
    <n v="1.0000000000000001E-5"/>
    <x v="1"/>
    <s v="castle256_blurkernel7_7_0.00001_0.001"/>
    <n v="15.133015"/>
    <n v="8.0042270000000002"/>
    <n v="15.5245"/>
    <n v="10.9254"/>
    <n v="17.105799999999999"/>
    <n v="19.748899999999999"/>
    <n v="20.647099999999998"/>
  </r>
  <r>
    <x v="3"/>
    <x v="0"/>
    <x v="1"/>
    <n v="1.0000000000000001E-5"/>
    <x v="2"/>
    <s v="castle256_blurkernel7_7_0.00001_0.01"/>
    <n v="11.638774"/>
    <n v="8.0509070000000005"/>
    <n v="6.4654999999999996"/>
    <n v="10.9254"/>
    <n v="13.4984"/>
    <n v="14.944699999999999"/>
    <n v="14.1449"/>
  </r>
  <r>
    <x v="3"/>
    <x v="0"/>
    <x v="1"/>
    <n v="1.0000000000000001E-5"/>
    <x v="3"/>
    <s v="castle256_blurkernel7_7_0.00001_0.1"/>
    <n v="9.3599739999999994"/>
    <n v="8.1039429999999992"/>
    <n v="1.1967000000000001"/>
    <n v="10.9254"/>
    <n v="8.9666999999999994"/>
    <n v="8.8780000000000001"/>
    <n v="9.4306000000000001"/>
  </r>
  <r>
    <x v="3"/>
    <x v="0"/>
    <x v="2"/>
    <n v="1.0000000000000001E-5"/>
    <x v="0"/>
    <s v="castle256_blurkernel7_15_0.00001_0.0001"/>
    <n v="23.037545999999999"/>
    <n v="18.269562000000001"/>
    <n v="25.383099999999999"/>
    <n v="8.5839999999999996"/>
    <n v="19.6296"/>
    <n v="26.61"/>
    <n v="28.399899999999999"/>
  </r>
  <r>
    <x v="3"/>
    <x v="0"/>
    <x v="2"/>
    <n v="1.0000000000000001E-5"/>
    <x v="1"/>
    <s v="castle256_blurkernel7_15_0.00001_0.001"/>
    <n v="10.040564"/>
    <n v="17.521975999999999"/>
    <n v="15.510199999999999"/>
    <n v="8.5839999999999996"/>
    <n v="17.443899999999999"/>
    <n v="19.871300000000002"/>
    <n v="20.5669"/>
  </r>
  <r>
    <x v="3"/>
    <x v="0"/>
    <x v="2"/>
    <n v="1.0000000000000001E-5"/>
    <x v="2"/>
    <s v="castle256_blurkernel7_15_0.00001_0.01"/>
    <n v="6.7242150000000001"/>
    <n v="17.489701"/>
    <n v="6.4932999999999996"/>
    <n v="8.5839999999999996"/>
    <n v="13.162100000000001"/>
    <n v="15.262"/>
    <n v="14.1775"/>
  </r>
  <r>
    <x v="3"/>
    <x v="0"/>
    <x v="2"/>
    <n v="1.0000000000000001E-5"/>
    <x v="3"/>
    <s v="castle256_blurkernel7_15_0.00001_0.1"/>
    <n v="5.4324329999999996"/>
    <n v="17.511686000000001"/>
    <n v="1.1778999999999999"/>
    <n v="8.5839999999999996"/>
    <n v="7.8974000000000002"/>
    <n v="10.3575"/>
    <n v="9.2095000000000002"/>
  </r>
  <r>
    <x v="3"/>
    <x v="0"/>
    <x v="3"/>
    <n v="1.0000000000000001E-5"/>
    <x v="0"/>
    <s v="castle256_blurkernel7_31_0.00001_0.0001"/>
    <n v="22.190076000000001"/>
    <n v="37.837373999999997"/>
    <n v="25.3612"/>
    <n v="6.6742999999999997"/>
    <n v="19.880500000000001"/>
    <n v="26.321200000000001"/>
    <n v="28.434899999999999"/>
  </r>
  <r>
    <x v="3"/>
    <x v="0"/>
    <x v="3"/>
    <n v="1.0000000000000001E-5"/>
    <x v="1"/>
    <s v="castle256_blurkernel7_31_0.00001_0.001"/>
    <n v="8.1539420000000007"/>
    <n v="36.212432999999997"/>
    <n v="15.4735"/>
    <n v="6.6742999999999997"/>
    <n v="17.6587"/>
    <n v="19.241099999999999"/>
    <n v="20.622499999999999"/>
  </r>
  <r>
    <x v="3"/>
    <x v="0"/>
    <x v="3"/>
    <n v="1.0000000000000001E-5"/>
    <x v="2"/>
    <s v="castle256_blurkernel7_31_0.00001_0.01"/>
    <n v="4.3402430000000001"/>
    <n v="36.082566"/>
    <n v="6.4843999999999999"/>
    <n v="6.6742999999999997"/>
    <n v="13.1228"/>
    <n v="14.766"/>
    <n v="14.146100000000001"/>
  </r>
  <r>
    <x v="3"/>
    <x v="0"/>
    <x v="3"/>
    <n v="1.0000000000000001E-5"/>
    <x v="3"/>
    <s v="castle256_blurkernel7_31_0.00001_0.1"/>
    <n v="3.3676659999999998"/>
    <n v="36.080246000000002"/>
    <n v="1.2290000000000001"/>
    <n v="6.6742999999999997"/>
    <n v="7.6637000000000004"/>
    <n v="7.2641999999999998"/>
    <n v="9.2545999999999999"/>
  </r>
  <r>
    <x v="3"/>
    <x v="1"/>
    <x v="0"/>
    <n v="1.0000000000000001E-5"/>
    <x v="0"/>
    <s v="castle256_blurkernel8_3_0.00001_0.0001"/>
    <n v="37.067048999999997"/>
    <n v="3.1226699999999998"/>
    <n v="25.381499999999999"/>
    <n v="15.313800000000001"/>
    <n v="19.183199999999999"/>
    <n v="28.631799999999998"/>
    <n v="28.4742"/>
  </r>
  <r>
    <x v="3"/>
    <x v="1"/>
    <x v="0"/>
    <n v="1.0000000000000001E-5"/>
    <x v="1"/>
    <s v="castle256_blurkernel8_3_0.00001_0.001"/>
    <n v="27.622436"/>
    <n v="3.0999949999999998"/>
    <n v="15.5365"/>
    <n v="15.313800000000001"/>
    <n v="18.192900000000002"/>
    <n v="22.992100000000001"/>
    <n v="20.611899999999999"/>
  </r>
  <r>
    <x v="3"/>
    <x v="1"/>
    <x v="0"/>
    <n v="1.0000000000000001E-5"/>
    <x v="2"/>
    <s v="castle256_blurkernel8_3_0.00001_0.01"/>
    <n v="23.100677999999998"/>
    <n v="3.193505"/>
    <n v="6.4904000000000002"/>
    <n v="15.313800000000001"/>
    <n v="15.611700000000001"/>
    <n v="22.394500000000001"/>
    <n v="14.239699999999999"/>
  </r>
  <r>
    <x v="3"/>
    <x v="1"/>
    <x v="0"/>
    <n v="1.0000000000000001E-5"/>
    <x v="3"/>
    <s v="castle256_blurkernel8_3_0.00001_0.1"/>
    <n v="20.65005"/>
    <n v="3.224253"/>
    <n v="1.1998"/>
    <n v="15.313800000000001"/>
    <n v="10.5891"/>
    <n v="19.062799999999999"/>
    <n v="9.3513999999999999"/>
  </r>
  <r>
    <x v="3"/>
    <x v="1"/>
    <x v="1"/>
    <n v="1.0000000000000001E-5"/>
    <x v="0"/>
    <s v="castle256_blurkernel8_7_0.00001_0.0001"/>
    <n v="27.084837"/>
    <n v="8.2125029999999999"/>
    <n v="25.3809"/>
    <n v="10.7348"/>
    <n v="18.915299999999998"/>
    <n v="27.268799999999999"/>
    <n v="28.444400000000002"/>
  </r>
  <r>
    <x v="3"/>
    <x v="1"/>
    <x v="1"/>
    <n v="1.0000000000000001E-5"/>
    <x v="1"/>
    <s v="castle256_blurkernel8_7_0.00001_0.001"/>
    <n v="16.057289000000001"/>
    <n v="7.9580460000000004"/>
    <n v="15.534000000000001"/>
    <n v="10.7348"/>
    <n v="17.2226"/>
    <n v="20.336400000000001"/>
    <n v="20.601500000000001"/>
  </r>
  <r>
    <x v="3"/>
    <x v="1"/>
    <x v="1"/>
    <n v="1.0000000000000001E-5"/>
    <x v="2"/>
    <s v="castle256_blurkernel8_7_0.00001_0.01"/>
    <n v="11.681061"/>
    <n v="8.0507120000000008"/>
    <n v="6.4410999999999996"/>
    <n v="10.7348"/>
    <n v="13.61"/>
    <n v="17.139199999999999"/>
    <n v="14.1098"/>
  </r>
  <r>
    <x v="3"/>
    <x v="1"/>
    <x v="1"/>
    <n v="1.0000000000000001E-5"/>
    <x v="3"/>
    <s v="castle256_blurkernel8_7_0.00001_0.1"/>
    <n v="9.3741500000000002"/>
    <n v="8.1051409999999997"/>
    <n v="1.1657"/>
    <n v="10.7348"/>
    <n v="8.8915000000000006"/>
    <n v="8.3667999999999996"/>
    <n v="9.1402999999999999"/>
  </r>
  <r>
    <x v="3"/>
    <x v="1"/>
    <x v="2"/>
    <n v="1.0000000000000001E-5"/>
    <x v="0"/>
    <s v="castle256_blurkernel8_15_0.00001_0.0001"/>
    <n v="23.805531999999999"/>
    <n v="18.145786000000001"/>
    <n v="25.3813"/>
    <n v="8.5722000000000005"/>
    <n v="19.607600000000001"/>
    <n v="26.725999999999999"/>
    <n v="28.438099999999999"/>
  </r>
  <r>
    <x v="3"/>
    <x v="1"/>
    <x v="2"/>
    <n v="1.0000000000000001E-5"/>
    <x v="1"/>
    <s v="castle256_blurkernel8_15_0.00001_0.001"/>
    <n v="11.266596"/>
    <n v="17.441991000000002"/>
    <n v="15.5695"/>
    <n v="8.5722000000000005"/>
    <n v="17.441299999999998"/>
    <n v="20.326899999999998"/>
    <n v="20.627500000000001"/>
  </r>
  <r>
    <x v="3"/>
    <x v="1"/>
    <x v="2"/>
    <n v="1.0000000000000001E-5"/>
    <x v="2"/>
    <s v="castle256_blurkernel8_15_0.00001_0.01"/>
    <n v="7.4454229999999999"/>
    <n v="17.467870000000001"/>
    <n v="6.4645999999999999"/>
    <n v="8.5722000000000005"/>
    <n v="13.175000000000001"/>
    <n v="16.5748"/>
    <n v="14.167400000000001"/>
  </r>
  <r>
    <x v="3"/>
    <x v="1"/>
    <x v="2"/>
    <n v="1.0000000000000001E-5"/>
    <x v="3"/>
    <s v="castle256_blurkernel8_15_0.00001_0.1"/>
    <n v="5.4744780000000004"/>
    <n v="17.526479999999999"/>
    <n v="1.2007000000000001"/>
    <n v="8.5722000000000005"/>
    <n v="8.0943000000000005"/>
    <n v="10.9923"/>
    <n v="9.3202999999999996"/>
  </r>
  <r>
    <x v="3"/>
    <x v="1"/>
    <x v="3"/>
    <n v="1.0000000000000001E-5"/>
    <x v="0"/>
    <s v="castle256_blurkernel8_31_0.00001_0.0001"/>
    <n v="22.494772000000001"/>
    <n v="37.779212999999999"/>
    <n v="25.374400000000001"/>
    <n v="6.6215999999999999"/>
    <n v="19.958200000000001"/>
    <n v="26.249600000000001"/>
    <n v="28.4222"/>
  </r>
  <r>
    <x v="3"/>
    <x v="1"/>
    <x v="3"/>
    <n v="1.0000000000000001E-5"/>
    <x v="1"/>
    <s v="castle256_blurkernel8_31_0.00001_0.001"/>
    <n v="8.8751809999999995"/>
    <n v="36.17727"/>
    <n v="15.5314"/>
    <n v="6.6215999999999999"/>
    <n v="17.5745"/>
    <n v="19.3781"/>
    <n v="20.600300000000001"/>
  </r>
  <r>
    <x v="3"/>
    <x v="1"/>
    <x v="3"/>
    <n v="1.0000000000000001E-5"/>
    <x v="2"/>
    <s v="castle256_blurkernel8_31_0.00001_0.01"/>
    <n v="5.0668170000000003"/>
    <n v="36.089548999999998"/>
    <n v="6.5073999999999996"/>
    <n v="6.6215999999999999"/>
    <n v="13.0342"/>
    <n v="14.895899999999999"/>
    <n v="14.112399999999999"/>
  </r>
  <r>
    <x v="3"/>
    <x v="1"/>
    <x v="3"/>
    <n v="1.0000000000000001E-5"/>
    <x v="3"/>
    <s v="castle256_blurkernel8_31_0.00001_0.1"/>
    <n v="3.7415060000000002"/>
    <n v="36.117576"/>
    <n v="1.2146999999999999"/>
    <n v="6.6215999999999999"/>
    <n v="7.6494999999999997"/>
    <n v="8.6898"/>
    <n v="9.2103999999999999"/>
  </r>
  <r>
    <x v="3"/>
    <x v="2"/>
    <x v="0"/>
    <n v="1.0000000000000001E-5"/>
    <x v="0"/>
    <s v="castle256_line_3_0.00001_0.0001"/>
    <n v="42.272851000000003"/>
    <n v="2.9035700000000002"/>
    <n v="25.3508"/>
    <n v="13.1335"/>
    <n v="19.067799999999998"/>
    <n v="28.665299999999998"/>
    <n v="28.412400000000002"/>
  </r>
  <r>
    <x v="3"/>
    <x v="2"/>
    <x v="0"/>
    <n v="1.0000000000000001E-5"/>
    <x v="1"/>
    <s v="castle256_line_3_0.00001_0.001"/>
    <n v="28.814388999999998"/>
    <n v="3.0586920000000002"/>
    <n v="15.508900000000001"/>
    <n v="13.1335"/>
    <n v="17.676100000000002"/>
    <n v="23.058599999999998"/>
    <n v="20.562000000000001"/>
  </r>
  <r>
    <x v="3"/>
    <x v="2"/>
    <x v="0"/>
    <n v="1.0000000000000001E-5"/>
    <x v="2"/>
    <s v="castle256_line_3_0.00001_0.01"/>
    <n v="22.766211999999999"/>
    <n v="3.2"/>
    <n v="6.5435999999999996"/>
    <n v="13.1335"/>
    <n v="14.610200000000001"/>
    <n v="21.122699999999998"/>
    <n v="14.1165"/>
  </r>
  <r>
    <x v="3"/>
    <x v="2"/>
    <x v="0"/>
    <n v="1.0000000000000001E-5"/>
    <x v="3"/>
    <s v="castle256_line_3_0.00001_0.1"/>
    <n v="20.457540000000002"/>
    <n v="3.2252930000000002"/>
    <n v="1.1838"/>
    <n v="13.1335"/>
    <n v="9.6145999999999994"/>
    <n v="16.5763"/>
    <n v="9.3825000000000003"/>
  </r>
  <r>
    <x v="3"/>
    <x v="2"/>
    <x v="1"/>
    <n v="1.0000000000000001E-5"/>
    <x v="0"/>
    <s v="castle256_line_7_0.00001_0.0001"/>
    <n v="31.921167000000001"/>
    <n v="7.7503690000000001"/>
    <n v="25.401900000000001"/>
    <n v="9.6592000000000002"/>
    <n v="19.553999999999998"/>
    <n v="27.1999"/>
    <n v="28.441700000000001"/>
  </r>
  <r>
    <x v="3"/>
    <x v="2"/>
    <x v="1"/>
    <n v="1.0000000000000001E-5"/>
    <x v="1"/>
    <s v="castle256_line_7_0.00001_0.001"/>
    <n v="18.704325999999998"/>
    <n v="7.7958889999999998"/>
    <n v="15.5364"/>
    <n v="9.6592000000000002"/>
    <n v="17.671700000000001"/>
    <n v="20.8965"/>
    <n v="20.5642"/>
  </r>
  <r>
    <x v="3"/>
    <x v="2"/>
    <x v="1"/>
    <n v="1.0000000000000001E-5"/>
    <x v="2"/>
    <s v="castle256_line_7_0.00001_0.01"/>
    <n v="11.920237"/>
    <n v="8.0263580000000001"/>
    <n v="6.4549000000000003"/>
    <n v="9.6592000000000002"/>
    <n v="13.5237"/>
    <n v="14.956099999999999"/>
    <n v="14.1663"/>
  </r>
  <r>
    <x v="3"/>
    <x v="2"/>
    <x v="1"/>
    <n v="1.0000000000000001E-5"/>
    <x v="3"/>
    <s v="castle256_line_7_0.00001_0.1"/>
    <n v="9.2020330000000001"/>
    <n v="8.0959620000000001"/>
    <n v="1.2067000000000001"/>
    <n v="9.6592000000000002"/>
    <n v="8.5861999999999998"/>
    <n v="9.2683999999999997"/>
    <n v="9.4456000000000007"/>
  </r>
  <r>
    <x v="3"/>
    <x v="2"/>
    <x v="2"/>
    <n v="1.0000000000000001E-5"/>
    <x v="0"/>
    <s v="castle256_line_15_0.00001_0.0001"/>
    <n v="26.971713999999999"/>
    <n v="17.501833000000001"/>
    <n v="25.391300000000001"/>
    <n v="7.5182000000000002"/>
    <n v="19.752099999999999"/>
    <n v="26.6373"/>
    <n v="28.432200000000002"/>
  </r>
  <r>
    <x v="3"/>
    <x v="2"/>
    <x v="2"/>
    <n v="1.0000000000000001E-5"/>
    <x v="1"/>
    <s v="castle256_line_15_0.00001_0.001"/>
    <n v="13.590491"/>
    <n v="17.169149999999998"/>
    <n v="15.508699999999999"/>
    <n v="7.5182000000000002"/>
    <n v="17.615400000000001"/>
    <n v="19.458100000000002"/>
    <n v="20.586500000000001"/>
  </r>
  <r>
    <x v="3"/>
    <x v="2"/>
    <x v="2"/>
    <n v="1.0000000000000001E-5"/>
    <x v="2"/>
    <s v="castle256_line_15_0.00001_0.01"/>
    <n v="7.9597249999999997"/>
    <n v="17.372914000000002"/>
    <n v="6.5157999999999996"/>
    <n v="7.5182000000000002"/>
    <n v="13.296799999999999"/>
    <n v="12.4673"/>
    <n v="14.1866"/>
  </r>
  <r>
    <x v="3"/>
    <x v="2"/>
    <x v="2"/>
    <n v="1.0000000000000001E-5"/>
    <x v="3"/>
    <s v="castle256_line_15_0.00001_0.1"/>
    <n v="5.2333270000000001"/>
    <n v="17.471326999999999"/>
    <n v="1.2032"/>
    <n v="7.5182000000000002"/>
    <n v="8.0086999999999993"/>
    <n v="7.9785000000000004"/>
    <n v="9.6334"/>
  </r>
  <r>
    <x v="3"/>
    <x v="2"/>
    <x v="3"/>
    <n v="1.0000000000000001E-5"/>
    <x v="0"/>
    <s v="castle256_line_31_0.00001_0.0001"/>
    <n v="24.487696"/>
    <n v="36.849814000000002"/>
    <n v="25.407900000000001"/>
    <n v="5.7595000000000001"/>
    <n v="19.8841"/>
    <n v="26.421299999999999"/>
    <n v="28.380600000000001"/>
  </r>
  <r>
    <x v="3"/>
    <x v="2"/>
    <x v="3"/>
    <n v="1.0000000000000001E-5"/>
    <x v="1"/>
    <s v="castle256_line_31_0.00001_0.001"/>
    <n v="10.605297"/>
    <n v="35.686950000000003"/>
    <n v="15.513299999999999"/>
    <n v="5.7595000000000001"/>
    <n v="17.604399999999998"/>
    <n v="19.031700000000001"/>
    <n v="20.6142"/>
  </r>
  <r>
    <x v="3"/>
    <x v="2"/>
    <x v="3"/>
    <n v="1.0000000000000001E-5"/>
    <x v="2"/>
    <s v="castle256_line_31_0.00001_0.01"/>
    <n v="5.7717219999999996"/>
    <n v="35.789613000000003"/>
    <n v="6.4596"/>
    <n v="5.7595000000000001"/>
    <n v="13.0852"/>
    <n v="12.9001"/>
    <n v="14.110900000000001"/>
  </r>
  <r>
    <x v="3"/>
    <x v="2"/>
    <x v="3"/>
    <n v="1.0000000000000001E-5"/>
    <x v="3"/>
    <s v="castle256_line_31_0.00001_0.1"/>
    <n v="3.627373"/>
    <n v="35.882668000000002"/>
    <n v="1.1862999999999999"/>
    <n v="5.7595000000000001"/>
    <n v="7.5869999999999997"/>
    <n v="6.7081"/>
    <n v="9.2698"/>
  </r>
  <r>
    <x v="3"/>
    <x v="3"/>
    <x v="0"/>
    <n v="1.0000000000000001E-5"/>
    <x v="0"/>
    <s v="castle256_blurkernel10_3_0.00001_0.0001"/>
    <n v="35.577784000000001"/>
    <n v="3.1830029999999998"/>
    <n v="25.4039"/>
    <n v="14.466100000000001"/>
    <n v="18.627099999999999"/>
    <n v="28.227699999999999"/>
    <n v="28.451499999999999"/>
  </r>
  <r>
    <x v="3"/>
    <x v="3"/>
    <x v="0"/>
    <n v="1.0000000000000001E-5"/>
    <x v="1"/>
    <s v="castle256_blurkernel10_3_0.00001_0.001"/>
    <n v="26.641895999999999"/>
    <n v="3.1291020000000001"/>
    <n v="15.531599999999999"/>
    <n v="14.466100000000001"/>
    <n v="17.413900000000002"/>
    <n v="22.192799999999998"/>
    <n v="20.578900000000001"/>
  </r>
  <r>
    <x v="3"/>
    <x v="3"/>
    <x v="0"/>
    <n v="1.0000000000000001E-5"/>
    <x v="2"/>
    <s v="castle256_blurkernel10_3_0.00001_0.01"/>
    <n v="22.850823999999999"/>
    <n v="3.197905"/>
    <n v="6.4325000000000001"/>
    <n v="14.466100000000001"/>
    <n v="14.8521"/>
    <n v="20.647300000000001"/>
    <n v="14.2567"/>
  </r>
  <r>
    <x v="3"/>
    <x v="3"/>
    <x v="0"/>
    <n v="1.0000000000000001E-5"/>
    <x v="3"/>
    <s v="castle256_blurkernel10_3_0.00001_0.1"/>
    <n v="20.699269999999999"/>
    <n v="3.2205240000000002"/>
    <n v="1.2129000000000001"/>
    <n v="14.466100000000001"/>
    <n v="10.128"/>
    <n v="18.112300000000001"/>
    <n v="9.4200999999999997"/>
  </r>
  <r>
    <x v="3"/>
    <x v="3"/>
    <x v="1"/>
    <n v="1.0000000000000001E-5"/>
    <x v="0"/>
    <s v="castle256_blurkernel10_7_0.00001_0.0001"/>
    <n v="26.285416000000001"/>
    <n v="8.2755379999999992"/>
    <n v="25.355699999999999"/>
    <n v="10.289"/>
    <n v="19.4009"/>
    <n v="27.1252"/>
    <n v="28.401"/>
  </r>
  <r>
    <x v="3"/>
    <x v="3"/>
    <x v="1"/>
    <n v="1.0000000000000001E-5"/>
    <x v="1"/>
    <s v="castle256_blurkernel10_7_0.00001_0.001"/>
    <n v="15.427068"/>
    <n v="7.9800310000000003"/>
    <n v="15.5543"/>
    <n v="10.289"/>
    <n v="17.5379"/>
    <n v="20.556100000000001"/>
    <n v="20.6172"/>
  </r>
  <r>
    <x v="3"/>
    <x v="3"/>
    <x v="1"/>
    <n v="1.0000000000000001E-5"/>
    <x v="2"/>
    <s v="castle256_blurkernel10_7_0.00001_0.01"/>
    <n v="11.486419"/>
    <n v="8.0470570000000006"/>
    <n v="6.4790000000000001"/>
    <n v="10.289"/>
    <n v="13.567"/>
    <n v="16.397500000000001"/>
    <n v="14.1228"/>
  </r>
  <r>
    <x v="3"/>
    <x v="3"/>
    <x v="1"/>
    <n v="1.0000000000000001E-5"/>
    <x v="3"/>
    <s v="castle256_blurkernel10_7_0.00001_0.1"/>
    <n v="9.2765900000000006"/>
    <n v="8.0969610000000003"/>
    <n v="1.1914"/>
    <n v="10.289"/>
    <n v="8.5716999999999999"/>
    <n v="9.7029999999999994"/>
    <n v="9.3056000000000001"/>
  </r>
  <r>
    <x v="3"/>
    <x v="3"/>
    <x v="2"/>
    <n v="1.0000000000000001E-5"/>
    <x v="0"/>
    <s v="castle256_blurkernel10_15_0.00001_0.0001"/>
    <n v="23.521927000000002"/>
    <n v="18.166557000000001"/>
    <n v="25.392800000000001"/>
    <n v="8.1912000000000003"/>
    <n v="19.650300000000001"/>
    <n v="26.670100000000001"/>
    <n v="28.438500000000001"/>
  </r>
  <r>
    <x v="3"/>
    <x v="3"/>
    <x v="2"/>
    <n v="1.0000000000000001E-5"/>
    <x v="1"/>
    <s v="castle256_blurkernel10_15_0.00001_0.001"/>
    <n v="11.067314"/>
    <n v="17.422834999999999"/>
    <n v="15.5069"/>
    <n v="8.1912000000000003"/>
    <n v="17.607700000000001"/>
    <n v="20.6541"/>
    <n v="20.5932"/>
  </r>
  <r>
    <x v="3"/>
    <x v="3"/>
    <x v="2"/>
    <n v="1.0000000000000001E-5"/>
    <x v="2"/>
    <s v="castle256_blurkernel10_15_0.00001_0.01"/>
    <n v="7.4396110000000002"/>
    <n v="17.431749"/>
    <n v="6.4740000000000002"/>
    <n v="8.1912000000000003"/>
    <n v="13.3192"/>
    <n v="16.733699999999999"/>
    <n v="14.239000000000001"/>
  </r>
  <r>
    <x v="3"/>
    <x v="3"/>
    <x v="2"/>
    <n v="1.0000000000000001E-5"/>
    <x v="3"/>
    <s v="castle256_blurkernel10_15_0.00001_0.1"/>
    <n v="5.5531899999999998"/>
    <n v="17.485913"/>
    <n v="1.1872"/>
    <n v="8.1912000000000003"/>
    <n v="8.0958000000000006"/>
    <n v="10.1869"/>
    <n v="9.3554999999999993"/>
  </r>
  <r>
    <x v="3"/>
    <x v="3"/>
    <x v="3"/>
    <n v="1.0000000000000001E-5"/>
    <x v="0"/>
    <s v="castle256_blurkernel10_31_0.00001_0.0001"/>
    <n v="22.663907999999999"/>
    <n v="37.583651000000003"/>
    <n v="25.398199999999999"/>
    <n v="6.2142999999999997"/>
    <n v="19.831399999999999"/>
    <n v="26.246500000000001"/>
    <n v="28.4633"/>
  </r>
  <r>
    <x v="3"/>
    <x v="3"/>
    <x v="3"/>
    <n v="1.0000000000000001E-5"/>
    <x v="1"/>
    <s v="castle256_blurkernel10_31_0.00001_0.001"/>
    <n v="9.1098169999999996"/>
    <n v="35.988005999999999"/>
    <n v="15.4932"/>
    <n v="6.2142999999999997"/>
    <n v="17.5535"/>
    <n v="19.8352"/>
    <n v="20.569400000000002"/>
  </r>
  <r>
    <x v="3"/>
    <x v="3"/>
    <x v="3"/>
    <n v="1.0000000000000001E-5"/>
    <x v="2"/>
    <s v="castle256_blurkernel10_31_0.00001_0.01"/>
    <n v="5.3080870000000004"/>
    <n v="35.9101"/>
    <n v="6.4722999999999997"/>
    <n v="6.2142999999999997"/>
    <n v="13.1396"/>
    <n v="15.5495"/>
    <n v="14.216799999999999"/>
  </r>
  <r>
    <x v="3"/>
    <x v="3"/>
    <x v="3"/>
    <n v="1.0000000000000001E-5"/>
    <x v="3"/>
    <s v="castle256_blurkernel10_31_0.00001_0.1"/>
    <n v="3.684018"/>
    <n v="35.960791999999998"/>
    <n v="1.1920999999999999"/>
    <n v="6.2142999999999997"/>
    <n v="7.5396000000000001"/>
    <n v="8.2082999999999995"/>
    <n v="9.3469999999999995"/>
  </r>
  <r>
    <x v="4"/>
    <x v="4"/>
    <x v="4"/>
    <m/>
    <x v="4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,00001_0,0001"/>
    <n v="32.260831000000003"/>
    <n v="3.4785339999999998"/>
    <n v="25.397200000000002"/>
    <n v="18.031300000000002"/>
    <n v="20.678899999999999"/>
    <n v="29.180299999999999"/>
    <n v="29.330400000000001"/>
    <s v="BM3D"/>
    <n v="29.330400000000001"/>
    <n v="1"/>
    <n v="203"/>
    <n v="85"/>
    <n v="83"/>
    <b v="0"/>
  </r>
  <r>
    <x v="0"/>
    <x v="0"/>
    <x v="0"/>
    <n v="1.0000000000000001E-5"/>
    <x v="1"/>
    <s v="lena256_blurkernel7_3_0,00001_0,001"/>
    <n v="23.370987"/>
    <n v="3.4364029999999999"/>
    <n v="15.4665"/>
    <n v="18.031300000000002"/>
    <n v="19.561900000000001"/>
    <n v="24.4711"/>
    <n v="22.180499999999999"/>
    <s v="SROU03"/>
    <n v="24.4711"/>
    <n v="3"/>
    <n v="75"/>
    <n v="124"/>
    <n v="180"/>
    <b v="1"/>
  </r>
  <r>
    <x v="0"/>
    <x v="0"/>
    <x v="0"/>
    <n v="1.0000000000000001E-5"/>
    <x v="2"/>
    <s v="lena256_blurkernel7_3_0,00001_0,01"/>
    <n v="20.963733999999999"/>
    <n v="3.4717739999999999"/>
    <n v="6.5141999999999998"/>
    <n v="18.031300000000002"/>
    <n v="17.215399999999999"/>
    <n v="22.8185"/>
    <n v="15.7753"/>
    <s v="SROU03"/>
    <n v="22.8185"/>
    <n v="3"/>
    <n v="72"/>
    <n v="119"/>
    <n v="172"/>
    <b v="1"/>
  </r>
  <r>
    <x v="0"/>
    <x v="0"/>
    <x v="0"/>
    <n v="1.0000000000000001E-5"/>
    <x v="3"/>
    <s v="lena256_blurkernel7_3_0,00001_0,1"/>
    <n v="19.382439000000002"/>
    <n v="3.4874779999999999"/>
    <n v="1.2513000000000001"/>
    <n v="18.031300000000002"/>
    <n v="11.4527"/>
    <n v="21.4526"/>
    <n v="10.326599999999999"/>
    <s v="SROU03"/>
    <n v="21.4526"/>
    <n v="3"/>
    <n v="69"/>
    <n v="114"/>
    <n v="166"/>
    <b v="1"/>
  </r>
  <r>
    <x v="0"/>
    <x v="0"/>
    <x v="1"/>
    <n v="1.0000000000000001E-5"/>
    <x v="0"/>
    <s v="lena256_blurkernel7_7_0,00001_0,0001"/>
    <n v="23.905918"/>
    <n v="9.0063759999999995"/>
    <n v="25.450399999999998"/>
    <n v="12.1754"/>
    <n v="20.502500000000001"/>
    <n v="27.524899999999999"/>
    <n v="29.376999999999999"/>
    <s v="BM3D"/>
    <n v="29.376999999999999"/>
    <n v="1"/>
    <n v="204"/>
    <n v="85"/>
    <n v="83"/>
    <b v="1"/>
  </r>
  <r>
    <x v="0"/>
    <x v="0"/>
    <x v="1"/>
    <n v="1.0000000000000001E-5"/>
    <x v="1"/>
    <s v="lena256_blurkernel7_7_0,00001_0,001"/>
    <n v="13.819652"/>
    <n v="8.6742010000000001"/>
    <n v="15.5129"/>
    <n v="12.1754"/>
    <n v="18.297499999999999"/>
    <n v="21.5318"/>
    <n v="22.194700000000001"/>
    <s v="BM3D"/>
    <n v="22.194700000000001"/>
    <n v="1"/>
    <n v="169"/>
    <n v="71"/>
    <n v="69"/>
    <b v="0"/>
  </r>
  <r>
    <x v="0"/>
    <x v="0"/>
    <x v="1"/>
    <n v="1.0000000000000001E-5"/>
    <x v="2"/>
    <s v="lena256_blurkernel7_7_0,00001_0,01"/>
    <n v="10.544936"/>
    <n v="8.7246009999999998"/>
    <n v="6.5285000000000002"/>
    <n v="12.1754"/>
    <n v="14.407500000000001"/>
    <n v="17.1616"/>
    <n v="15.901400000000001"/>
    <s v="SROU03"/>
    <n v="17.1616"/>
    <n v="3"/>
    <n v="61"/>
    <n v="100"/>
    <n v="145"/>
    <b v="1"/>
  </r>
  <r>
    <x v="0"/>
    <x v="0"/>
    <x v="1"/>
    <n v="1.0000000000000001E-5"/>
    <x v="3"/>
    <s v="lena256_blurkernel7_7_0,00001_0,1"/>
    <n v="8.8418050000000008"/>
    <n v="8.7683319999999991"/>
    <n v="1.2424999999999999"/>
    <n v="12.1754"/>
    <n v="9.5831999999999997"/>
    <n v="12.1669"/>
    <n v="10.2119"/>
    <s v="SROU03"/>
    <n v="12.1669"/>
    <n v="3"/>
    <n v="51"/>
    <n v="84"/>
    <n v="121"/>
    <b v="1"/>
  </r>
  <r>
    <x v="0"/>
    <x v="0"/>
    <x v="2"/>
    <n v="1.0000000000000001E-5"/>
    <x v="0"/>
    <s v="lena256_blurkernel7_15_0,00001_0,0001"/>
    <n v="21.302917999999998"/>
    <n v="19.724388999999999"/>
    <n v="25.39"/>
    <n v="8.2112999999999996"/>
    <n v="21.2897"/>
    <n v="26.959299999999999"/>
    <n v="29.338799999999999"/>
    <s v="BM3D"/>
    <n v="29.338799999999999"/>
    <n v="1"/>
    <n v="204"/>
    <n v="85"/>
    <n v="83"/>
    <b v="1"/>
  </r>
  <r>
    <x v="0"/>
    <x v="0"/>
    <x v="2"/>
    <n v="1.0000000000000001E-5"/>
    <x v="1"/>
    <s v="lena256_blurkernel7_15_0,00001_0,001"/>
    <n v="9.2041240000000002"/>
    <n v="18.917470999999999"/>
    <n v="15.5168"/>
    <n v="8.2112999999999996"/>
    <n v="18.6632"/>
    <n v="20.640499999999999"/>
    <n v="22.134399999999999"/>
    <s v="BM3D"/>
    <n v="22.134399999999999"/>
    <n v="1"/>
    <n v="169"/>
    <n v="71"/>
    <n v="69"/>
    <b v="1"/>
  </r>
  <r>
    <x v="0"/>
    <x v="0"/>
    <x v="2"/>
    <n v="1.0000000000000001E-5"/>
    <x v="2"/>
    <s v="lena256_blurkernel7_15_0,00001_0,01"/>
    <n v="6.1624420000000004"/>
    <n v="18.878160999999999"/>
    <n v="6.5491999999999999"/>
    <n v="8.2112999999999996"/>
    <n v="13.740399999999999"/>
    <n v="17.5151"/>
    <n v="15.8233"/>
    <s v="SROU03"/>
    <n v="17.5151"/>
    <n v="3"/>
    <n v="61"/>
    <n v="101"/>
    <n v="147"/>
    <b v="1"/>
  </r>
  <r>
    <x v="0"/>
    <x v="0"/>
    <x v="2"/>
    <n v="1.0000000000000001E-5"/>
    <x v="3"/>
    <s v="lena256_blurkernel7_15_0,00001_0,1"/>
    <n v="5.1002859999999997"/>
    <n v="18.896519999999999"/>
    <n v="1.2482"/>
    <n v="8.2112999999999996"/>
    <n v="8.2053999999999991"/>
    <n v="11.1317"/>
    <n v="10.2546"/>
    <s v="SROU03"/>
    <n v="11.1317"/>
    <n v="3"/>
    <n v="49"/>
    <n v="80"/>
    <n v="116"/>
    <b v="0"/>
  </r>
  <r>
    <x v="0"/>
    <x v="0"/>
    <x v="3"/>
    <n v="1.0000000000000001E-5"/>
    <x v="0"/>
    <s v="lena256_blurkernel7_31_0,00001_0,0001"/>
    <n v="20.477471000000001"/>
    <n v="40.714295"/>
    <n v="25.386600000000001"/>
    <n v="5.3192000000000004"/>
    <n v="21.2895"/>
    <n v="26.051300000000001"/>
    <n v="29.312200000000001"/>
    <s v="BM3D"/>
    <n v="29.312200000000001"/>
    <n v="1"/>
    <n v="203"/>
    <n v="85"/>
    <n v="83"/>
    <b v="1"/>
  </r>
  <r>
    <x v="0"/>
    <x v="0"/>
    <x v="3"/>
    <n v="1.0000000000000001E-5"/>
    <x v="1"/>
    <s v="lena256_blurkernel7_31_0,00001_0,001"/>
    <n v="7.654541"/>
    <n v="38.887275000000002"/>
    <n v="15.5265"/>
    <n v="5.3192000000000004"/>
    <n v="18.517199999999999"/>
    <n v="19.459800000000001"/>
    <n v="22.143999999999998"/>
    <s v="BM3D"/>
    <n v="22.143999999999998"/>
    <n v="1"/>
    <n v="169"/>
    <n v="71"/>
    <n v="69"/>
    <b v="1"/>
  </r>
  <r>
    <x v="0"/>
    <x v="0"/>
    <x v="3"/>
    <n v="1.0000000000000001E-5"/>
    <x v="2"/>
    <s v="lena256_blurkernel7_31_0,00001_0,01"/>
    <n v="4.0996449999999998"/>
    <n v="38.752980000000001"/>
    <n v="6.5175999999999998"/>
    <n v="5.3192000000000004"/>
    <n v="13.5914"/>
    <n v="15.3955"/>
    <n v="15.7689"/>
    <s v="BM3D"/>
    <n v="15.7689"/>
    <n v="1"/>
    <n v="139"/>
    <n v="58"/>
    <n v="56"/>
    <b v="0"/>
  </r>
  <r>
    <x v="0"/>
    <x v="0"/>
    <x v="3"/>
    <n v="1.0000000000000001E-5"/>
    <x v="3"/>
    <s v="lena256_blurkernel7_31_0,00001_0,1"/>
    <n v="3.2188210000000002"/>
    <n v="38.751489999999997"/>
    <n v="1.2656000000000001"/>
    <n v="5.3192000000000004"/>
    <n v="7.7866"/>
    <n v="8.4518000000000004"/>
    <n v="10.2241"/>
    <s v="BM3D"/>
    <n v="10.2241"/>
    <n v="1"/>
    <n v="112"/>
    <n v="47"/>
    <n v="45"/>
    <b v="1"/>
  </r>
  <r>
    <x v="0"/>
    <x v="1"/>
    <x v="0"/>
    <n v="1.0000000000000001E-5"/>
    <x v="0"/>
    <s v="lena256_blurkernel8_3_0,00001_0,0001"/>
    <n v="33.624616000000003"/>
    <n v="3.4125200000000002"/>
    <n v="25.432700000000001"/>
    <n v="17.587499999999999"/>
    <n v="20.760100000000001"/>
    <n v="29.79"/>
    <n v="29.328099999999999"/>
    <s v="SROU03"/>
    <n v="29.79"/>
    <n v="3"/>
    <n v="86"/>
    <n v="142"/>
    <n v="206"/>
    <b v="0"/>
  </r>
  <r>
    <x v="0"/>
    <x v="1"/>
    <x v="0"/>
    <n v="1.0000000000000001E-5"/>
    <x v="1"/>
    <s v="lena256_blurkernel8_3_0,00001_0,001"/>
    <n v="24.065653999999999"/>
    <n v="3.412312"/>
    <n v="15.489699999999999"/>
    <n v="17.587499999999999"/>
    <n v="19.631399999999999"/>
    <n v="26.088699999999999"/>
    <n v="22.172599999999999"/>
    <s v="SROU03"/>
    <n v="26.088699999999999"/>
    <n v="3"/>
    <n v="79"/>
    <n v="130"/>
    <n v="188"/>
    <b v="1"/>
  </r>
  <r>
    <x v="0"/>
    <x v="1"/>
    <x v="0"/>
    <n v="1.0000000000000001E-5"/>
    <x v="2"/>
    <s v="lena256_blurkernel8_3_0,00001_0,01"/>
    <n v="21.096729"/>
    <n v="3.4675370000000001"/>
    <n v="6.5178000000000003"/>
    <n v="17.587499999999999"/>
    <n v="17.038599999999999"/>
    <n v="24.357800000000001"/>
    <n v="15.7791"/>
    <s v="SROU03"/>
    <n v="24.357800000000001"/>
    <n v="3"/>
    <n v="75"/>
    <n v="124"/>
    <n v="180"/>
    <b v="1"/>
  </r>
  <r>
    <x v="0"/>
    <x v="1"/>
    <x v="0"/>
    <n v="1.0000000000000001E-5"/>
    <x v="3"/>
    <s v="lena256_blurkernel8_3_0,00001_0,1"/>
    <n v="19.465325"/>
    <n v="3.4865680000000001"/>
    <n v="1.2971999999999999"/>
    <n v="17.587499999999999"/>
    <n v="11.45"/>
    <n v="20.802499999999998"/>
    <n v="10.3835"/>
    <s v="SROU03"/>
    <n v="20.802499999999998"/>
    <n v="3"/>
    <n v="68"/>
    <n v="112"/>
    <n v="163"/>
    <b v="1"/>
  </r>
  <r>
    <x v="0"/>
    <x v="1"/>
    <x v="1"/>
    <n v="1.0000000000000001E-5"/>
    <x v="0"/>
    <s v="lena256_blurkernel8_7_0,00001_0,0001"/>
    <n v="24.855751000000001"/>
    <n v="8.9081270000000004"/>
    <n v="25.3992"/>
    <n v="12.0008"/>
    <n v="20.541499999999999"/>
    <n v="27.8691"/>
    <n v="29.3401"/>
    <s v="BM3D"/>
    <n v="29.3401"/>
    <n v="1"/>
    <n v="204"/>
    <n v="85"/>
    <n v="83"/>
    <b v="1"/>
  </r>
  <r>
    <x v="0"/>
    <x v="1"/>
    <x v="1"/>
    <n v="1.0000000000000001E-5"/>
    <x v="1"/>
    <s v="lena256_blurkernel8_7_0,00001_0,001"/>
    <n v="14.517318"/>
    <n v="8.6343990000000002"/>
    <n v="15.536899999999999"/>
    <n v="12.0008"/>
    <n v="18.462599999999998"/>
    <n v="22.538799999999998"/>
    <n v="22.2196"/>
    <s v="SROU03"/>
    <n v="22.538799999999998"/>
    <n v="3"/>
    <n v="71"/>
    <n v="118"/>
    <n v="171"/>
    <b v="0"/>
  </r>
  <r>
    <x v="0"/>
    <x v="1"/>
    <x v="1"/>
    <n v="1.0000000000000001E-5"/>
    <x v="2"/>
    <s v="lena256_blurkernel8_7_0,00001_0,01"/>
    <n v="10.60272"/>
    <n v="8.7242130000000007"/>
    <n v="6.5476000000000001"/>
    <n v="12.0008"/>
    <n v="14.476699999999999"/>
    <n v="18.850100000000001"/>
    <n v="15.865"/>
    <s v="SROU03"/>
    <n v="18.850100000000001"/>
    <n v="3"/>
    <n v="64"/>
    <n v="106"/>
    <n v="153"/>
    <b v="1"/>
  </r>
  <r>
    <x v="0"/>
    <x v="1"/>
    <x v="1"/>
    <n v="1.0000000000000001E-5"/>
    <x v="3"/>
    <s v="lena256_blurkernel8_7_0,00001_0,1"/>
    <n v="8.9057949999999995"/>
    <n v="8.7683079999999993"/>
    <n v="1.2689999999999999"/>
    <n v="12.0008"/>
    <n v="9.6356000000000002"/>
    <n v="12.938499999999999"/>
    <n v="10.468999999999999"/>
    <s v="SROU03"/>
    <n v="12.938499999999999"/>
    <n v="3"/>
    <n v="52"/>
    <n v="86"/>
    <n v="125"/>
    <b v="1"/>
  </r>
  <r>
    <x v="0"/>
    <x v="1"/>
    <x v="2"/>
    <n v="1.0000000000000001E-5"/>
    <x v="0"/>
    <s v="lena256_blurkernel8_15_0,00001_0,0001"/>
    <n v="21.969874999999998"/>
    <n v="19.605080000000001"/>
    <n v="25.367699999999999"/>
    <n v="8.2166999999999994"/>
    <n v="21.2013"/>
    <n v="27.152100000000001"/>
    <n v="29.304200000000002"/>
    <s v="BM3D"/>
    <n v="29.304200000000002"/>
    <n v="1"/>
    <n v="203"/>
    <n v="85"/>
    <n v="83"/>
    <b v="1"/>
  </r>
  <r>
    <x v="0"/>
    <x v="1"/>
    <x v="2"/>
    <n v="1.0000000000000001E-5"/>
    <x v="1"/>
    <s v="lena256_blurkernel8_15_0,00001_0,001"/>
    <n v="10.334087999999999"/>
    <n v="18.838365"/>
    <n v="15.5152"/>
    <n v="8.2166999999999994"/>
    <n v="18.516999999999999"/>
    <n v="21.352699999999999"/>
    <n v="22.1128"/>
    <s v="BM3D"/>
    <n v="22.1128"/>
    <n v="1"/>
    <n v="169"/>
    <n v="71"/>
    <n v="69"/>
    <b v="0"/>
  </r>
  <r>
    <x v="0"/>
    <x v="1"/>
    <x v="2"/>
    <n v="1.0000000000000001E-5"/>
    <x v="2"/>
    <s v="lena256_blurkernel8_15_0,00001_0,01"/>
    <n v="6.8174609999999998"/>
    <n v="18.862148999999999"/>
    <n v="6.5099"/>
    <n v="8.2166999999999994"/>
    <n v="13.802"/>
    <n v="17.6172"/>
    <n v="15.8598"/>
    <s v="SROU03"/>
    <n v="17.6172"/>
    <n v="3"/>
    <n v="62"/>
    <n v="102"/>
    <n v="147"/>
    <b v="1"/>
  </r>
  <r>
    <x v="0"/>
    <x v="1"/>
    <x v="2"/>
    <n v="1.0000000000000001E-5"/>
    <x v="3"/>
    <s v="lena256_blurkernel8_15_0,00001_0,1"/>
    <n v="5.325177"/>
    <n v="18.908894"/>
    <n v="1.2796000000000001"/>
    <n v="8.2166999999999994"/>
    <n v="8.2497000000000007"/>
    <n v="10.9245"/>
    <n v="10.335100000000001"/>
    <s v="SROU03"/>
    <n v="10.9245"/>
    <n v="3"/>
    <n v="48"/>
    <n v="80"/>
    <n v="115"/>
    <b v="0"/>
  </r>
  <r>
    <x v="0"/>
    <x v="1"/>
    <x v="3"/>
    <n v="1.0000000000000001E-5"/>
    <x v="0"/>
    <s v="lena256_blurkernel8_31_0,00001_0,0001"/>
    <n v="20.860859000000001"/>
    <n v="40.622995000000003"/>
    <n v="25.412600000000001"/>
    <n v="5.3045"/>
    <n v="21.268899999999999"/>
    <n v="26.177299999999999"/>
    <n v="29.3353"/>
    <s v="BM3D"/>
    <n v="29.3353"/>
    <n v="1"/>
    <n v="204"/>
    <n v="85"/>
    <n v="83"/>
    <b v="1"/>
  </r>
  <r>
    <x v="0"/>
    <x v="1"/>
    <x v="3"/>
    <n v="1.0000000000000001E-5"/>
    <x v="1"/>
    <s v="lena256_blurkernel8_31_0,00001_0,001"/>
    <n v="8.2425320000000006"/>
    <n v="38.876001000000002"/>
    <n v="15.508900000000001"/>
    <n v="5.3045"/>
    <n v="18.4665"/>
    <n v="19.448399999999999"/>
    <n v="22.122599999999998"/>
    <s v="BM3D"/>
    <n v="22.122599999999998"/>
    <n v="1"/>
    <n v="169"/>
    <n v="71"/>
    <n v="69"/>
    <b v="1"/>
  </r>
  <r>
    <x v="0"/>
    <x v="1"/>
    <x v="3"/>
    <n v="1.0000000000000001E-5"/>
    <x v="2"/>
    <s v="lena256_blurkernel8_31_0,00001_0,01"/>
    <n v="4.7473599999999996"/>
    <n v="38.776406000000001"/>
    <n v="6.4911000000000003"/>
    <n v="5.3045"/>
    <n v="13.563800000000001"/>
    <n v="15.4335"/>
    <n v="15.8719"/>
    <s v="BM3D"/>
    <n v="15.8719"/>
    <n v="1"/>
    <n v="139"/>
    <n v="58"/>
    <n v="56"/>
    <b v="0"/>
  </r>
  <r>
    <x v="0"/>
    <x v="1"/>
    <x v="3"/>
    <n v="1.0000000000000001E-5"/>
    <x v="3"/>
    <s v="lena256_blurkernel8_31_0,00001_0,1"/>
    <n v="3.563847"/>
    <n v="38.80641"/>
    <n v="1.2687999999999999"/>
    <n v="5.3045"/>
    <n v="7.7237999999999998"/>
    <n v="9.1178000000000008"/>
    <n v="10.2873"/>
    <s v="BM3D"/>
    <n v="10.2873"/>
    <n v="1"/>
    <n v="112"/>
    <n v="47"/>
    <n v="46"/>
    <b v="1"/>
  </r>
  <r>
    <x v="0"/>
    <x v="2"/>
    <x v="0"/>
    <n v="1.0000000000000001E-5"/>
    <x v="0"/>
    <s v="lena256_line_3_0,00001_0,0001"/>
    <n v="38.089689999999997"/>
    <n v="3.1906650000000001"/>
    <n v="25.389700000000001"/>
    <n v="15.065099999999999"/>
    <n v="20.779800000000002"/>
    <n v="29.680599999999998"/>
    <n v="29.292899999999999"/>
    <s v="SROU03"/>
    <n v="29.680599999999998"/>
    <n v="3"/>
    <n v="86"/>
    <n v="141"/>
    <n v="205"/>
    <b v="0"/>
  </r>
  <r>
    <x v="0"/>
    <x v="2"/>
    <x v="0"/>
    <n v="1.0000000000000001E-5"/>
    <x v="1"/>
    <s v="lena256_line_3_0,00001_0,001"/>
    <n v="25.952594000000001"/>
    <n v="3.3373780000000002"/>
    <n v="15.5185"/>
    <n v="15.065099999999999"/>
    <n v="18.9648"/>
    <n v="24.941199999999998"/>
    <n v="22.130700000000001"/>
    <s v="SROU03"/>
    <n v="24.941199999999998"/>
    <n v="3"/>
    <n v="76"/>
    <n v="126"/>
    <n v="183"/>
    <b v="1"/>
  </r>
  <r>
    <x v="0"/>
    <x v="2"/>
    <x v="0"/>
    <n v="1.0000000000000001E-5"/>
    <x v="2"/>
    <s v="lena256_line_3_0,00001_0,01"/>
    <n v="21.019501000000002"/>
    <n v="3.4655079999999998"/>
    <n v="6.5212000000000003"/>
    <n v="15.065099999999999"/>
    <n v="15.717599999999999"/>
    <n v="16.601700000000001"/>
    <n v="15.8378"/>
    <s v="SROU03"/>
    <n v="16.601700000000001"/>
    <n v="3"/>
    <n v="60"/>
    <n v="98"/>
    <n v="143"/>
    <b v="0"/>
  </r>
  <r>
    <x v="0"/>
    <x v="2"/>
    <x v="0"/>
    <n v="1.0000000000000001E-5"/>
    <x v="3"/>
    <s v="lena256_line_3_0,00001_0,1"/>
    <n v="19.372187"/>
    <n v="3.4843989999999998"/>
    <n v="1.2553000000000001"/>
    <n v="15.065099999999999"/>
    <n v="10.6799"/>
    <n v="14.0822"/>
    <n v="10.383699999999999"/>
    <s v="SROU03"/>
    <n v="14.0822"/>
    <n v="3"/>
    <n v="55"/>
    <n v="90"/>
    <n v="131"/>
    <b v="1"/>
  </r>
  <r>
    <x v="0"/>
    <x v="2"/>
    <x v="1"/>
    <n v="1.0000000000000001E-5"/>
    <x v="0"/>
    <s v="lena256_line_7_0,00001_0,0001"/>
    <n v="28.876815000000001"/>
    <n v="8.4481819999999992"/>
    <n v="25.354800000000001"/>
    <n v="10.0802"/>
    <n v="21.337499999999999"/>
    <n v="28.014099999999999"/>
    <n v="29.294699999999999"/>
    <s v="BM3D"/>
    <n v="29.294699999999999"/>
    <n v="1"/>
    <n v="203"/>
    <n v="85"/>
    <n v="83"/>
    <b v="1"/>
  </r>
  <r>
    <x v="0"/>
    <x v="2"/>
    <x v="1"/>
    <n v="1.0000000000000001E-5"/>
    <x v="1"/>
    <s v="lena256_line_7_0,00001_0,001"/>
    <n v="16.686104"/>
    <n v="8.4666879999999995"/>
    <n v="15.555199999999999"/>
    <n v="10.0802"/>
    <n v="18.863399999999999"/>
    <n v="21.497299999999999"/>
    <n v="22.171800000000001"/>
    <s v="BM3D"/>
    <n v="22.171800000000001"/>
    <n v="1"/>
    <n v="169"/>
    <n v="71"/>
    <n v="69"/>
    <b v="0"/>
  </r>
  <r>
    <x v="0"/>
    <x v="2"/>
    <x v="1"/>
    <n v="1.0000000000000001E-5"/>
    <x v="2"/>
    <s v="lena256_line_7_0,00001_0,01"/>
    <n v="11.193917000000001"/>
    <n v="8.6656189999999995"/>
    <n v="6.5246000000000004"/>
    <n v="10.0802"/>
    <n v="14.3185"/>
    <n v="14.6929"/>
    <n v="15.866199999999999"/>
    <s v="BM3D"/>
    <n v="15.866199999999999"/>
    <n v="1"/>
    <n v="139"/>
    <n v="58"/>
    <n v="56"/>
    <b v="1"/>
  </r>
  <r>
    <x v="0"/>
    <x v="2"/>
    <x v="1"/>
    <n v="1.0000000000000001E-5"/>
    <x v="3"/>
    <s v="lena256_line_7_0,00001_0,1"/>
    <n v="8.7482760000000006"/>
    <n v="8.7435779999999994"/>
    <n v="1.2521"/>
    <n v="10.0802"/>
    <n v="8.9170999999999996"/>
    <n v="9.6738"/>
    <n v="10.352499999999999"/>
    <s v="BM3D"/>
    <n v="10.352499999999999"/>
    <n v="1"/>
    <n v="113"/>
    <n v="47"/>
    <n v="46"/>
    <b v="0"/>
  </r>
  <r>
    <x v="0"/>
    <x v="2"/>
    <x v="2"/>
    <n v="1.0000000000000001E-5"/>
    <x v="0"/>
    <s v="lena256_line_15_0,00001_0,0001"/>
    <n v="24.617514"/>
    <n v="18.926286999999999"/>
    <n v="25.3811"/>
    <n v="6.5651000000000002"/>
    <n v="21.478999999999999"/>
    <n v="27.347200000000001"/>
    <n v="29.281600000000001"/>
    <s v="BM3D"/>
    <n v="29.281600000000001"/>
    <n v="1"/>
    <n v="203"/>
    <n v="85"/>
    <n v="83"/>
    <b v="1"/>
  </r>
  <r>
    <x v="0"/>
    <x v="2"/>
    <x v="2"/>
    <n v="1.0000000000000001E-5"/>
    <x v="1"/>
    <s v="lena256_line_15_0,00001_0,001"/>
    <n v="12.183339999999999"/>
    <n v="18.521283"/>
    <n v="15.513400000000001"/>
    <n v="6.5651000000000002"/>
    <n v="18.748000000000001"/>
    <n v="20.300999999999998"/>
    <n v="22.180199999999999"/>
    <s v="BM3D"/>
    <n v="22.180199999999999"/>
    <n v="1"/>
    <n v="169"/>
    <n v="71"/>
    <n v="69"/>
    <b v="1"/>
  </r>
  <r>
    <x v="0"/>
    <x v="2"/>
    <x v="2"/>
    <n v="1.0000000000000001E-5"/>
    <x v="2"/>
    <s v="lena256_line_15_0,00001_0,01"/>
    <n v="7.4619239999999998"/>
    <n v="18.687505999999999"/>
    <n v="6.4988000000000001"/>
    <n v="6.5651000000000002"/>
    <n v="13.795999999999999"/>
    <n v="14.009"/>
    <n v="15.8774"/>
    <s v="BM3D"/>
    <n v="15.8774"/>
    <n v="1"/>
    <n v="139"/>
    <n v="58"/>
    <n v="56"/>
    <b v="1"/>
  </r>
  <r>
    <x v="0"/>
    <x v="2"/>
    <x v="2"/>
    <n v="1.0000000000000001E-5"/>
    <x v="3"/>
    <s v="lena256_line_15_0,00001_0,1"/>
    <n v="5.0990960000000003"/>
    <n v="18.789075"/>
    <n v="1.2384999999999999"/>
    <n v="6.5651000000000002"/>
    <n v="7.9833999999999996"/>
    <n v="8.0343999999999998"/>
    <n v="10.195499999999999"/>
    <s v="BM3D"/>
    <n v="10.195499999999999"/>
    <n v="1"/>
    <n v="112"/>
    <n v="47"/>
    <n v="45"/>
    <b v="1"/>
  </r>
  <r>
    <x v="0"/>
    <x v="2"/>
    <x v="3"/>
    <n v="1.0000000000000001E-5"/>
    <x v="0"/>
    <s v="lena256_line_31_0,00001_0,0001"/>
    <n v="22.492854000000001"/>
    <n v="39.615116999999998"/>
    <n v="25.391300000000001"/>
    <n v="3.6454"/>
    <n v="21.286200000000001"/>
    <n v="26.974799999999998"/>
    <n v="29.330200000000001"/>
    <s v="BM3D"/>
    <n v="29.330200000000001"/>
    <n v="1"/>
    <n v="203"/>
    <n v="85"/>
    <n v="83"/>
    <b v="1"/>
  </r>
  <r>
    <x v="0"/>
    <x v="2"/>
    <x v="3"/>
    <n v="1.0000000000000001E-5"/>
    <x v="1"/>
    <s v="lena256_line_31_0,00001_0,001"/>
    <n v="9.643084"/>
    <n v="38.264721000000002"/>
    <n v="15.5299"/>
    <n v="3.6454"/>
    <n v="18.5152"/>
    <n v="19.8185"/>
    <n v="22.197500000000002"/>
    <s v="BM3D"/>
    <n v="22.197500000000002"/>
    <n v="1"/>
    <n v="169"/>
    <n v="71"/>
    <n v="69"/>
    <b v="1"/>
  </r>
  <r>
    <x v="0"/>
    <x v="2"/>
    <x v="3"/>
    <n v="1.0000000000000001E-5"/>
    <x v="2"/>
    <s v="lena256_line_31_0,00001_0,01"/>
    <n v="5.4025840000000001"/>
    <n v="38.329014999999998"/>
    <n v="6.5111999999999997"/>
    <n v="3.6454"/>
    <n v="13.750299999999999"/>
    <n v="13.7613"/>
    <n v="15.8704"/>
    <s v="BM3D"/>
    <n v="15.8704"/>
    <n v="1"/>
    <n v="139"/>
    <n v="58"/>
    <n v="56"/>
    <b v="1"/>
  </r>
  <r>
    <x v="0"/>
    <x v="2"/>
    <x v="3"/>
    <n v="1.0000000000000001E-5"/>
    <x v="3"/>
    <s v="lena256_line_31_0,00001_0,1"/>
    <n v="3.5717599999999998"/>
    <n v="38.420444000000003"/>
    <n v="1.2879"/>
    <n v="3.6454"/>
    <n v="7.7840999999999996"/>
    <n v="6.7876000000000003"/>
    <n v="10.3871"/>
    <s v="BM3D"/>
    <n v="10.3871"/>
    <n v="1"/>
    <n v="113"/>
    <n v="47"/>
    <n v="46"/>
    <b v="1"/>
  </r>
  <r>
    <x v="0"/>
    <x v="3"/>
    <x v="0"/>
    <n v="1.0000000000000001E-5"/>
    <x v="0"/>
    <s v="lena256_blurkernel10_3_0,00001_0,0001"/>
    <n v="32.791966000000002"/>
    <n v="3.4524080000000001"/>
    <n v="25.402799999999999"/>
    <n v="17.635200000000001"/>
    <n v="20.521999999999998"/>
    <n v="29.459700000000002"/>
    <n v="29.2973"/>
    <s v="SROU03"/>
    <n v="29.459700000000002"/>
    <n v="3"/>
    <n v="85"/>
    <n v="141"/>
    <n v="204"/>
    <b v="0"/>
  </r>
  <r>
    <x v="0"/>
    <x v="3"/>
    <x v="0"/>
    <n v="1.0000000000000001E-5"/>
    <x v="1"/>
    <s v="lena256_blurkernel10_3_0,00001_0,001"/>
    <n v="24.485966000000001"/>
    <n v="3.395715"/>
    <n v="15.5144"/>
    <n v="17.635200000000001"/>
    <n v="19.3979"/>
    <n v="25.1617"/>
    <n v="22.174099999999999"/>
    <s v="SROU03"/>
    <n v="25.1617"/>
    <n v="3"/>
    <n v="77"/>
    <n v="127"/>
    <n v="184"/>
    <b v="1"/>
  </r>
  <r>
    <x v="0"/>
    <x v="3"/>
    <x v="0"/>
    <n v="1.0000000000000001E-5"/>
    <x v="2"/>
    <s v="lena256_blurkernel10_3_0,00001_0,01"/>
    <n v="21.025161000000001"/>
    <n v="3.469014"/>
    <n v="6.4867999999999997"/>
    <n v="17.635200000000001"/>
    <n v="16.971699999999998"/>
    <n v="21.820399999999999"/>
    <n v="15.753500000000001"/>
    <s v="SROU03"/>
    <n v="21.820399999999999"/>
    <n v="3"/>
    <n v="70"/>
    <n v="116"/>
    <n v="168"/>
    <b v="1"/>
  </r>
  <r>
    <x v="0"/>
    <x v="3"/>
    <x v="0"/>
    <n v="1.0000000000000001E-5"/>
    <x v="3"/>
    <s v="lena256_blurkernel10_3_0,00001_0,1"/>
    <n v="19.506181000000002"/>
    <n v="3.4844970000000002"/>
    <n v="1.2827"/>
    <n v="17.635200000000001"/>
    <n v="11.238300000000001"/>
    <n v="19.7286"/>
    <n v="10.382199999999999"/>
    <s v="SROU03"/>
    <n v="19.7286"/>
    <n v="3"/>
    <n v="66"/>
    <n v="109"/>
    <n v="158"/>
    <b v="1"/>
  </r>
  <r>
    <x v="0"/>
    <x v="3"/>
    <x v="1"/>
    <n v="1.0000000000000001E-5"/>
    <x v="0"/>
    <s v="lena256_blurkernel10_7_0,00001_0,0001"/>
    <n v="24.185366999999999"/>
    <n v="8.9770699999999994"/>
    <n v="25.365400000000001"/>
    <n v="12.012700000000001"/>
    <n v="20.811900000000001"/>
    <n v="27.714099999999998"/>
    <n v="29.319199999999999"/>
    <s v="BM3D"/>
    <n v="29.319199999999999"/>
    <n v="1"/>
    <n v="203"/>
    <n v="85"/>
    <n v="83"/>
    <b v="1"/>
  </r>
  <r>
    <x v="0"/>
    <x v="3"/>
    <x v="1"/>
    <n v="1.0000000000000001E-5"/>
    <x v="1"/>
    <s v="lena256_blurkernel10_7_0,00001_0,001"/>
    <n v="14.272964999999999"/>
    <n v="8.6472099999999994"/>
    <n v="15.5282"/>
    <n v="12.012700000000001"/>
    <n v="18.7227"/>
    <n v="22.389800000000001"/>
    <n v="22.156400000000001"/>
    <s v="SROU03"/>
    <n v="22.389800000000001"/>
    <n v="3"/>
    <n v="71"/>
    <n v="117"/>
    <n v="170"/>
    <b v="0"/>
  </r>
  <r>
    <x v="0"/>
    <x v="3"/>
    <x v="1"/>
    <n v="1.0000000000000001E-5"/>
    <x v="2"/>
    <s v="lena256_blurkernel10_7_0,00001_0,01"/>
    <n v="11.154995"/>
    <n v="8.6959160000000004"/>
    <n v="6.5035999999999996"/>
    <n v="12.012700000000001"/>
    <n v="14.667400000000001"/>
    <n v="19.2559"/>
    <n v="15.759600000000001"/>
    <s v="SROU03"/>
    <n v="19.2559"/>
    <n v="3"/>
    <n v="65"/>
    <n v="107"/>
    <n v="155"/>
    <b v="1"/>
  </r>
  <r>
    <x v="0"/>
    <x v="3"/>
    <x v="1"/>
    <n v="1.0000000000000001E-5"/>
    <x v="3"/>
    <s v="lena256_blurkernel10_7_0,00001_0,1"/>
    <n v="8.9981489999999997"/>
    <n v="8.7617890000000003"/>
    <n v="1.2404999999999999"/>
    <n v="12.012700000000001"/>
    <n v="9.6396999999999995"/>
    <n v="13.0787"/>
    <n v="10.268000000000001"/>
    <s v="SROU03"/>
    <n v="13.0787"/>
    <n v="3"/>
    <n v="52"/>
    <n v="87"/>
    <n v="126"/>
    <b v="1"/>
  </r>
  <r>
    <x v="0"/>
    <x v="3"/>
    <x v="2"/>
    <n v="1.0000000000000001E-5"/>
    <x v="0"/>
    <s v="lena256_blurkernel10_15_0,00001_0,0001"/>
    <n v="21.780586"/>
    <n v="19.654114"/>
    <n v="25.413900000000002"/>
    <n v="8.4251000000000005"/>
    <n v="21.132899999999999"/>
    <n v="27.075700000000001"/>
    <n v="29.358499999999999"/>
    <s v="BM3D"/>
    <n v="29.358499999999999"/>
    <n v="1"/>
    <n v="204"/>
    <n v="85"/>
    <n v="83"/>
    <b v="1"/>
  </r>
  <r>
    <x v="0"/>
    <x v="3"/>
    <x v="2"/>
    <n v="1.0000000000000001E-5"/>
    <x v="1"/>
    <s v="lena256_blurkernel10_15_0,00001_0,001"/>
    <n v="10.06354"/>
    <n v="18.874655000000001"/>
    <n v="15.4777"/>
    <n v="8.4251000000000005"/>
    <n v="18.624300000000002"/>
    <n v="21.311499999999999"/>
    <n v="22.171199999999999"/>
    <s v="BM3D"/>
    <n v="22.171199999999999"/>
    <n v="1"/>
    <n v="169"/>
    <n v="71"/>
    <n v="69"/>
    <b v="0"/>
  </r>
  <r>
    <x v="0"/>
    <x v="3"/>
    <x v="2"/>
    <n v="1.0000000000000001E-5"/>
    <x v="2"/>
    <s v="lena256_blurkernel10_15_0,00001_0,01"/>
    <n v="6.9808669999999999"/>
    <n v="18.862404000000002"/>
    <n v="6.4850000000000003"/>
    <n v="8.4251000000000005"/>
    <n v="13.915699999999999"/>
    <n v="17.9529"/>
    <n v="15.7842"/>
    <s v="SROU03"/>
    <n v="17.9529"/>
    <n v="3"/>
    <n v="62"/>
    <n v="103"/>
    <n v="149"/>
    <b v="1"/>
  </r>
  <r>
    <x v="0"/>
    <x v="3"/>
    <x v="2"/>
    <n v="1.0000000000000001E-5"/>
    <x v="3"/>
    <s v="lena256_blurkernel10_15_0,00001_0,1"/>
    <n v="5.699497"/>
    <n v="18.898703000000001"/>
    <n v="1.2773000000000001"/>
    <n v="8.4251000000000005"/>
    <n v="8.5427"/>
    <n v="13.1046"/>
    <n v="10.315799999999999"/>
    <s v="SROU03"/>
    <n v="13.1046"/>
    <n v="3"/>
    <n v="53"/>
    <n v="87"/>
    <n v="126"/>
    <b v="1"/>
  </r>
  <r>
    <x v="0"/>
    <x v="3"/>
    <x v="3"/>
    <n v="1.0000000000000001E-5"/>
    <x v="0"/>
    <s v="lena256_blurkernel10_31_0,00001_0,0001"/>
    <n v="20.939412999999998"/>
    <n v="40.621605000000002"/>
    <n v="25.3994"/>
    <n v="5.6351000000000004"/>
    <n v="21.052600000000002"/>
    <n v="25.561299999999999"/>
    <n v="29.3583"/>
    <s v="BM3D"/>
    <n v="29.3583"/>
    <n v="1"/>
    <n v="204"/>
    <n v="85"/>
    <n v="83"/>
    <b v="1"/>
  </r>
  <r>
    <x v="0"/>
    <x v="3"/>
    <x v="3"/>
    <n v="1.0000000000000001E-5"/>
    <x v="1"/>
    <s v="lena256_blurkernel10_31_0,00001_0,001"/>
    <n v="7.7283020000000002"/>
    <n v="38.991622"/>
    <n v="15.4948"/>
    <n v="5.6351000000000004"/>
    <n v="18.394200000000001"/>
    <n v="17.3353"/>
    <n v="22.151399999999999"/>
    <s v="BM3D"/>
    <n v="22.151399999999999"/>
    <n v="1"/>
    <n v="169"/>
    <n v="71"/>
    <n v="69"/>
    <b v="1"/>
  </r>
  <r>
    <x v="0"/>
    <x v="3"/>
    <x v="3"/>
    <n v="1.0000000000000001E-5"/>
    <x v="2"/>
    <s v="lena256_blurkernel10_31_0,00001_0,01"/>
    <n v="4.8831509999999998"/>
    <n v="38.801219000000003"/>
    <n v="6.5204000000000004"/>
    <n v="5.6351000000000004"/>
    <n v="13.7232"/>
    <n v="14.9146"/>
    <n v="15.8941"/>
    <s v="BM3D"/>
    <n v="15.8941"/>
    <n v="1"/>
    <n v="139"/>
    <n v="58"/>
    <n v="56"/>
    <b v="0"/>
  </r>
  <r>
    <x v="0"/>
    <x v="3"/>
    <x v="3"/>
    <n v="1.0000000000000001E-5"/>
    <x v="3"/>
    <s v="lena256_blurkernel10_31_0,00001_0,1"/>
    <n v="3.7066490000000001"/>
    <n v="38.833258999999998"/>
    <n v="1.2785"/>
    <n v="5.6351000000000004"/>
    <n v="7.9951999999999996"/>
    <n v="9.2941000000000003"/>
    <n v="10.326499999999999"/>
    <s v="BM3D"/>
    <n v="10.326499999999999"/>
    <n v="1"/>
    <n v="113"/>
    <n v="47"/>
    <n v="46"/>
    <b v="1"/>
  </r>
  <r>
    <x v="1"/>
    <x v="0"/>
    <x v="0"/>
    <n v="1.0000000000000001E-5"/>
    <x v="0"/>
    <s v="tree256_blurkernel7_3_0,00001_0,0001"/>
    <n v="34.472690999999998"/>
    <n v="3.2802639999999998"/>
    <n v="25.645399999999999"/>
    <n v="12.2697"/>
    <n v="12.639799999999999"/>
    <n v="25.332999999999998"/>
    <n v="25.755199999999999"/>
    <s v="BM3D"/>
    <n v="25.755199999999999"/>
    <n v="1"/>
    <n v="186"/>
    <n v="78"/>
    <n v="76"/>
    <b v="0"/>
  </r>
  <r>
    <x v="1"/>
    <x v="0"/>
    <x v="0"/>
    <n v="1.0000000000000001E-5"/>
    <x v="1"/>
    <s v="tree256_blurkernel7_3_0,00001_0,001"/>
    <n v="27.035435"/>
    <n v="3.1829529999999999"/>
    <n v="15.6715"/>
    <n v="12.2697"/>
    <n v="12.5724"/>
    <n v="17.485399999999998"/>
    <n v="16.6891"/>
    <s v="SROU03"/>
    <n v="17.485399999999998"/>
    <n v="3"/>
    <n v="61"/>
    <n v="101"/>
    <n v="147"/>
    <b v="0"/>
  </r>
  <r>
    <x v="1"/>
    <x v="0"/>
    <x v="0"/>
    <n v="1.0000000000000001E-5"/>
    <x v="2"/>
    <s v="tree256_blurkernel7_3_0,00001_0,01"/>
    <n v="22.767109999999999"/>
    <n v="3.2772380000000001"/>
    <n v="6.6473000000000004"/>
    <n v="12.2697"/>
    <n v="12.4857"/>
    <n v="16.2194"/>
    <n v="9.8323"/>
    <s v="SROU03"/>
    <n v="16.2194"/>
    <n v="3"/>
    <n v="59"/>
    <n v="97"/>
    <n v="141"/>
    <b v="1"/>
  </r>
  <r>
    <x v="1"/>
    <x v="0"/>
    <x v="0"/>
    <n v="1.0000000000000001E-5"/>
    <x v="3"/>
    <s v="tree256_blurkernel7_3_0,00001_0,1"/>
    <n v="20.164594000000001"/>
    <n v="3.3193199999999998"/>
    <n v="1.2901"/>
    <n v="12.2697"/>
    <n v="9.9596999999999998"/>
    <n v="16.194700000000001"/>
    <n v="5.1035000000000004"/>
    <s v="SROU03"/>
    <n v="16.194700000000001"/>
    <n v="3"/>
    <n v="59"/>
    <n v="97"/>
    <n v="141"/>
    <b v="1"/>
  </r>
  <r>
    <x v="1"/>
    <x v="0"/>
    <x v="1"/>
    <n v="1.0000000000000001E-5"/>
    <x v="0"/>
    <s v="tree256_blurkernel7_7_0,00001_0,0001"/>
    <n v="25.289180000000002"/>
    <n v="8.5016029999999994"/>
    <n v="25.639099999999999"/>
    <n v="6.8818999999999999"/>
    <n v="12.0754"/>
    <n v="24.791799999999999"/>
    <n v="25.7637"/>
    <s v="BM3D"/>
    <n v="25.7637"/>
    <n v="1"/>
    <n v="186"/>
    <n v="78"/>
    <n v="76"/>
    <b v="0"/>
  </r>
  <r>
    <x v="1"/>
    <x v="0"/>
    <x v="1"/>
    <n v="1.0000000000000001E-5"/>
    <x v="1"/>
    <s v="tree256_blurkernel7_7_0,00001_0,001"/>
    <n v="15.292589"/>
    <n v="8.1521050000000006"/>
    <n v="15.7446"/>
    <n v="6.8818999999999999"/>
    <n v="11.3147"/>
    <n v="15.603300000000001"/>
    <n v="16.736799999999999"/>
    <s v="BM3D"/>
    <n v="16.736799999999999"/>
    <n v="1"/>
    <n v="143"/>
    <n v="60"/>
    <n v="58"/>
    <b v="1"/>
  </r>
  <r>
    <x v="1"/>
    <x v="0"/>
    <x v="1"/>
    <n v="1.0000000000000001E-5"/>
    <x v="2"/>
    <s v="tree256_blurkernel7_7_0,00001_0,01"/>
    <n v="12.509428"/>
    <n v="8.1779159999999997"/>
    <n v="6.6375000000000002"/>
    <n v="6.8818999999999999"/>
    <n v="9.0643999999999991"/>
    <n v="11.455500000000001"/>
    <n v="9.7920999999999996"/>
    <s v="SROU03"/>
    <n v="11.455500000000001"/>
    <n v="3"/>
    <n v="49"/>
    <n v="81"/>
    <n v="118"/>
    <b v="1"/>
  </r>
  <r>
    <x v="1"/>
    <x v="0"/>
    <x v="1"/>
    <n v="1.0000000000000001E-5"/>
    <x v="3"/>
    <s v="tree256_blurkernel7_7_0,00001_0,1"/>
    <n v="9.863607"/>
    <n v="8.2567909999999998"/>
    <n v="1.2766999999999999"/>
    <n v="6.8818999999999999"/>
    <n v="6.5049000000000001"/>
    <n v="8.7687000000000008"/>
    <n v="5.0496999999999996"/>
    <s v="SROU03"/>
    <n v="8.7687000000000008"/>
    <n v="3"/>
    <n v="44"/>
    <n v="72"/>
    <n v="105"/>
    <b v="1"/>
  </r>
  <r>
    <x v="1"/>
    <x v="0"/>
    <x v="2"/>
    <n v="1.0000000000000001E-5"/>
    <x v="0"/>
    <s v="tree256_blurkernel7_15_0,00001_0,0001"/>
    <n v="22.503813999999998"/>
    <n v="18.571337"/>
    <n v="25.628499999999999"/>
    <n v="3.9232"/>
    <n v="13.3748"/>
    <n v="24.794699999999999"/>
    <n v="25.7517"/>
    <s v="BM3D"/>
    <n v="25.7517"/>
    <n v="1"/>
    <n v="186"/>
    <n v="78"/>
    <n v="76"/>
    <b v="0"/>
  </r>
  <r>
    <x v="1"/>
    <x v="0"/>
    <x v="2"/>
    <n v="1.0000000000000001E-5"/>
    <x v="1"/>
    <s v="tree256_blurkernel7_15_0,00001_0,001"/>
    <n v="10.112631"/>
    <n v="17.763186000000001"/>
    <n v="15.738300000000001"/>
    <n v="3.9232"/>
    <n v="12.3065"/>
    <n v="16.386199999999999"/>
    <n v="16.751799999999999"/>
    <s v="BM3D"/>
    <n v="16.751799999999999"/>
    <n v="1"/>
    <n v="143"/>
    <n v="60"/>
    <n v="58"/>
    <b v="0"/>
  </r>
  <r>
    <x v="1"/>
    <x v="0"/>
    <x v="2"/>
    <n v="1.0000000000000001E-5"/>
    <x v="2"/>
    <s v="tree256_blurkernel7_15_0,00001_0,01"/>
    <n v="7.0511889999999999"/>
    <n v="17.725826999999999"/>
    <n v="6.6646000000000001"/>
    <n v="3.9232"/>
    <n v="9.0094999999999992"/>
    <n v="11.477499999999999"/>
    <n v="9.8483999999999998"/>
    <s v="SROU03"/>
    <n v="11.477499999999999"/>
    <n v="3"/>
    <n v="49"/>
    <n v="81"/>
    <n v="118"/>
    <b v="1"/>
  </r>
  <r>
    <x v="1"/>
    <x v="0"/>
    <x v="2"/>
    <n v="1.0000000000000001E-5"/>
    <x v="3"/>
    <s v="tree256_blurkernel7_15_0,00001_0,1"/>
    <n v="5.8110860000000004"/>
    <n v="17.749348000000001"/>
    <n v="1.2672000000000001"/>
    <n v="3.9232"/>
    <n v="4.8752000000000004"/>
    <n v="7.3704999999999998"/>
    <n v="5.0944000000000003"/>
    <s v="SROU03"/>
    <n v="7.3704999999999998"/>
    <n v="3"/>
    <n v="41"/>
    <n v="68"/>
    <n v="98"/>
    <b v="1"/>
  </r>
  <r>
    <x v="1"/>
    <x v="0"/>
    <x v="3"/>
    <n v="1.0000000000000001E-5"/>
    <x v="0"/>
    <s v="tree256_blurkernel7_31_0,00001_0,0001"/>
    <n v="21.662075999999999"/>
    <n v="38.411172999999998"/>
    <n v="25.604600000000001"/>
    <n v="2.42"/>
    <n v="13.696899999999999"/>
    <n v="24.5549"/>
    <n v="25.724599999999999"/>
    <s v="BM3D"/>
    <n v="25.724599999999999"/>
    <n v="1"/>
    <n v="186"/>
    <n v="78"/>
    <n v="76"/>
    <b v="1"/>
  </r>
  <r>
    <x v="1"/>
    <x v="0"/>
    <x v="3"/>
    <n v="1.0000000000000001E-5"/>
    <x v="1"/>
    <s v="tree256_blurkernel7_31_0,00001_0,001"/>
    <n v="8.1901969999999995"/>
    <n v="36.664512999999999"/>
    <n v="15.72"/>
    <n v="2.42"/>
    <n v="12.521800000000001"/>
    <n v="15.746700000000001"/>
    <n v="16.7302"/>
    <s v="BM3D"/>
    <n v="16.7302"/>
    <n v="1"/>
    <n v="143"/>
    <n v="60"/>
    <n v="58"/>
    <b v="0"/>
  </r>
  <r>
    <x v="1"/>
    <x v="0"/>
    <x v="3"/>
    <n v="1.0000000000000001E-5"/>
    <x v="2"/>
    <s v="tree256_blurkernel7_31_0,00001_0,01"/>
    <n v="4.688644"/>
    <n v="36.522537999999997"/>
    <n v="6.6585999999999999"/>
    <n v="2.42"/>
    <n v="9.0954999999999995"/>
    <n v="10.5305"/>
    <n v="9.8333999999999993"/>
    <s v="SROU03"/>
    <n v="10.5305"/>
    <n v="3"/>
    <n v="47"/>
    <n v="78"/>
    <n v="114"/>
    <b v="0"/>
  </r>
  <r>
    <x v="1"/>
    <x v="0"/>
    <x v="3"/>
    <n v="1.0000000000000001E-5"/>
    <x v="3"/>
    <s v="tree256_blurkernel7_31_0,00001_0,1"/>
    <n v="3.436906"/>
    <n v="36.544604999999997"/>
    <n v="1.2689999999999999"/>
    <n v="2.42"/>
    <n v="4.4759000000000002"/>
    <n v="7.3154000000000003"/>
    <n v="5.0289000000000001"/>
    <s v="SROU03"/>
    <n v="7.3154000000000003"/>
    <n v="3"/>
    <n v="41"/>
    <n v="68"/>
    <n v="98"/>
    <b v="1"/>
  </r>
  <r>
    <x v="1"/>
    <x v="1"/>
    <x v="0"/>
    <n v="1.0000000000000001E-5"/>
    <x v="0"/>
    <s v="tree256_blurkernel8_3_0,00001_0,0001"/>
    <n v="36.234701000000001"/>
    <n v="3.203424"/>
    <n v="25.635200000000001"/>
    <n v="12.2698"/>
    <n v="12.698"/>
    <n v="25.831"/>
    <n v="25.7593"/>
    <s v="SROU03"/>
    <n v="25.831"/>
    <n v="3"/>
    <n v="78"/>
    <n v="129"/>
    <n v="187"/>
    <b v="0"/>
  </r>
  <r>
    <x v="1"/>
    <x v="1"/>
    <x v="0"/>
    <n v="1.0000000000000001E-5"/>
    <x v="1"/>
    <s v="tree256_blurkernel8_3_0,00001_0,001"/>
    <n v="28.701722"/>
    <n v="3.1273049999999998"/>
    <n v="15.721299999999999"/>
    <n v="12.2698"/>
    <n v="12.636200000000001"/>
    <n v="19.401"/>
    <n v="16.747499999999999"/>
    <s v="SROU03"/>
    <n v="19.401"/>
    <n v="3"/>
    <n v="65"/>
    <n v="108"/>
    <n v="156"/>
    <b v="1"/>
  </r>
  <r>
    <x v="1"/>
    <x v="1"/>
    <x v="0"/>
    <n v="1.0000000000000001E-5"/>
    <x v="2"/>
    <s v="tree256_blurkernel8_3_0,00001_0,01"/>
    <n v="23.273617999999999"/>
    <n v="3.263782"/>
    <n v="6.6342999999999996"/>
    <n v="12.2698"/>
    <n v="12.518000000000001"/>
    <n v="18.621600000000001"/>
    <n v="9.8343000000000007"/>
    <s v="SROU03"/>
    <n v="18.621600000000001"/>
    <n v="3"/>
    <n v="64"/>
    <n v="105"/>
    <n v="152"/>
    <b v="1"/>
  </r>
  <r>
    <x v="1"/>
    <x v="1"/>
    <x v="0"/>
    <n v="1.0000000000000001E-5"/>
    <x v="3"/>
    <s v="tree256_blurkernel8_3_0,00001_0,1"/>
    <n v="20.242751999999999"/>
    <n v="3.3199890000000001"/>
    <n v="1.2664"/>
    <n v="12.2698"/>
    <n v="9.8120999999999992"/>
    <n v="16.988800000000001"/>
    <n v="4.9739000000000004"/>
    <s v="SROU03"/>
    <n v="16.988800000000001"/>
    <n v="3"/>
    <n v="60"/>
    <n v="100"/>
    <n v="144"/>
    <b v="1"/>
  </r>
  <r>
    <x v="1"/>
    <x v="1"/>
    <x v="1"/>
    <n v="1.0000000000000001E-5"/>
    <x v="0"/>
    <s v="tree256_blurkernel8_7_0,00001_0,0001"/>
    <n v="26.482206999999999"/>
    <n v="8.3913639999999994"/>
    <n v="25.611999999999998"/>
    <n v="6.9607999999999999"/>
    <n v="12.019399999999999"/>
    <n v="25.2956"/>
    <n v="25.737500000000001"/>
    <s v="BM3D"/>
    <n v="25.737500000000001"/>
    <n v="1"/>
    <n v="186"/>
    <n v="78"/>
    <n v="76"/>
    <b v="0"/>
  </r>
  <r>
    <x v="1"/>
    <x v="1"/>
    <x v="1"/>
    <n v="1.0000000000000001E-5"/>
    <x v="1"/>
    <s v="tree256_blurkernel8_7_0,00001_0,001"/>
    <n v="16.717133"/>
    <n v="8.0748829999999998"/>
    <n v="15.686199999999999"/>
    <n v="6.9607999999999999"/>
    <n v="11.292299999999999"/>
    <n v="16.578299999999999"/>
    <n v="16.708600000000001"/>
    <s v="BM3D"/>
    <n v="16.708600000000001"/>
    <n v="1"/>
    <n v="143"/>
    <n v="60"/>
    <n v="58"/>
    <b v="0"/>
  </r>
  <r>
    <x v="1"/>
    <x v="1"/>
    <x v="1"/>
    <n v="1.0000000000000001E-5"/>
    <x v="2"/>
    <s v="tree256_blurkernel8_7_0,00001_0,01"/>
    <n v="13.075782"/>
    <n v="8.1554359999999999"/>
    <n v="6.6559999999999997"/>
    <n v="6.9607999999999999"/>
    <n v="9.1798000000000002"/>
    <n v="14.138500000000001"/>
    <n v="9.8195999999999994"/>
    <s v="SROU03"/>
    <n v="14.138500000000001"/>
    <n v="3"/>
    <n v="55"/>
    <n v="90"/>
    <n v="131"/>
    <b v="1"/>
  </r>
  <r>
    <x v="1"/>
    <x v="1"/>
    <x v="1"/>
    <n v="1.0000000000000001E-5"/>
    <x v="3"/>
    <s v="tree256_blurkernel8_7_0,00001_0,1"/>
    <n v="9.9124859999999995"/>
    <n v="8.25807"/>
    <n v="1.2742"/>
    <n v="6.9607999999999999"/>
    <n v="6.5795000000000003"/>
    <n v="11.1684"/>
    <n v="5.1013999999999999"/>
    <s v="SROU03"/>
    <n v="11.1684"/>
    <n v="3"/>
    <n v="49"/>
    <n v="80"/>
    <n v="117"/>
    <b v="1"/>
  </r>
  <r>
    <x v="1"/>
    <x v="1"/>
    <x v="2"/>
    <n v="1.0000000000000001E-5"/>
    <x v="0"/>
    <s v="tree256_blurkernel8_15_0,00001_0,0001"/>
    <n v="23.245142999999999"/>
    <n v="18.44979"/>
    <n v="25.6327"/>
    <n v="4.1384999999999996"/>
    <n v="13.2781"/>
    <n v="24.718599999999999"/>
    <n v="25.751999999999999"/>
    <s v="BM3D"/>
    <n v="25.751999999999999"/>
    <n v="1"/>
    <n v="186"/>
    <n v="78"/>
    <n v="76"/>
    <b v="1"/>
  </r>
  <r>
    <x v="1"/>
    <x v="1"/>
    <x v="2"/>
    <n v="1.0000000000000001E-5"/>
    <x v="1"/>
    <s v="tree256_blurkernel8_15_0,00001_0,001"/>
    <n v="11.571281000000001"/>
    <n v="17.659464"/>
    <n v="15.710100000000001"/>
    <n v="4.1384999999999996"/>
    <n v="12.196999999999999"/>
    <n v="16.631599999999999"/>
    <n v="16.717199999999998"/>
    <s v="BM3D"/>
    <n v="16.717199999999998"/>
    <n v="1"/>
    <n v="143"/>
    <n v="60"/>
    <n v="58"/>
    <b v="0"/>
  </r>
  <r>
    <x v="1"/>
    <x v="1"/>
    <x v="2"/>
    <n v="1.0000000000000001E-5"/>
    <x v="2"/>
    <s v="tree256_blurkernel8_15_0,00001_0,01"/>
    <n v="8.2928069999999998"/>
    <n v="17.670248999999998"/>
    <n v="6.6269999999999998"/>
    <n v="4.1384999999999996"/>
    <n v="8.8828999999999994"/>
    <n v="12.403600000000001"/>
    <n v="9.8370999999999995"/>
    <s v="SROU03"/>
    <n v="12.403600000000001"/>
    <n v="3"/>
    <n v="51"/>
    <n v="84"/>
    <n v="123"/>
    <b v="1"/>
  </r>
  <r>
    <x v="1"/>
    <x v="1"/>
    <x v="2"/>
    <n v="1.0000000000000001E-5"/>
    <x v="3"/>
    <s v="tree256_blurkernel8_15_0,00001_0,1"/>
    <n v="6.3521169999999998"/>
    <n v="17.741949000000002"/>
    <n v="1.2907"/>
    <n v="4.1384999999999996"/>
    <n v="4.9417"/>
    <n v="9.7248999999999999"/>
    <n v="5.1132999999999997"/>
    <s v="SROU03"/>
    <n v="9.7248999999999999"/>
    <n v="3"/>
    <n v="46"/>
    <n v="76"/>
    <n v="110"/>
    <b v="1"/>
  </r>
  <r>
    <x v="1"/>
    <x v="1"/>
    <x v="3"/>
    <n v="1.0000000000000001E-5"/>
    <x v="0"/>
    <s v="tree256_blurkernel8_31_0,00001_0,0001"/>
    <n v="21.954425000000001"/>
    <n v="38.325780999999999"/>
    <n v="25.63"/>
    <n v="2.5009000000000001"/>
    <n v="13.6685"/>
    <n v="24.2319"/>
    <n v="25.741499999999998"/>
    <s v="BM3D"/>
    <n v="25.741499999999998"/>
    <n v="1"/>
    <n v="186"/>
    <n v="78"/>
    <n v="76"/>
    <b v="1"/>
  </r>
  <r>
    <x v="1"/>
    <x v="1"/>
    <x v="3"/>
    <n v="1.0000000000000001E-5"/>
    <x v="1"/>
    <s v="tree256_blurkernel8_31_0,00001_0,001"/>
    <n v="8.8831900000000008"/>
    <n v="36.595289000000001"/>
    <n v="15.7043"/>
    <n v="2.5009000000000001"/>
    <n v="12.6198"/>
    <n v="15.8531"/>
    <n v="16.7193"/>
    <s v="BM3D"/>
    <n v="16.7193"/>
    <n v="1"/>
    <n v="143"/>
    <n v="60"/>
    <n v="58"/>
    <b v="0"/>
  </r>
  <r>
    <x v="1"/>
    <x v="1"/>
    <x v="3"/>
    <n v="1.0000000000000001E-5"/>
    <x v="2"/>
    <s v="tree256_blurkernel8_31_0,00001_0,01"/>
    <n v="5.5687860000000002"/>
    <n v="36.475808000000001"/>
    <n v="6.5842000000000001"/>
    <n v="2.5009000000000001"/>
    <n v="8.9992999999999999"/>
    <n v="10.608700000000001"/>
    <n v="9.7990999999999993"/>
    <s v="SROU03"/>
    <n v="10.608700000000001"/>
    <n v="3"/>
    <n v="48"/>
    <n v="79"/>
    <n v="114"/>
    <b v="0"/>
  </r>
  <r>
    <x v="1"/>
    <x v="1"/>
    <x v="3"/>
    <n v="1.0000000000000001E-5"/>
    <x v="3"/>
    <s v="tree256_blurkernel8_31_0,00001_0,1"/>
    <n v="4.1147960000000001"/>
    <n v="36.525795000000002"/>
    <n v="1.2714000000000001"/>
    <n v="2.5009000000000001"/>
    <n v="4.4349999999999996"/>
    <n v="7.5681000000000003"/>
    <n v="5.0468000000000002"/>
    <s v="SROU03"/>
    <n v="7.5681000000000003"/>
    <n v="3"/>
    <n v="41"/>
    <n v="68"/>
    <n v="99"/>
    <b v="1"/>
  </r>
  <r>
    <x v="1"/>
    <x v="2"/>
    <x v="0"/>
    <n v="1.0000000000000001E-5"/>
    <x v="0"/>
    <s v="tree256_line_3_0,00001_0,0001"/>
    <n v="42.500205999999999"/>
    <n v="2.9211010000000002"/>
    <n v="25.641500000000001"/>
    <n v="9.3459000000000003"/>
    <n v="11.8714"/>
    <n v="26.386700000000001"/>
    <n v="25.759"/>
    <s v="SROU03"/>
    <n v="26.386700000000001"/>
    <n v="3"/>
    <n v="79"/>
    <n v="131"/>
    <n v="189"/>
    <b v="0"/>
  </r>
  <r>
    <x v="1"/>
    <x v="2"/>
    <x v="0"/>
    <n v="1.0000000000000001E-5"/>
    <x v="1"/>
    <s v="tree256_line_3_0,00001_0,001"/>
    <n v="32.852992"/>
    <n v="2.9713889999999998"/>
    <n v="15.709099999999999"/>
    <n v="9.3459000000000003"/>
    <n v="11.4696"/>
    <n v="19.728000000000002"/>
    <n v="16.742000000000001"/>
    <s v="SROU03"/>
    <n v="19.728000000000002"/>
    <n v="3"/>
    <n v="66"/>
    <n v="109"/>
    <n v="158"/>
    <b v="1"/>
  </r>
  <r>
    <x v="1"/>
    <x v="2"/>
    <x v="0"/>
    <n v="1.0000000000000001E-5"/>
    <x v="2"/>
    <s v="tree256_line_3_0,00001_0,01"/>
    <n v="24.059252999999998"/>
    <n v="3.2318129999999998"/>
    <n v="6.6239999999999997"/>
    <n v="9.3459000000000003"/>
    <n v="10.4293"/>
    <n v="17.173400000000001"/>
    <n v="9.8666"/>
    <s v="SROU03"/>
    <n v="17.173400000000001"/>
    <n v="3"/>
    <n v="61"/>
    <n v="100"/>
    <n v="145"/>
    <b v="1"/>
  </r>
  <r>
    <x v="1"/>
    <x v="2"/>
    <x v="0"/>
    <n v="1.0000000000000001E-5"/>
    <x v="3"/>
    <s v="tree256_line_3_0,00001_0,1"/>
    <n v="20.021588000000001"/>
    <n v="3.318047"/>
    <n v="1.2818000000000001"/>
    <n v="9.3459000000000003"/>
    <n v="8.1890000000000001"/>
    <n v="8.4076000000000004"/>
    <n v="5.1235999999999997"/>
    <s v="SROU03"/>
    <n v="8.4076000000000004"/>
    <n v="3"/>
    <n v="43"/>
    <n v="71"/>
    <n v="103"/>
    <b v="1"/>
  </r>
  <r>
    <x v="1"/>
    <x v="2"/>
    <x v="1"/>
    <n v="1.0000000000000001E-5"/>
    <x v="0"/>
    <s v="tree256_line_7_0,00001_0,0001"/>
    <n v="32.112152000000002"/>
    <n v="7.8178929999999998"/>
    <n v="25.6081"/>
    <n v="5.2511999999999999"/>
    <n v="13.0983"/>
    <n v="25.023800000000001"/>
    <n v="25.731000000000002"/>
    <s v="BM3D"/>
    <n v="25.731000000000002"/>
    <n v="1"/>
    <n v="186"/>
    <n v="78"/>
    <n v="76"/>
    <b v="0"/>
  </r>
  <r>
    <x v="1"/>
    <x v="2"/>
    <x v="1"/>
    <n v="1.0000000000000001E-5"/>
    <x v="1"/>
    <s v="tree256_line_7_0,00001_0,001"/>
    <n v="21.566970999999999"/>
    <n v="7.7422089999999999"/>
    <n v="15.7111"/>
    <n v="5.2511999999999999"/>
    <n v="12.1981"/>
    <n v="16.850100000000001"/>
    <n v="16.720600000000001"/>
    <s v="SROU03"/>
    <n v="16.850100000000001"/>
    <n v="3"/>
    <n v="60"/>
    <n v="99"/>
    <n v="144"/>
    <b v="0"/>
  </r>
  <r>
    <x v="1"/>
    <x v="2"/>
    <x v="1"/>
    <n v="1.0000000000000001E-5"/>
    <x v="2"/>
    <s v="tree256_line_7_0,00001_0,01"/>
    <n v="14.643162"/>
    <n v="8.0560530000000004"/>
    <n v="6.6104000000000003"/>
    <n v="5.2511999999999999"/>
    <n v="9.3389000000000006"/>
    <n v="10.6439"/>
    <n v="9.7830999999999992"/>
    <s v="SROU03"/>
    <n v="10.6439"/>
    <n v="3"/>
    <n v="48"/>
    <n v="79"/>
    <n v="114"/>
    <b v="0"/>
  </r>
  <r>
    <x v="1"/>
    <x v="2"/>
    <x v="1"/>
    <n v="1.0000000000000001E-5"/>
    <x v="3"/>
    <s v="tree256_line_7_0,00001_0,1"/>
    <n v="10.106241000000001"/>
    <n v="8.2295809999999996"/>
    <n v="1.2918000000000001"/>
    <n v="5.2511999999999999"/>
    <n v="5.7595999999999998"/>
    <n v="6.1925999999999997"/>
    <n v="5.0258000000000003"/>
    <s v="SROU03"/>
    <n v="6.1925999999999997"/>
    <n v="3"/>
    <n v="39"/>
    <n v="64"/>
    <n v="93"/>
    <b v="1"/>
  </r>
  <r>
    <x v="1"/>
    <x v="2"/>
    <x v="2"/>
    <n v="1.0000000000000001E-5"/>
    <x v="0"/>
    <s v="tree256_line_15_0,00001_0,0001"/>
    <n v="26.788083"/>
    <n v="17.743539999999999"/>
    <n v="25.626300000000001"/>
    <n v="3.2846000000000002"/>
    <n v="13.3728"/>
    <n v="24.679099999999998"/>
    <n v="25.750599999999999"/>
    <s v="BM3D"/>
    <n v="25.750599999999999"/>
    <n v="1"/>
    <n v="186"/>
    <n v="78"/>
    <n v="76"/>
    <b v="1"/>
  </r>
  <r>
    <x v="1"/>
    <x v="2"/>
    <x v="2"/>
    <n v="1.0000000000000001E-5"/>
    <x v="1"/>
    <s v="tree256_line_15_0,00001_0,001"/>
    <n v="15.281193999999999"/>
    <n v="17.265825"/>
    <n v="15.738200000000001"/>
    <n v="3.2846000000000002"/>
    <n v="12.4"/>
    <n v="15.7165"/>
    <n v="16.7485"/>
    <s v="BM3D"/>
    <n v="16.7485"/>
    <n v="1"/>
    <n v="143"/>
    <n v="60"/>
    <n v="58"/>
    <b v="1"/>
  </r>
  <r>
    <x v="1"/>
    <x v="2"/>
    <x v="2"/>
    <n v="1.0000000000000001E-5"/>
    <x v="2"/>
    <s v="tree256_line_15_0,00001_0,01"/>
    <n v="9.8952980000000004"/>
    <n v="17.542798999999999"/>
    <n v="6.6273"/>
    <n v="3.2846000000000002"/>
    <n v="9.1562000000000001"/>
    <n v="8.6239000000000008"/>
    <n v="9.7967999999999993"/>
    <s v="BM3D"/>
    <n v="9.7967999999999993"/>
    <n v="1"/>
    <n v="110"/>
    <n v="46"/>
    <n v="45"/>
    <b v="1"/>
  </r>
  <r>
    <x v="1"/>
    <x v="2"/>
    <x v="2"/>
    <n v="1.0000000000000001E-5"/>
    <x v="3"/>
    <s v="tree256_line_15_0,00001_0,1"/>
    <n v="6.4112130000000001"/>
    <n v="17.726725999999999"/>
    <n v="1.286"/>
    <n v="3.2846000000000002"/>
    <n v="4.9248000000000003"/>
    <n v="5.7813999999999997"/>
    <n v="5.0247000000000002"/>
    <s v="SROU03"/>
    <n v="5.7813999999999997"/>
    <n v="3"/>
    <n v="38"/>
    <n v="63"/>
    <n v="91"/>
    <b v="0"/>
  </r>
  <r>
    <x v="1"/>
    <x v="2"/>
    <x v="3"/>
    <n v="1.0000000000000001E-5"/>
    <x v="0"/>
    <s v="tree256_line_31_0,00001_0,0001"/>
    <n v="24.076516999999999"/>
    <n v="37.588718999999998"/>
    <n v="25.576799999999999"/>
    <n v="2.3241999999999998"/>
    <n v="13.5007"/>
    <n v="24.713999999999999"/>
    <n v="25.6934"/>
    <s v="BM3D"/>
    <n v="25.6934"/>
    <n v="1"/>
    <n v="186"/>
    <n v="78"/>
    <n v="76"/>
    <b v="0"/>
  </r>
  <r>
    <x v="1"/>
    <x v="2"/>
    <x v="3"/>
    <n v="1.0000000000000001E-5"/>
    <x v="1"/>
    <s v="tree256_line_31_0,00001_0,001"/>
    <n v="11.791567000000001"/>
    <n v="36.204016000000003"/>
    <n v="15.7056"/>
    <n v="2.3241999999999998"/>
    <n v="12.444000000000001"/>
    <n v="15.4445"/>
    <n v="16.689599999999999"/>
    <s v="BM3D"/>
    <n v="16.689599999999999"/>
    <n v="1"/>
    <n v="143"/>
    <n v="60"/>
    <n v="58"/>
    <b v="1"/>
  </r>
  <r>
    <x v="1"/>
    <x v="2"/>
    <x v="3"/>
    <n v="1.0000000000000001E-5"/>
    <x v="2"/>
    <s v="tree256_line_31_0,00001_0,01"/>
    <n v="7.0743400000000003"/>
    <n v="36.415385000000001"/>
    <n v="6.6348000000000003"/>
    <n v="2.3241999999999998"/>
    <n v="9.1544000000000008"/>
    <n v="7.9020999999999999"/>
    <n v="9.8237000000000005"/>
    <s v="BM3D"/>
    <n v="9.8237000000000005"/>
    <n v="1"/>
    <n v="110"/>
    <n v="46"/>
    <n v="45"/>
    <b v="1"/>
  </r>
  <r>
    <x v="1"/>
    <x v="2"/>
    <x v="3"/>
    <n v="1.0000000000000001E-5"/>
    <x v="3"/>
    <s v="tree256_line_31_0,00001_0,1"/>
    <n v="4.446142"/>
    <n v="36.596992"/>
    <n v="1.2824"/>
    <n v="2.3241999999999998"/>
    <n v="4.6657999999999999"/>
    <n v="4.5087000000000002"/>
    <n v="5.0247999999999999"/>
    <s v="BM3D"/>
    <n v="5.0247999999999999"/>
    <n v="1"/>
    <n v="87"/>
    <n v="36"/>
    <n v="35"/>
    <b v="0"/>
  </r>
  <r>
    <x v="1"/>
    <x v="3"/>
    <x v="0"/>
    <n v="1.0000000000000001E-5"/>
    <x v="0"/>
    <s v="tree256_blurkernel10_3_0,00001_0,0001"/>
    <n v="34.761901999999999"/>
    <n v="3.2655460000000001"/>
    <n v="25.613"/>
    <n v="10.563599999999999"/>
    <n v="11.9267"/>
    <n v="26.225899999999999"/>
    <n v="25.734500000000001"/>
    <s v="SROU03"/>
    <n v="26.225899999999999"/>
    <n v="3"/>
    <n v="79"/>
    <n v="130"/>
    <n v="189"/>
    <b v="0"/>
  </r>
  <r>
    <x v="1"/>
    <x v="3"/>
    <x v="0"/>
    <n v="1.0000000000000001E-5"/>
    <x v="1"/>
    <s v="tree256_blurkernel10_3_0,00001_0,001"/>
    <n v="27.372761000000001"/>
    <n v="3.1692170000000002"/>
    <n v="15.661099999999999"/>
    <n v="10.563599999999999"/>
    <n v="11.6998"/>
    <n v="18.670300000000001"/>
    <n v="16.679300000000001"/>
    <s v="SROU03"/>
    <n v="18.670300000000001"/>
    <n v="3"/>
    <n v="64"/>
    <n v="105"/>
    <n v="153"/>
    <b v="1"/>
  </r>
  <r>
    <x v="1"/>
    <x v="3"/>
    <x v="0"/>
    <n v="1.0000000000000001E-5"/>
    <x v="2"/>
    <s v="tree256_blurkernel10_3_0,00001_0,01"/>
    <n v="23.154679000000002"/>
    <n v="3.2625660000000001"/>
    <n v="6.6040000000000001"/>
    <n v="10.563599999999999"/>
    <n v="11.1874"/>
    <n v="16.601700000000001"/>
    <n v="9.8213000000000008"/>
    <s v="SROU03"/>
    <n v="16.601700000000001"/>
    <n v="3"/>
    <n v="60"/>
    <n v="98"/>
    <n v="143"/>
    <b v="1"/>
  </r>
  <r>
    <x v="1"/>
    <x v="3"/>
    <x v="0"/>
    <n v="1.0000000000000001E-5"/>
    <x v="3"/>
    <s v="tree256_blurkernel10_3_0,00001_0,1"/>
    <n v="20.047853"/>
    <n v="3.3191310000000001"/>
    <n v="1.2718"/>
    <n v="10.563599999999999"/>
    <n v="8.8571000000000009"/>
    <n v="13.100099999999999"/>
    <n v="5.0285000000000002"/>
    <s v="SROU03"/>
    <n v="13.100099999999999"/>
    <n v="3"/>
    <n v="53"/>
    <n v="87"/>
    <n v="126"/>
    <b v="1"/>
  </r>
  <r>
    <x v="1"/>
    <x v="3"/>
    <x v="1"/>
    <n v="1.0000000000000001E-5"/>
    <x v="0"/>
    <s v="tree256_blurkernel10_7_0,00001_0,0001"/>
    <n v="25.620992999999999"/>
    <n v="8.4580099999999998"/>
    <n v="25.601700000000001"/>
    <n v="5.9894999999999996"/>
    <n v="12.784700000000001"/>
    <n v="25.174800000000001"/>
    <n v="25.722200000000001"/>
    <s v="BM3D"/>
    <n v="25.722200000000001"/>
    <n v="1"/>
    <n v="186"/>
    <n v="78"/>
    <n v="76"/>
    <b v="0"/>
  </r>
  <r>
    <x v="1"/>
    <x v="3"/>
    <x v="1"/>
    <n v="1.0000000000000001E-5"/>
    <x v="1"/>
    <s v="tree256_blurkernel10_7_0,00001_0,001"/>
    <n v="15.713266000000001"/>
    <n v="8.1143450000000001"/>
    <n v="15.7104"/>
    <n v="5.9894999999999996"/>
    <n v="11.981"/>
    <n v="16.9009"/>
    <n v="16.738700000000001"/>
    <s v="SROU03"/>
    <n v="16.9009"/>
    <n v="3"/>
    <n v="60"/>
    <n v="99"/>
    <n v="144"/>
    <b v="0"/>
  </r>
  <r>
    <x v="1"/>
    <x v="3"/>
    <x v="1"/>
    <n v="1.0000000000000001E-5"/>
    <x v="2"/>
    <s v="tree256_blurkernel10_7_0,00001_0,01"/>
    <n v="12.643542"/>
    <n v="8.1567030000000003"/>
    <n v="6.6203000000000003"/>
    <n v="5.9894999999999996"/>
    <n v="9.2650000000000006"/>
    <n v="12.9291"/>
    <n v="9.8383000000000003"/>
    <s v="SROU03"/>
    <n v="12.9291"/>
    <n v="3"/>
    <n v="52"/>
    <n v="86"/>
    <n v="125"/>
    <b v="1"/>
  </r>
  <r>
    <x v="1"/>
    <x v="3"/>
    <x v="1"/>
    <n v="1.0000000000000001E-5"/>
    <x v="3"/>
    <s v="tree256_blurkernel10_7_0,00001_0,1"/>
    <n v="9.9194549999999992"/>
    <n v="8.2389150000000004"/>
    <n v="1.2551000000000001"/>
    <n v="5.9894999999999996"/>
    <n v="6.0018000000000002"/>
    <n v="9.9074000000000009"/>
    <n v="4.9875999999999996"/>
    <s v="SROU03"/>
    <n v="9.9074000000000009"/>
    <n v="3"/>
    <n v="46"/>
    <n v="76"/>
    <n v="111"/>
    <b v="1"/>
  </r>
  <r>
    <x v="1"/>
    <x v="3"/>
    <x v="2"/>
    <n v="1.0000000000000001E-5"/>
    <x v="0"/>
    <s v="tree256_blurkernel10_15_0,00001_0,0001"/>
    <n v="23.048929999999999"/>
    <n v="18.458176000000002"/>
    <n v="25.565999999999999"/>
    <n v="3.7442000000000002"/>
    <n v="13.329000000000001"/>
    <n v="24.5961"/>
    <n v="25.695499999999999"/>
    <s v="BM3D"/>
    <n v="25.695499999999999"/>
    <n v="1"/>
    <n v="186"/>
    <n v="78"/>
    <n v="76"/>
    <b v="1"/>
  </r>
  <r>
    <x v="1"/>
    <x v="3"/>
    <x v="2"/>
    <n v="1.0000000000000001E-5"/>
    <x v="1"/>
    <s v="tree256_blurkernel10_15_0,00001_0,001"/>
    <n v="11.13199"/>
    <n v="17.664906999999999"/>
    <n v="15.6976"/>
    <n v="3.7442000000000002"/>
    <n v="12.328099999999999"/>
    <n v="16.401599999999998"/>
    <n v="16.725999999999999"/>
    <s v="BM3D"/>
    <n v="16.725999999999999"/>
    <n v="1"/>
    <n v="143"/>
    <n v="60"/>
    <n v="58"/>
    <b v="0"/>
  </r>
  <r>
    <x v="1"/>
    <x v="3"/>
    <x v="2"/>
    <n v="1.0000000000000001E-5"/>
    <x v="2"/>
    <s v="tree256_blurkernel10_15_0,00001_0,01"/>
    <n v="7.925789"/>
    <n v="17.659611000000002"/>
    <n v="6.6397000000000004"/>
    <n v="3.7442000000000002"/>
    <n v="9.2149000000000001"/>
    <n v="11.972"/>
    <n v="9.8338999999999999"/>
    <s v="SROU03"/>
    <n v="11.972"/>
    <n v="3"/>
    <n v="50"/>
    <n v="83"/>
    <n v="120"/>
    <b v="1"/>
  </r>
  <r>
    <x v="1"/>
    <x v="3"/>
    <x v="2"/>
    <n v="1.0000000000000001E-5"/>
    <x v="3"/>
    <s v="tree256_blurkernel10_15_0,00001_0,1"/>
    <n v="6.2487199999999996"/>
    <n v="17.712686999999999"/>
    <n v="1.2868999999999999"/>
    <n v="3.7442000000000002"/>
    <n v="5.0941999999999998"/>
    <n v="9.7885000000000009"/>
    <n v="5.1101999999999999"/>
    <s v="SROU03"/>
    <n v="9.7885000000000009"/>
    <n v="3"/>
    <n v="46"/>
    <n v="76"/>
    <n v="110"/>
    <b v="1"/>
  </r>
  <r>
    <x v="1"/>
    <x v="3"/>
    <x v="3"/>
    <n v="1.0000000000000001E-5"/>
    <x v="0"/>
    <s v="tree256_blurkernel10_31_0,00001_0,0001"/>
    <n v="22.085160999999999"/>
    <n v="38.204839999999997"/>
    <n v="25.610600000000002"/>
    <n v="2.5832000000000002"/>
    <n v="13.391400000000001"/>
    <n v="23.9483"/>
    <n v="25.7317"/>
    <s v="BM3D"/>
    <n v="25.7317"/>
    <n v="1"/>
    <n v="186"/>
    <n v="78"/>
    <n v="76"/>
    <b v="1"/>
  </r>
  <r>
    <x v="1"/>
    <x v="3"/>
    <x v="3"/>
    <n v="1.0000000000000001E-5"/>
    <x v="1"/>
    <s v="tree256_blurkernel10_31_0,00001_0,001"/>
    <n v="9.1245139999999996"/>
    <n v="36.476284"/>
    <n v="15.738099999999999"/>
    <n v="2.5832000000000002"/>
    <n v="12.4003"/>
    <n v="15.8172"/>
    <n v="16.744499999999999"/>
    <s v="BM3D"/>
    <n v="16.744499999999999"/>
    <n v="1"/>
    <n v="143"/>
    <n v="60"/>
    <n v="58"/>
    <b v="0"/>
  </r>
  <r>
    <x v="1"/>
    <x v="3"/>
    <x v="3"/>
    <n v="1.0000000000000001E-5"/>
    <x v="2"/>
    <s v="tree256_blurkernel10_31_0,00001_0,01"/>
    <n v="5.6277949999999999"/>
    <n v="36.385145999999999"/>
    <n v="6.6936"/>
    <n v="2.5832000000000002"/>
    <n v="9.1976999999999993"/>
    <n v="10.755100000000001"/>
    <n v="9.9206000000000003"/>
    <s v="SROU03"/>
    <n v="10.755100000000001"/>
    <n v="3"/>
    <n v="48"/>
    <n v="79"/>
    <n v="115"/>
    <b v="0"/>
  </r>
  <r>
    <x v="1"/>
    <x v="3"/>
    <x v="3"/>
    <n v="1.0000000000000001E-5"/>
    <x v="3"/>
    <s v="tree256_blurkernel10_31_0,00001_0,1"/>
    <n v="4.0006979999999999"/>
    <n v="36.448644000000002"/>
    <n v="1.2823"/>
    <n v="2.5832000000000002"/>
    <n v="4.7446999999999999"/>
    <n v="7.6505999999999998"/>
    <n v="5.1032000000000002"/>
    <s v="SROU03"/>
    <n v="7.6505999999999998"/>
    <n v="3"/>
    <n v="42"/>
    <n v="69"/>
    <n v="100"/>
    <b v="1"/>
  </r>
  <r>
    <x v="2"/>
    <x v="0"/>
    <x v="0"/>
    <n v="1.0000000000000001E-5"/>
    <x v="0"/>
    <s v="text256_blurkernel7_3_0,00001_0,0001"/>
    <n v="18.617412999999999"/>
    <n v="6.1026939999999996"/>
    <n v="31.154499999999999"/>
    <n v="9.2067999999999994"/>
    <n v="17.302299999999999"/>
    <n v="34.175800000000002"/>
    <n v="34.256999999999998"/>
    <s v="BM3D"/>
    <n v="34.256999999999998"/>
    <n v="1"/>
    <n v="227"/>
    <n v="95"/>
    <n v="92"/>
    <b v="0"/>
  </r>
  <r>
    <x v="2"/>
    <x v="0"/>
    <x v="0"/>
    <n v="1.0000000000000001E-5"/>
    <x v="1"/>
    <s v="text256_blurkernel7_3_0,00001_0,001"/>
    <n v="15.446187999999999"/>
    <n v="5.8357950000000001"/>
    <n v="21.163799999999998"/>
    <n v="9.2067999999999994"/>
    <n v="16.664899999999999"/>
    <n v="23.7639"/>
    <n v="24.7424"/>
    <s v="BM3D"/>
    <n v="24.7424"/>
    <n v="1"/>
    <n v="182"/>
    <n v="76"/>
    <n v="74"/>
    <b v="0"/>
  </r>
  <r>
    <x v="2"/>
    <x v="0"/>
    <x v="0"/>
    <n v="1.0000000000000001E-5"/>
    <x v="2"/>
    <s v="text256_blurkernel7_3_0,00001_0,01"/>
    <n v="15.024877"/>
    <n v="5.836849"/>
    <n v="11.1706"/>
    <n v="9.2067999999999994"/>
    <n v="12.879099999999999"/>
    <n v="20.237400000000001"/>
    <n v="15.046799999999999"/>
    <s v="SROU03"/>
    <n v="20.237400000000001"/>
    <n v="3"/>
    <n v="67"/>
    <n v="110"/>
    <n v="160"/>
    <b v="1"/>
  </r>
  <r>
    <x v="2"/>
    <x v="0"/>
    <x v="0"/>
    <n v="1.0000000000000001E-5"/>
    <x v="3"/>
    <s v="text256_blurkernel7_3_0,00001_0,1"/>
    <n v="14.590434999999999"/>
    <n v="5.9308019999999999"/>
    <n v="2.7606000000000002"/>
    <n v="9.2067999999999994"/>
    <n v="8.5205000000000002"/>
    <n v="20.337499999999999"/>
    <n v="5.0578000000000003"/>
    <s v="SROU03"/>
    <n v="20.337499999999999"/>
    <n v="3"/>
    <n v="67"/>
    <n v="111"/>
    <n v="160"/>
    <b v="1"/>
  </r>
  <r>
    <x v="2"/>
    <x v="0"/>
    <x v="1"/>
    <n v="1.0000000000000001E-5"/>
    <x v="0"/>
    <s v="text256_blurkernel7_7_0,00001_0,0001"/>
    <n v="13.580299"/>
    <n v="15.902549"/>
    <n v="31.077400000000001"/>
    <n v="3.1002999999999998"/>
    <n v="18.841699999999999"/>
    <n v="31.776700000000002"/>
    <n v="34.258899999999997"/>
    <s v="BM3D"/>
    <n v="34.258899999999997"/>
    <n v="1"/>
    <n v="227"/>
    <n v="95"/>
    <n v="92"/>
    <b v="1"/>
  </r>
  <r>
    <x v="2"/>
    <x v="0"/>
    <x v="1"/>
    <n v="1.0000000000000001E-5"/>
    <x v="1"/>
    <s v="text256_blurkernel7_7_0,00001_0,001"/>
    <n v="8.5453419999999998"/>
    <n v="15.205392"/>
    <n v="21.1004"/>
    <n v="3.1002999999999998"/>
    <n v="17.744900000000001"/>
    <n v="23.7209"/>
    <n v="24.6236"/>
    <s v="BM3D"/>
    <n v="24.6236"/>
    <n v="1"/>
    <n v="181"/>
    <n v="76"/>
    <n v="74"/>
    <b v="0"/>
  </r>
  <r>
    <x v="2"/>
    <x v="0"/>
    <x v="1"/>
    <n v="1.0000000000000001E-5"/>
    <x v="2"/>
    <s v="text256_blurkernel7_7_0,00001_0,01"/>
    <n v="7.9163370000000004"/>
    <n v="15.141078"/>
    <n v="11.156599999999999"/>
    <n v="3.1002999999999998"/>
    <n v="12.7392"/>
    <n v="12.145799999999999"/>
    <n v="14.9437"/>
    <s v="BM3D"/>
    <n v="14.9437"/>
    <n v="1"/>
    <n v="135"/>
    <n v="56"/>
    <n v="55"/>
    <b v="1"/>
  </r>
  <r>
    <x v="2"/>
    <x v="0"/>
    <x v="1"/>
    <n v="1.0000000000000001E-5"/>
    <x v="3"/>
    <s v="text256_blurkernel7_7_0,00001_0,1"/>
    <n v="7.8678650000000001"/>
    <n v="15.172454"/>
    <n v="2.7522000000000002"/>
    <n v="3.1002999999999998"/>
    <n v="5.6731999999999996"/>
    <n v="11.8012"/>
    <n v="5.0845000000000002"/>
    <s v="SROU03"/>
    <n v="11.8012"/>
    <n v="3"/>
    <n v="50"/>
    <n v="82"/>
    <n v="120"/>
    <b v="1"/>
  </r>
  <r>
    <x v="2"/>
    <x v="0"/>
    <x v="2"/>
    <n v="1.0000000000000001E-5"/>
    <x v="0"/>
    <s v="text256_blurkernel7_15_0,00001_0,0001"/>
    <n v="12.015909000000001"/>
    <n v="35.020679000000001"/>
    <n v="31.107700000000001"/>
    <n v="1.5184"/>
    <n v="19.591100000000001"/>
    <n v="31.459599999999998"/>
    <n v="34.215400000000002"/>
    <s v="BM3D"/>
    <n v="34.215400000000002"/>
    <n v="1"/>
    <n v="227"/>
    <n v="95"/>
    <n v="92"/>
    <b v="1"/>
  </r>
  <r>
    <x v="2"/>
    <x v="0"/>
    <x v="2"/>
    <n v="1.0000000000000001E-5"/>
    <x v="1"/>
    <s v="text256_blurkernel7_15_0,00001_0,001"/>
    <n v="5.6199240000000001"/>
    <n v="33.485757"/>
    <n v="21.061299999999999"/>
    <n v="1.5184"/>
    <n v="18.3066"/>
    <n v="23.014399999999998"/>
    <n v="24.611799999999999"/>
    <s v="BM3D"/>
    <n v="24.611799999999999"/>
    <n v="1"/>
    <n v="181"/>
    <n v="76"/>
    <n v="73"/>
    <b v="1"/>
  </r>
  <r>
    <x v="2"/>
    <x v="0"/>
    <x v="2"/>
    <n v="1.0000000000000001E-5"/>
    <x v="2"/>
    <s v="text256_blurkernel7_15_0,00001_0,01"/>
    <n v="4.4576510000000003"/>
    <n v="33.351106999999999"/>
    <n v="11.2577"/>
    <n v="1.5184"/>
    <n v="12.9398"/>
    <n v="15.261200000000001"/>
    <n v="15.088699999999999"/>
    <s v="SROU03"/>
    <n v="15.261200000000001"/>
    <n v="3"/>
    <n v="57"/>
    <n v="94"/>
    <n v="136"/>
    <b v="0"/>
  </r>
  <r>
    <x v="2"/>
    <x v="0"/>
    <x v="2"/>
    <n v="1.0000000000000001E-5"/>
    <x v="3"/>
    <s v="text256_blurkernel7_15_0,00001_0,1"/>
    <n v="4.2674690000000002"/>
    <n v="33.376131000000001"/>
    <n v="2.7530000000000001"/>
    <n v="1.5184"/>
    <n v="5.2827999999999999"/>
    <n v="10.9748"/>
    <n v="5.1097000000000001"/>
    <s v="SROU03"/>
    <n v="10.9748"/>
    <n v="3"/>
    <n v="48"/>
    <n v="80"/>
    <n v="116"/>
    <b v="1"/>
  </r>
  <r>
    <x v="2"/>
    <x v="0"/>
    <x v="3"/>
    <n v="1.0000000000000001E-5"/>
    <x v="0"/>
    <s v="text256_blurkernel7_31_0,00001_0,0001"/>
    <n v="11.521022"/>
    <n v="72.830184000000003"/>
    <n v="31.114899999999999"/>
    <n v="0.78390000000000004"/>
    <n v="19.409600000000001"/>
    <n v="30.9206"/>
    <n v="34.210900000000002"/>
    <s v="BM3D"/>
    <n v="34.210900000000002"/>
    <n v="1"/>
    <n v="227"/>
    <n v="95"/>
    <n v="92"/>
    <b v="1"/>
  </r>
  <r>
    <x v="2"/>
    <x v="0"/>
    <x v="3"/>
    <n v="1.0000000000000001E-5"/>
    <x v="1"/>
    <s v="text256_blurkernel7_31_0,00001_0,001"/>
    <n v="4.4013270000000002"/>
    <n v="69.619961000000004"/>
    <n v="21.131900000000002"/>
    <n v="0.78390000000000004"/>
    <n v="18.241700000000002"/>
    <n v="21.665099999999999"/>
    <n v="24.679500000000001"/>
    <s v="BM3D"/>
    <n v="24.679500000000001"/>
    <n v="1"/>
    <n v="181"/>
    <n v="76"/>
    <n v="74"/>
    <b v="1"/>
  </r>
  <r>
    <x v="2"/>
    <x v="0"/>
    <x v="3"/>
    <n v="1.0000000000000001E-5"/>
    <x v="2"/>
    <s v="text256_blurkernel7_31_0,00001_0,01"/>
    <n v="1.9716720000000001"/>
    <n v="69.519779"/>
    <n v="11.1556"/>
    <n v="0.78390000000000004"/>
    <n v="13.018599999999999"/>
    <n v="9.1242999999999999"/>
    <n v="15.0037"/>
    <s v="BM3D"/>
    <n v="15.0037"/>
    <n v="1"/>
    <n v="135"/>
    <n v="56"/>
    <n v="55"/>
    <b v="1"/>
  </r>
  <r>
    <x v="2"/>
    <x v="0"/>
    <x v="3"/>
    <n v="1.0000000000000001E-5"/>
    <x v="3"/>
    <s v="text256_blurkernel7_31_0,00001_0,1"/>
    <n v="2.5616690000000002"/>
    <n v="69.305104"/>
    <n v="2.7778"/>
    <n v="0.78390000000000004"/>
    <n v="5.2916999999999996"/>
    <n v="7.7367999999999997"/>
    <n v="5.0152000000000001"/>
    <s v="SROU03"/>
    <n v="7.7367999999999997"/>
    <n v="3"/>
    <n v="42"/>
    <n v="69"/>
    <n v="100"/>
    <b v="1"/>
  </r>
  <r>
    <x v="2"/>
    <x v="1"/>
    <x v="0"/>
    <n v="1.0000000000000001E-5"/>
    <x v="0"/>
    <s v="text256_blurkernel8_3_0,00001_0,0001"/>
    <n v="19.601205"/>
    <n v="5.9521189999999997"/>
    <n v="31.129300000000001"/>
    <n v="8.6220999999999997"/>
    <n v="17.149999999999999"/>
    <n v="34.6875"/>
    <n v="34.262500000000003"/>
    <s v="SROU03"/>
    <n v="34.6875"/>
    <n v="3"/>
    <n v="96"/>
    <n v="158"/>
    <n v="229"/>
    <b v="0"/>
  </r>
  <r>
    <x v="2"/>
    <x v="1"/>
    <x v="0"/>
    <n v="1.0000000000000001E-5"/>
    <x v="1"/>
    <s v="text256_blurkernel8_3_0,00001_0,001"/>
    <n v="16.588915"/>
    <n v="5.6972680000000002"/>
    <n v="21.1571"/>
    <n v="8.6220999999999997"/>
    <n v="16.497599999999998"/>
    <n v="25.0458"/>
    <n v="24.731300000000001"/>
    <s v="SROU03"/>
    <n v="25.0458"/>
    <n v="3"/>
    <n v="76"/>
    <n v="126"/>
    <n v="183"/>
    <b v="0"/>
  </r>
  <r>
    <x v="2"/>
    <x v="1"/>
    <x v="0"/>
    <n v="1.0000000000000001E-5"/>
    <x v="2"/>
    <s v="text256_blurkernel8_3_0,00001_0,01"/>
    <n v="15.861338999999999"/>
    <n v="5.7406689999999996"/>
    <n v="11.183199999999999"/>
    <n v="8.6220999999999997"/>
    <n v="12.8148"/>
    <n v="20.4252"/>
    <n v="15.085100000000001"/>
    <s v="SROU03"/>
    <n v="20.4252"/>
    <n v="3"/>
    <n v="67"/>
    <n v="111"/>
    <n v="161"/>
    <b v="1"/>
  </r>
  <r>
    <x v="2"/>
    <x v="1"/>
    <x v="0"/>
    <n v="1.0000000000000001E-5"/>
    <x v="3"/>
    <s v="text256_blurkernel8_3_0,00001_0,1"/>
    <n v="14.866759999999999"/>
    <n v="5.9033759999999997"/>
    <n v="2.8163"/>
    <n v="8.6220999999999997"/>
    <n v="8.4269999999999996"/>
    <n v="24.0687"/>
    <n v="5.1051000000000002"/>
    <s v="SROU03"/>
    <n v="24.0687"/>
    <n v="3"/>
    <n v="75"/>
    <n v="123"/>
    <n v="178"/>
    <b v="1"/>
  </r>
  <r>
    <x v="2"/>
    <x v="1"/>
    <x v="1"/>
    <n v="1.0000000000000001E-5"/>
    <x v="0"/>
    <s v="text256_blurkernel8_7_0,00001_0,0001"/>
    <n v="14.253970000000001"/>
    <n v="15.68275"/>
    <n v="31.137699999999999"/>
    <n v="2.7486000000000002"/>
    <n v="18.8965"/>
    <n v="31.4757"/>
    <n v="34.241100000000003"/>
    <s v="BM3D"/>
    <n v="34.241100000000003"/>
    <n v="1"/>
    <n v="227"/>
    <n v="95"/>
    <n v="92"/>
    <b v="1"/>
  </r>
  <r>
    <x v="2"/>
    <x v="1"/>
    <x v="1"/>
    <n v="1.0000000000000001E-5"/>
    <x v="1"/>
    <s v="text256_blurkernel8_7_0,00001_0,001"/>
    <n v="9.5433299999999992"/>
    <n v="15.005687999999999"/>
    <n v="21.1294"/>
    <n v="2.7486000000000002"/>
    <n v="17.8004"/>
    <n v="23.9528"/>
    <n v="24.746400000000001"/>
    <s v="BM3D"/>
    <n v="24.746400000000001"/>
    <n v="1"/>
    <n v="182"/>
    <n v="76"/>
    <n v="74"/>
    <b v="0"/>
  </r>
  <r>
    <x v="2"/>
    <x v="1"/>
    <x v="1"/>
    <n v="1.0000000000000001E-5"/>
    <x v="2"/>
    <s v="text256_blurkernel8_7_0,00001_0,01"/>
    <n v="8.7260880000000007"/>
    <n v="14.997251"/>
    <n v="11.241899999999999"/>
    <n v="2.7486000000000002"/>
    <n v="12.833"/>
    <n v="14.971299999999999"/>
    <n v="15.018700000000001"/>
    <s v="BM3D"/>
    <n v="15.018700000000001"/>
    <n v="1"/>
    <n v="135"/>
    <n v="56"/>
    <n v="55"/>
    <b v="0"/>
  </r>
  <r>
    <x v="2"/>
    <x v="1"/>
    <x v="1"/>
    <n v="1.0000000000000001E-5"/>
    <x v="3"/>
    <s v="text256_blurkernel8_7_0,00001_0,1"/>
    <n v="8.0959850000000007"/>
    <n v="15.139229"/>
    <n v="2.7446000000000002"/>
    <n v="2.7486000000000002"/>
    <n v="5.6341000000000001"/>
    <n v="16.6388"/>
    <n v="5.0671999999999997"/>
    <s v="SROU03"/>
    <n v="16.6388"/>
    <n v="3"/>
    <n v="60"/>
    <n v="98"/>
    <n v="143"/>
    <b v="1"/>
  </r>
  <r>
    <x v="2"/>
    <x v="1"/>
    <x v="2"/>
    <n v="1.0000000000000001E-5"/>
    <x v="0"/>
    <s v="text256_blurkernel8_15_0,00001_0,0001"/>
    <n v="12.42435"/>
    <n v="34.777996999999999"/>
    <n v="31.1"/>
    <n v="1.6815"/>
    <n v="19.662800000000001"/>
    <n v="30.904"/>
    <n v="34.260300000000001"/>
    <s v="BM3D"/>
    <n v="34.260300000000001"/>
    <n v="1"/>
    <n v="227"/>
    <n v="95"/>
    <n v="92"/>
    <b v="1"/>
  </r>
  <r>
    <x v="2"/>
    <x v="1"/>
    <x v="2"/>
    <n v="1.0000000000000001E-5"/>
    <x v="1"/>
    <s v="text256_blurkernel8_15_0,00001_0,001"/>
    <n v="6.4738230000000003"/>
    <n v="33.252903000000003"/>
    <n v="21.0947"/>
    <n v="1.6815"/>
    <n v="18.265000000000001"/>
    <n v="23.0991"/>
    <n v="24.6264"/>
    <s v="BM3D"/>
    <n v="24.6264"/>
    <n v="1"/>
    <n v="181"/>
    <n v="76"/>
    <n v="74"/>
    <b v="1"/>
  </r>
  <r>
    <x v="2"/>
    <x v="1"/>
    <x v="2"/>
    <n v="1.0000000000000001E-5"/>
    <x v="2"/>
    <s v="text256_blurkernel8_15_0,00001_0,01"/>
    <n v="5.497808"/>
    <n v="33.125292999999999"/>
    <n v="11.1656"/>
    <n v="1.6815"/>
    <n v="12.789300000000001"/>
    <n v="15.938499999999999"/>
    <n v="14.923500000000001"/>
    <s v="SROU03"/>
    <n v="15.938499999999999"/>
    <n v="3"/>
    <n v="58"/>
    <n v="96"/>
    <n v="139"/>
    <b v="1"/>
  </r>
  <r>
    <x v="2"/>
    <x v="1"/>
    <x v="2"/>
    <n v="1.0000000000000001E-5"/>
    <x v="3"/>
    <s v="text256_blurkernel8_15_0,00001_0,1"/>
    <n v="5.0986760000000002"/>
    <n v="33.226844"/>
    <n v="2.7433999999999998"/>
    <n v="1.6815"/>
    <n v="5.2685000000000004"/>
    <n v="11.7601"/>
    <n v="5.0293000000000001"/>
    <s v="SROU03"/>
    <n v="11.7601"/>
    <n v="3"/>
    <n v="50"/>
    <n v="82"/>
    <n v="119"/>
    <b v="1"/>
  </r>
  <r>
    <x v="2"/>
    <x v="1"/>
    <x v="3"/>
    <n v="1.0000000000000001E-5"/>
    <x v="0"/>
    <s v="text256_blurkernel8_31_0,00001_0,0001"/>
    <n v="11.672393"/>
    <n v="72.678031000000004"/>
    <n v="31.1617"/>
    <n v="0.8679"/>
    <n v="19.463200000000001"/>
    <n v="29.962599999999998"/>
    <n v="34.279699999999998"/>
    <s v="BM3D"/>
    <n v="34.279699999999998"/>
    <n v="1"/>
    <n v="227"/>
    <n v="95"/>
    <n v="92"/>
    <b v="1"/>
  </r>
  <r>
    <x v="2"/>
    <x v="1"/>
    <x v="3"/>
    <n v="1.0000000000000001E-5"/>
    <x v="1"/>
    <s v="text256_blurkernel8_31_0,00001_0,001"/>
    <n v="4.8286410000000002"/>
    <n v="69.462635000000006"/>
    <n v="21.147099999999998"/>
    <n v="0.8679"/>
    <n v="18.256599999999999"/>
    <n v="21.293399999999998"/>
    <n v="24.738"/>
    <s v="BM3D"/>
    <n v="24.738"/>
    <n v="1"/>
    <n v="182"/>
    <n v="76"/>
    <n v="74"/>
    <b v="1"/>
  </r>
  <r>
    <x v="2"/>
    <x v="1"/>
    <x v="3"/>
    <n v="1.0000000000000001E-5"/>
    <x v="2"/>
    <s v="text256_blurkernel8_31_0,00001_0,01"/>
    <n v="3.4802059999999999"/>
    <n v="69.141686000000007"/>
    <n v="11.1447"/>
    <n v="0.8679"/>
    <n v="12.8581"/>
    <n v="13.7052"/>
    <n v="14.9398"/>
    <s v="BM3D"/>
    <n v="14.9398"/>
    <n v="1"/>
    <n v="135"/>
    <n v="56"/>
    <n v="55"/>
    <b v="1"/>
  </r>
  <r>
    <x v="2"/>
    <x v="1"/>
    <x v="3"/>
    <n v="1.0000000000000001E-5"/>
    <x v="3"/>
    <s v="text256_blurkernel8_31_0,00001_0,1"/>
    <n v="3.1240730000000001"/>
    <n v="69.204763999999997"/>
    <n v="2.7357"/>
    <n v="0.8679"/>
    <n v="5.2591999999999999"/>
    <n v="7.9705000000000004"/>
    <n v="5.0437000000000003"/>
    <s v="SROU03"/>
    <n v="7.9705000000000004"/>
    <n v="3"/>
    <n v="42"/>
    <n v="70"/>
    <n v="101"/>
    <b v="1"/>
  </r>
  <r>
    <x v="2"/>
    <x v="2"/>
    <x v="0"/>
    <n v="1.0000000000000001E-5"/>
    <x v="0"/>
    <s v="text256_line_3_0,00001_0,0001"/>
    <n v="23.149763"/>
    <n v="5.399483"/>
    <n v="31.069500000000001"/>
    <n v="5.9840999999999998"/>
    <n v="18.4602"/>
    <n v="34.936700000000002"/>
    <n v="34.296399999999998"/>
    <s v="SROU03"/>
    <n v="34.936700000000002"/>
    <n v="3"/>
    <n v="96"/>
    <n v="159"/>
    <n v="230"/>
    <b v="0"/>
  </r>
  <r>
    <x v="2"/>
    <x v="2"/>
    <x v="0"/>
    <n v="1.0000000000000001E-5"/>
    <x v="1"/>
    <s v="text256_line_3_0,00001_0,001"/>
    <n v="20.163658999999999"/>
    <n v="5.2348119999999998"/>
    <n v="21.103000000000002"/>
    <n v="5.9840999999999998"/>
    <n v="17.530899999999999"/>
    <n v="29.498200000000001"/>
    <n v="24.684100000000001"/>
    <s v="SROU03"/>
    <n v="29.498200000000001"/>
    <n v="3"/>
    <n v="85"/>
    <n v="141"/>
    <n v="204"/>
    <b v="1"/>
  </r>
  <r>
    <x v="2"/>
    <x v="2"/>
    <x v="0"/>
    <n v="1.0000000000000001E-5"/>
    <x v="2"/>
    <s v="text256_line_3_0,00001_0,01"/>
    <n v="17.137445"/>
    <n v="5.5795789999999998"/>
    <n v="11.196400000000001"/>
    <n v="5.9840999999999998"/>
    <n v="12.882300000000001"/>
    <n v="26.715399999999999"/>
    <n v="15.026999999999999"/>
    <s v="SROU03"/>
    <n v="26.715399999999999"/>
    <n v="3"/>
    <n v="80"/>
    <n v="132"/>
    <n v="191"/>
    <b v="1"/>
  </r>
  <r>
    <x v="2"/>
    <x v="2"/>
    <x v="0"/>
    <n v="1.0000000000000001E-5"/>
    <x v="3"/>
    <s v="text256_line_3_0,00001_0,1"/>
    <n v="14.614938"/>
    <n v="5.9219379999999999"/>
    <n v="2.7692000000000001"/>
    <n v="5.9840999999999998"/>
    <n v="6.8053999999999997"/>
    <n v="19.0566"/>
    <n v="4.9509999999999996"/>
    <s v="SROU03"/>
    <n v="19.0566"/>
    <n v="3"/>
    <n v="64"/>
    <n v="106"/>
    <n v="154"/>
    <b v="1"/>
  </r>
  <r>
    <x v="2"/>
    <x v="2"/>
    <x v="1"/>
    <n v="1.0000000000000001E-5"/>
    <x v="0"/>
    <s v="text256_line_7_0,00001_0,0001"/>
    <n v="17.416855000000002"/>
    <n v="14.578094999999999"/>
    <n v="31.120899999999999"/>
    <n v="1.8161"/>
    <n v="19.3385"/>
    <n v="32.675699999999999"/>
    <n v="34.282200000000003"/>
    <s v="BM3D"/>
    <n v="34.282200000000003"/>
    <n v="1"/>
    <n v="227"/>
    <n v="95"/>
    <n v="92"/>
    <b v="1"/>
  </r>
  <r>
    <x v="2"/>
    <x v="2"/>
    <x v="1"/>
    <n v="1.0000000000000001E-5"/>
    <x v="1"/>
    <s v="text256_line_7_0,00001_0,001"/>
    <n v="13.519119999999999"/>
    <n v="14.037715"/>
    <n v="21.0852"/>
    <n v="1.8161"/>
    <n v="18.074300000000001"/>
    <n v="24.375399999999999"/>
    <n v="24.675899999999999"/>
    <s v="BM3D"/>
    <n v="24.675899999999999"/>
    <n v="1"/>
    <n v="181"/>
    <n v="76"/>
    <n v="74"/>
    <b v="0"/>
  </r>
  <r>
    <x v="2"/>
    <x v="2"/>
    <x v="1"/>
    <n v="1.0000000000000001E-5"/>
    <x v="2"/>
    <s v="text256_line_7_0,00001_0,01"/>
    <n v="10.980422000000001"/>
    <n v="14.518281999999999"/>
    <n v="11.1249"/>
    <n v="1.8161"/>
    <n v="12.909800000000001"/>
    <n v="18.169899999999998"/>
    <n v="15.0022"/>
    <s v="SROU03"/>
    <n v="18.169899999999998"/>
    <n v="3"/>
    <n v="63"/>
    <n v="103"/>
    <n v="150"/>
    <b v="1"/>
  </r>
  <r>
    <x v="2"/>
    <x v="2"/>
    <x v="1"/>
    <n v="1.0000000000000001E-5"/>
    <x v="3"/>
    <s v="text256_line_7_0,00001_0,1"/>
    <n v="8.512613"/>
    <n v="15.05986"/>
    <n v="2.7757000000000001"/>
    <n v="1.8161"/>
    <n v="5.5785"/>
    <n v="9.9948999999999995"/>
    <n v="5.0050999999999997"/>
    <s v="SROU03"/>
    <n v="9.9948999999999995"/>
    <n v="3"/>
    <n v="46"/>
    <n v="76"/>
    <n v="111"/>
    <b v="1"/>
  </r>
  <r>
    <x v="2"/>
    <x v="2"/>
    <x v="2"/>
    <n v="1.0000000000000001E-5"/>
    <x v="0"/>
    <s v="text256_line_15_0,00001_0,0001"/>
    <n v="14.463706999999999"/>
    <n v="33.304606999999997"/>
    <n v="31.151900000000001"/>
    <n v="1.343"/>
    <n v="19.399999999999999"/>
    <n v="31.8659"/>
    <n v="34.2821"/>
    <s v="BM3D"/>
    <n v="34.2821"/>
    <n v="1"/>
    <n v="227"/>
    <n v="95"/>
    <n v="92"/>
    <b v="1"/>
  </r>
  <r>
    <x v="2"/>
    <x v="2"/>
    <x v="2"/>
    <n v="1.0000000000000001E-5"/>
    <x v="1"/>
    <s v="text256_line_15_0,00001_0,001"/>
    <n v="9.6491299999999995"/>
    <n v="31.930401"/>
    <n v="21.122699999999998"/>
    <n v="1.343"/>
    <n v="18.073599999999999"/>
    <n v="22.141999999999999"/>
    <n v="24.634799999999998"/>
    <s v="BM3D"/>
    <n v="24.634799999999998"/>
    <n v="1"/>
    <n v="181"/>
    <n v="76"/>
    <n v="74"/>
    <b v="1"/>
  </r>
  <r>
    <x v="2"/>
    <x v="2"/>
    <x v="2"/>
    <n v="1.0000000000000001E-5"/>
    <x v="2"/>
    <s v="text256_line_15_0,00001_0,01"/>
    <n v="7.6290909999999998"/>
    <n v="32.379291000000002"/>
    <n v="11.161799999999999"/>
    <n v="1.343"/>
    <n v="12.7331"/>
    <n v="8.8129000000000008"/>
    <n v="15.1076"/>
    <s v="BM3D"/>
    <n v="15.1076"/>
    <n v="1"/>
    <n v="135"/>
    <n v="57"/>
    <n v="55"/>
    <b v="1"/>
  </r>
  <r>
    <x v="2"/>
    <x v="2"/>
    <x v="2"/>
    <n v="1.0000000000000001E-5"/>
    <x v="3"/>
    <s v="text256_line_15_0,00001_0,1"/>
    <n v="5.7465869999999999"/>
    <n v="32.998987"/>
    <n v="2.7686999999999999"/>
    <n v="1.343"/>
    <n v="5.3334999999999999"/>
    <n v="5.3334000000000001"/>
    <n v="4.9889999999999999"/>
    <s v="TICO09"/>
    <n v="5.3334999999999999"/>
    <n v="2"/>
    <n v="74"/>
    <n v="89"/>
    <n v="42"/>
    <b v="0"/>
  </r>
  <r>
    <x v="2"/>
    <x v="2"/>
    <x v="3"/>
    <n v="1.0000000000000001E-5"/>
    <x v="0"/>
    <s v="text256_line_31_0,00001_0,0001"/>
    <n v="12.893397999999999"/>
    <n v="70.984235999999996"/>
    <n v="31.163599999999999"/>
    <n v="0.1772"/>
    <n v="19.3002"/>
    <n v="31.149100000000001"/>
    <n v="34.263800000000003"/>
    <s v="BM3D"/>
    <n v="34.263800000000003"/>
    <n v="1"/>
    <n v="227"/>
    <n v="95"/>
    <n v="92"/>
    <b v="1"/>
  </r>
  <r>
    <x v="2"/>
    <x v="2"/>
    <x v="3"/>
    <n v="1.0000000000000001E-5"/>
    <x v="1"/>
    <s v="text256_line_31_0,00001_0,001"/>
    <n v="7.1925480000000004"/>
    <n v="67.935063"/>
    <n v="21.096299999999999"/>
    <n v="0.1772"/>
    <n v="17.923300000000001"/>
    <n v="21.520800000000001"/>
    <n v="24.570699999999999"/>
    <s v="BM3D"/>
    <n v="24.570699999999999"/>
    <n v="1"/>
    <n v="181"/>
    <n v="76"/>
    <n v="73"/>
    <b v="1"/>
  </r>
  <r>
    <x v="2"/>
    <x v="2"/>
    <x v="3"/>
    <n v="1.0000000000000001E-5"/>
    <x v="2"/>
    <s v="text256_line_31_0,00001_0,01"/>
    <n v="5.3732449999999998"/>
    <n v="68.249542000000005"/>
    <n v="11.1355"/>
    <n v="0.1772"/>
    <n v="12.7013"/>
    <n v="7.7976000000000001"/>
    <n v="15.057700000000001"/>
    <s v="BM3D"/>
    <n v="15.057700000000001"/>
    <n v="1"/>
    <n v="135"/>
    <n v="56"/>
    <n v="55"/>
    <b v="1"/>
  </r>
  <r>
    <x v="2"/>
    <x v="2"/>
    <x v="3"/>
    <n v="1.0000000000000001E-5"/>
    <x v="3"/>
    <s v="text256_line_31_0,00001_0,1"/>
    <n v="3.977182"/>
    <n v="68.884913999999995"/>
    <n v="2.7812000000000001"/>
    <n v="0.1772"/>
    <n v="5.3947000000000003"/>
    <n v="2.5659000000000001"/>
    <n v="5.0675999999999997"/>
    <s v="TICO09"/>
    <n v="5.3947000000000003"/>
    <n v="2"/>
    <n v="74"/>
    <n v="89"/>
    <n v="42"/>
    <b v="1"/>
  </r>
  <r>
    <x v="2"/>
    <x v="3"/>
    <x v="0"/>
    <n v="1.0000000000000001E-5"/>
    <x v="0"/>
    <s v="text256_blurkernel10_3_0,00001_0,0001"/>
    <n v="18.770441000000002"/>
    <n v="6.0733550000000003"/>
    <n v="31.110600000000002"/>
    <n v="7.1266999999999996"/>
    <n v="17.267600000000002"/>
    <n v="34.313099999999999"/>
    <n v="34.268799999999999"/>
    <s v="SROU03"/>
    <n v="34.313099999999999"/>
    <n v="3"/>
    <n v="95"/>
    <n v="157"/>
    <n v="227"/>
    <b v="0"/>
  </r>
  <r>
    <x v="2"/>
    <x v="3"/>
    <x v="0"/>
    <n v="1.0000000000000001E-5"/>
    <x v="1"/>
    <s v="text256_blurkernel10_3_0,00001_0,001"/>
    <n v="15.559269"/>
    <n v="5.8151739999999998"/>
    <n v="21.117000000000001"/>
    <n v="7.1266999999999996"/>
    <n v="16.5871"/>
    <n v="25.020700000000001"/>
    <n v="24.735600000000002"/>
    <s v="SROU03"/>
    <n v="25.020700000000001"/>
    <n v="3"/>
    <n v="76"/>
    <n v="126"/>
    <n v="183"/>
    <b v="0"/>
  </r>
  <r>
    <x v="2"/>
    <x v="3"/>
    <x v="0"/>
    <n v="1.0000000000000001E-5"/>
    <x v="2"/>
    <s v="text256_blurkernel10_3_0,00001_0,01"/>
    <n v="14.885357000000001"/>
    <n v="5.846241"/>
    <n v="11.1663"/>
    <n v="7.1266999999999996"/>
    <n v="12.4762"/>
    <n v="18.906700000000001"/>
    <n v="14.9864"/>
    <s v="SROU03"/>
    <n v="18.906700000000001"/>
    <n v="3"/>
    <n v="64"/>
    <n v="106"/>
    <n v="154"/>
    <b v="1"/>
  </r>
  <r>
    <x v="2"/>
    <x v="3"/>
    <x v="0"/>
    <n v="1.0000000000000001E-5"/>
    <x v="3"/>
    <s v="text256_blurkernel10_3_0,00001_0,1"/>
    <n v="14.454488"/>
    <n v="5.9387470000000002"/>
    <n v="2.7448999999999999"/>
    <n v="7.1266999999999996"/>
    <n v="7.2297000000000002"/>
    <n v="15.467599999999999"/>
    <n v="4.9977999999999998"/>
    <s v="SROU03"/>
    <n v="15.467599999999999"/>
    <n v="3"/>
    <n v="57"/>
    <n v="95"/>
    <n v="137"/>
    <b v="1"/>
  </r>
  <r>
    <x v="2"/>
    <x v="3"/>
    <x v="1"/>
    <n v="1.0000000000000001E-5"/>
    <x v="0"/>
    <s v="text256_blurkernel10_7_0,00001_0,0001"/>
    <n v="13.765853999999999"/>
    <n v="15.82527"/>
    <n v="31.104800000000001"/>
    <n v="2.1823000000000001"/>
    <n v="19.356000000000002"/>
    <n v="31.826899999999998"/>
    <n v="34.220599999999997"/>
    <s v="BM3D"/>
    <n v="34.220599999999997"/>
    <n v="1"/>
    <n v="227"/>
    <n v="95"/>
    <n v="92"/>
    <b v="1"/>
  </r>
  <r>
    <x v="2"/>
    <x v="3"/>
    <x v="1"/>
    <n v="1.0000000000000001E-5"/>
    <x v="1"/>
    <s v="text256_blurkernel10_7_0,00001_0,001"/>
    <n v="8.8052030000000006"/>
    <n v="15.134888"/>
    <n v="21.086200000000002"/>
    <n v="2.1823000000000001"/>
    <n v="18.1127"/>
    <n v="23.988299999999999"/>
    <n v="24.7149"/>
    <s v="BM3D"/>
    <n v="24.7149"/>
    <n v="1"/>
    <n v="181"/>
    <n v="76"/>
    <n v="74"/>
    <b v="0"/>
  </r>
  <r>
    <x v="2"/>
    <x v="3"/>
    <x v="1"/>
    <n v="1.0000000000000001E-5"/>
    <x v="2"/>
    <s v="text256_blurkernel10_7_0,00001_0,01"/>
    <n v="8.1290809999999993"/>
    <n v="15.084194999999999"/>
    <n v="11.178699999999999"/>
    <n v="2.1823000000000001"/>
    <n v="12.8947"/>
    <n v="15.577400000000001"/>
    <n v="14.9595"/>
    <s v="SROU03"/>
    <n v="15.577400000000001"/>
    <n v="3"/>
    <n v="58"/>
    <n v="95"/>
    <n v="138"/>
    <b v="0"/>
  </r>
  <r>
    <x v="2"/>
    <x v="3"/>
    <x v="1"/>
    <n v="1.0000000000000001E-5"/>
    <x v="3"/>
    <s v="text256_blurkernel10_7_0,00001_0,1"/>
    <n v="7.5770819999999999"/>
    <n v="15.199932"/>
    <n v="2.7202000000000002"/>
    <n v="2.1823000000000001"/>
    <n v="5.4851000000000001"/>
    <n v="11.6432"/>
    <n v="5.0309999999999997"/>
    <s v="SROU03"/>
    <n v="11.6432"/>
    <n v="3"/>
    <n v="50"/>
    <n v="82"/>
    <n v="119"/>
    <b v="1"/>
  </r>
  <r>
    <x v="2"/>
    <x v="3"/>
    <x v="2"/>
    <n v="1.0000000000000001E-5"/>
    <x v="0"/>
    <s v="text256_blurkernel10_15_0,00001_0,0001"/>
    <n v="12.315303"/>
    <n v="34.794257999999999"/>
    <n v="31.0883"/>
    <n v="1.3013999999999999"/>
    <n v="19.366800000000001"/>
    <n v="30.032900000000001"/>
    <n v="34.244599999999998"/>
    <s v="BM3D"/>
    <n v="34.244599999999998"/>
    <n v="1"/>
    <n v="227"/>
    <n v="95"/>
    <n v="92"/>
    <b v="1"/>
  </r>
  <r>
    <x v="2"/>
    <x v="3"/>
    <x v="2"/>
    <n v="1.0000000000000001E-5"/>
    <x v="1"/>
    <s v="text256_blurkernel10_15_0,00001_0,001"/>
    <n v="6.2210599999999996"/>
    <n v="33.269317999999998"/>
    <n v="21.0929"/>
    <n v="1.3013999999999999"/>
    <n v="18.0535"/>
    <n v="22.293399999999998"/>
    <n v="24.611799999999999"/>
    <s v="BM3D"/>
    <n v="24.611799999999999"/>
    <n v="1"/>
    <n v="181"/>
    <n v="76"/>
    <n v="73"/>
    <b v="1"/>
  </r>
  <r>
    <x v="2"/>
    <x v="3"/>
    <x v="2"/>
    <n v="1.0000000000000001E-5"/>
    <x v="2"/>
    <s v="text256_blurkernel10_15_0,00001_0,01"/>
    <n v="5.1556189999999997"/>
    <n v="33.149351000000003"/>
    <n v="11.1629"/>
    <n v="1.3013999999999999"/>
    <n v="12.9239"/>
    <n v="15.2806"/>
    <n v="15.007099999999999"/>
    <s v="SROU03"/>
    <n v="15.2806"/>
    <n v="3"/>
    <n v="57"/>
    <n v="94"/>
    <n v="136"/>
    <b v="0"/>
  </r>
  <r>
    <x v="2"/>
    <x v="3"/>
    <x v="2"/>
    <n v="1.0000000000000001E-5"/>
    <x v="3"/>
    <s v="text256_blurkernel10_15_0,00001_0,1"/>
    <n v="4.6883790000000003"/>
    <n v="33.253756000000003"/>
    <n v="2.7730000000000001"/>
    <n v="1.3013999999999999"/>
    <n v="5.4363999999999999"/>
    <n v="13.141400000000001"/>
    <n v="4.9652000000000003"/>
    <s v="SROU03"/>
    <n v="13.141400000000001"/>
    <n v="3"/>
    <n v="53"/>
    <n v="87"/>
    <n v="126"/>
    <b v="1"/>
  </r>
  <r>
    <x v="2"/>
    <x v="3"/>
    <x v="3"/>
    <n v="1.0000000000000001E-5"/>
    <x v="0"/>
    <s v="text256_blurkernel10_31_0,00001_0,0001"/>
    <n v="11.750482"/>
    <n v="72.540250999999998"/>
    <n v="31.175599999999999"/>
    <n v="0.23910000000000001"/>
    <n v="19.319800000000001"/>
    <n v="28.2516"/>
    <n v="34.320399999999999"/>
    <s v="BM3D"/>
    <n v="34.320399999999999"/>
    <n v="1"/>
    <n v="227"/>
    <n v="95"/>
    <n v="92"/>
    <b v="1"/>
  </r>
  <r>
    <x v="2"/>
    <x v="3"/>
    <x v="3"/>
    <n v="1.0000000000000001E-5"/>
    <x v="1"/>
    <s v="text256_blurkernel10_31_0,00001_0,001"/>
    <n v="4.9964310000000003"/>
    <n v="69.334665999999999"/>
    <n v="21.0869"/>
    <n v="0.23910000000000001"/>
    <n v="18.070599999999999"/>
    <n v="20.0534"/>
    <n v="24.651199999999999"/>
    <s v="BM3D"/>
    <n v="24.651199999999999"/>
    <n v="1"/>
    <n v="181"/>
    <n v="76"/>
    <n v="74"/>
    <b v="1"/>
  </r>
  <r>
    <x v="2"/>
    <x v="3"/>
    <x v="3"/>
    <n v="1.0000000000000001E-5"/>
    <x v="2"/>
    <s v="text256_blurkernel10_31_0,00001_0,01"/>
    <n v="3.671767"/>
    <n v="69.030535"/>
    <n v="11.133800000000001"/>
    <n v="0.23910000000000001"/>
    <n v="12.839700000000001"/>
    <n v="13.5924"/>
    <n v="14.982200000000001"/>
    <s v="BM3D"/>
    <n v="14.982200000000001"/>
    <n v="1"/>
    <n v="135"/>
    <n v="56"/>
    <n v="55"/>
    <b v="1"/>
  </r>
  <r>
    <x v="2"/>
    <x v="3"/>
    <x v="3"/>
    <n v="1.0000000000000001E-5"/>
    <x v="3"/>
    <s v="text256_blurkernel10_31_0,00001_0,1"/>
    <n v="3.2388150000000002"/>
    <n v="69.129480000000001"/>
    <n v="2.77"/>
    <n v="0.23910000000000001"/>
    <n v="5.4076000000000004"/>
    <n v="8.0114000000000001"/>
    <n v="5.0061999999999998"/>
    <s v="SROU03"/>
    <n v="8.0114000000000001"/>
    <n v="3"/>
    <n v="42"/>
    <n v="70"/>
    <n v="102"/>
    <b v="1"/>
  </r>
  <r>
    <x v="3"/>
    <x v="0"/>
    <x v="0"/>
    <n v="1.0000000000000001E-5"/>
    <x v="0"/>
    <s v="castle256_blurkernel7_3_0,00001_0,0001"/>
    <n v="35.407710999999999"/>
    <n v="3.1912039999999999"/>
    <n v="25.385999999999999"/>
    <n v="15.654199999999999"/>
    <n v="19.024000000000001"/>
    <n v="28.072099999999999"/>
    <n v="28.4024"/>
    <s v="BM3D"/>
    <n v="28.4024"/>
    <n v="1"/>
    <n v="199"/>
    <n v="83"/>
    <n v="81"/>
    <b v="0"/>
  </r>
  <r>
    <x v="3"/>
    <x v="0"/>
    <x v="0"/>
    <n v="1.0000000000000001E-5"/>
    <x v="1"/>
    <s v="castle256_blurkernel7_3_0,00001_0,001"/>
    <n v="26.578341999999999"/>
    <n v="3.1324350000000001"/>
    <n v="15.5131"/>
    <n v="15.654199999999999"/>
    <n v="18.0427"/>
    <n v="21.287600000000001"/>
    <n v="20.6205"/>
    <s v="SROU03"/>
    <n v="21.287600000000001"/>
    <n v="3"/>
    <n v="69"/>
    <n v="114"/>
    <n v="165"/>
    <b v="0"/>
  </r>
  <r>
    <x v="3"/>
    <x v="0"/>
    <x v="0"/>
    <n v="1.0000000000000001E-5"/>
    <x v="2"/>
    <s v="castle256_blurkernel7_3_0,00001_0,01"/>
    <n v="22.848984999999999"/>
    <n v="3.1997230000000001"/>
    <n v="6.4279000000000002"/>
    <n v="15.654199999999999"/>
    <n v="15.7294"/>
    <n v="20.3888"/>
    <n v="14.138299999999999"/>
    <s v="SROU03"/>
    <n v="20.3888"/>
    <n v="3"/>
    <n v="67"/>
    <n v="111"/>
    <n v="161"/>
    <b v="1"/>
  </r>
  <r>
    <x v="3"/>
    <x v="0"/>
    <x v="0"/>
    <n v="1.0000000000000001E-5"/>
    <x v="3"/>
    <s v="castle256_blurkernel7_3_0,00001_0,1"/>
    <n v="20.584607999999999"/>
    <n v="3.2247460000000001"/>
    <n v="1.2261"/>
    <n v="15.654199999999999"/>
    <n v="10.454499999999999"/>
    <n v="19.517199999999999"/>
    <n v="9.2522000000000002"/>
    <s v="SROU03"/>
    <n v="19.517199999999999"/>
    <n v="3"/>
    <n v="65"/>
    <n v="108"/>
    <n v="157"/>
    <b v="1"/>
  </r>
  <r>
    <x v="3"/>
    <x v="0"/>
    <x v="1"/>
    <n v="1.0000000000000001E-5"/>
    <x v="0"/>
    <s v="castle256_blurkernel7_7_0,00001_0,0001"/>
    <n v="25.966497"/>
    <n v="8.3118859999999994"/>
    <n v="25.370799999999999"/>
    <n v="10.9254"/>
    <n v="18.894600000000001"/>
    <n v="26.890999999999998"/>
    <n v="28.392499999999998"/>
    <s v="BM3D"/>
    <n v="28.392499999999998"/>
    <n v="1"/>
    <n v="199"/>
    <n v="83"/>
    <n v="81"/>
    <b v="1"/>
  </r>
  <r>
    <x v="3"/>
    <x v="0"/>
    <x v="1"/>
    <n v="1.0000000000000001E-5"/>
    <x v="1"/>
    <s v="castle256_blurkernel7_7_0,00001_0,001"/>
    <n v="15.133015"/>
    <n v="8.0042270000000002"/>
    <n v="15.5245"/>
    <n v="10.9254"/>
    <n v="17.105799999999999"/>
    <n v="19.748899999999999"/>
    <n v="20.647099999999998"/>
    <s v="BM3D"/>
    <n v="20.647099999999998"/>
    <n v="1"/>
    <n v="162"/>
    <n v="68"/>
    <n v="66"/>
    <b v="0"/>
  </r>
  <r>
    <x v="3"/>
    <x v="0"/>
    <x v="1"/>
    <n v="1.0000000000000001E-5"/>
    <x v="2"/>
    <s v="castle256_blurkernel7_7_0,00001_0,01"/>
    <n v="11.638774"/>
    <n v="8.0509070000000005"/>
    <n v="6.4654999999999996"/>
    <n v="10.9254"/>
    <n v="13.4984"/>
    <n v="14.944699999999999"/>
    <n v="14.1449"/>
    <s v="SROU03"/>
    <n v="14.944699999999999"/>
    <n v="3"/>
    <n v="56"/>
    <n v="93"/>
    <n v="135"/>
    <b v="0"/>
  </r>
  <r>
    <x v="3"/>
    <x v="0"/>
    <x v="1"/>
    <n v="1.0000000000000001E-5"/>
    <x v="3"/>
    <s v="castle256_blurkernel7_7_0,00001_0,1"/>
    <n v="9.3599739999999994"/>
    <n v="8.1039429999999992"/>
    <n v="1.1967000000000001"/>
    <n v="10.9254"/>
    <n v="8.9666999999999994"/>
    <n v="8.8780000000000001"/>
    <n v="9.4306000000000001"/>
    <s v="BM3D"/>
    <n v="9.4306000000000001"/>
    <n v="1"/>
    <n v="108"/>
    <n v="45"/>
    <n v="44"/>
    <b v="0"/>
  </r>
  <r>
    <x v="3"/>
    <x v="0"/>
    <x v="2"/>
    <n v="1.0000000000000001E-5"/>
    <x v="0"/>
    <s v="castle256_blurkernel7_15_0,00001_0,0001"/>
    <n v="23.037545999999999"/>
    <n v="18.269562000000001"/>
    <n v="25.383099999999999"/>
    <n v="8.5839999999999996"/>
    <n v="19.6296"/>
    <n v="26.61"/>
    <n v="28.399899999999999"/>
    <s v="BM3D"/>
    <n v="28.399899999999999"/>
    <n v="1"/>
    <n v="199"/>
    <n v="83"/>
    <n v="81"/>
    <b v="1"/>
  </r>
  <r>
    <x v="3"/>
    <x v="0"/>
    <x v="2"/>
    <n v="1.0000000000000001E-5"/>
    <x v="1"/>
    <s v="castle256_blurkernel7_15_0,00001_0,001"/>
    <n v="10.040564"/>
    <n v="17.521975999999999"/>
    <n v="15.510199999999999"/>
    <n v="8.5839999999999996"/>
    <n v="17.443899999999999"/>
    <n v="19.871300000000002"/>
    <n v="20.5669"/>
    <s v="BM3D"/>
    <n v="20.5669"/>
    <n v="1"/>
    <n v="162"/>
    <n v="68"/>
    <n v="66"/>
    <b v="0"/>
  </r>
  <r>
    <x v="3"/>
    <x v="0"/>
    <x v="2"/>
    <n v="1.0000000000000001E-5"/>
    <x v="2"/>
    <s v="castle256_blurkernel7_15_0,00001_0,01"/>
    <n v="6.7242150000000001"/>
    <n v="17.489701"/>
    <n v="6.4932999999999996"/>
    <n v="8.5839999999999996"/>
    <n v="13.162100000000001"/>
    <n v="15.262"/>
    <n v="14.1775"/>
    <s v="SROU03"/>
    <n v="15.262"/>
    <n v="3"/>
    <n v="57"/>
    <n v="94"/>
    <n v="136"/>
    <b v="1"/>
  </r>
  <r>
    <x v="3"/>
    <x v="0"/>
    <x v="2"/>
    <n v="1.0000000000000001E-5"/>
    <x v="3"/>
    <s v="castle256_blurkernel7_15_0,00001_0,1"/>
    <n v="5.4324329999999996"/>
    <n v="17.511686000000001"/>
    <n v="1.1778999999999999"/>
    <n v="8.5839999999999996"/>
    <n v="7.8974000000000002"/>
    <n v="10.3575"/>
    <n v="9.2095000000000002"/>
    <s v="SROU03"/>
    <n v="10.3575"/>
    <n v="3"/>
    <n v="47"/>
    <n v="78"/>
    <n v="113"/>
    <b v="1"/>
  </r>
  <r>
    <x v="3"/>
    <x v="0"/>
    <x v="3"/>
    <n v="1.0000000000000001E-5"/>
    <x v="0"/>
    <s v="castle256_blurkernel7_31_0,00001_0,0001"/>
    <n v="22.190076000000001"/>
    <n v="37.837373999999997"/>
    <n v="25.3612"/>
    <n v="6.6742999999999997"/>
    <n v="19.880500000000001"/>
    <n v="26.321200000000001"/>
    <n v="28.434899999999999"/>
    <s v="BM3D"/>
    <n v="28.434899999999999"/>
    <n v="1"/>
    <n v="199"/>
    <n v="83"/>
    <n v="81"/>
    <b v="1"/>
  </r>
  <r>
    <x v="3"/>
    <x v="0"/>
    <x v="3"/>
    <n v="1.0000000000000001E-5"/>
    <x v="1"/>
    <s v="castle256_blurkernel7_31_0,00001_0,001"/>
    <n v="8.1539420000000007"/>
    <n v="36.212432999999997"/>
    <n v="15.4735"/>
    <n v="6.6742999999999997"/>
    <n v="17.6587"/>
    <n v="19.241099999999999"/>
    <n v="20.622499999999999"/>
    <s v="BM3D"/>
    <n v="20.622499999999999"/>
    <n v="1"/>
    <n v="162"/>
    <n v="68"/>
    <n v="66"/>
    <b v="1"/>
  </r>
  <r>
    <x v="3"/>
    <x v="0"/>
    <x v="3"/>
    <n v="1.0000000000000001E-5"/>
    <x v="2"/>
    <s v="castle256_blurkernel7_31_0,00001_0,01"/>
    <n v="4.3402430000000001"/>
    <n v="36.082566"/>
    <n v="6.4843999999999999"/>
    <n v="6.6742999999999997"/>
    <n v="13.1228"/>
    <n v="14.766"/>
    <n v="14.146100000000001"/>
    <s v="SROU03"/>
    <n v="14.766"/>
    <n v="3"/>
    <n v="56"/>
    <n v="92"/>
    <n v="134"/>
    <b v="0"/>
  </r>
  <r>
    <x v="3"/>
    <x v="0"/>
    <x v="3"/>
    <n v="1.0000000000000001E-5"/>
    <x v="3"/>
    <s v="castle256_blurkernel7_31_0,00001_0,1"/>
    <n v="3.3676659999999998"/>
    <n v="36.080246000000002"/>
    <n v="1.2290000000000001"/>
    <n v="6.6742999999999997"/>
    <n v="7.6637000000000004"/>
    <n v="7.2641999999999998"/>
    <n v="9.2545999999999999"/>
    <s v="BM3D"/>
    <n v="9.2545999999999999"/>
    <n v="1"/>
    <n v="107"/>
    <n v="45"/>
    <n v="44"/>
    <b v="1"/>
  </r>
  <r>
    <x v="3"/>
    <x v="1"/>
    <x v="0"/>
    <n v="1.0000000000000001E-5"/>
    <x v="0"/>
    <s v="castle256_blurkernel8_3_0,00001_0,0001"/>
    <n v="37.067048999999997"/>
    <n v="3.1226699999999998"/>
    <n v="25.381499999999999"/>
    <n v="15.313800000000001"/>
    <n v="19.183199999999999"/>
    <n v="28.631799999999998"/>
    <n v="28.4742"/>
    <s v="SROU03"/>
    <n v="28.631799999999998"/>
    <n v="3"/>
    <n v="84"/>
    <n v="138"/>
    <n v="200"/>
    <b v="0"/>
  </r>
  <r>
    <x v="3"/>
    <x v="1"/>
    <x v="0"/>
    <n v="1.0000000000000001E-5"/>
    <x v="1"/>
    <s v="castle256_blurkernel8_3_0,00001_0,001"/>
    <n v="27.622436"/>
    <n v="3.0999949999999998"/>
    <n v="15.5365"/>
    <n v="15.313800000000001"/>
    <n v="18.192900000000002"/>
    <n v="22.992100000000001"/>
    <n v="20.611899999999999"/>
    <s v="SROU03"/>
    <n v="22.992100000000001"/>
    <n v="3"/>
    <n v="72"/>
    <n v="119"/>
    <n v="173"/>
    <b v="1"/>
  </r>
  <r>
    <x v="3"/>
    <x v="1"/>
    <x v="0"/>
    <n v="1.0000000000000001E-5"/>
    <x v="2"/>
    <s v="castle256_blurkernel8_3_0,00001_0,01"/>
    <n v="23.100677999999998"/>
    <n v="3.193505"/>
    <n v="6.4904000000000002"/>
    <n v="15.313800000000001"/>
    <n v="15.611700000000001"/>
    <n v="22.394500000000001"/>
    <n v="14.239699999999999"/>
    <s v="SROU03"/>
    <n v="22.394500000000001"/>
    <n v="3"/>
    <n v="71"/>
    <n v="117"/>
    <n v="170"/>
    <b v="1"/>
  </r>
  <r>
    <x v="3"/>
    <x v="1"/>
    <x v="0"/>
    <n v="1.0000000000000001E-5"/>
    <x v="3"/>
    <s v="castle256_blurkernel8_3_0,00001_0,1"/>
    <n v="20.65005"/>
    <n v="3.224253"/>
    <n v="1.1998"/>
    <n v="15.313800000000001"/>
    <n v="10.5891"/>
    <n v="19.062799999999999"/>
    <n v="9.3513999999999999"/>
    <s v="SROU03"/>
    <n v="19.062799999999999"/>
    <n v="3"/>
    <n v="64"/>
    <n v="106"/>
    <n v="154"/>
    <b v="1"/>
  </r>
  <r>
    <x v="3"/>
    <x v="1"/>
    <x v="1"/>
    <n v="1.0000000000000001E-5"/>
    <x v="0"/>
    <s v="castle256_blurkernel8_7_0,00001_0,0001"/>
    <n v="27.084837"/>
    <n v="8.2125029999999999"/>
    <n v="25.3809"/>
    <n v="10.7348"/>
    <n v="18.915299999999998"/>
    <n v="27.268799999999999"/>
    <n v="28.444400000000002"/>
    <s v="BM3D"/>
    <n v="28.444400000000002"/>
    <n v="1"/>
    <n v="199"/>
    <n v="83"/>
    <n v="81"/>
    <b v="1"/>
  </r>
  <r>
    <x v="3"/>
    <x v="1"/>
    <x v="1"/>
    <n v="1.0000000000000001E-5"/>
    <x v="1"/>
    <s v="castle256_blurkernel8_7_0,00001_0,001"/>
    <n v="16.057289000000001"/>
    <n v="7.9580460000000004"/>
    <n v="15.534000000000001"/>
    <n v="10.7348"/>
    <n v="17.2226"/>
    <n v="20.336400000000001"/>
    <n v="20.601500000000001"/>
    <s v="BM3D"/>
    <n v="20.601500000000001"/>
    <n v="1"/>
    <n v="162"/>
    <n v="68"/>
    <n v="66"/>
    <b v="0"/>
  </r>
  <r>
    <x v="3"/>
    <x v="1"/>
    <x v="1"/>
    <n v="1.0000000000000001E-5"/>
    <x v="2"/>
    <s v="castle256_blurkernel8_7_0,00001_0,01"/>
    <n v="11.681061"/>
    <n v="8.0507120000000008"/>
    <n v="6.4410999999999996"/>
    <n v="10.7348"/>
    <n v="13.61"/>
    <n v="17.139199999999999"/>
    <n v="14.1098"/>
    <s v="SROU03"/>
    <n v="17.139199999999999"/>
    <n v="3"/>
    <n v="61"/>
    <n v="100"/>
    <n v="145"/>
    <b v="1"/>
  </r>
  <r>
    <x v="3"/>
    <x v="1"/>
    <x v="1"/>
    <n v="1.0000000000000001E-5"/>
    <x v="3"/>
    <s v="castle256_blurkernel8_7_0,00001_0,1"/>
    <n v="9.3741500000000002"/>
    <n v="8.1051409999999997"/>
    <n v="1.1657"/>
    <n v="10.7348"/>
    <n v="8.8915000000000006"/>
    <n v="8.3667999999999996"/>
    <n v="9.1402999999999999"/>
    <s v="BM3D"/>
    <n v="9.1402999999999999"/>
    <n v="1"/>
    <n v="107"/>
    <n v="45"/>
    <n v="43"/>
    <b v="0"/>
  </r>
  <r>
    <x v="3"/>
    <x v="1"/>
    <x v="2"/>
    <n v="1.0000000000000001E-5"/>
    <x v="0"/>
    <s v="castle256_blurkernel8_15_0,00001_0,0001"/>
    <n v="23.805531999999999"/>
    <n v="18.145786000000001"/>
    <n v="25.3813"/>
    <n v="8.5722000000000005"/>
    <n v="19.607600000000001"/>
    <n v="26.725999999999999"/>
    <n v="28.438099999999999"/>
    <s v="BM3D"/>
    <n v="28.438099999999999"/>
    <n v="1"/>
    <n v="199"/>
    <n v="83"/>
    <n v="81"/>
    <b v="1"/>
  </r>
  <r>
    <x v="3"/>
    <x v="1"/>
    <x v="2"/>
    <n v="1.0000000000000001E-5"/>
    <x v="1"/>
    <s v="castle256_blurkernel8_15_0,00001_0,001"/>
    <n v="11.266596"/>
    <n v="17.441991000000002"/>
    <n v="15.5695"/>
    <n v="8.5722000000000005"/>
    <n v="17.441299999999998"/>
    <n v="20.326899999999998"/>
    <n v="20.627500000000001"/>
    <s v="BM3D"/>
    <n v="20.627500000000001"/>
    <n v="1"/>
    <n v="162"/>
    <n v="68"/>
    <n v="66"/>
    <b v="0"/>
  </r>
  <r>
    <x v="3"/>
    <x v="1"/>
    <x v="2"/>
    <n v="1.0000000000000001E-5"/>
    <x v="2"/>
    <s v="castle256_blurkernel8_15_0,00001_0,01"/>
    <n v="7.4454229999999999"/>
    <n v="17.467870000000001"/>
    <n v="6.4645999999999999"/>
    <n v="8.5722000000000005"/>
    <n v="13.175000000000001"/>
    <n v="16.5748"/>
    <n v="14.167400000000001"/>
    <s v="SROU03"/>
    <n v="16.5748"/>
    <n v="3"/>
    <n v="60"/>
    <n v="98"/>
    <n v="142"/>
    <b v="1"/>
  </r>
  <r>
    <x v="3"/>
    <x v="1"/>
    <x v="2"/>
    <n v="1.0000000000000001E-5"/>
    <x v="3"/>
    <s v="castle256_blurkernel8_15_0,00001_0,1"/>
    <n v="5.4744780000000004"/>
    <n v="17.526479999999999"/>
    <n v="1.2007000000000001"/>
    <n v="8.5722000000000005"/>
    <n v="8.0943000000000005"/>
    <n v="10.9923"/>
    <n v="9.3202999999999996"/>
    <s v="SROU03"/>
    <n v="10.9923"/>
    <n v="3"/>
    <n v="48"/>
    <n v="80"/>
    <n v="116"/>
    <b v="1"/>
  </r>
  <r>
    <x v="3"/>
    <x v="1"/>
    <x v="3"/>
    <n v="1.0000000000000001E-5"/>
    <x v="0"/>
    <s v="castle256_blurkernel8_31_0,00001_0,0001"/>
    <n v="22.494772000000001"/>
    <n v="37.779212999999999"/>
    <n v="25.374400000000001"/>
    <n v="6.6215999999999999"/>
    <n v="19.958200000000001"/>
    <n v="26.249600000000001"/>
    <n v="28.4222"/>
    <s v="BM3D"/>
    <n v="28.4222"/>
    <n v="1"/>
    <n v="199"/>
    <n v="83"/>
    <n v="81"/>
    <b v="1"/>
  </r>
  <r>
    <x v="3"/>
    <x v="1"/>
    <x v="3"/>
    <n v="1.0000000000000001E-5"/>
    <x v="1"/>
    <s v="castle256_blurkernel8_31_0,00001_0,001"/>
    <n v="8.8751809999999995"/>
    <n v="36.17727"/>
    <n v="15.5314"/>
    <n v="6.6215999999999999"/>
    <n v="17.5745"/>
    <n v="19.3781"/>
    <n v="20.600300000000001"/>
    <s v="BM3D"/>
    <n v="20.600300000000001"/>
    <n v="1"/>
    <n v="162"/>
    <n v="68"/>
    <n v="66"/>
    <b v="1"/>
  </r>
  <r>
    <x v="3"/>
    <x v="1"/>
    <x v="3"/>
    <n v="1.0000000000000001E-5"/>
    <x v="2"/>
    <s v="castle256_blurkernel8_31_0,00001_0,01"/>
    <n v="5.0668170000000003"/>
    <n v="36.089548999999998"/>
    <n v="6.5073999999999996"/>
    <n v="6.6215999999999999"/>
    <n v="13.0342"/>
    <n v="14.895899999999999"/>
    <n v="14.112399999999999"/>
    <s v="SROU03"/>
    <n v="14.895899999999999"/>
    <n v="3"/>
    <n v="56"/>
    <n v="93"/>
    <n v="134"/>
    <b v="0"/>
  </r>
  <r>
    <x v="3"/>
    <x v="1"/>
    <x v="3"/>
    <n v="1.0000000000000001E-5"/>
    <x v="3"/>
    <s v="castle256_blurkernel8_31_0,00001_0,1"/>
    <n v="3.7415060000000002"/>
    <n v="36.117576"/>
    <n v="1.2146999999999999"/>
    <n v="6.6215999999999999"/>
    <n v="7.6494999999999997"/>
    <n v="8.6898"/>
    <n v="9.2103999999999999"/>
    <s v="BM3D"/>
    <n v="9.2103999999999999"/>
    <n v="1"/>
    <n v="107"/>
    <n v="45"/>
    <n v="43"/>
    <b v="0"/>
  </r>
  <r>
    <x v="3"/>
    <x v="2"/>
    <x v="0"/>
    <n v="1.0000000000000001E-5"/>
    <x v="0"/>
    <s v="castle256_line_3_0,00001_0,0001"/>
    <n v="42.272851000000003"/>
    <n v="2.9035700000000002"/>
    <n v="25.3508"/>
    <n v="13.1335"/>
    <n v="19.067799999999998"/>
    <n v="28.665299999999998"/>
    <n v="28.412400000000002"/>
    <s v="SROU03"/>
    <n v="28.665299999999998"/>
    <n v="3"/>
    <n v="84"/>
    <n v="138"/>
    <n v="200"/>
    <b v="0"/>
  </r>
  <r>
    <x v="3"/>
    <x v="2"/>
    <x v="0"/>
    <n v="1.0000000000000001E-5"/>
    <x v="1"/>
    <s v="castle256_line_3_0,00001_0,001"/>
    <n v="28.814388999999998"/>
    <n v="3.0586920000000002"/>
    <n v="15.508900000000001"/>
    <n v="13.1335"/>
    <n v="17.676100000000002"/>
    <n v="23.058599999999998"/>
    <n v="20.562000000000001"/>
    <s v="SROU03"/>
    <n v="23.058599999999998"/>
    <n v="3"/>
    <n v="73"/>
    <n v="120"/>
    <n v="173"/>
    <b v="1"/>
  </r>
  <r>
    <x v="3"/>
    <x v="2"/>
    <x v="0"/>
    <n v="1.0000000000000001E-5"/>
    <x v="2"/>
    <s v="castle256_line_3_0,00001_0,01"/>
    <n v="22.766211999999999"/>
    <n v="3.2"/>
    <n v="6.5435999999999996"/>
    <n v="13.1335"/>
    <n v="14.610200000000001"/>
    <n v="21.122699999999998"/>
    <n v="14.1165"/>
    <s v="SROU03"/>
    <n v="21.122699999999998"/>
    <n v="3"/>
    <n v="69"/>
    <n v="113"/>
    <n v="164"/>
    <b v="1"/>
  </r>
  <r>
    <x v="3"/>
    <x v="2"/>
    <x v="0"/>
    <n v="1.0000000000000001E-5"/>
    <x v="3"/>
    <s v="castle256_line_3_0,00001_0,1"/>
    <n v="20.457540000000002"/>
    <n v="3.2252930000000002"/>
    <n v="1.1838"/>
    <n v="13.1335"/>
    <n v="9.6145999999999994"/>
    <n v="16.5763"/>
    <n v="9.3825000000000003"/>
    <s v="SROU03"/>
    <n v="16.5763"/>
    <n v="3"/>
    <n v="60"/>
    <n v="98"/>
    <n v="143"/>
    <b v="1"/>
  </r>
  <r>
    <x v="3"/>
    <x v="2"/>
    <x v="1"/>
    <n v="1.0000000000000001E-5"/>
    <x v="0"/>
    <s v="castle256_line_7_0,00001_0,0001"/>
    <n v="31.921167000000001"/>
    <n v="7.7503690000000001"/>
    <n v="25.401900000000001"/>
    <n v="9.6592000000000002"/>
    <n v="19.553999999999998"/>
    <n v="27.1999"/>
    <n v="28.441700000000001"/>
    <s v="BM3D"/>
    <n v="28.441700000000001"/>
    <n v="1"/>
    <n v="199"/>
    <n v="83"/>
    <n v="81"/>
    <b v="1"/>
  </r>
  <r>
    <x v="3"/>
    <x v="2"/>
    <x v="1"/>
    <n v="1.0000000000000001E-5"/>
    <x v="1"/>
    <s v="castle256_line_7_0,00001_0,001"/>
    <n v="18.704325999999998"/>
    <n v="7.7958889999999998"/>
    <n v="15.5364"/>
    <n v="9.6592000000000002"/>
    <n v="17.671700000000001"/>
    <n v="20.8965"/>
    <n v="20.5642"/>
    <s v="SROU03"/>
    <n v="20.8965"/>
    <n v="3"/>
    <n v="68"/>
    <n v="112"/>
    <n v="163"/>
    <b v="0"/>
  </r>
  <r>
    <x v="3"/>
    <x v="2"/>
    <x v="1"/>
    <n v="1.0000000000000001E-5"/>
    <x v="2"/>
    <s v="castle256_line_7_0,00001_0,01"/>
    <n v="11.920237"/>
    <n v="8.0263580000000001"/>
    <n v="6.4549000000000003"/>
    <n v="9.6592000000000002"/>
    <n v="13.5237"/>
    <n v="14.956099999999999"/>
    <n v="14.1663"/>
    <s v="SROU03"/>
    <n v="14.956099999999999"/>
    <n v="3"/>
    <n v="56"/>
    <n v="93"/>
    <n v="135"/>
    <b v="0"/>
  </r>
  <r>
    <x v="3"/>
    <x v="2"/>
    <x v="1"/>
    <n v="1.0000000000000001E-5"/>
    <x v="3"/>
    <s v="castle256_line_7_0,00001_0,1"/>
    <n v="9.2020330000000001"/>
    <n v="8.0959620000000001"/>
    <n v="1.2067000000000001"/>
    <n v="9.6592000000000002"/>
    <n v="8.5861999999999998"/>
    <n v="9.2683999999999997"/>
    <n v="9.4456000000000007"/>
    <s v="BM3D"/>
    <n v="9.4456000000000007"/>
    <n v="1"/>
    <n v="108"/>
    <n v="45"/>
    <n v="44"/>
    <b v="0"/>
  </r>
  <r>
    <x v="3"/>
    <x v="2"/>
    <x v="2"/>
    <n v="1.0000000000000001E-5"/>
    <x v="0"/>
    <s v="castle256_line_15_0,00001_0,0001"/>
    <n v="26.971713999999999"/>
    <n v="17.501833000000001"/>
    <n v="25.391300000000001"/>
    <n v="7.5182000000000002"/>
    <n v="19.752099999999999"/>
    <n v="26.6373"/>
    <n v="28.432200000000002"/>
    <s v="BM3D"/>
    <n v="28.432200000000002"/>
    <n v="1"/>
    <n v="199"/>
    <n v="83"/>
    <n v="81"/>
    <b v="1"/>
  </r>
  <r>
    <x v="3"/>
    <x v="2"/>
    <x v="2"/>
    <n v="1.0000000000000001E-5"/>
    <x v="1"/>
    <s v="castle256_line_15_0,00001_0,001"/>
    <n v="13.590491"/>
    <n v="17.169149999999998"/>
    <n v="15.508699999999999"/>
    <n v="7.5182000000000002"/>
    <n v="17.615400000000001"/>
    <n v="19.458100000000002"/>
    <n v="20.586500000000001"/>
    <s v="BM3D"/>
    <n v="20.586500000000001"/>
    <n v="1"/>
    <n v="162"/>
    <n v="68"/>
    <n v="66"/>
    <b v="1"/>
  </r>
  <r>
    <x v="3"/>
    <x v="2"/>
    <x v="2"/>
    <n v="1.0000000000000001E-5"/>
    <x v="2"/>
    <s v="castle256_line_15_0,00001_0,01"/>
    <n v="7.9597249999999997"/>
    <n v="17.372914000000002"/>
    <n v="6.5157999999999996"/>
    <n v="7.5182000000000002"/>
    <n v="13.296799999999999"/>
    <n v="12.4673"/>
    <n v="14.1866"/>
    <s v="BM3D"/>
    <n v="14.1866"/>
    <n v="1"/>
    <n v="131"/>
    <n v="55"/>
    <n v="53"/>
    <b v="1"/>
  </r>
  <r>
    <x v="3"/>
    <x v="2"/>
    <x v="2"/>
    <n v="1.0000000000000001E-5"/>
    <x v="3"/>
    <s v="castle256_line_15_0,00001_0,1"/>
    <n v="5.2333270000000001"/>
    <n v="17.471326999999999"/>
    <n v="1.2032"/>
    <n v="7.5182000000000002"/>
    <n v="8.0086999999999993"/>
    <n v="7.9785000000000004"/>
    <n v="9.6334"/>
    <s v="BM3D"/>
    <n v="9.6334"/>
    <n v="1"/>
    <n v="109"/>
    <n v="46"/>
    <n v="44"/>
    <b v="1"/>
  </r>
  <r>
    <x v="3"/>
    <x v="2"/>
    <x v="3"/>
    <n v="1.0000000000000001E-5"/>
    <x v="0"/>
    <s v="castle256_line_31_0,00001_0,0001"/>
    <n v="24.487696"/>
    <n v="36.849814000000002"/>
    <n v="25.407900000000001"/>
    <n v="5.7595000000000001"/>
    <n v="19.8841"/>
    <n v="26.421299999999999"/>
    <n v="28.380600000000001"/>
    <s v="BM3D"/>
    <n v="28.380600000000001"/>
    <n v="1"/>
    <n v="199"/>
    <n v="83"/>
    <n v="81"/>
    <b v="1"/>
  </r>
  <r>
    <x v="3"/>
    <x v="2"/>
    <x v="3"/>
    <n v="1.0000000000000001E-5"/>
    <x v="1"/>
    <s v="castle256_line_31_0,00001_0,001"/>
    <n v="10.605297"/>
    <n v="35.686950000000003"/>
    <n v="15.513299999999999"/>
    <n v="5.7595000000000001"/>
    <n v="17.604399999999998"/>
    <n v="19.031700000000001"/>
    <n v="20.6142"/>
    <s v="BM3D"/>
    <n v="20.6142"/>
    <n v="1"/>
    <n v="162"/>
    <n v="68"/>
    <n v="66"/>
    <b v="1"/>
  </r>
  <r>
    <x v="3"/>
    <x v="2"/>
    <x v="3"/>
    <n v="1.0000000000000001E-5"/>
    <x v="2"/>
    <s v="castle256_line_31_0,00001_0,01"/>
    <n v="5.7717219999999996"/>
    <n v="35.789613000000003"/>
    <n v="6.4596"/>
    <n v="5.7595000000000001"/>
    <n v="13.0852"/>
    <n v="12.9001"/>
    <n v="14.110900000000001"/>
    <s v="BM3D"/>
    <n v="14.110900000000001"/>
    <n v="1"/>
    <n v="131"/>
    <n v="55"/>
    <n v="53"/>
    <b v="1"/>
  </r>
  <r>
    <x v="3"/>
    <x v="2"/>
    <x v="3"/>
    <n v="1.0000000000000001E-5"/>
    <x v="3"/>
    <s v="castle256_line_31_0,00001_0,1"/>
    <n v="3.627373"/>
    <n v="35.882668000000002"/>
    <n v="1.1862999999999999"/>
    <n v="5.7595000000000001"/>
    <n v="7.5869999999999997"/>
    <n v="6.7081"/>
    <n v="9.2698"/>
    <s v="BM3D"/>
    <n v="9.2698"/>
    <n v="1"/>
    <n v="108"/>
    <n v="45"/>
    <n v="44"/>
    <b v="1"/>
  </r>
  <r>
    <x v="3"/>
    <x v="3"/>
    <x v="0"/>
    <n v="1.0000000000000001E-5"/>
    <x v="0"/>
    <s v="castle256_blurkernel10_3_0,00001_0,0001"/>
    <n v="35.577784000000001"/>
    <n v="3.1830029999999998"/>
    <n v="25.4039"/>
    <n v="14.466100000000001"/>
    <n v="18.627099999999999"/>
    <n v="28.227699999999999"/>
    <n v="28.451499999999999"/>
    <s v="BM3D"/>
    <n v="28.451499999999999"/>
    <n v="1"/>
    <n v="199"/>
    <n v="83"/>
    <n v="81"/>
    <b v="0"/>
  </r>
  <r>
    <x v="3"/>
    <x v="3"/>
    <x v="0"/>
    <n v="1.0000000000000001E-5"/>
    <x v="1"/>
    <s v="castle256_blurkernel10_3_0,00001_0,001"/>
    <n v="26.641895999999999"/>
    <n v="3.1291020000000001"/>
    <n v="15.531599999999999"/>
    <n v="14.466100000000001"/>
    <n v="17.413900000000002"/>
    <n v="22.192799999999998"/>
    <n v="20.578900000000001"/>
    <s v="SROU03"/>
    <n v="22.192799999999998"/>
    <n v="3"/>
    <n v="71"/>
    <n v="117"/>
    <n v="169"/>
    <b v="1"/>
  </r>
  <r>
    <x v="3"/>
    <x v="3"/>
    <x v="0"/>
    <n v="1.0000000000000001E-5"/>
    <x v="2"/>
    <s v="castle256_blurkernel10_3_0,00001_0,01"/>
    <n v="22.850823999999999"/>
    <n v="3.197905"/>
    <n v="6.4325000000000001"/>
    <n v="14.466100000000001"/>
    <n v="14.8521"/>
    <n v="20.647300000000001"/>
    <n v="14.2567"/>
    <s v="SROU03"/>
    <n v="20.647300000000001"/>
    <n v="3"/>
    <n v="68"/>
    <n v="112"/>
    <n v="162"/>
    <b v="1"/>
  </r>
  <r>
    <x v="3"/>
    <x v="3"/>
    <x v="0"/>
    <n v="1.0000000000000001E-5"/>
    <x v="3"/>
    <s v="castle256_blurkernel10_3_0,00001_0,1"/>
    <n v="20.699269999999999"/>
    <n v="3.2205240000000002"/>
    <n v="1.2129000000000001"/>
    <n v="14.466100000000001"/>
    <n v="10.128"/>
    <n v="18.112300000000001"/>
    <n v="9.4200999999999997"/>
    <s v="SROU03"/>
    <n v="18.112300000000001"/>
    <n v="3"/>
    <n v="63"/>
    <n v="103"/>
    <n v="150"/>
    <b v="1"/>
  </r>
  <r>
    <x v="3"/>
    <x v="3"/>
    <x v="1"/>
    <n v="1.0000000000000001E-5"/>
    <x v="0"/>
    <s v="castle256_blurkernel10_7_0,00001_0,0001"/>
    <n v="26.285416000000001"/>
    <n v="8.2755379999999992"/>
    <n v="25.355699999999999"/>
    <n v="10.289"/>
    <n v="19.4009"/>
    <n v="27.1252"/>
    <n v="28.401"/>
    <s v="BM3D"/>
    <n v="28.401"/>
    <n v="1"/>
    <n v="199"/>
    <n v="83"/>
    <n v="81"/>
    <b v="1"/>
  </r>
  <r>
    <x v="3"/>
    <x v="3"/>
    <x v="1"/>
    <n v="1.0000000000000001E-5"/>
    <x v="1"/>
    <s v="castle256_blurkernel10_7_0,00001_0,001"/>
    <n v="15.427068"/>
    <n v="7.9800310000000003"/>
    <n v="15.5543"/>
    <n v="10.289"/>
    <n v="17.5379"/>
    <n v="20.556100000000001"/>
    <n v="20.6172"/>
    <s v="BM3D"/>
    <n v="20.6172"/>
    <n v="1"/>
    <n v="162"/>
    <n v="68"/>
    <n v="66"/>
    <b v="0"/>
  </r>
  <r>
    <x v="3"/>
    <x v="3"/>
    <x v="1"/>
    <n v="1.0000000000000001E-5"/>
    <x v="2"/>
    <s v="castle256_blurkernel10_7_0,00001_0,01"/>
    <n v="11.486419"/>
    <n v="8.0470570000000006"/>
    <n v="6.4790000000000001"/>
    <n v="10.289"/>
    <n v="13.567"/>
    <n v="16.397500000000001"/>
    <n v="14.1228"/>
    <s v="SROU03"/>
    <n v="16.397500000000001"/>
    <n v="3"/>
    <n v="59"/>
    <n v="98"/>
    <n v="142"/>
    <b v="1"/>
  </r>
  <r>
    <x v="3"/>
    <x v="3"/>
    <x v="1"/>
    <n v="1.0000000000000001E-5"/>
    <x v="3"/>
    <s v="castle256_blurkernel10_7_0,00001_0,1"/>
    <n v="9.2765900000000006"/>
    <n v="8.0969610000000003"/>
    <n v="1.1914"/>
    <n v="10.289"/>
    <n v="8.5716999999999999"/>
    <n v="9.7029999999999994"/>
    <n v="9.3056000000000001"/>
    <s v="SROU03"/>
    <n v="9.7029999999999994"/>
    <n v="3"/>
    <n v="46"/>
    <n v="76"/>
    <n v="110"/>
    <b v="0"/>
  </r>
  <r>
    <x v="3"/>
    <x v="3"/>
    <x v="2"/>
    <n v="1.0000000000000001E-5"/>
    <x v="0"/>
    <s v="castle256_blurkernel10_15_0,00001_0,0001"/>
    <n v="23.521927000000002"/>
    <n v="18.166557000000001"/>
    <n v="25.392800000000001"/>
    <n v="8.1912000000000003"/>
    <n v="19.650300000000001"/>
    <n v="26.670100000000001"/>
    <n v="28.438500000000001"/>
    <s v="BM3D"/>
    <n v="28.438500000000001"/>
    <n v="1"/>
    <n v="199"/>
    <n v="83"/>
    <n v="81"/>
    <b v="1"/>
  </r>
  <r>
    <x v="3"/>
    <x v="3"/>
    <x v="2"/>
    <n v="1.0000000000000001E-5"/>
    <x v="1"/>
    <s v="castle256_blurkernel10_15_0,00001_0,001"/>
    <n v="11.067314"/>
    <n v="17.422834999999999"/>
    <n v="15.5069"/>
    <n v="8.1912000000000003"/>
    <n v="17.607700000000001"/>
    <n v="20.6541"/>
    <n v="20.5932"/>
    <s v="SROU03"/>
    <n v="20.6541"/>
    <n v="3"/>
    <n v="68"/>
    <n v="112"/>
    <n v="162"/>
    <b v="0"/>
  </r>
  <r>
    <x v="3"/>
    <x v="3"/>
    <x v="2"/>
    <n v="1.0000000000000001E-5"/>
    <x v="2"/>
    <s v="castle256_blurkernel10_15_0,00001_0,01"/>
    <n v="7.4396110000000002"/>
    <n v="17.431749"/>
    <n v="6.4740000000000002"/>
    <n v="8.1912000000000003"/>
    <n v="13.3192"/>
    <n v="16.733699999999999"/>
    <n v="14.239000000000001"/>
    <s v="SROU03"/>
    <n v="16.733699999999999"/>
    <n v="3"/>
    <n v="60"/>
    <n v="99"/>
    <n v="143"/>
    <b v="1"/>
  </r>
  <r>
    <x v="3"/>
    <x v="3"/>
    <x v="2"/>
    <n v="1.0000000000000001E-5"/>
    <x v="3"/>
    <s v="castle256_blurkernel10_15_0,00001_0,1"/>
    <n v="5.5531899999999998"/>
    <n v="17.485913"/>
    <n v="1.1872"/>
    <n v="8.1912000000000003"/>
    <n v="8.0958000000000006"/>
    <n v="10.1869"/>
    <n v="9.3554999999999993"/>
    <s v="SROU03"/>
    <n v="10.1869"/>
    <n v="3"/>
    <n v="47"/>
    <n v="77"/>
    <n v="112"/>
    <b v="0"/>
  </r>
  <r>
    <x v="3"/>
    <x v="3"/>
    <x v="3"/>
    <n v="1.0000000000000001E-5"/>
    <x v="0"/>
    <s v="castle256_blurkernel10_31_0,00001_0,0001"/>
    <n v="22.663907999999999"/>
    <n v="37.583651000000003"/>
    <n v="25.398199999999999"/>
    <n v="6.2142999999999997"/>
    <n v="19.831399999999999"/>
    <n v="26.246500000000001"/>
    <n v="28.4633"/>
    <s v="BM3D"/>
    <n v="28.4633"/>
    <n v="1"/>
    <n v="199"/>
    <n v="83"/>
    <n v="81"/>
    <b v="1"/>
  </r>
  <r>
    <x v="3"/>
    <x v="3"/>
    <x v="3"/>
    <n v="1.0000000000000001E-5"/>
    <x v="1"/>
    <s v="castle256_blurkernel10_31_0,00001_0,001"/>
    <n v="9.1098169999999996"/>
    <n v="35.988005999999999"/>
    <n v="15.4932"/>
    <n v="6.2142999999999997"/>
    <n v="17.5535"/>
    <n v="19.8352"/>
    <n v="20.569400000000002"/>
    <s v="BM3D"/>
    <n v="20.569400000000002"/>
    <n v="1"/>
    <n v="162"/>
    <n v="68"/>
    <n v="66"/>
    <b v="0"/>
  </r>
  <r>
    <x v="3"/>
    <x v="3"/>
    <x v="3"/>
    <n v="1.0000000000000001E-5"/>
    <x v="2"/>
    <s v="castle256_blurkernel10_31_0,00001_0,01"/>
    <n v="5.3080870000000004"/>
    <n v="35.9101"/>
    <n v="6.4722999999999997"/>
    <n v="6.2142999999999997"/>
    <n v="13.1396"/>
    <n v="15.5495"/>
    <n v="14.216799999999999"/>
    <s v="SROU03"/>
    <n v="15.5495"/>
    <n v="3"/>
    <n v="57"/>
    <n v="95"/>
    <n v="138"/>
    <b v="1"/>
  </r>
  <r>
    <x v="3"/>
    <x v="3"/>
    <x v="3"/>
    <n v="1.0000000000000001E-5"/>
    <x v="3"/>
    <s v="castle256_blurkernel10_31_0,00001_0,1"/>
    <n v="3.684018"/>
    <n v="35.960791999999998"/>
    <n v="1.1920999999999999"/>
    <n v="6.2142999999999997"/>
    <n v="7.5396000000000001"/>
    <n v="8.2082999999999995"/>
    <n v="9.3469999999999995"/>
    <s v="BM3D"/>
    <n v="9.3469999999999995"/>
    <n v="1"/>
    <n v="108"/>
    <n v="45"/>
    <n v="44"/>
    <b v="1"/>
  </r>
  <r>
    <x v="4"/>
    <x v="4"/>
    <x v="4"/>
    <m/>
    <x v="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7" cacheId="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9" firstHeaderRow="1" firstDataRow="2" firstDataCol="1"/>
  <pivotFields count="20"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8" cacheId="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4:D10" firstHeaderRow="1" firstDataRow="2" firstDataCol="1"/>
  <pivotFields count="20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TICO09" fld="10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SROU03" fld="11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BM3D" fld="12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20:N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EST - Color" fld="15" subtotal="max" baseField="2" baseItem="1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20:F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4:N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G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F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R" fld="16" subtotal="max" baseField="2" baseItem="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57"/>
  <sheetViews>
    <sheetView tabSelected="1" workbookViewId="0">
      <pane ySplit="1" topLeftCell="A20" activePane="bottomLeft" state="frozen"/>
      <selection pane="bottomLeft" activeCell="E42" sqref="E42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8.28515625" bestFit="1" customWidth="1"/>
    <col min="10" max="10" width="9.85546875" bestFit="1" customWidth="1"/>
    <col min="11" max="11" width="9.42578125" bestFit="1" customWidth="1"/>
    <col min="12" max="12" width="10.28515625" bestFit="1" customWidth="1"/>
    <col min="13" max="13" width="8.5703125" bestFit="1" customWidth="1"/>
    <col min="14" max="14" width="7.85546875" bestFit="1" customWidth="1"/>
    <col min="15" max="15" width="13.85546875" bestFit="1" customWidth="1"/>
    <col min="16" max="16" width="13.7109375" bestFit="1" customWidth="1"/>
    <col min="17" max="19" width="7.42578125" customWidth="1"/>
    <col min="20" max="20" width="10.140625" bestFit="1" customWidth="1"/>
    <col min="21" max="21" width="9.140625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  <c r="N1" s="1" t="s">
        <v>16</v>
      </c>
      <c r="O1" s="1" t="s">
        <v>40</v>
      </c>
      <c r="P1" s="1" t="s">
        <v>33</v>
      </c>
      <c r="Q1" s="1" t="s">
        <v>37</v>
      </c>
      <c r="R1" s="1" t="s">
        <v>38</v>
      </c>
      <c r="S1" s="1" t="s">
        <v>39</v>
      </c>
      <c r="T1" s="1" t="s">
        <v>22</v>
      </c>
    </row>
    <row r="2" spans="1:20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34" si="0">A2&amp;"_"&amp;B2&amp;"_"&amp;C2&amp;"_"&amp;D2&amp;"_"&amp;E2</f>
        <v>lena256_blurkernel7_3_0,00001_0,0001</v>
      </c>
      <c r="G2">
        <f>IFERROR(VLOOKUP(F2,SROU03!$F:$H,2,FALSE),0)</f>
        <v>32.260831000000003</v>
      </c>
      <c r="H2">
        <f>IFERROR(VLOOKUP(F2,SROU03!$F:$H,3,FALSE),0)</f>
        <v>3.4785339999999998</v>
      </c>
      <c r="I2">
        <v>25.397200000000002</v>
      </c>
      <c r="J2">
        <v>18.031300000000002</v>
      </c>
      <c r="K2">
        <f>IFERROR(VLOOKUP(F2,TICO09!$F:$K,6,FALSE),0)</f>
        <v>20.678899999999999</v>
      </c>
      <c r="L2">
        <f>IFERROR(VLOOKUP(F2,SROU03!$F:$L,7,FALSE),0)</f>
        <v>29.180299999999999</v>
      </c>
      <c r="M2">
        <v>29.330400000000001</v>
      </c>
      <c r="N2" t="str">
        <f>IF((M2&gt;(MAX(K2,L2))),"BM3D",IF(L2&gt;(MAX(K2,M2)),"SROU03","TICO09"))</f>
        <v>BM3D</v>
      </c>
      <c r="O2">
        <f>MAX(K2:M2)</f>
        <v>29.330400000000001</v>
      </c>
      <c r="P2">
        <f>VLOOKUP(N2,'Color codes'!$A:$B,2,FALSE)</f>
        <v>1</v>
      </c>
      <c r="Q2">
        <f>TRUNC(VLOOKUP(N2,'Color codes'!$A:$E,3,FALSE)*(0.25 + 0.75*O2/40))</f>
        <v>203</v>
      </c>
      <c r="R2">
        <f>TRUNC(VLOOKUP(N2,'Color codes'!$A:$E,4,FALSE)*(0.25 + 0.75*O2/40))</f>
        <v>85</v>
      </c>
      <c r="S2">
        <f>TRUNC(VLOOKUP(N2,'Color codes'!$A:$E,5,FALSE)*(0.25 + 0.75*O2/40))</f>
        <v>83</v>
      </c>
      <c r="T2" t="b">
        <f>(ABS(L2-M2)  &gt; 1)</f>
        <v>0</v>
      </c>
    </row>
    <row r="3" spans="1:20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f>IFERROR(VLOOKUP(F3,SROU03!$F:$H,2,FALSE),0)</f>
        <v>23.370987</v>
      </c>
      <c r="H3">
        <f>IFERROR(VLOOKUP(F3,SROU03!$F:$H,3,FALSE),0)</f>
        <v>3.4364029999999999</v>
      </c>
      <c r="I3">
        <v>15.4665</v>
      </c>
      <c r="J3">
        <v>18.031300000000002</v>
      </c>
      <c r="K3">
        <f>IFERROR(VLOOKUP(F3,TICO09!$F:$K,6,FALSE),0)</f>
        <v>19.561900000000001</v>
      </c>
      <c r="L3">
        <f>IFERROR(VLOOKUP(F3,SROU03!$F:$L,7,FALSE),0)</f>
        <v>24.4711</v>
      </c>
      <c r="M3">
        <v>22.180499999999999</v>
      </c>
      <c r="N3" t="str">
        <f t="shared" ref="N3:N54" si="1">IF((M3&gt;(MAX(K3,L3))),"BM3D",IF(L3&gt;(MAX(K3,M3)),"SROU03","TICO09"))</f>
        <v>SROU03</v>
      </c>
      <c r="O3">
        <f t="shared" ref="O3:O66" si="2">MAX(K3:M3)</f>
        <v>24.4711</v>
      </c>
      <c r="P3">
        <f>VLOOKUP(N3,'Color codes'!$A:$B,2,FALSE)</f>
        <v>3</v>
      </c>
      <c r="Q3">
        <f>TRUNC(VLOOKUP(N3,'Color codes'!$A:$E,3,FALSE)*(0.25 + 0.75*O3/40))</f>
        <v>75</v>
      </c>
      <c r="R3">
        <f>TRUNC(VLOOKUP(N3,'Color codes'!$A:$E,4,FALSE)*(0.25 + 0.75*O3/40))</f>
        <v>124</v>
      </c>
      <c r="S3">
        <f>TRUNC(VLOOKUP(N3,'Color codes'!$A:$E,5,FALSE)*(0.25 + 0.75*O3/40))</f>
        <v>180</v>
      </c>
      <c r="T3" t="b">
        <f t="shared" ref="T3:T66" si="3">(ABS(L3-M3)  &gt; 1)</f>
        <v>1</v>
      </c>
    </row>
    <row r="4" spans="1:20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f>IFERROR(VLOOKUP(F4,SROU03!$F:$H,2,FALSE),0)</f>
        <v>20.963733999999999</v>
      </c>
      <c r="H4">
        <f>IFERROR(VLOOKUP(F4,SROU03!$F:$H,3,FALSE),0)</f>
        <v>3.4717739999999999</v>
      </c>
      <c r="I4">
        <v>6.5141999999999998</v>
      </c>
      <c r="J4">
        <v>18.031300000000002</v>
      </c>
      <c r="K4">
        <f>IFERROR(VLOOKUP(F4,TICO09!$F:$K,6,FALSE),0)</f>
        <v>17.215399999999999</v>
      </c>
      <c r="L4">
        <f>IFERROR(VLOOKUP(F4,SROU03!$F:$L,7,FALSE),0)</f>
        <v>22.8185</v>
      </c>
      <c r="M4">
        <v>15.7753</v>
      </c>
      <c r="N4" t="str">
        <f t="shared" si="1"/>
        <v>SROU03</v>
      </c>
      <c r="O4">
        <f t="shared" si="2"/>
        <v>22.8185</v>
      </c>
      <c r="P4">
        <f>VLOOKUP(N4,'Color codes'!$A:$B,2,FALSE)</f>
        <v>3</v>
      </c>
      <c r="Q4">
        <f>TRUNC(VLOOKUP(N4,'Color codes'!$A:$E,3,FALSE)*(0.25 + 0.75*O4/40))</f>
        <v>72</v>
      </c>
      <c r="R4">
        <f>TRUNC(VLOOKUP(N4,'Color codes'!$A:$E,4,FALSE)*(0.25 + 0.75*O4/40))</f>
        <v>119</v>
      </c>
      <c r="S4">
        <f>TRUNC(VLOOKUP(N4,'Color codes'!$A:$E,5,FALSE)*(0.25 + 0.75*O4/40))</f>
        <v>172</v>
      </c>
      <c r="T4" t="b">
        <f t="shared" si="3"/>
        <v>1</v>
      </c>
    </row>
    <row r="5" spans="1:20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f>IFERROR(VLOOKUP(F5,SROU03!$F:$H,2,FALSE),0)</f>
        <v>19.382439000000002</v>
      </c>
      <c r="H5">
        <f>IFERROR(VLOOKUP(F5,SROU03!$F:$H,3,FALSE),0)</f>
        <v>3.4874779999999999</v>
      </c>
      <c r="I5">
        <v>1.2513000000000001</v>
      </c>
      <c r="J5">
        <v>18.031300000000002</v>
      </c>
      <c r="K5">
        <f>IFERROR(VLOOKUP(F5,TICO09!$F:$K,6,FALSE),0)</f>
        <v>11.4527</v>
      </c>
      <c r="L5">
        <f>IFERROR(VLOOKUP(F5,SROU03!$F:$L,7,FALSE),0)</f>
        <v>21.4526</v>
      </c>
      <c r="M5">
        <v>10.326599999999999</v>
      </c>
      <c r="N5" t="str">
        <f t="shared" si="1"/>
        <v>SROU03</v>
      </c>
      <c r="O5">
        <f t="shared" si="2"/>
        <v>21.4526</v>
      </c>
      <c r="P5">
        <f>VLOOKUP(N5,'Color codes'!$A:$B,2,FALSE)</f>
        <v>3</v>
      </c>
      <c r="Q5">
        <f>TRUNC(VLOOKUP(N5,'Color codes'!$A:$E,3,FALSE)*(0.25 + 0.75*O5/40))</f>
        <v>69</v>
      </c>
      <c r="R5">
        <f>TRUNC(VLOOKUP(N5,'Color codes'!$A:$E,4,FALSE)*(0.25 + 0.75*O5/40))</f>
        <v>114</v>
      </c>
      <c r="S5">
        <f>TRUNC(VLOOKUP(N5,'Color codes'!$A:$E,5,FALSE)*(0.25 + 0.75*O5/40))</f>
        <v>166</v>
      </c>
      <c r="T5" t="b">
        <f t="shared" si="3"/>
        <v>1</v>
      </c>
    </row>
    <row r="6" spans="1:20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f>IFERROR(VLOOKUP(F6,SROU03!$F:$H,2,FALSE),0)</f>
        <v>23.905918</v>
      </c>
      <c r="H6">
        <f>IFERROR(VLOOKUP(F6,SROU03!$F:$H,3,FALSE),0)</f>
        <v>9.0063759999999995</v>
      </c>
      <c r="I6">
        <v>25.450399999999998</v>
      </c>
      <c r="J6">
        <v>12.1754</v>
      </c>
      <c r="K6">
        <f>IFERROR(VLOOKUP(F6,TICO09!$F:$K,6,FALSE),0)</f>
        <v>20.502500000000001</v>
      </c>
      <c r="L6">
        <f>IFERROR(VLOOKUP(F6,SROU03!$F:$L,7,FALSE),0)</f>
        <v>27.524899999999999</v>
      </c>
      <c r="M6">
        <v>29.376999999999999</v>
      </c>
      <c r="N6" t="str">
        <f t="shared" si="1"/>
        <v>BM3D</v>
      </c>
      <c r="O6">
        <f t="shared" si="2"/>
        <v>29.376999999999999</v>
      </c>
      <c r="P6">
        <f>VLOOKUP(N6,'Color codes'!$A:$B,2,FALSE)</f>
        <v>1</v>
      </c>
      <c r="Q6">
        <f>TRUNC(VLOOKUP(N6,'Color codes'!$A:$E,3,FALSE)*(0.25 + 0.75*O6/40))</f>
        <v>204</v>
      </c>
      <c r="R6">
        <f>TRUNC(VLOOKUP(N6,'Color codes'!$A:$E,4,FALSE)*(0.25 + 0.75*O6/40))</f>
        <v>85</v>
      </c>
      <c r="S6">
        <f>TRUNC(VLOOKUP(N6,'Color codes'!$A:$E,5,FALSE)*(0.25 + 0.75*O6/40))</f>
        <v>83</v>
      </c>
      <c r="T6" t="b">
        <f t="shared" si="3"/>
        <v>1</v>
      </c>
    </row>
    <row r="7" spans="1:20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f>IFERROR(VLOOKUP(F7,SROU03!$F:$H,2,FALSE),0)</f>
        <v>13.819652</v>
      </c>
      <c r="H7">
        <f>IFERROR(VLOOKUP(F7,SROU03!$F:$H,3,FALSE),0)</f>
        <v>8.6742010000000001</v>
      </c>
      <c r="I7">
        <v>15.5129</v>
      </c>
      <c r="J7">
        <v>12.1754</v>
      </c>
      <c r="K7">
        <f>IFERROR(VLOOKUP(F7,TICO09!$F:$K,6,FALSE),0)</f>
        <v>18.297499999999999</v>
      </c>
      <c r="L7">
        <f>IFERROR(VLOOKUP(F7,SROU03!$F:$L,7,FALSE),0)</f>
        <v>21.5318</v>
      </c>
      <c r="M7">
        <v>22.194700000000001</v>
      </c>
      <c r="N7" t="str">
        <f t="shared" si="1"/>
        <v>BM3D</v>
      </c>
      <c r="O7">
        <f t="shared" si="2"/>
        <v>22.194700000000001</v>
      </c>
      <c r="P7">
        <f>VLOOKUP(N7,'Color codes'!$A:$B,2,FALSE)</f>
        <v>1</v>
      </c>
      <c r="Q7">
        <f>TRUNC(VLOOKUP(N7,'Color codes'!$A:$E,3,FALSE)*(0.25 + 0.75*O7/40))</f>
        <v>169</v>
      </c>
      <c r="R7">
        <f>TRUNC(VLOOKUP(N7,'Color codes'!$A:$E,4,FALSE)*(0.25 + 0.75*O7/40))</f>
        <v>71</v>
      </c>
      <c r="S7">
        <f>TRUNC(VLOOKUP(N7,'Color codes'!$A:$E,5,FALSE)*(0.25 + 0.75*O7/40))</f>
        <v>69</v>
      </c>
      <c r="T7" t="b">
        <f t="shared" si="3"/>
        <v>0</v>
      </c>
    </row>
    <row r="8" spans="1:20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f>IFERROR(VLOOKUP(F8,SROU03!$F:$H,2,FALSE),0)</f>
        <v>10.544936</v>
      </c>
      <c r="H8">
        <f>IFERROR(VLOOKUP(F8,SROU03!$F:$H,3,FALSE),0)</f>
        <v>8.7246009999999998</v>
      </c>
      <c r="I8">
        <v>6.5285000000000002</v>
      </c>
      <c r="J8">
        <v>12.1754</v>
      </c>
      <c r="K8">
        <f>IFERROR(VLOOKUP(F8,TICO09!$F:$K,6,FALSE),0)</f>
        <v>14.407500000000001</v>
      </c>
      <c r="L8">
        <f>IFERROR(VLOOKUP(F8,SROU03!$F:$L,7,FALSE),0)</f>
        <v>17.1616</v>
      </c>
      <c r="M8">
        <v>15.901400000000001</v>
      </c>
      <c r="N8" t="str">
        <f t="shared" si="1"/>
        <v>SROU03</v>
      </c>
      <c r="O8">
        <f t="shared" si="2"/>
        <v>17.1616</v>
      </c>
      <c r="P8">
        <f>VLOOKUP(N8,'Color codes'!$A:$B,2,FALSE)</f>
        <v>3</v>
      </c>
      <c r="Q8">
        <f>TRUNC(VLOOKUP(N8,'Color codes'!$A:$E,3,FALSE)*(0.25 + 0.75*O8/40))</f>
        <v>61</v>
      </c>
      <c r="R8">
        <f>TRUNC(VLOOKUP(N8,'Color codes'!$A:$E,4,FALSE)*(0.25 + 0.75*O8/40))</f>
        <v>100</v>
      </c>
      <c r="S8">
        <f>TRUNC(VLOOKUP(N8,'Color codes'!$A:$E,5,FALSE)*(0.25 + 0.75*O8/40))</f>
        <v>145</v>
      </c>
      <c r="T8" t="b">
        <f t="shared" si="3"/>
        <v>1</v>
      </c>
    </row>
    <row r="9" spans="1:20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f>IFERROR(VLOOKUP(F9,SROU03!$F:$H,2,FALSE),0)</f>
        <v>8.8418050000000008</v>
      </c>
      <c r="H9">
        <f>IFERROR(VLOOKUP(F9,SROU03!$F:$H,3,FALSE),0)</f>
        <v>8.7683319999999991</v>
      </c>
      <c r="I9">
        <v>1.2424999999999999</v>
      </c>
      <c r="J9">
        <v>12.1754</v>
      </c>
      <c r="K9">
        <f>IFERROR(VLOOKUP(F9,TICO09!$F:$K,6,FALSE),0)</f>
        <v>9.5831999999999997</v>
      </c>
      <c r="L9">
        <f>IFERROR(VLOOKUP(F9,SROU03!$F:$L,7,FALSE),0)</f>
        <v>12.1669</v>
      </c>
      <c r="M9">
        <v>10.2119</v>
      </c>
      <c r="N9" t="str">
        <f t="shared" si="1"/>
        <v>SROU03</v>
      </c>
      <c r="O9">
        <f t="shared" si="2"/>
        <v>12.1669</v>
      </c>
      <c r="P9">
        <f>VLOOKUP(N9,'Color codes'!$A:$B,2,FALSE)</f>
        <v>3</v>
      </c>
      <c r="Q9">
        <f>TRUNC(VLOOKUP(N9,'Color codes'!$A:$E,3,FALSE)*(0.25 + 0.75*O9/40))</f>
        <v>51</v>
      </c>
      <c r="R9">
        <f>TRUNC(VLOOKUP(N9,'Color codes'!$A:$E,4,FALSE)*(0.25 + 0.75*O9/40))</f>
        <v>84</v>
      </c>
      <c r="S9">
        <f>TRUNC(VLOOKUP(N9,'Color codes'!$A:$E,5,FALSE)*(0.25 + 0.75*O9/40))</f>
        <v>121</v>
      </c>
      <c r="T9" t="b">
        <f t="shared" si="3"/>
        <v>1</v>
      </c>
    </row>
    <row r="10" spans="1:20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f>IFERROR(VLOOKUP(F10,SROU03!$F:$H,2,FALSE),0)</f>
        <v>21.302917999999998</v>
      </c>
      <c r="H10">
        <f>IFERROR(VLOOKUP(F10,SROU03!$F:$H,3,FALSE),0)</f>
        <v>19.724388999999999</v>
      </c>
      <c r="I10">
        <v>25.39</v>
      </c>
      <c r="J10">
        <v>8.2112999999999996</v>
      </c>
      <c r="K10">
        <f>IFERROR(VLOOKUP(F10,TICO09!$F:$K,6,FALSE),0)</f>
        <v>21.2897</v>
      </c>
      <c r="L10">
        <f>IFERROR(VLOOKUP(F10,SROU03!$F:$L,7,FALSE),0)</f>
        <v>26.959299999999999</v>
      </c>
      <c r="M10">
        <v>29.338799999999999</v>
      </c>
      <c r="N10" t="str">
        <f t="shared" si="1"/>
        <v>BM3D</v>
      </c>
      <c r="O10">
        <f t="shared" si="2"/>
        <v>29.338799999999999</v>
      </c>
      <c r="P10">
        <f>VLOOKUP(N10,'Color codes'!$A:$B,2,FALSE)</f>
        <v>1</v>
      </c>
      <c r="Q10">
        <f>TRUNC(VLOOKUP(N10,'Color codes'!$A:$E,3,FALSE)*(0.25 + 0.75*O10/40))</f>
        <v>204</v>
      </c>
      <c r="R10">
        <f>TRUNC(VLOOKUP(N10,'Color codes'!$A:$E,4,FALSE)*(0.25 + 0.75*O10/40))</f>
        <v>85</v>
      </c>
      <c r="S10">
        <f>TRUNC(VLOOKUP(N10,'Color codes'!$A:$E,5,FALSE)*(0.25 + 0.75*O10/40))</f>
        <v>83</v>
      </c>
      <c r="T10" t="b">
        <f t="shared" si="3"/>
        <v>1</v>
      </c>
    </row>
    <row r="11" spans="1:20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f>IFERROR(VLOOKUP(F11,SROU03!$F:$H,2,FALSE),0)</f>
        <v>9.2041240000000002</v>
      </c>
      <c r="H11">
        <f>IFERROR(VLOOKUP(F11,SROU03!$F:$H,3,FALSE),0)</f>
        <v>18.917470999999999</v>
      </c>
      <c r="I11">
        <v>15.5168</v>
      </c>
      <c r="J11">
        <v>8.2112999999999996</v>
      </c>
      <c r="K11">
        <f>IFERROR(VLOOKUP(F11,TICO09!$F:$K,6,FALSE),0)</f>
        <v>18.6632</v>
      </c>
      <c r="L11">
        <f>IFERROR(VLOOKUP(F11,SROU03!$F:$L,7,FALSE),0)</f>
        <v>20.640499999999999</v>
      </c>
      <c r="M11">
        <v>22.134399999999999</v>
      </c>
      <c r="N11" t="str">
        <f t="shared" si="1"/>
        <v>BM3D</v>
      </c>
      <c r="O11">
        <f t="shared" si="2"/>
        <v>22.134399999999999</v>
      </c>
      <c r="P11">
        <f>VLOOKUP(N11,'Color codes'!$A:$B,2,FALSE)</f>
        <v>1</v>
      </c>
      <c r="Q11">
        <f>TRUNC(VLOOKUP(N11,'Color codes'!$A:$E,3,FALSE)*(0.25 + 0.75*O11/40))</f>
        <v>169</v>
      </c>
      <c r="R11">
        <f>TRUNC(VLOOKUP(N11,'Color codes'!$A:$E,4,FALSE)*(0.25 + 0.75*O11/40))</f>
        <v>71</v>
      </c>
      <c r="S11">
        <f>TRUNC(VLOOKUP(N11,'Color codes'!$A:$E,5,FALSE)*(0.25 + 0.75*O11/40))</f>
        <v>69</v>
      </c>
      <c r="T11" t="b">
        <f t="shared" si="3"/>
        <v>1</v>
      </c>
    </row>
    <row r="12" spans="1:20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f>IFERROR(VLOOKUP(F12,SROU03!$F:$H,2,FALSE),0)</f>
        <v>6.1624420000000004</v>
      </c>
      <c r="H12">
        <f>IFERROR(VLOOKUP(F12,SROU03!$F:$H,3,FALSE),0)</f>
        <v>18.878160999999999</v>
      </c>
      <c r="I12">
        <v>6.5491999999999999</v>
      </c>
      <c r="J12">
        <v>8.2112999999999996</v>
      </c>
      <c r="K12">
        <f>IFERROR(VLOOKUP(F12,TICO09!$F:$K,6,FALSE),0)</f>
        <v>13.740399999999999</v>
      </c>
      <c r="L12">
        <f>IFERROR(VLOOKUP(F12,SROU03!$F:$L,7,FALSE),0)</f>
        <v>17.5151</v>
      </c>
      <c r="M12">
        <v>15.8233</v>
      </c>
      <c r="N12" t="str">
        <f t="shared" si="1"/>
        <v>SROU03</v>
      </c>
      <c r="O12">
        <f t="shared" si="2"/>
        <v>17.5151</v>
      </c>
      <c r="P12">
        <f>VLOOKUP(N12,'Color codes'!$A:$B,2,FALSE)</f>
        <v>3</v>
      </c>
      <c r="Q12">
        <f>TRUNC(VLOOKUP(N12,'Color codes'!$A:$E,3,FALSE)*(0.25 + 0.75*O12/40))</f>
        <v>61</v>
      </c>
      <c r="R12">
        <f>TRUNC(VLOOKUP(N12,'Color codes'!$A:$E,4,FALSE)*(0.25 + 0.75*O12/40))</f>
        <v>101</v>
      </c>
      <c r="S12">
        <f>TRUNC(VLOOKUP(N12,'Color codes'!$A:$E,5,FALSE)*(0.25 + 0.75*O12/40))</f>
        <v>147</v>
      </c>
      <c r="T12" t="b">
        <f t="shared" si="3"/>
        <v>1</v>
      </c>
    </row>
    <row r="13" spans="1:20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f>IFERROR(VLOOKUP(F13,SROU03!$F:$H,2,FALSE),0)</f>
        <v>5.1002859999999997</v>
      </c>
      <c r="H13">
        <f>IFERROR(VLOOKUP(F13,SROU03!$F:$H,3,FALSE),0)</f>
        <v>18.896519999999999</v>
      </c>
      <c r="I13">
        <v>1.2482</v>
      </c>
      <c r="J13">
        <v>8.2112999999999996</v>
      </c>
      <c r="K13">
        <f>IFERROR(VLOOKUP(F13,TICO09!$F:$K,6,FALSE),0)</f>
        <v>8.2053999999999991</v>
      </c>
      <c r="L13">
        <f>IFERROR(VLOOKUP(F13,SROU03!$F:$L,7,FALSE),0)</f>
        <v>11.1317</v>
      </c>
      <c r="M13">
        <v>10.2546</v>
      </c>
      <c r="N13" t="str">
        <f t="shared" si="1"/>
        <v>SROU03</v>
      </c>
      <c r="O13">
        <f t="shared" si="2"/>
        <v>11.1317</v>
      </c>
      <c r="P13">
        <f>VLOOKUP(N13,'Color codes'!$A:$B,2,FALSE)</f>
        <v>3</v>
      </c>
      <c r="Q13">
        <f>TRUNC(VLOOKUP(N13,'Color codes'!$A:$E,3,FALSE)*(0.25 + 0.75*O13/40))</f>
        <v>49</v>
      </c>
      <c r="R13">
        <f>TRUNC(VLOOKUP(N13,'Color codes'!$A:$E,4,FALSE)*(0.25 + 0.75*O13/40))</f>
        <v>80</v>
      </c>
      <c r="S13">
        <f>TRUNC(VLOOKUP(N13,'Color codes'!$A:$E,5,FALSE)*(0.25 + 0.75*O13/40))</f>
        <v>116</v>
      </c>
      <c r="T13" t="b">
        <f t="shared" si="3"/>
        <v>0</v>
      </c>
    </row>
    <row r="14" spans="1:20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f>IFERROR(VLOOKUP(F14,SROU03!$F:$H,2,FALSE),0)</f>
        <v>20.477471000000001</v>
      </c>
      <c r="H14">
        <f>IFERROR(VLOOKUP(F14,SROU03!$F:$H,3,FALSE),0)</f>
        <v>40.714295</v>
      </c>
      <c r="I14">
        <v>25.386600000000001</v>
      </c>
      <c r="J14">
        <v>5.3192000000000004</v>
      </c>
      <c r="K14">
        <f>IFERROR(VLOOKUP(F14,TICO09!$F:$K,6,FALSE),0)</f>
        <v>21.2895</v>
      </c>
      <c r="L14">
        <f>IFERROR(VLOOKUP(F14,SROU03!$F:$L,7,FALSE),0)</f>
        <v>26.051300000000001</v>
      </c>
      <c r="M14">
        <v>29.312200000000001</v>
      </c>
      <c r="N14" t="str">
        <f t="shared" si="1"/>
        <v>BM3D</v>
      </c>
      <c r="O14">
        <f t="shared" si="2"/>
        <v>29.312200000000001</v>
      </c>
      <c r="P14">
        <f>VLOOKUP(N14,'Color codes'!$A:$B,2,FALSE)</f>
        <v>1</v>
      </c>
      <c r="Q14">
        <f>TRUNC(VLOOKUP(N14,'Color codes'!$A:$E,3,FALSE)*(0.25 + 0.75*O14/40))</f>
        <v>203</v>
      </c>
      <c r="R14">
        <f>TRUNC(VLOOKUP(N14,'Color codes'!$A:$E,4,FALSE)*(0.25 + 0.75*O14/40))</f>
        <v>85</v>
      </c>
      <c r="S14">
        <f>TRUNC(VLOOKUP(N14,'Color codes'!$A:$E,5,FALSE)*(0.25 + 0.75*O14/40))</f>
        <v>83</v>
      </c>
      <c r="T14" t="b">
        <f t="shared" si="3"/>
        <v>1</v>
      </c>
    </row>
    <row r="15" spans="1:20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f>IFERROR(VLOOKUP(F15,SROU03!$F:$H,2,FALSE),0)</f>
        <v>7.654541</v>
      </c>
      <c r="H15">
        <f>IFERROR(VLOOKUP(F15,SROU03!$F:$H,3,FALSE),0)</f>
        <v>38.887275000000002</v>
      </c>
      <c r="I15">
        <v>15.5265</v>
      </c>
      <c r="J15">
        <v>5.3192000000000004</v>
      </c>
      <c r="K15">
        <f>IFERROR(VLOOKUP(F15,TICO09!$F:$K,6,FALSE),0)</f>
        <v>18.517199999999999</v>
      </c>
      <c r="L15">
        <f>IFERROR(VLOOKUP(F15,SROU03!$F:$L,7,FALSE),0)</f>
        <v>19.459800000000001</v>
      </c>
      <c r="M15">
        <v>22.143999999999998</v>
      </c>
      <c r="N15" t="str">
        <f t="shared" si="1"/>
        <v>BM3D</v>
      </c>
      <c r="O15">
        <f t="shared" si="2"/>
        <v>22.143999999999998</v>
      </c>
      <c r="P15">
        <f>VLOOKUP(N15,'Color codes'!$A:$B,2,FALSE)</f>
        <v>1</v>
      </c>
      <c r="Q15">
        <f>TRUNC(VLOOKUP(N15,'Color codes'!$A:$E,3,FALSE)*(0.25 + 0.75*O15/40))</f>
        <v>169</v>
      </c>
      <c r="R15">
        <f>TRUNC(VLOOKUP(N15,'Color codes'!$A:$E,4,FALSE)*(0.25 + 0.75*O15/40))</f>
        <v>71</v>
      </c>
      <c r="S15">
        <f>TRUNC(VLOOKUP(N15,'Color codes'!$A:$E,5,FALSE)*(0.25 + 0.75*O15/40))</f>
        <v>69</v>
      </c>
      <c r="T15" t="b">
        <f t="shared" si="3"/>
        <v>1</v>
      </c>
    </row>
    <row r="16" spans="1:20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f>IFERROR(VLOOKUP(F16,SROU03!$F:$H,2,FALSE),0)</f>
        <v>4.0996449999999998</v>
      </c>
      <c r="H16">
        <f>IFERROR(VLOOKUP(F16,SROU03!$F:$H,3,FALSE),0)</f>
        <v>38.752980000000001</v>
      </c>
      <c r="I16">
        <v>6.5175999999999998</v>
      </c>
      <c r="J16">
        <v>5.3192000000000004</v>
      </c>
      <c r="K16">
        <f>IFERROR(VLOOKUP(F16,TICO09!$F:$K,6,FALSE),0)</f>
        <v>13.5914</v>
      </c>
      <c r="L16">
        <f>IFERROR(VLOOKUP(F16,SROU03!$F:$L,7,FALSE),0)</f>
        <v>15.3955</v>
      </c>
      <c r="M16">
        <v>15.7689</v>
      </c>
      <c r="N16" t="str">
        <f t="shared" si="1"/>
        <v>BM3D</v>
      </c>
      <c r="O16">
        <f t="shared" si="2"/>
        <v>15.7689</v>
      </c>
      <c r="P16">
        <f>VLOOKUP(N16,'Color codes'!$A:$B,2,FALSE)</f>
        <v>1</v>
      </c>
      <c r="Q16">
        <f>TRUNC(VLOOKUP(N16,'Color codes'!$A:$E,3,FALSE)*(0.25 + 0.75*O16/40))</f>
        <v>139</v>
      </c>
      <c r="R16">
        <f>TRUNC(VLOOKUP(N16,'Color codes'!$A:$E,4,FALSE)*(0.25 + 0.75*O16/40))</f>
        <v>58</v>
      </c>
      <c r="S16">
        <f>TRUNC(VLOOKUP(N16,'Color codes'!$A:$E,5,FALSE)*(0.25 + 0.75*O16/40))</f>
        <v>56</v>
      </c>
      <c r="T16" t="b">
        <f t="shared" si="3"/>
        <v>0</v>
      </c>
    </row>
    <row r="17" spans="1:20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f>IFERROR(VLOOKUP(F17,SROU03!$F:$H,2,FALSE),0)</f>
        <v>3.2188210000000002</v>
      </c>
      <c r="H17">
        <f>IFERROR(VLOOKUP(F17,SROU03!$F:$H,3,FALSE),0)</f>
        <v>38.751489999999997</v>
      </c>
      <c r="I17">
        <v>1.2656000000000001</v>
      </c>
      <c r="J17">
        <v>5.3192000000000004</v>
      </c>
      <c r="K17">
        <f>IFERROR(VLOOKUP(F17,TICO09!$F:$K,6,FALSE),0)</f>
        <v>7.7866</v>
      </c>
      <c r="L17">
        <f>IFERROR(VLOOKUP(F17,SROU03!$F:$L,7,FALSE),0)</f>
        <v>8.4518000000000004</v>
      </c>
      <c r="M17">
        <v>10.2241</v>
      </c>
      <c r="N17" t="str">
        <f t="shared" si="1"/>
        <v>BM3D</v>
      </c>
      <c r="O17">
        <f t="shared" si="2"/>
        <v>10.2241</v>
      </c>
      <c r="P17">
        <f>VLOOKUP(N17,'Color codes'!$A:$B,2,FALSE)</f>
        <v>1</v>
      </c>
      <c r="Q17">
        <f>TRUNC(VLOOKUP(N17,'Color codes'!$A:$E,3,FALSE)*(0.25 + 0.75*O17/40))</f>
        <v>112</v>
      </c>
      <c r="R17">
        <f>TRUNC(VLOOKUP(N17,'Color codes'!$A:$E,4,FALSE)*(0.25 + 0.75*O17/40))</f>
        <v>47</v>
      </c>
      <c r="S17">
        <f>TRUNC(VLOOKUP(N17,'Color codes'!$A:$E,5,FALSE)*(0.25 + 0.75*O17/40))</f>
        <v>45</v>
      </c>
      <c r="T17" t="b">
        <f t="shared" si="3"/>
        <v>1</v>
      </c>
    </row>
    <row r="18" spans="1:20" x14ac:dyDescent="0.25">
      <c r="A18" t="s">
        <v>7</v>
      </c>
      <c r="B18" t="s">
        <v>9</v>
      </c>
      <c r="C18">
        <v>3</v>
      </c>
      <c r="D18">
        <v>1.0000000000000001E-5</v>
      </c>
      <c r="E18">
        <v>1E-4</v>
      </c>
      <c r="F18" t="str">
        <f t="shared" si="0"/>
        <v>lena256_blurkernel8_3_0,00001_0,0001</v>
      </c>
      <c r="G18">
        <f>IFERROR(VLOOKUP(F18,SROU03!$F:$H,2,FALSE),0)</f>
        <v>33.624616000000003</v>
      </c>
      <c r="H18">
        <f>IFERROR(VLOOKUP(F18,SROU03!$F:$H,3,FALSE),0)</f>
        <v>3.4125200000000002</v>
      </c>
      <c r="I18">
        <v>25.432700000000001</v>
      </c>
      <c r="J18">
        <v>17.587499999999999</v>
      </c>
      <c r="K18">
        <f>IFERROR(VLOOKUP(F18,TICO09!$F:$K,6,FALSE),0)</f>
        <v>20.760100000000001</v>
      </c>
      <c r="L18">
        <f>IFERROR(VLOOKUP(F18,SROU03!$F:$L,7,FALSE),0)</f>
        <v>29.79</v>
      </c>
      <c r="M18">
        <v>29.328099999999999</v>
      </c>
      <c r="N18" t="str">
        <f t="shared" si="1"/>
        <v>SROU03</v>
      </c>
      <c r="O18">
        <f t="shared" si="2"/>
        <v>29.79</v>
      </c>
      <c r="P18">
        <f>VLOOKUP(N18,'Color codes'!$A:$B,2,FALSE)</f>
        <v>3</v>
      </c>
      <c r="Q18">
        <f>TRUNC(VLOOKUP(N18,'Color codes'!$A:$E,3,FALSE)*(0.25 + 0.75*O18/40))</f>
        <v>86</v>
      </c>
      <c r="R18">
        <f>TRUNC(VLOOKUP(N18,'Color codes'!$A:$E,4,FALSE)*(0.25 + 0.75*O18/40))</f>
        <v>142</v>
      </c>
      <c r="S18">
        <f>TRUNC(VLOOKUP(N18,'Color codes'!$A:$E,5,FALSE)*(0.25 + 0.75*O18/40))</f>
        <v>206</v>
      </c>
      <c r="T18" t="b">
        <f t="shared" si="3"/>
        <v>0</v>
      </c>
    </row>
    <row r="19" spans="1:20" x14ac:dyDescent="0.25">
      <c r="A19" t="s">
        <v>7</v>
      </c>
      <c r="B19" t="s">
        <v>9</v>
      </c>
      <c r="C19">
        <v>3</v>
      </c>
      <c r="D19">
        <v>1.0000000000000001E-5</v>
      </c>
      <c r="E19">
        <v>1E-3</v>
      </c>
      <c r="F19" t="str">
        <f t="shared" si="0"/>
        <v>lena256_blurkernel8_3_0,00001_0,001</v>
      </c>
      <c r="G19">
        <f>IFERROR(VLOOKUP(F19,SROU03!$F:$H,2,FALSE),0)</f>
        <v>24.065653999999999</v>
      </c>
      <c r="H19">
        <f>IFERROR(VLOOKUP(F19,SROU03!$F:$H,3,FALSE),0)</f>
        <v>3.412312</v>
      </c>
      <c r="I19">
        <v>15.489699999999999</v>
      </c>
      <c r="J19">
        <v>17.587499999999999</v>
      </c>
      <c r="K19">
        <f>IFERROR(VLOOKUP(F19,TICO09!$F:$K,6,FALSE),0)</f>
        <v>19.631399999999999</v>
      </c>
      <c r="L19">
        <f>IFERROR(VLOOKUP(F19,SROU03!$F:$L,7,FALSE),0)</f>
        <v>26.088699999999999</v>
      </c>
      <c r="M19">
        <v>22.172599999999999</v>
      </c>
      <c r="N19" t="str">
        <f t="shared" si="1"/>
        <v>SROU03</v>
      </c>
      <c r="O19">
        <f t="shared" si="2"/>
        <v>26.088699999999999</v>
      </c>
      <c r="P19">
        <f>VLOOKUP(N19,'Color codes'!$A:$B,2,FALSE)</f>
        <v>3</v>
      </c>
      <c r="Q19">
        <f>TRUNC(VLOOKUP(N19,'Color codes'!$A:$E,3,FALSE)*(0.25 + 0.75*O19/40))</f>
        <v>79</v>
      </c>
      <c r="R19">
        <f>TRUNC(VLOOKUP(N19,'Color codes'!$A:$E,4,FALSE)*(0.25 + 0.75*O19/40))</f>
        <v>130</v>
      </c>
      <c r="S19">
        <f>TRUNC(VLOOKUP(N19,'Color codes'!$A:$E,5,FALSE)*(0.25 + 0.75*O19/40))</f>
        <v>188</v>
      </c>
      <c r="T19" t="b">
        <f t="shared" si="3"/>
        <v>1</v>
      </c>
    </row>
    <row r="20" spans="1:20" x14ac:dyDescent="0.25">
      <c r="A20" t="s">
        <v>7</v>
      </c>
      <c r="B20" t="s">
        <v>9</v>
      </c>
      <c r="C20">
        <v>3</v>
      </c>
      <c r="D20">
        <v>1.0000000000000001E-5</v>
      </c>
      <c r="E20">
        <v>0.01</v>
      </c>
      <c r="F20" t="str">
        <f t="shared" si="0"/>
        <v>lena256_blurkernel8_3_0,00001_0,01</v>
      </c>
      <c r="G20">
        <f>IFERROR(VLOOKUP(F20,SROU03!$F:$H,2,FALSE),0)</f>
        <v>21.096729</v>
      </c>
      <c r="H20">
        <f>IFERROR(VLOOKUP(F20,SROU03!$F:$H,3,FALSE),0)</f>
        <v>3.4675370000000001</v>
      </c>
      <c r="I20">
        <v>6.5178000000000003</v>
      </c>
      <c r="J20">
        <v>17.587499999999999</v>
      </c>
      <c r="K20">
        <f>IFERROR(VLOOKUP(F20,TICO09!$F:$K,6,FALSE),0)</f>
        <v>17.038599999999999</v>
      </c>
      <c r="L20">
        <f>IFERROR(VLOOKUP(F20,SROU03!$F:$L,7,FALSE),0)</f>
        <v>24.357800000000001</v>
      </c>
      <c r="M20">
        <v>15.7791</v>
      </c>
      <c r="N20" t="str">
        <f t="shared" si="1"/>
        <v>SROU03</v>
      </c>
      <c r="O20">
        <f t="shared" si="2"/>
        <v>24.357800000000001</v>
      </c>
      <c r="P20">
        <f>VLOOKUP(N20,'Color codes'!$A:$B,2,FALSE)</f>
        <v>3</v>
      </c>
      <c r="Q20">
        <f>TRUNC(VLOOKUP(N20,'Color codes'!$A:$E,3,FALSE)*(0.25 + 0.75*O20/40))</f>
        <v>75</v>
      </c>
      <c r="R20">
        <f>TRUNC(VLOOKUP(N20,'Color codes'!$A:$E,4,FALSE)*(0.25 + 0.75*O20/40))</f>
        <v>124</v>
      </c>
      <c r="S20">
        <f>TRUNC(VLOOKUP(N20,'Color codes'!$A:$E,5,FALSE)*(0.25 + 0.75*O20/40))</f>
        <v>180</v>
      </c>
      <c r="T20" t="b">
        <f t="shared" si="3"/>
        <v>1</v>
      </c>
    </row>
    <row r="21" spans="1:20" x14ac:dyDescent="0.25">
      <c r="A21" t="s">
        <v>7</v>
      </c>
      <c r="B21" t="s">
        <v>9</v>
      </c>
      <c r="C21">
        <v>3</v>
      </c>
      <c r="D21">
        <v>1.0000000000000001E-5</v>
      </c>
      <c r="E21">
        <v>0.1</v>
      </c>
      <c r="F21" t="str">
        <f t="shared" si="0"/>
        <v>lena256_blurkernel8_3_0,00001_0,1</v>
      </c>
      <c r="G21">
        <f>IFERROR(VLOOKUP(F21,SROU03!$F:$H,2,FALSE),0)</f>
        <v>19.465325</v>
      </c>
      <c r="H21">
        <f>IFERROR(VLOOKUP(F21,SROU03!$F:$H,3,FALSE),0)</f>
        <v>3.4865680000000001</v>
      </c>
      <c r="I21">
        <v>1.2971999999999999</v>
      </c>
      <c r="J21">
        <v>17.587499999999999</v>
      </c>
      <c r="K21">
        <f>IFERROR(VLOOKUP(F21,TICO09!$F:$K,6,FALSE),0)</f>
        <v>11.45</v>
      </c>
      <c r="L21">
        <f>IFERROR(VLOOKUP(F21,SROU03!$F:$L,7,FALSE),0)</f>
        <v>20.802499999999998</v>
      </c>
      <c r="M21">
        <v>10.3835</v>
      </c>
      <c r="N21" t="str">
        <f t="shared" si="1"/>
        <v>SROU03</v>
      </c>
      <c r="O21">
        <f t="shared" si="2"/>
        <v>20.802499999999998</v>
      </c>
      <c r="P21">
        <f>VLOOKUP(N21,'Color codes'!$A:$B,2,FALSE)</f>
        <v>3</v>
      </c>
      <c r="Q21">
        <f>TRUNC(VLOOKUP(N21,'Color codes'!$A:$E,3,FALSE)*(0.25 + 0.75*O21/40))</f>
        <v>68</v>
      </c>
      <c r="R21">
        <f>TRUNC(VLOOKUP(N21,'Color codes'!$A:$E,4,FALSE)*(0.25 + 0.75*O21/40))</f>
        <v>112</v>
      </c>
      <c r="S21">
        <f>TRUNC(VLOOKUP(N21,'Color codes'!$A:$E,5,FALSE)*(0.25 + 0.75*O21/40))</f>
        <v>163</v>
      </c>
      <c r="T21" t="b">
        <f t="shared" si="3"/>
        <v>1</v>
      </c>
    </row>
    <row r="22" spans="1:20" x14ac:dyDescent="0.25">
      <c r="A22" t="s">
        <v>7</v>
      </c>
      <c r="B22" t="s">
        <v>9</v>
      </c>
      <c r="C22">
        <v>7</v>
      </c>
      <c r="D22">
        <v>1.0000000000000001E-5</v>
      </c>
      <c r="E22">
        <v>1E-4</v>
      </c>
      <c r="F22" t="str">
        <f t="shared" si="0"/>
        <v>lena256_blurkernel8_7_0,00001_0,0001</v>
      </c>
      <c r="G22">
        <f>IFERROR(VLOOKUP(F22,SROU03!$F:$H,2,FALSE),0)</f>
        <v>24.855751000000001</v>
      </c>
      <c r="H22">
        <f>IFERROR(VLOOKUP(F22,SROU03!$F:$H,3,FALSE),0)</f>
        <v>8.9081270000000004</v>
      </c>
      <c r="I22">
        <v>25.3992</v>
      </c>
      <c r="J22">
        <v>12.0008</v>
      </c>
      <c r="K22">
        <f>IFERROR(VLOOKUP(F22,TICO09!$F:$K,6,FALSE),0)</f>
        <v>20.541499999999999</v>
      </c>
      <c r="L22">
        <f>IFERROR(VLOOKUP(F22,SROU03!$F:$L,7,FALSE),0)</f>
        <v>27.8691</v>
      </c>
      <c r="M22">
        <v>29.3401</v>
      </c>
      <c r="N22" t="str">
        <f t="shared" si="1"/>
        <v>BM3D</v>
      </c>
      <c r="O22">
        <f t="shared" si="2"/>
        <v>29.3401</v>
      </c>
      <c r="P22">
        <f>VLOOKUP(N22,'Color codes'!$A:$B,2,FALSE)</f>
        <v>1</v>
      </c>
      <c r="Q22">
        <f>TRUNC(VLOOKUP(N22,'Color codes'!$A:$E,3,FALSE)*(0.25 + 0.75*O22/40))</f>
        <v>204</v>
      </c>
      <c r="R22">
        <f>TRUNC(VLOOKUP(N22,'Color codes'!$A:$E,4,FALSE)*(0.25 + 0.75*O22/40))</f>
        <v>85</v>
      </c>
      <c r="S22">
        <f>TRUNC(VLOOKUP(N22,'Color codes'!$A:$E,5,FALSE)*(0.25 + 0.75*O22/40))</f>
        <v>83</v>
      </c>
      <c r="T22" t="b">
        <f t="shared" si="3"/>
        <v>1</v>
      </c>
    </row>
    <row r="23" spans="1:20" x14ac:dyDescent="0.25">
      <c r="A23" t="s">
        <v>7</v>
      </c>
      <c r="B23" t="s">
        <v>9</v>
      </c>
      <c r="C23">
        <v>7</v>
      </c>
      <c r="D23">
        <v>1.0000000000000001E-5</v>
      </c>
      <c r="E23">
        <v>1E-3</v>
      </c>
      <c r="F23" t="str">
        <f t="shared" si="0"/>
        <v>lena256_blurkernel8_7_0,00001_0,001</v>
      </c>
      <c r="G23">
        <f>IFERROR(VLOOKUP(F23,SROU03!$F:$H,2,FALSE),0)</f>
        <v>14.517318</v>
      </c>
      <c r="H23">
        <f>IFERROR(VLOOKUP(F23,SROU03!$F:$H,3,FALSE),0)</f>
        <v>8.6343990000000002</v>
      </c>
      <c r="I23">
        <v>15.536899999999999</v>
      </c>
      <c r="J23">
        <v>12.0008</v>
      </c>
      <c r="K23">
        <f>IFERROR(VLOOKUP(F23,TICO09!$F:$K,6,FALSE),0)</f>
        <v>18.462599999999998</v>
      </c>
      <c r="L23">
        <f>IFERROR(VLOOKUP(F23,SROU03!$F:$L,7,FALSE),0)</f>
        <v>22.538799999999998</v>
      </c>
      <c r="M23">
        <v>22.2196</v>
      </c>
      <c r="N23" t="str">
        <f t="shared" si="1"/>
        <v>SROU03</v>
      </c>
      <c r="O23">
        <f t="shared" si="2"/>
        <v>22.538799999999998</v>
      </c>
      <c r="P23">
        <f>VLOOKUP(N23,'Color codes'!$A:$B,2,FALSE)</f>
        <v>3</v>
      </c>
      <c r="Q23">
        <f>TRUNC(VLOOKUP(N23,'Color codes'!$A:$E,3,FALSE)*(0.25 + 0.75*O23/40))</f>
        <v>71</v>
      </c>
      <c r="R23">
        <f>TRUNC(VLOOKUP(N23,'Color codes'!$A:$E,4,FALSE)*(0.25 + 0.75*O23/40))</f>
        <v>118</v>
      </c>
      <c r="S23">
        <f>TRUNC(VLOOKUP(N23,'Color codes'!$A:$E,5,FALSE)*(0.25 + 0.75*O23/40))</f>
        <v>171</v>
      </c>
      <c r="T23" t="b">
        <f t="shared" si="3"/>
        <v>0</v>
      </c>
    </row>
    <row r="24" spans="1:20" x14ac:dyDescent="0.25">
      <c r="A24" t="s">
        <v>7</v>
      </c>
      <c r="B24" t="s">
        <v>9</v>
      </c>
      <c r="C24">
        <v>7</v>
      </c>
      <c r="D24">
        <v>1.0000000000000001E-5</v>
      </c>
      <c r="E24">
        <v>0.01</v>
      </c>
      <c r="F24" t="str">
        <f t="shared" si="0"/>
        <v>lena256_blurkernel8_7_0,00001_0,01</v>
      </c>
      <c r="G24">
        <f>IFERROR(VLOOKUP(F24,SROU03!$F:$H,2,FALSE),0)</f>
        <v>10.60272</v>
      </c>
      <c r="H24">
        <f>IFERROR(VLOOKUP(F24,SROU03!$F:$H,3,FALSE),0)</f>
        <v>8.7242130000000007</v>
      </c>
      <c r="I24">
        <v>6.5476000000000001</v>
      </c>
      <c r="J24">
        <v>12.0008</v>
      </c>
      <c r="K24">
        <f>IFERROR(VLOOKUP(F24,TICO09!$F:$K,6,FALSE),0)</f>
        <v>14.476699999999999</v>
      </c>
      <c r="L24">
        <f>IFERROR(VLOOKUP(F24,SROU03!$F:$L,7,FALSE),0)</f>
        <v>18.850100000000001</v>
      </c>
      <c r="M24">
        <v>15.865</v>
      </c>
      <c r="N24" t="str">
        <f t="shared" si="1"/>
        <v>SROU03</v>
      </c>
      <c r="O24">
        <f t="shared" si="2"/>
        <v>18.850100000000001</v>
      </c>
      <c r="P24">
        <f>VLOOKUP(N24,'Color codes'!$A:$B,2,FALSE)</f>
        <v>3</v>
      </c>
      <c r="Q24">
        <f>TRUNC(VLOOKUP(N24,'Color codes'!$A:$E,3,FALSE)*(0.25 + 0.75*O24/40))</f>
        <v>64</v>
      </c>
      <c r="R24">
        <f>TRUNC(VLOOKUP(N24,'Color codes'!$A:$E,4,FALSE)*(0.25 + 0.75*O24/40))</f>
        <v>106</v>
      </c>
      <c r="S24">
        <f>TRUNC(VLOOKUP(N24,'Color codes'!$A:$E,5,FALSE)*(0.25 + 0.75*O24/40))</f>
        <v>153</v>
      </c>
      <c r="T24" t="b">
        <f t="shared" si="3"/>
        <v>1</v>
      </c>
    </row>
    <row r="25" spans="1:20" x14ac:dyDescent="0.25">
      <c r="A25" t="s">
        <v>7</v>
      </c>
      <c r="B25" t="s">
        <v>9</v>
      </c>
      <c r="C25">
        <v>7</v>
      </c>
      <c r="D25">
        <v>1.0000000000000001E-5</v>
      </c>
      <c r="E25">
        <v>0.1</v>
      </c>
      <c r="F25" t="str">
        <f t="shared" si="0"/>
        <v>lena256_blurkernel8_7_0,00001_0,1</v>
      </c>
      <c r="G25">
        <f>IFERROR(VLOOKUP(F25,SROU03!$F:$H,2,FALSE),0)</f>
        <v>8.9057949999999995</v>
      </c>
      <c r="H25">
        <f>IFERROR(VLOOKUP(F25,SROU03!$F:$H,3,FALSE),0)</f>
        <v>8.7683079999999993</v>
      </c>
      <c r="I25">
        <v>1.2689999999999999</v>
      </c>
      <c r="J25">
        <v>12.0008</v>
      </c>
      <c r="K25">
        <f>IFERROR(VLOOKUP(F25,TICO09!$F:$K,6,FALSE),0)</f>
        <v>9.6356000000000002</v>
      </c>
      <c r="L25">
        <f>IFERROR(VLOOKUP(F25,SROU03!$F:$L,7,FALSE),0)</f>
        <v>12.938499999999999</v>
      </c>
      <c r="M25">
        <v>10.468999999999999</v>
      </c>
      <c r="N25" t="str">
        <f t="shared" si="1"/>
        <v>SROU03</v>
      </c>
      <c r="O25">
        <f t="shared" si="2"/>
        <v>12.938499999999999</v>
      </c>
      <c r="P25">
        <f>VLOOKUP(N25,'Color codes'!$A:$B,2,FALSE)</f>
        <v>3</v>
      </c>
      <c r="Q25">
        <f>TRUNC(VLOOKUP(N25,'Color codes'!$A:$E,3,FALSE)*(0.25 + 0.75*O25/40))</f>
        <v>52</v>
      </c>
      <c r="R25">
        <f>TRUNC(VLOOKUP(N25,'Color codes'!$A:$E,4,FALSE)*(0.25 + 0.75*O25/40))</f>
        <v>86</v>
      </c>
      <c r="S25">
        <f>TRUNC(VLOOKUP(N25,'Color codes'!$A:$E,5,FALSE)*(0.25 + 0.75*O25/40))</f>
        <v>125</v>
      </c>
      <c r="T25" t="b">
        <f t="shared" si="3"/>
        <v>1</v>
      </c>
    </row>
    <row r="26" spans="1:20" x14ac:dyDescent="0.25">
      <c r="A26" t="s">
        <v>7</v>
      </c>
      <c r="B26" t="s">
        <v>9</v>
      </c>
      <c r="C26">
        <v>15</v>
      </c>
      <c r="D26">
        <v>1.0000000000000001E-5</v>
      </c>
      <c r="E26">
        <v>1E-4</v>
      </c>
      <c r="F26" t="str">
        <f t="shared" si="0"/>
        <v>lena256_blurkernel8_15_0,00001_0,0001</v>
      </c>
      <c r="G26">
        <f>IFERROR(VLOOKUP(F26,SROU03!$F:$H,2,FALSE),0)</f>
        <v>21.969874999999998</v>
      </c>
      <c r="H26">
        <f>IFERROR(VLOOKUP(F26,SROU03!$F:$H,3,FALSE),0)</f>
        <v>19.605080000000001</v>
      </c>
      <c r="I26">
        <v>25.367699999999999</v>
      </c>
      <c r="J26">
        <v>8.2166999999999994</v>
      </c>
      <c r="K26">
        <f>IFERROR(VLOOKUP(F26,TICO09!$F:$K,6,FALSE),0)</f>
        <v>21.2013</v>
      </c>
      <c r="L26">
        <f>IFERROR(VLOOKUP(F26,SROU03!$F:$L,7,FALSE),0)</f>
        <v>27.152100000000001</v>
      </c>
      <c r="M26">
        <v>29.304200000000002</v>
      </c>
      <c r="N26" t="str">
        <f t="shared" si="1"/>
        <v>BM3D</v>
      </c>
      <c r="O26">
        <f t="shared" si="2"/>
        <v>29.304200000000002</v>
      </c>
      <c r="P26">
        <f>VLOOKUP(N26,'Color codes'!$A:$B,2,FALSE)</f>
        <v>1</v>
      </c>
      <c r="Q26">
        <f>TRUNC(VLOOKUP(N26,'Color codes'!$A:$E,3,FALSE)*(0.25 + 0.75*O26/40))</f>
        <v>203</v>
      </c>
      <c r="R26">
        <f>TRUNC(VLOOKUP(N26,'Color codes'!$A:$E,4,FALSE)*(0.25 + 0.75*O26/40))</f>
        <v>85</v>
      </c>
      <c r="S26">
        <f>TRUNC(VLOOKUP(N26,'Color codes'!$A:$E,5,FALSE)*(0.25 + 0.75*O26/40))</f>
        <v>83</v>
      </c>
      <c r="T26" t="b">
        <f t="shared" si="3"/>
        <v>1</v>
      </c>
    </row>
    <row r="27" spans="1:20" x14ac:dyDescent="0.25">
      <c r="A27" t="s">
        <v>7</v>
      </c>
      <c r="B27" t="s">
        <v>9</v>
      </c>
      <c r="C27">
        <v>15</v>
      </c>
      <c r="D27">
        <v>1.0000000000000001E-5</v>
      </c>
      <c r="E27">
        <v>1E-3</v>
      </c>
      <c r="F27" t="str">
        <f t="shared" si="0"/>
        <v>lena256_blurkernel8_15_0,00001_0,001</v>
      </c>
      <c r="G27">
        <f>IFERROR(VLOOKUP(F27,SROU03!$F:$H,2,FALSE),0)</f>
        <v>10.334087999999999</v>
      </c>
      <c r="H27">
        <f>IFERROR(VLOOKUP(F27,SROU03!$F:$H,3,FALSE),0)</f>
        <v>18.838365</v>
      </c>
      <c r="I27">
        <v>15.5152</v>
      </c>
      <c r="J27">
        <v>8.2166999999999994</v>
      </c>
      <c r="K27">
        <f>IFERROR(VLOOKUP(F27,TICO09!$F:$K,6,FALSE),0)</f>
        <v>18.516999999999999</v>
      </c>
      <c r="L27">
        <f>IFERROR(VLOOKUP(F27,SROU03!$F:$L,7,FALSE),0)</f>
        <v>21.352699999999999</v>
      </c>
      <c r="M27">
        <v>22.1128</v>
      </c>
      <c r="N27" t="str">
        <f t="shared" si="1"/>
        <v>BM3D</v>
      </c>
      <c r="O27">
        <f t="shared" si="2"/>
        <v>22.1128</v>
      </c>
      <c r="P27">
        <f>VLOOKUP(N27,'Color codes'!$A:$B,2,FALSE)</f>
        <v>1</v>
      </c>
      <c r="Q27">
        <f>TRUNC(VLOOKUP(N27,'Color codes'!$A:$E,3,FALSE)*(0.25 + 0.75*O27/40))</f>
        <v>169</v>
      </c>
      <c r="R27">
        <f>TRUNC(VLOOKUP(N27,'Color codes'!$A:$E,4,FALSE)*(0.25 + 0.75*O27/40))</f>
        <v>71</v>
      </c>
      <c r="S27">
        <f>TRUNC(VLOOKUP(N27,'Color codes'!$A:$E,5,FALSE)*(0.25 + 0.75*O27/40))</f>
        <v>69</v>
      </c>
      <c r="T27" t="b">
        <f t="shared" si="3"/>
        <v>0</v>
      </c>
    </row>
    <row r="28" spans="1:20" x14ac:dyDescent="0.25">
      <c r="A28" t="s">
        <v>7</v>
      </c>
      <c r="B28" t="s">
        <v>9</v>
      </c>
      <c r="C28">
        <v>15</v>
      </c>
      <c r="D28">
        <v>1.0000000000000001E-5</v>
      </c>
      <c r="E28">
        <v>0.01</v>
      </c>
      <c r="F28" t="str">
        <f t="shared" si="0"/>
        <v>lena256_blurkernel8_15_0,00001_0,01</v>
      </c>
      <c r="G28">
        <f>IFERROR(VLOOKUP(F28,SROU03!$F:$H,2,FALSE),0)</f>
        <v>6.8174609999999998</v>
      </c>
      <c r="H28">
        <f>IFERROR(VLOOKUP(F28,SROU03!$F:$H,3,FALSE),0)</f>
        <v>18.862148999999999</v>
      </c>
      <c r="I28">
        <v>6.5099</v>
      </c>
      <c r="J28">
        <v>8.2166999999999994</v>
      </c>
      <c r="K28">
        <f>IFERROR(VLOOKUP(F28,TICO09!$F:$K,6,FALSE),0)</f>
        <v>13.802</v>
      </c>
      <c r="L28">
        <f>IFERROR(VLOOKUP(F28,SROU03!$F:$L,7,FALSE),0)</f>
        <v>17.6172</v>
      </c>
      <c r="M28">
        <v>15.8598</v>
      </c>
      <c r="N28" t="str">
        <f t="shared" si="1"/>
        <v>SROU03</v>
      </c>
      <c r="O28">
        <f t="shared" si="2"/>
        <v>17.6172</v>
      </c>
      <c r="P28">
        <f>VLOOKUP(N28,'Color codes'!$A:$B,2,FALSE)</f>
        <v>3</v>
      </c>
      <c r="Q28">
        <f>TRUNC(VLOOKUP(N28,'Color codes'!$A:$E,3,FALSE)*(0.25 + 0.75*O28/40))</f>
        <v>62</v>
      </c>
      <c r="R28">
        <f>TRUNC(VLOOKUP(N28,'Color codes'!$A:$E,4,FALSE)*(0.25 + 0.75*O28/40))</f>
        <v>102</v>
      </c>
      <c r="S28">
        <f>TRUNC(VLOOKUP(N28,'Color codes'!$A:$E,5,FALSE)*(0.25 + 0.75*O28/40))</f>
        <v>147</v>
      </c>
      <c r="T28" t="b">
        <f t="shared" si="3"/>
        <v>1</v>
      </c>
    </row>
    <row r="29" spans="1:20" x14ac:dyDescent="0.25">
      <c r="A29" t="s">
        <v>7</v>
      </c>
      <c r="B29" t="s">
        <v>9</v>
      </c>
      <c r="C29">
        <v>15</v>
      </c>
      <c r="D29">
        <v>1.0000000000000001E-5</v>
      </c>
      <c r="E29">
        <v>0.1</v>
      </c>
      <c r="F29" t="str">
        <f t="shared" si="0"/>
        <v>lena256_blurkernel8_15_0,00001_0,1</v>
      </c>
      <c r="G29">
        <f>IFERROR(VLOOKUP(F29,SROU03!$F:$H,2,FALSE),0)</f>
        <v>5.325177</v>
      </c>
      <c r="H29">
        <f>IFERROR(VLOOKUP(F29,SROU03!$F:$H,3,FALSE),0)</f>
        <v>18.908894</v>
      </c>
      <c r="I29">
        <v>1.2796000000000001</v>
      </c>
      <c r="J29">
        <v>8.2166999999999994</v>
      </c>
      <c r="K29">
        <f>IFERROR(VLOOKUP(F29,TICO09!$F:$K,6,FALSE),0)</f>
        <v>8.2497000000000007</v>
      </c>
      <c r="L29">
        <f>IFERROR(VLOOKUP(F29,SROU03!$F:$L,7,FALSE),0)</f>
        <v>10.9245</v>
      </c>
      <c r="M29">
        <v>10.335100000000001</v>
      </c>
      <c r="N29" t="str">
        <f t="shared" si="1"/>
        <v>SROU03</v>
      </c>
      <c r="O29">
        <f t="shared" si="2"/>
        <v>10.9245</v>
      </c>
      <c r="P29">
        <f>VLOOKUP(N29,'Color codes'!$A:$B,2,FALSE)</f>
        <v>3</v>
      </c>
      <c r="Q29">
        <f>TRUNC(VLOOKUP(N29,'Color codes'!$A:$E,3,FALSE)*(0.25 + 0.75*O29/40))</f>
        <v>48</v>
      </c>
      <c r="R29">
        <f>TRUNC(VLOOKUP(N29,'Color codes'!$A:$E,4,FALSE)*(0.25 + 0.75*O29/40))</f>
        <v>80</v>
      </c>
      <c r="S29">
        <f>TRUNC(VLOOKUP(N29,'Color codes'!$A:$E,5,FALSE)*(0.25 + 0.75*O29/40))</f>
        <v>115</v>
      </c>
      <c r="T29" t="b">
        <f t="shared" si="3"/>
        <v>0</v>
      </c>
    </row>
    <row r="30" spans="1:20" x14ac:dyDescent="0.25">
      <c r="A30" t="s">
        <v>7</v>
      </c>
      <c r="B30" t="s">
        <v>9</v>
      </c>
      <c r="C30">
        <v>31</v>
      </c>
      <c r="D30">
        <v>1.0000000000000001E-5</v>
      </c>
      <c r="E30">
        <v>1E-4</v>
      </c>
      <c r="F30" t="str">
        <f t="shared" si="0"/>
        <v>lena256_blurkernel8_31_0,00001_0,0001</v>
      </c>
      <c r="G30">
        <f>IFERROR(VLOOKUP(F30,SROU03!$F:$H,2,FALSE),0)</f>
        <v>20.860859000000001</v>
      </c>
      <c r="H30">
        <f>IFERROR(VLOOKUP(F30,SROU03!$F:$H,3,FALSE),0)</f>
        <v>40.622995000000003</v>
      </c>
      <c r="I30">
        <v>25.412600000000001</v>
      </c>
      <c r="J30">
        <v>5.3045</v>
      </c>
      <c r="K30">
        <f>IFERROR(VLOOKUP(F30,TICO09!$F:$K,6,FALSE),0)</f>
        <v>21.268899999999999</v>
      </c>
      <c r="L30">
        <f>IFERROR(VLOOKUP(F30,SROU03!$F:$L,7,FALSE),0)</f>
        <v>26.177299999999999</v>
      </c>
      <c r="M30">
        <v>29.3353</v>
      </c>
      <c r="N30" t="str">
        <f t="shared" si="1"/>
        <v>BM3D</v>
      </c>
      <c r="O30">
        <f t="shared" si="2"/>
        <v>29.3353</v>
      </c>
      <c r="P30">
        <f>VLOOKUP(N30,'Color codes'!$A:$B,2,FALSE)</f>
        <v>1</v>
      </c>
      <c r="Q30">
        <f>TRUNC(VLOOKUP(N30,'Color codes'!$A:$E,3,FALSE)*(0.25 + 0.75*O30/40))</f>
        <v>204</v>
      </c>
      <c r="R30">
        <f>TRUNC(VLOOKUP(N30,'Color codes'!$A:$E,4,FALSE)*(0.25 + 0.75*O30/40))</f>
        <v>85</v>
      </c>
      <c r="S30">
        <f>TRUNC(VLOOKUP(N30,'Color codes'!$A:$E,5,FALSE)*(0.25 + 0.75*O30/40))</f>
        <v>83</v>
      </c>
      <c r="T30" t="b">
        <f t="shared" si="3"/>
        <v>1</v>
      </c>
    </row>
    <row r="31" spans="1:20" x14ac:dyDescent="0.25">
      <c r="A31" t="s">
        <v>7</v>
      </c>
      <c r="B31" t="s">
        <v>9</v>
      </c>
      <c r="C31">
        <v>31</v>
      </c>
      <c r="D31">
        <v>1.0000000000000001E-5</v>
      </c>
      <c r="E31">
        <v>1E-3</v>
      </c>
      <c r="F31" t="str">
        <f t="shared" si="0"/>
        <v>lena256_blurkernel8_31_0,00001_0,001</v>
      </c>
      <c r="G31">
        <f>IFERROR(VLOOKUP(F31,SROU03!$F:$H,2,FALSE),0)</f>
        <v>8.2425320000000006</v>
      </c>
      <c r="H31">
        <f>IFERROR(VLOOKUP(F31,SROU03!$F:$H,3,FALSE),0)</f>
        <v>38.876001000000002</v>
      </c>
      <c r="I31">
        <v>15.508900000000001</v>
      </c>
      <c r="J31">
        <v>5.3045</v>
      </c>
      <c r="K31">
        <f>IFERROR(VLOOKUP(F31,TICO09!$F:$K,6,FALSE),0)</f>
        <v>18.4665</v>
      </c>
      <c r="L31">
        <f>IFERROR(VLOOKUP(F31,SROU03!$F:$L,7,FALSE),0)</f>
        <v>19.448399999999999</v>
      </c>
      <c r="M31">
        <v>22.122599999999998</v>
      </c>
      <c r="N31" t="str">
        <f t="shared" si="1"/>
        <v>BM3D</v>
      </c>
      <c r="O31">
        <f t="shared" si="2"/>
        <v>22.122599999999998</v>
      </c>
      <c r="P31">
        <f>VLOOKUP(N31,'Color codes'!$A:$B,2,FALSE)</f>
        <v>1</v>
      </c>
      <c r="Q31">
        <f>TRUNC(VLOOKUP(N31,'Color codes'!$A:$E,3,FALSE)*(0.25 + 0.75*O31/40))</f>
        <v>169</v>
      </c>
      <c r="R31">
        <f>TRUNC(VLOOKUP(N31,'Color codes'!$A:$E,4,FALSE)*(0.25 + 0.75*O31/40))</f>
        <v>71</v>
      </c>
      <c r="S31">
        <f>TRUNC(VLOOKUP(N31,'Color codes'!$A:$E,5,FALSE)*(0.25 + 0.75*O31/40))</f>
        <v>69</v>
      </c>
      <c r="T31" t="b">
        <f t="shared" si="3"/>
        <v>1</v>
      </c>
    </row>
    <row r="32" spans="1:20" x14ac:dyDescent="0.25">
      <c r="A32" t="s">
        <v>7</v>
      </c>
      <c r="B32" t="s">
        <v>9</v>
      </c>
      <c r="C32">
        <v>31</v>
      </c>
      <c r="D32">
        <v>1.0000000000000001E-5</v>
      </c>
      <c r="E32">
        <v>0.01</v>
      </c>
      <c r="F32" t="str">
        <f t="shared" si="0"/>
        <v>lena256_blurkernel8_31_0,00001_0,01</v>
      </c>
      <c r="G32">
        <f>IFERROR(VLOOKUP(F32,SROU03!$F:$H,2,FALSE),0)</f>
        <v>4.7473599999999996</v>
      </c>
      <c r="H32">
        <f>IFERROR(VLOOKUP(F32,SROU03!$F:$H,3,FALSE),0)</f>
        <v>38.776406000000001</v>
      </c>
      <c r="I32">
        <v>6.4911000000000003</v>
      </c>
      <c r="J32">
        <v>5.3045</v>
      </c>
      <c r="K32">
        <f>IFERROR(VLOOKUP(F32,TICO09!$F:$K,6,FALSE),0)</f>
        <v>13.563800000000001</v>
      </c>
      <c r="L32">
        <f>IFERROR(VLOOKUP(F32,SROU03!$F:$L,7,FALSE),0)</f>
        <v>15.4335</v>
      </c>
      <c r="M32">
        <v>15.8719</v>
      </c>
      <c r="N32" t="str">
        <f t="shared" si="1"/>
        <v>BM3D</v>
      </c>
      <c r="O32">
        <f t="shared" si="2"/>
        <v>15.8719</v>
      </c>
      <c r="P32">
        <f>VLOOKUP(N32,'Color codes'!$A:$B,2,FALSE)</f>
        <v>1</v>
      </c>
      <c r="Q32">
        <f>TRUNC(VLOOKUP(N32,'Color codes'!$A:$E,3,FALSE)*(0.25 + 0.75*O32/40))</f>
        <v>139</v>
      </c>
      <c r="R32">
        <f>TRUNC(VLOOKUP(N32,'Color codes'!$A:$E,4,FALSE)*(0.25 + 0.75*O32/40))</f>
        <v>58</v>
      </c>
      <c r="S32">
        <f>TRUNC(VLOOKUP(N32,'Color codes'!$A:$E,5,FALSE)*(0.25 + 0.75*O32/40))</f>
        <v>56</v>
      </c>
      <c r="T32" t="b">
        <f t="shared" si="3"/>
        <v>0</v>
      </c>
    </row>
    <row r="33" spans="1:20" x14ac:dyDescent="0.25">
      <c r="A33" t="s">
        <v>7</v>
      </c>
      <c r="B33" t="s">
        <v>9</v>
      </c>
      <c r="C33">
        <v>31</v>
      </c>
      <c r="D33">
        <v>1.0000000000000001E-5</v>
      </c>
      <c r="E33">
        <v>0.1</v>
      </c>
      <c r="F33" t="str">
        <f t="shared" si="0"/>
        <v>lena256_blurkernel8_31_0,00001_0,1</v>
      </c>
      <c r="G33">
        <f>IFERROR(VLOOKUP(F33,SROU03!$F:$H,2,FALSE),0)</f>
        <v>3.563847</v>
      </c>
      <c r="H33">
        <f>IFERROR(VLOOKUP(F33,SROU03!$F:$H,3,FALSE),0)</f>
        <v>38.80641</v>
      </c>
      <c r="I33">
        <v>1.2687999999999999</v>
      </c>
      <c r="J33">
        <v>5.3045</v>
      </c>
      <c r="K33">
        <f>IFERROR(VLOOKUP(F33,TICO09!$F:$K,6,FALSE),0)</f>
        <v>7.7237999999999998</v>
      </c>
      <c r="L33">
        <f>IFERROR(VLOOKUP(F33,SROU03!$F:$L,7,FALSE),0)</f>
        <v>9.1178000000000008</v>
      </c>
      <c r="M33">
        <v>10.2873</v>
      </c>
      <c r="N33" t="str">
        <f t="shared" si="1"/>
        <v>BM3D</v>
      </c>
      <c r="O33">
        <f t="shared" si="2"/>
        <v>10.2873</v>
      </c>
      <c r="P33">
        <f>VLOOKUP(N33,'Color codes'!$A:$B,2,FALSE)</f>
        <v>1</v>
      </c>
      <c r="Q33">
        <f>TRUNC(VLOOKUP(N33,'Color codes'!$A:$E,3,FALSE)*(0.25 + 0.75*O33/40))</f>
        <v>112</v>
      </c>
      <c r="R33">
        <f>TRUNC(VLOOKUP(N33,'Color codes'!$A:$E,4,FALSE)*(0.25 + 0.75*O33/40))</f>
        <v>47</v>
      </c>
      <c r="S33">
        <f>TRUNC(VLOOKUP(N33,'Color codes'!$A:$E,5,FALSE)*(0.25 + 0.75*O33/40))</f>
        <v>46</v>
      </c>
      <c r="T33" t="b">
        <f t="shared" si="3"/>
        <v>1</v>
      </c>
    </row>
    <row r="34" spans="1:20" x14ac:dyDescent="0.25">
      <c r="A34" t="s">
        <v>7</v>
      </c>
      <c r="B34" t="s">
        <v>10</v>
      </c>
      <c r="C34">
        <v>3</v>
      </c>
      <c r="D34">
        <v>1.0000000000000001E-5</v>
      </c>
      <c r="E34">
        <v>1E-4</v>
      </c>
      <c r="F34" t="str">
        <f t="shared" si="0"/>
        <v>lena256_line_3_0,00001_0,0001</v>
      </c>
      <c r="G34">
        <f>IFERROR(VLOOKUP(F34,SROU03!$F:$H,2,FALSE),0)</f>
        <v>38.089689999999997</v>
      </c>
      <c r="H34">
        <f>IFERROR(VLOOKUP(F34,SROU03!$F:$H,3,FALSE),0)</f>
        <v>3.1906650000000001</v>
      </c>
      <c r="I34">
        <v>25.389700000000001</v>
      </c>
      <c r="J34">
        <v>15.065099999999999</v>
      </c>
      <c r="K34">
        <f>IFERROR(VLOOKUP(F34,TICO09!$F:$K,6,FALSE),0)</f>
        <v>20.779800000000002</v>
      </c>
      <c r="L34">
        <f>IFERROR(VLOOKUP(F34,SROU03!$F:$L,7,FALSE),0)</f>
        <v>29.680599999999998</v>
      </c>
      <c r="M34">
        <v>29.292899999999999</v>
      </c>
      <c r="N34" t="str">
        <f t="shared" si="1"/>
        <v>SROU03</v>
      </c>
      <c r="O34">
        <f t="shared" si="2"/>
        <v>29.680599999999998</v>
      </c>
      <c r="P34">
        <f>VLOOKUP(N34,'Color codes'!$A:$B,2,FALSE)</f>
        <v>3</v>
      </c>
      <c r="Q34">
        <f>TRUNC(VLOOKUP(N34,'Color codes'!$A:$E,3,FALSE)*(0.25 + 0.75*O34/40))</f>
        <v>86</v>
      </c>
      <c r="R34">
        <f>TRUNC(VLOOKUP(N34,'Color codes'!$A:$E,4,FALSE)*(0.25 + 0.75*O34/40))</f>
        <v>141</v>
      </c>
      <c r="S34">
        <f>TRUNC(VLOOKUP(N34,'Color codes'!$A:$E,5,FALSE)*(0.25 + 0.75*O34/40))</f>
        <v>205</v>
      </c>
      <c r="T34" t="b">
        <f t="shared" si="3"/>
        <v>0</v>
      </c>
    </row>
    <row r="35" spans="1:20" x14ac:dyDescent="0.25">
      <c r="A35" t="s">
        <v>7</v>
      </c>
      <c r="B35" t="s">
        <v>10</v>
      </c>
      <c r="C35">
        <v>3</v>
      </c>
      <c r="D35">
        <v>1.0000000000000001E-5</v>
      </c>
      <c r="E35">
        <v>1E-3</v>
      </c>
      <c r="F35" t="str">
        <f t="shared" ref="F35:F86" si="4">A35&amp;"_"&amp;B35&amp;"_"&amp;C35&amp;"_"&amp;D35&amp;"_"&amp;E35</f>
        <v>lena256_line_3_0,00001_0,001</v>
      </c>
      <c r="G35">
        <f>IFERROR(VLOOKUP(F35,SROU03!$F:$H,2,FALSE),0)</f>
        <v>25.952594000000001</v>
      </c>
      <c r="H35">
        <f>IFERROR(VLOOKUP(F35,SROU03!$F:$H,3,FALSE),0)</f>
        <v>3.3373780000000002</v>
      </c>
      <c r="I35">
        <v>15.5185</v>
      </c>
      <c r="J35">
        <v>15.065099999999999</v>
      </c>
      <c r="K35">
        <f>IFERROR(VLOOKUP(F35,TICO09!$F:$K,6,FALSE),0)</f>
        <v>18.9648</v>
      </c>
      <c r="L35">
        <f>IFERROR(VLOOKUP(F35,SROU03!$F:$L,7,FALSE),0)</f>
        <v>24.941199999999998</v>
      </c>
      <c r="M35">
        <v>22.130700000000001</v>
      </c>
      <c r="N35" t="str">
        <f t="shared" si="1"/>
        <v>SROU03</v>
      </c>
      <c r="O35">
        <f t="shared" si="2"/>
        <v>24.941199999999998</v>
      </c>
      <c r="P35">
        <f>VLOOKUP(N35,'Color codes'!$A:$B,2,FALSE)</f>
        <v>3</v>
      </c>
      <c r="Q35">
        <f>TRUNC(VLOOKUP(N35,'Color codes'!$A:$E,3,FALSE)*(0.25 + 0.75*O35/40))</f>
        <v>76</v>
      </c>
      <c r="R35">
        <f>TRUNC(VLOOKUP(N35,'Color codes'!$A:$E,4,FALSE)*(0.25 + 0.75*O35/40))</f>
        <v>126</v>
      </c>
      <c r="S35">
        <f>TRUNC(VLOOKUP(N35,'Color codes'!$A:$E,5,FALSE)*(0.25 + 0.75*O35/40))</f>
        <v>183</v>
      </c>
      <c r="T35" t="b">
        <f t="shared" si="3"/>
        <v>1</v>
      </c>
    </row>
    <row r="36" spans="1:20" x14ac:dyDescent="0.25">
      <c r="A36" t="s">
        <v>7</v>
      </c>
      <c r="B36" t="s">
        <v>10</v>
      </c>
      <c r="C36">
        <v>3</v>
      </c>
      <c r="D36">
        <v>1.0000000000000001E-5</v>
      </c>
      <c r="E36">
        <v>0.01</v>
      </c>
      <c r="F36" t="str">
        <f t="shared" si="4"/>
        <v>lena256_line_3_0,00001_0,01</v>
      </c>
      <c r="G36">
        <f>IFERROR(VLOOKUP(F36,SROU03!$F:$H,2,FALSE),0)</f>
        <v>21.019501000000002</v>
      </c>
      <c r="H36">
        <f>IFERROR(VLOOKUP(F36,SROU03!$F:$H,3,FALSE),0)</f>
        <v>3.4655079999999998</v>
      </c>
      <c r="I36">
        <v>6.5212000000000003</v>
      </c>
      <c r="J36">
        <v>15.065099999999999</v>
      </c>
      <c r="K36">
        <f>IFERROR(VLOOKUP(F36,TICO09!$F:$K,6,FALSE),0)</f>
        <v>15.717599999999999</v>
      </c>
      <c r="L36">
        <f>IFERROR(VLOOKUP(F36,SROU03!$F:$L,7,FALSE),0)</f>
        <v>16.601700000000001</v>
      </c>
      <c r="M36">
        <v>15.8378</v>
      </c>
      <c r="N36" t="str">
        <f t="shared" si="1"/>
        <v>SROU03</v>
      </c>
      <c r="O36">
        <f t="shared" si="2"/>
        <v>16.601700000000001</v>
      </c>
      <c r="P36">
        <f>VLOOKUP(N36,'Color codes'!$A:$B,2,FALSE)</f>
        <v>3</v>
      </c>
      <c r="Q36">
        <f>TRUNC(VLOOKUP(N36,'Color codes'!$A:$E,3,FALSE)*(0.25 + 0.75*O36/40))</f>
        <v>60</v>
      </c>
      <c r="R36">
        <f>TRUNC(VLOOKUP(N36,'Color codes'!$A:$E,4,FALSE)*(0.25 + 0.75*O36/40))</f>
        <v>98</v>
      </c>
      <c r="S36">
        <f>TRUNC(VLOOKUP(N36,'Color codes'!$A:$E,5,FALSE)*(0.25 + 0.75*O36/40))</f>
        <v>143</v>
      </c>
      <c r="T36" t="b">
        <f t="shared" si="3"/>
        <v>0</v>
      </c>
    </row>
    <row r="37" spans="1:20" x14ac:dyDescent="0.25">
      <c r="A37" t="s">
        <v>7</v>
      </c>
      <c r="B37" t="s">
        <v>10</v>
      </c>
      <c r="C37">
        <v>3</v>
      </c>
      <c r="D37">
        <v>1.0000000000000001E-5</v>
      </c>
      <c r="E37">
        <v>0.1</v>
      </c>
      <c r="F37" t="str">
        <f t="shared" si="4"/>
        <v>lena256_line_3_0,00001_0,1</v>
      </c>
      <c r="G37">
        <f>IFERROR(VLOOKUP(F37,SROU03!$F:$H,2,FALSE),0)</f>
        <v>19.372187</v>
      </c>
      <c r="H37">
        <f>IFERROR(VLOOKUP(F37,SROU03!$F:$H,3,FALSE),0)</f>
        <v>3.4843989999999998</v>
      </c>
      <c r="I37">
        <v>1.2553000000000001</v>
      </c>
      <c r="J37">
        <v>15.065099999999999</v>
      </c>
      <c r="K37">
        <f>IFERROR(VLOOKUP(F37,TICO09!$F:$K,6,FALSE),0)</f>
        <v>10.6799</v>
      </c>
      <c r="L37">
        <f>IFERROR(VLOOKUP(F37,SROU03!$F:$L,7,FALSE),0)</f>
        <v>14.0822</v>
      </c>
      <c r="M37">
        <v>10.383699999999999</v>
      </c>
      <c r="N37" t="str">
        <f t="shared" si="1"/>
        <v>SROU03</v>
      </c>
      <c r="O37">
        <f t="shared" si="2"/>
        <v>14.0822</v>
      </c>
      <c r="P37">
        <f>VLOOKUP(N37,'Color codes'!$A:$B,2,FALSE)</f>
        <v>3</v>
      </c>
      <c r="Q37">
        <f>TRUNC(VLOOKUP(N37,'Color codes'!$A:$E,3,FALSE)*(0.25 + 0.75*O37/40))</f>
        <v>55</v>
      </c>
      <c r="R37">
        <f>TRUNC(VLOOKUP(N37,'Color codes'!$A:$E,4,FALSE)*(0.25 + 0.75*O37/40))</f>
        <v>90</v>
      </c>
      <c r="S37">
        <f>TRUNC(VLOOKUP(N37,'Color codes'!$A:$E,5,FALSE)*(0.25 + 0.75*O37/40))</f>
        <v>131</v>
      </c>
      <c r="T37" t="b">
        <f t="shared" si="3"/>
        <v>1</v>
      </c>
    </row>
    <row r="38" spans="1:20" x14ac:dyDescent="0.25">
      <c r="A38" t="s">
        <v>7</v>
      </c>
      <c r="B38" t="s">
        <v>10</v>
      </c>
      <c r="C38">
        <v>7</v>
      </c>
      <c r="D38">
        <v>1.0000000000000001E-5</v>
      </c>
      <c r="E38">
        <v>1E-4</v>
      </c>
      <c r="F38" t="str">
        <f t="shared" si="4"/>
        <v>lena256_line_7_0,00001_0,0001</v>
      </c>
      <c r="G38">
        <f>IFERROR(VLOOKUP(F38,SROU03!$F:$H,2,FALSE),0)</f>
        <v>28.876815000000001</v>
      </c>
      <c r="H38">
        <f>IFERROR(VLOOKUP(F38,SROU03!$F:$H,3,FALSE),0)</f>
        <v>8.4481819999999992</v>
      </c>
      <c r="I38">
        <v>25.354800000000001</v>
      </c>
      <c r="J38">
        <v>10.0802</v>
      </c>
      <c r="K38">
        <f>IFERROR(VLOOKUP(F38,TICO09!$F:$K,6,FALSE),0)</f>
        <v>21.337499999999999</v>
      </c>
      <c r="L38">
        <f>IFERROR(VLOOKUP(F38,SROU03!$F:$L,7,FALSE),0)</f>
        <v>28.014099999999999</v>
      </c>
      <c r="M38">
        <v>29.294699999999999</v>
      </c>
      <c r="N38" t="str">
        <f t="shared" si="1"/>
        <v>BM3D</v>
      </c>
      <c r="O38">
        <f t="shared" si="2"/>
        <v>29.294699999999999</v>
      </c>
      <c r="P38">
        <f>VLOOKUP(N38,'Color codes'!$A:$B,2,FALSE)</f>
        <v>1</v>
      </c>
      <c r="Q38">
        <f>TRUNC(VLOOKUP(N38,'Color codes'!$A:$E,3,FALSE)*(0.25 + 0.75*O38/40))</f>
        <v>203</v>
      </c>
      <c r="R38">
        <f>TRUNC(VLOOKUP(N38,'Color codes'!$A:$E,4,FALSE)*(0.25 + 0.75*O38/40))</f>
        <v>85</v>
      </c>
      <c r="S38">
        <f>TRUNC(VLOOKUP(N38,'Color codes'!$A:$E,5,FALSE)*(0.25 + 0.75*O38/40))</f>
        <v>83</v>
      </c>
      <c r="T38" t="b">
        <f t="shared" si="3"/>
        <v>1</v>
      </c>
    </row>
    <row r="39" spans="1:20" x14ac:dyDescent="0.25">
      <c r="A39" t="s">
        <v>7</v>
      </c>
      <c r="B39" t="s">
        <v>10</v>
      </c>
      <c r="C39">
        <v>7</v>
      </c>
      <c r="D39">
        <v>1.0000000000000001E-5</v>
      </c>
      <c r="E39">
        <v>1E-3</v>
      </c>
      <c r="F39" t="str">
        <f t="shared" si="4"/>
        <v>lena256_line_7_0,00001_0,001</v>
      </c>
      <c r="G39">
        <f>IFERROR(VLOOKUP(F39,SROU03!$F:$H,2,FALSE),0)</f>
        <v>16.686104</v>
      </c>
      <c r="H39">
        <f>IFERROR(VLOOKUP(F39,SROU03!$F:$H,3,FALSE),0)</f>
        <v>8.4666879999999995</v>
      </c>
      <c r="I39">
        <v>15.555199999999999</v>
      </c>
      <c r="J39">
        <v>10.0802</v>
      </c>
      <c r="K39">
        <f>IFERROR(VLOOKUP(F39,TICO09!$F:$K,6,FALSE),0)</f>
        <v>18.863399999999999</v>
      </c>
      <c r="L39">
        <f>IFERROR(VLOOKUP(F39,SROU03!$F:$L,7,FALSE),0)</f>
        <v>21.497299999999999</v>
      </c>
      <c r="M39">
        <v>22.171800000000001</v>
      </c>
      <c r="N39" t="str">
        <f t="shared" si="1"/>
        <v>BM3D</v>
      </c>
      <c r="O39">
        <f t="shared" si="2"/>
        <v>22.171800000000001</v>
      </c>
      <c r="P39">
        <f>VLOOKUP(N39,'Color codes'!$A:$B,2,FALSE)</f>
        <v>1</v>
      </c>
      <c r="Q39">
        <f>TRUNC(VLOOKUP(N39,'Color codes'!$A:$E,3,FALSE)*(0.25 + 0.75*O39/40))</f>
        <v>169</v>
      </c>
      <c r="R39">
        <f>TRUNC(VLOOKUP(N39,'Color codes'!$A:$E,4,FALSE)*(0.25 + 0.75*O39/40))</f>
        <v>71</v>
      </c>
      <c r="S39">
        <f>TRUNC(VLOOKUP(N39,'Color codes'!$A:$E,5,FALSE)*(0.25 + 0.75*O39/40))</f>
        <v>69</v>
      </c>
      <c r="T39" t="b">
        <f t="shared" si="3"/>
        <v>0</v>
      </c>
    </row>
    <row r="40" spans="1:20" x14ac:dyDescent="0.25">
      <c r="A40" t="s">
        <v>7</v>
      </c>
      <c r="B40" t="s">
        <v>10</v>
      </c>
      <c r="C40">
        <v>7</v>
      </c>
      <c r="D40">
        <v>1.0000000000000001E-5</v>
      </c>
      <c r="E40">
        <v>0.01</v>
      </c>
      <c r="F40" t="str">
        <f t="shared" si="4"/>
        <v>lena256_line_7_0,00001_0,01</v>
      </c>
      <c r="G40">
        <f>IFERROR(VLOOKUP(F40,SROU03!$F:$H,2,FALSE),0)</f>
        <v>11.193917000000001</v>
      </c>
      <c r="H40">
        <f>IFERROR(VLOOKUP(F40,SROU03!$F:$H,3,FALSE),0)</f>
        <v>8.6656189999999995</v>
      </c>
      <c r="I40">
        <v>6.5246000000000004</v>
      </c>
      <c r="J40">
        <v>10.0802</v>
      </c>
      <c r="K40">
        <f>IFERROR(VLOOKUP(F40,TICO09!$F:$K,6,FALSE),0)</f>
        <v>14.3185</v>
      </c>
      <c r="L40">
        <f>IFERROR(VLOOKUP(F40,SROU03!$F:$L,7,FALSE),0)</f>
        <v>14.6929</v>
      </c>
      <c r="M40">
        <v>15.866199999999999</v>
      </c>
      <c r="N40" t="str">
        <f t="shared" si="1"/>
        <v>BM3D</v>
      </c>
      <c r="O40">
        <f t="shared" si="2"/>
        <v>15.866199999999999</v>
      </c>
      <c r="P40">
        <f>VLOOKUP(N40,'Color codes'!$A:$B,2,FALSE)</f>
        <v>1</v>
      </c>
      <c r="Q40">
        <f>TRUNC(VLOOKUP(N40,'Color codes'!$A:$E,3,FALSE)*(0.25 + 0.75*O40/40))</f>
        <v>139</v>
      </c>
      <c r="R40">
        <f>TRUNC(VLOOKUP(N40,'Color codes'!$A:$E,4,FALSE)*(0.25 + 0.75*O40/40))</f>
        <v>58</v>
      </c>
      <c r="S40">
        <f>TRUNC(VLOOKUP(N40,'Color codes'!$A:$E,5,FALSE)*(0.25 + 0.75*O40/40))</f>
        <v>56</v>
      </c>
      <c r="T40" t="b">
        <f t="shared" si="3"/>
        <v>1</v>
      </c>
    </row>
    <row r="41" spans="1:20" x14ac:dyDescent="0.25">
      <c r="A41" t="s">
        <v>7</v>
      </c>
      <c r="B41" t="s">
        <v>10</v>
      </c>
      <c r="C41">
        <v>7</v>
      </c>
      <c r="D41">
        <v>1.0000000000000001E-5</v>
      </c>
      <c r="E41">
        <v>0.1</v>
      </c>
      <c r="F41" t="str">
        <f t="shared" si="4"/>
        <v>lena256_line_7_0,00001_0,1</v>
      </c>
      <c r="G41">
        <f>IFERROR(VLOOKUP(F41,SROU03!$F:$H,2,FALSE),0)</f>
        <v>8.7482760000000006</v>
      </c>
      <c r="H41">
        <f>IFERROR(VLOOKUP(F41,SROU03!$F:$H,3,FALSE),0)</f>
        <v>8.7435779999999994</v>
      </c>
      <c r="I41">
        <v>1.2521</v>
      </c>
      <c r="J41">
        <v>10.0802</v>
      </c>
      <c r="K41">
        <f>IFERROR(VLOOKUP(F41,TICO09!$F:$K,6,FALSE),0)</f>
        <v>8.9170999999999996</v>
      </c>
      <c r="L41">
        <f>IFERROR(VLOOKUP(F41,SROU03!$F:$L,7,FALSE),0)</f>
        <v>9.6738</v>
      </c>
      <c r="M41">
        <v>10.352499999999999</v>
      </c>
      <c r="N41" t="str">
        <f t="shared" si="1"/>
        <v>BM3D</v>
      </c>
      <c r="O41">
        <f t="shared" si="2"/>
        <v>10.352499999999999</v>
      </c>
      <c r="P41">
        <f>VLOOKUP(N41,'Color codes'!$A:$B,2,FALSE)</f>
        <v>1</v>
      </c>
      <c r="Q41">
        <f>TRUNC(VLOOKUP(N41,'Color codes'!$A:$E,3,FALSE)*(0.25 + 0.75*O41/40))</f>
        <v>113</v>
      </c>
      <c r="R41">
        <f>TRUNC(VLOOKUP(N41,'Color codes'!$A:$E,4,FALSE)*(0.25 + 0.75*O41/40))</f>
        <v>47</v>
      </c>
      <c r="S41">
        <f>TRUNC(VLOOKUP(N41,'Color codes'!$A:$E,5,FALSE)*(0.25 + 0.75*O41/40))</f>
        <v>46</v>
      </c>
      <c r="T41" t="b">
        <f t="shared" si="3"/>
        <v>0</v>
      </c>
    </row>
    <row r="42" spans="1:20" x14ac:dyDescent="0.25">
      <c r="A42" t="s">
        <v>7</v>
      </c>
      <c r="B42" t="s">
        <v>10</v>
      </c>
      <c r="C42">
        <v>15</v>
      </c>
      <c r="D42">
        <v>1.0000000000000001E-5</v>
      </c>
      <c r="E42">
        <v>1E-4</v>
      </c>
      <c r="F42" t="str">
        <f t="shared" si="4"/>
        <v>lena256_line_15_0,00001_0,0001</v>
      </c>
      <c r="G42">
        <f>IFERROR(VLOOKUP(F42,SROU03!$F:$H,2,FALSE),0)</f>
        <v>24.617514</v>
      </c>
      <c r="H42">
        <f>IFERROR(VLOOKUP(F42,SROU03!$F:$H,3,FALSE),0)</f>
        <v>18.926286999999999</v>
      </c>
      <c r="I42">
        <v>25.3811</v>
      </c>
      <c r="J42">
        <v>6.5651000000000002</v>
      </c>
      <c r="K42">
        <f>IFERROR(VLOOKUP(F42,TICO09!$F:$K,6,FALSE),0)</f>
        <v>21.478999999999999</v>
      </c>
      <c r="L42">
        <f>IFERROR(VLOOKUP(F42,SROU03!$F:$L,7,FALSE),0)</f>
        <v>27.347200000000001</v>
      </c>
      <c r="M42">
        <v>29.281600000000001</v>
      </c>
      <c r="N42" t="str">
        <f t="shared" si="1"/>
        <v>BM3D</v>
      </c>
      <c r="O42">
        <f t="shared" si="2"/>
        <v>29.281600000000001</v>
      </c>
      <c r="P42">
        <f>VLOOKUP(N42,'Color codes'!$A:$B,2,FALSE)</f>
        <v>1</v>
      </c>
      <c r="Q42">
        <f>TRUNC(VLOOKUP(N42,'Color codes'!$A:$E,3,FALSE)*(0.25 + 0.75*O42/40))</f>
        <v>203</v>
      </c>
      <c r="R42">
        <f>TRUNC(VLOOKUP(N42,'Color codes'!$A:$E,4,FALSE)*(0.25 + 0.75*O42/40))</f>
        <v>85</v>
      </c>
      <c r="S42">
        <f>TRUNC(VLOOKUP(N42,'Color codes'!$A:$E,5,FALSE)*(0.25 + 0.75*O42/40))</f>
        <v>83</v>
      </c>
      <c r="T42" t="b">
        <f t="shared" si="3"/>
        <v>1</v>
      </c>
    </row>
    <row r="43" spans="1:20" x14ac:dyDescent="0.25">
      <c r="A43" t="s">
        <v>7</v>
      </c>
      <c r="B43" t="s">
        <v>10</v>
      </c>
      <c r="C43">
        <v>15</v>
      </c>
      <c r="D43">
        <v>1.0000000000000001E-5</v>
      </c>
      <c r="E43">
        <v>1E-3</v>
      </c>
      <c r="F43" t="str">
        <f t="shared" si="4"/>
        <v>lena256_line_15_0,00001_0,001</v>
      </c>
      <c r="G43">
        <f>IFERROR(VLOOKUP(F43,SROU03!$F:$H,2,FALSE),0)</f>
        <v>12.183339999999999</v>
      </c>
      <c r="H43">
        <f>IFERROR(VLOOKUP(F43,SROU03!$F:$H,3,FALSE),0)</f>
        <v>18.521283</v>
      </c>
      <c r="I43">
        <v>15.513400000000001</v>
      </c>
      <c r="J43">
        <v>6.5651000000000002</v>
      </c>
      <c r="K43">
        <f>IFERROR(VLOOKUP(F43,TICO09!$F:$K,6,FALSE),0)</f>
        <v>18.748000000000001</v>
      </c>
      <c r="L43">
        <f>IFERROR(VLOOKUP(F43,SROU03!$F:$L,7,FALSE),0)</f>
        <v>20.300999999999998</v>
      </c>
      <c r="M43">
        <v>22.180199999999999</v>
      </c>
      <c r="N43" t="str">
        <f t="shared" si="1"/>
        <v>BM3D</v>
      </c>
      <c r="O43">
        <f t="shared" si="2"/>
        <v>22.180199999999999</v>
      </c>
      <c r="P43">
        <f>VLOOKUP(N43,'Color codes'!$A:$B,2,FALSE)</f>
        <v>1</v>
      </c>
      <c r="Q43">
        <f>TRUNC(VLOOKUP(N43,'Color codes'!$A:$E,3,FALSE)*(0.25 + 0.75*O43/40))</f>
        <v>169</v>
      </c>
      <c r="R43">
        <f>TRUNC(VLOOKUP(N43,'Color codes'!$A:$E,4,FALSE)*(0.25 + 0.75*O43/40))</f>
        <v>71</v>
      </c>
      <c r="S43">
        <f>TRUNC(VLOOKUP(N43,'Color codes'!$A:$E,5,FALSE)*(0.25 + 0.75*O43/40))</f>
        <v>69</v>
      </c>
      <c r="T43" t="b">
        <f t="shared" si="3"/>
        <v>1</v>
      </c>
    </row>
    <row r="44" spans="1:20" x14ac:dyDescent="0.25">
      <c r="A44" t="s">
        <v>7</v>
      </c>
      <c r="B44" t="s">
        <v>10</v>
      </c>
      <c r="C44">
        <v>15</v>
      </c>
      <c r="D44">
        <v>1.0000000000000001E-5</v>
      </c>
      <c r="E44">
        <v>0.01</v>
      </c>
      <c r="F44" t="str">
        <f t="shared" si="4"/>
        <v>lena256_line_15_0,00001_0,01</v>
      </c>
      <c r="G44">
        <f>IFERROR(VLOOKUP(F44,SROU03!$F:$H,2,FALSE),0)</f>
        <v>7.4619239999999998</v>
      </c>
      <c r="H44">
        <f>IFERROR(VLOOKUP(F44,SROU03!$F:$H,3,FALSE),0)</f>
        <v>18.687505999999999</v>
      </c>
      <c r="I44">
        <v>6.4988000000000001</v>
      </c>
      <c r="J44">
        <v>6.5651000000000002</v>
      </c>
      <c r="K44">
        <f>IFERROR(VLOOKUP(F44,TICO09!$F:$K,6,FALSE),0)</f>
        <v>13.795999999999999</v>
      </c>
      <c r="L44">
        <f>IFERROR(VLOOKUP(F44,SROU03!$F:$L,7,FALSE),0)</f>
        <v>14.009</v>
      </c>
      <c r="M44">
        <v>15.8774</v>
      </c>
      <c r="N44" t="str">
        <f t="shared" si="1"/>
        <v>BM3D</v>
      </c>
      <c r="O44">
        <f t="shared" si="2"/>
        <v>15.8774</v>
      </c>
      <c r="P44">
        <f>VLOOKUP(N44,'Color codes'!$A:$B,2,FALSE)</f>
        <v>1</v>
      </c>
      <c r="Q44">
        <f>TRUNC(VLOOKUP(N44,'Color codes'!$A:$E,3,FALSE)*(0.25 + 0.75*O44/40))</f>
        <v>139</v>
      </c>
      <c r="R44">
        <f>TRUNC(VLOOKUP(N44,'Color codes'!$A:$E,4,FALSE)*(0.25 + 0.75*O44/40))</f>
        <v>58</v>
      </c>
      <c r="S44">
        <f>TRUNC(VLOOKUP(N44,'Color codes'!$A:$E,5,FALSE)*(0.25 + 0.75*O44/40))</f>
        <v>56</v>
      </c>
      <c r="T44" t="b">
        <f t="shared" si="3"/>
        <v>1</v>
      </c>
    </row>
    <row r="45" spans="1:20" x14ac:dyDescent="0.25">
      <c r="A45" t="s">
        <v>7</v>
      </c>
      <c r="B45" t="s">
        <v>10</v>
      </c>
      <c r="C45">
        <v>15</v>
      </c>
      <c r="D45">
        <v>1.0000000000000001E-5</v>
      </c>
      <c r="E45">
        <v>0.1</v>
      </c>
      <c r="F45" t="str">
        <f t="shared" si="4"/>
        <v>lena256_line_15_0,00001_0,1</v>
      </c>
      <c r="G45">
        <f>IFERROR(VLOOKUP(F45,SROU03!$F:$H,2,FALSE),0)</f>
        <v>5.0990960000000003</v>
      </c>
      <c r="H45">
        <f>IFERROR(VLOOKUP(F45,SROU03!$F:$H,3,FALSE),0)</f>
        <v>18.789075</v>
      </c>
      <c r="I45">
        <v>1.2384999999999999</v>
      </c>
      <c r="J45">
        <v>6.5651000000000002</v>
      </c>
      <c r="K45">
        <f>IFERROR(VLOOKUP(F45,TICO09!$F:$K,6,FALSE),0)</f>
        <v>7.9833999999999996</v>
      </c>
      <c r="L45">
        <f>IFERROR(VLOOKUP(F45,SROU03!$F:$L,7,FALSE),0)</f>
        <v>8.0343999999999998</v>
      </c>
      <c r="M45">
        <v>10.195499999999999</v>
      </c>
      <c r="N45" t="str">
        <f t="shared" si="1"/>
        <v>BM3D</v>
      </c>
      <c r="O45">
        <f t="shared" si="2"/>
        <v>10.195499999999999</v>
      </c>
      <c r="P45">
        <f>VLOOKUP(N45,'Color codes'!$A:$B,2,FALSE)</f>
        <v>1</v>
      </c>
      <c r="Q45">
        <f>TRUNC(VLOOKUP(N45,'Color codes'!$A:$E,3,FALSE)*(0.25 + 0.75*O45/40))</f>
        <v>112</v>
      </c>
      <c r="R45">
        <f>TRUNC(VLOOKUP(N45,'Color codes'!$A:$E,4,FALSE)*(0.25 + 0.75*O45/40))</f>
        <v>47</v>
      </c>
      <c r="S45">
        <f>TRUNC(VLOOKUP(N45,'Color codes'!$A:$E,5,FALSE)*(0.25 + 0.75*O45/40))</f>
        <v>45</v>
      </c>
      <c r="T45" t="b">
        <f t="shared" si="3"/>
        <v>1</v>
      </c>
    </row>
    <row r="46" spans="1:20" x14ac:dyDescent="0.25">
      <c r="A46" t="s">
        <v>7</v>
      </c>
      <c r="B46" t="s">
        <v>10</v>
      </c>
      <c r="C46">
        <v>31</v>
      </c>
      <c r="D46">
        <v>1.0000000000000001E-5</v>
      </c>
      <c r="E46">
        <v>1E-4</v>
      </c>
      <c r="F46" t="str">
        <f t="shared" si="4"/>
        <v>lena256_line_31_0,00001_0,0001</v>
      </c>
      <c r="G46">
        <f>IFERROR(VLOOKUP(F46,SROU03!$F:$H,2,FALSE),0)</f>
        <v>22.492854000000001</v>
      </c>
      <c r="H46">
        <f>IFERROR(VLOOKUP(F46,SROU03!$F:$H,3,FALSE),0)</f>
        <v>39.615116999999998</v>
      </c>
      <c r="I46">
        <v>25.391300000000001</v>
      </c>
      <c r="J46">
        <v>3.6454</v>
      </c>
      <c r="K46">
        <f>IFERROR(VLOOKUP(F46,TICO09!$F:$K,6,FALSE),0)</f>
        <v>21.286200000000001</v>
      </c>
      <c r="L46">
        <f>IFERROR(VLOOKUP(F46,SROU03!$F:$L,7,FALSE),0)</f>
        <v>26.974799999999998</v>
      </c>
      <c r="M46">
        <v>29.330200000000001</v>
      </c>
      <c r="N46" t="str">
        <f t="shared" si="1"/>
        <v>BM3D</v>
      </c>
      <c r="O46">
        <f t="shared" si="2"/>
        <v>29.330200000000001</v>
      </c>
      <c r="P46">
        <f>VLOOKUP(N46,'Color codes'!$A:$B,2,FALSE)</f>
        <v>1</v>
      </c>
      <c r="Q46">
        <f>TRUNC(VLOOKUP(N46,'Color codes'!$A:$E,3,FALSE)*(0.25 + 0.75*O46/40))</f>
        <v>203</v>
      </c>
      <c r="R46">
        <f>TRUNC(VLOOKUP(N46,'Color codes'!$A:$E,4,FALSE)*(0.25 + 0.75*O46/40))</f>
        <v>85</v>
      </c>
      <c r="S46">
        <f>TRUNC(VLOOKUP(N46,'Color codes'!$A:$E,5,FALSE)*(0.25 + 0.75*O46/40))</f>
        <v>83</v>
      </c>
      <c r="T46" t="b">
        <f t="shared" si="3"/>
        <v>1</v>
      </c>
    </row>
    <row r="47" spans="1:20" x14ac:dyDescent="0.25">
      <c r="A47" t="s">
        <v>7</v>
      </c>
      <c r="B47" t="s">
        <v>10</v>
      </c>
      <c r="C47">
        <v>31</v>
      </c>
      <c r="D47">
        <v>1.0000000000000001E-5</v>
      </c>
      <c r="E47">
        <v>1E-3</v>
      </c>
      <c r="F47" t="str">
        <f t="shared" si="4"/>
        <v>lena256_line_31_0,00001_0,001</v>
      </c>
      <c r="G47">
        <f>IFERROR(VLOOKUP(F47,SROU03!$F:$H,2,FALSE),0)</f>
        <v>9.643084</v>
      </c>
      <c r="H47">
        <f>IFERROR(VLOOKUP(F47,SROU03!$F:$H,3,FALSE),0)</f>
        <v>38.264721000000002</v>
      </c>
      <c r="I47">
        <v>15.5299</v>
      </c>
      <c r="J47">
        <v>3.6454</v>
      </c>
      <c r="K47">
        <f>IFERROR(VLOOKUP(F47,TICO09!$F:$K,6,FALSE),0)</f>
        <v>18.5152</v>
      </c>
      <c r="L47">
        <f>IFERROR(VLOOKUP(F47,SROU03!$F:$L,7,FALSE),0)</f>
        <v>19.8185</v>
      </c>
      <c r="M47">
        <v>22.197500000000002</v>
      </c>
      <c r="N47" t="str">
        <f t="shared" si="1"/>
        <v>BM3D</v>
      </c>
      <c r="O47">
        <f t="shared" si="2"/>
        <v>22.197500000000002</v>
      </c>
      <c r="P47">
        <f>VLOOKUP(N47,'Color codes'!$A:$B,2,FALSE)</f>
        <v>1</v>
      </c>
      <c r="Q47">
        <f>TRUNC(VLOOKUP(N47,'Color codes'!$A:$E,3,FALSE)*(0.25 + 0.75*O47/40))</f>
        <v>169</v>
      </c>
      <c r="R47">
        <f>TRUNC(VLOOKUP(N47,'Color codes'!$A:$E,4,FALSE)*(0.25 + 0.75*O47/40))</f>
        <v>71</v>
      </c>
      <c r="S47">
        <f>TRUNC(VLOOKUP(N47,'Color codes'!$A:$E,5,FALSE)*(0.25 + 0.75*O47/40))</f>
        <v>69</v>
      </c>
      <c r="T47" t="b">
        <f t="shared" si="3"/>
        <v>1</v>
      </c>
    </row>
    <row r="48" spans="1:20" x14ac:dyDescent="0.25">
      <c r="A48" t="s">
        <v>7</v>
      </c>
      <c r="B48" t="s">
        <v>10</v>
      </c>
      <c r="C48">
        <v>31</v>
      </c>
      <c r="D48">
        <v>1.0000000000000001E-5</v>
      </c>
      <c r="E48">
        <v>0.01</v>
      </c>
      <c r="F48" t="str">
        <f t="shared" si="4"/>
        <v>lena256_line_31_0,00001_0,01</v>
      </c>
      <c r="G48">
        <f>IFERROR(VLOOKUP(F48,SROU03!$F:$H,2,FALSE),0)</f>
        <v>5.4025840000000001</v>
      </c>
      <c r="H48">
        <f>IFERROR(VLOOKUP(F48,SROU03!$F:$H,3,FALSE),0)</f>
        <v>38.329014999999998</v>
      </c>
      <c r="I48">
        <v>6.5111999999999997</v>
      </c>
      <c r="J48">
        <v>3.6454</v>
      </c>
      <c r="K48">
        <f>IFERROR(VLOOKUP(F48,TICO09!$F:$K,6,FALSE),0)</f>
        <v>13.750299999999999</v>
      </c>
      <c r="L48">
        <f>IFERROR(VLOOKUP(F48,SROU03!$F:$L,7,FALSE),0)</f>
        <v>13.7613</v>
      </c>
      <c r="M48">
        <v>15.8704</v>
      </c>
      <c r="N48" t="str">
        <f t="shared" si="1"/>
        <v>BM3D</v>
      </c>
      <c r="O48">
        <f t="shared" si="2"/>
        <v>15.8704</v>
      </c>
      <c r="P48">
        <f>VLOOKUP(N48,'Color codes'!$A:$B,2,FALSE)</f>
        <v>1</v>
      </c>
      <c r="Q48">
        <f>TRUNC(VLOOKUP(N48,'Color codes'!$A:$E,3,FALSE)*(0.25 + 0.75*O48/40))</f>
        <v>139</v>
      </c>
      <c r="R48">
        <f>TRUNC(VLOOKUP(N48,'Color codes'!$A:$E,4,FALSE)*(0.25 + 0.75*O48/40))</f>
        <v>58</v>
      </c>
      <c r="S48">
        <f>TRUNC(VLOOKUP(N48,'Color codes'!$A:$E,5,FALSE)*(0.25 + 0.75*O48/40))</f>
        <v>56</v>
      </c>
      <c r="T48" t="b">
        <f t="shared" si="3"/>
        <v>1</v>
      </c>
    </row>
    <row r="49" spans="1:20" x14ac:dyDescent="0.25">
      <c r="A49" t="s">
        <v>7</v>
      </c>
      <c r="B49" t="s">
        <v>10</v>
      </c>
      <c r="C49">
        <v>31</v>
      </c>
      <c r="D49">
        <v>1.0000000000000001E-5</v>
      </c>
      <c r="E49">
        <v>0.1</v>
      </c>
      <c r="F49" t="str">
        <f t="shared" si="4"/>
        <v>lena256_line_31_0,00001_0,1</v>
      </c>
      <c r="G49">
        <f>IFERROR(VLOOKUP(F49,SROU03!$F:$H,2,FALSE),0)</f>
        <v>3.5717599999999998</v>
      </c>
      <c r="H49">
        <f>IFERROR(VLOOKUP(F49,SROU03!$F:$H,3,FALSE),0)</f>
        <v>38.420444000000003</v>
      </c>
      <c r="I49">
        <v>1.2879</v>
      </c>
      <c r="J49">
        <v>3.6454</v>
      </c>
      <c r="K49">
        <f>IFERROR(VLOOKUP(F49,TICO09!$F:$K,6,FALSE),0)</f>
        <v>7.7840999999999996</v>
      </c>
      <c r="L49">
        <f>IFERROR(VLOOKUP(F49,SROU03!$F:$L,7,FALSE),0)</f>
        <v>6.7876000000000003</v>
      </c>
      <c r="M49">
        <v>10.3871</v>
      </c>
      <c r="N49" t="str">
        <f t="shared" si="1"/>
        <v>BM3D</v>
      </c>
      <c r="O49">
        <f t="shared" si="2"/>
        <v>10.3871</v>
      </c>
      <c r="P49">
        <f>VLOOKUP(N49,'Color codes'!$A:$B,2,FALSE)</f>
        <v>1</v>
      </c>
      <c r="Q49">
        <f>TRUNC(VLOOKUP(N49,'Color codes'!$A:$E,3,FALSE)*(0.25 + 0.75*O49/40))</f>
        <v>113</v>
      </c>
      <c r="R49">
        <f>TRUNC(VLOOKUP(N49,'Color codes'!$A:$E,4,FALSE)*(0.25 + 0.75*O49/40))</f>
        <v>47</v>
      </c>
      <c r="S49">
        <f>TRUNC(VLOOKUP(N49,'Color codes'!$A:$E,5,FALSE)*(0.25 + 0.75*O49/40))</f>
        <v>46</v>
      </c>
      <c r="T49" t="b">
        <f t="shared" si="3"/>
        <v>1</v>
      </c>
    </row>
    <row r="50" spans="1:20" x14ac:dyDescent="0.25">
      <c r="A50" t="s">
        <v>7</v>
      </c>
      <c r="B50" t="s">
        <v>11</v>
      </c>
      <c r="C50">
        <v>3</v>
      </c>
      <c r="D50">
        <v>1.0000000000000001E-5</v>
      </c>
      <c r="E50">
        <v>1E-4</v>
      </c>
      <c r="F50" t="str">
        <f t="shared" si="4"/>
        <v>lena256_blurkernel10_3_0,00001_0,0001</v>
      </c>
      <c r="G50">
        <f>IFERROR(VLOOKUP(F50,SROU03!$F:$H,2,FALSE),0)</f>
        <v>32.791966000000002</v>
      </c>
      <c r="H50">
        <f>IFERROR(VLOOKUP(F50,SROU03!$F:$H,3,FALSE),0)</f>
        <v>3.4524080000000001</v>
      </c>
      <c r="I50">
        <v>25.402799999999999</v>
      </c>
      <c r="J50">
        <v>17.635200000000001</v>
      </c>
      <c r="K50">
        <f>IFERROR(VLOOKUP(F50,TICO09!$F:$K,6,FALSE),0)</f>
        <v>20.521999999999998</v>
      </c>
      <c r="L50">
        <f>IFERROR(VLOOKUP(F50,SROU03!$F:$L,7,FALSE),0)</f>
        <v>29.459700000000002</v>
      </c>
      <c r="M50">
        <v>29.2973</v>
      </c>
      <c r="N50" t="str">
        <f t="shared" si="1"/>
        <v>SROU03</v>
      </c>
      <c r="O50">
        <f t="shared" si="2"/>
        <v>29.459700000000002</v>
      </c>
      <c r="P50">
        <f>VLOOKUP(N50,'Color codes'!$A:$B,2,FALSE)</f>
        <v>3</v>
      </c>
      <c r="Q50">
        <f>TRUNC(VLOOKUP(N50,'Color codes'!$A:$E,3,FALSE)*(0.25 + 0.75*O50/40))</f>
        <v>85</v>
      </c>
      <c r="R50">
        <f>TRUNC(VLOOKUP(N50,'Color codes'!$A:$E,4,FALSE)*(0.25 + 0.75*O50/40))</f>
        <v>141</v>
      </c>
      <c r="S50">
        <f>TRUNC(VLOOKUP(N50,'Color codes'!$A:$E,5,FALSE)*(0.25 + 0.75*O50/40))</f>
        <v>204</v>
      </c>
      <c r="T50" t="b">
        <f t="shared" si="3"/>
        <v>0</v>
      </c>
    </row>
    <row r="51" spans="1:20" x14ac:dyDescent="0.25">
      <c r="A51" t="s">
        <v>7</v>
      </c>
      <c r="B51" t="s">
        <v>11</v>
      </c>
      <c r="C51">
        <v>3</v>
      </c>
      <c r="D51">
        <v>1.0000000000000001E-5</v>
      </c>
      <c r="E51">
        <v>1E-3</v>
      </c>
      <c r="F51" t="str">
        <f t="shared" si="4"/>
        <v>lena256_blurkernel10_3_0,00001_0,001</v>
      </c>
      <c r="G51">
        <f>IFERROR(VLOOKUP(F51,SROU03!$F:$H,2,FALSE),0)</f>
        <v>24.485966000000001</v>
      </c>
      <c r="H51">
        <f>IFERROR(VLOOKUP(F51,SROU03!$F:$H,3,FALSE),0)</f>
        <v>3.395715</v>
      </c>
      <c r="I51">
        <v>15.5144</v>
      </c>
      <c r="J51">
        <v>17.635200000000001</v>
      </c>
      <c r="K51">
        <f>IFERROR(VLOOKUP(F51,TICO09!$F:$K,6,FALSE),0)</f>
        <v>19.3979</v>
      </c>
      <c r="L51">
        <f>IFERROR(VLOOKUP(F51,SROU03!$F:$L,7,FALSE),0)</f>
        <v>25.1617</v>
      </c>
      <c r="M51">
        <v>22.174099999999999</v>
      </c>
      <c r="N51" t="str">
        <f t="shared" si="1"/>
        <v>SROU03</v>
      </c>
      <c r="O51">
        <f t="shared" si="2"/>
        <v>25.1617</v>
      </c>
      <c r="P51">
        <f>VLOOKUP(N51,'Color codes'!$A:$B,2,FALSE)</f>
        <v>3</v>
      </c>
      <c r="Q51">
        <f>TRUNC(VLOOKUP(N51,'Color codes'!$A:$E,3,FALSE)*(0.25 + 0.75*O51/40))</f>
        <v>77</v>
      </c>
      <c r="R51">
        <f>TRUNC(VLOOKUP(N51,'Color codes'!$A:$E,4,FALSE)*(0.25 + 0.75*O51/40))</f>
        <v>127</v>
      </c>
      <c r="S51">
        <f>TRUNC(VLOOKUP(N51,'Color codes'!$A:$E,5,FALSE)*(0.25 + 0.75*O51/40))</f>
        <v>184</v>
      </c>
      <c r="T51" t="b">
        <f t="shared" si="3"/>
        <v>1</v>
      </c>
    </row>
    <row r="52" spans="1:20" x14ac:dyDescent="0.25">
      <c r="A52" t="s">
        <v>7</v>
      </c>
      <c r="B52" t="s">
        <v>11</v>
      </c>
      <c r="C52">
        <v>3</v>
      </c>
      <c r="D52">
        <v>1.0000000000000001E-5</v>
      </c>
      <c r="E52">
        <v>0.01</v>
      </c>
      <c r="F52" t="str">
        <f t="shared" si="4"/>
        <v>lena256_blurkernel10_3_0,00001_0,01</v>
      </c>
      <c r="G52">
        <f>IFERROR(VLOOKUP(F52,SROU03!$F:$H,2,FALSE),0)</f>
        <v>21.025161000000001</v>
      </c>
      <c r="H52">
        <f>IFERROR(VLOOKUP(F52,SROU03!$F:$H,3,FALSE),0)</f>
        <v>3.469014</v>
      </c>
      <c r="I52">
        <v>6.4867999999999997</v>
      </c>
      <c r="J52">
        <v>17.635200000000001</v>
      </c>
      <c r="K52">
        <f>IFERROR(VLOOKUP(F52,TICO09!$F:$K,6,FALSE),0)</f>
        <v>16.971699999999998</v>
      </c>
      <c r="L52">
        <f>IFERROR(VLOOKUP(F52,SROU03!$F:$L,7,FALSE),0)</f>
        <v>21.820399999999999</v>
      </c>
      <c r="M52">
        <v>15.753500000000001</v>
      </c>
      <c r="N52" t="str">
        <f t="shared" si="1"/>
        <v>SROU03</v>
      </c>
      <c r="O52">
        <f t="shared" si="2"/>
        <v>21.820399999999999</v>
      </c>
      <c r="P52">
        <f>VLOOKUP(N52,'Color codes'!$A:$B,2,FALSE)</f>
        <v>3</v>
      </c>
      <c r="Q52">
        <f>TRUNC(VLOOKUP(N52,'Color codes'!$A:$E,3,FALSE)*(0.25 + 0.75*O52/40))</f>
        <v>70</v>
      </c>
      <c r="R52">
        <f>TRUNC(VLOOKUP(N52,'Color codes'!$A:$E,4,FALSE)*(0.25 + 0.75*O52/40))</f>
        <v>116</v>
      </c>
      <c r="S52">
        <f>TRUNC(VLOOKUP(N52,'Color codes'!$A:$E,5,FALSE)*(0.25 + 0.75*O52/40))</f>
        <v>168</v>
      </c>
      <c r="T52" t="b">
        <f t="shared" si="3"/>
        <v>1</v>
      </c>
    </row>
    <row r="53" spans="1:20" x14ac:dyDescent="0.25">
      <c r="A53" t="s">
        <v>7</v>
      </c>
      <c r="B53" t="s">
        <v>11</v>
      </c>
      <c r="C53">
        <v>3</v>
      </c>
      <c r="D53">
        <v>1.0000000000000001E-5</v>
      </c>
      <c r="E53">
        <v>0.1</v>
      </c>
      <c r="F53" t="str">
        <f t="shared" si="4"/>
        <v>lena256_blurkernel10_3_0,00001_0,1</v>
      </c>
      <c r="G53">
        <f>IFERROR(VLOOKUP(F53,SROU03!$F:$H,2,FALSE),0)</f>
        <v>19.506181000000002</v>
      </c>
      <c r="H53">
        <f>IFERROR(VLOOKUP(F53,SROU03!$F:$H,3,FALSE),0)</f>
        <v>3.4844970000000002</v>
      </c>
      <c r="I53">
        <v>1.2827</v>
      </c>
      <c r="J53">
        <v>17.635200000000001</v>
      </c>
      <c r="K53">
        <f>IFERROR(VLOOKUP(F53,TICO09!$F:$K,6,FALSE),0)</f>
        <v>11.238300000000001</v>
      </c>
      <c r="L53">
        <f>IFERROR(VLOOKUP(F53,SROU03!$F:$L,7,FALSE),0)</f>
        <v>19.7286</v>
      </c>
      <c r="M53">
        <v>10.382199999999999</v>
      </c>
      <c r="N53" t="str">
        <f t="shared" si="1"/>
        <v>SROU03</v>
      </c>
      <c r="O53">
        <f t="shared" si="2"/>
        <v>19.7286</v>
      </c>
      <c r="P53">
        <f>VLOOKUP(N53,'Color codes'!$A:$B,2,FALSE)</f>
        <v>3</v>
      </c>
      <c r="Q53">
        <f>TRUNC(VLOOKUP(N53,'Color codes'!$A:$E,3,FALSE)*(0.25 + 0.75*O53/40))</f>
        <v>66</v>
      </c>
      <c r="R53">
        <f>TRUNC(VLOOKUP(N53,'Color codes'!$A:$E,4,FALSE)*(0.25 + 0.75*O53/40))</f>
        <v>109</v>
      </c>
      <c r="S53">
        <f>TRUNC(VLOOKUP(N53,'Color codes'!$A:$E,5,FALSE)*(0.25 + 0.75*O53/40))</f>
        <v>158</v>
      </c>
      <c r="T53" t="b">
        <f t="shared" si="3"/>
        <v>1</v>
      </c>
    </row>
    <row r="54" spans="1:20" x14ac:dyDescent="0.25">
      <c r="A54" t="s">
        <v>7</v>
      </c>
      <c r="B54" t="s">
        <v>11</v>
      </c>
      <c r="C54">
        <v>7</v>
      </c>
      <c r="D54">
        <v>1.0000000000000001E-5</v>
      </c>
      <c r="E54">
        <v>1E-4</v>
      </c>
      <c r="F54" t="str">
        <f t="shared" si="4"/>
        <v>lena256_blurkernel10_7_0,00001_0,0001</v>
      </c>
      <c r="G54">
        <f>IFERROR(VLOOKUP(F54,SROU03!$F:$H,2,FALSE),0)</f>
        <v>24.185366999999999</v>
      </c>
      <c r="H54">
        <f>IFERROR(VLOOKUP(F54,SROU03!$F:$H,3,FALSE),0)</f>
        <v>8.9770699999999994</v>
      </c>
      <c r="I54">
        <v>25.365400000000001</v>
      </c>
      <c r="J54">
        <v>12.012700000000001</v>
      </c>
      <c r="K54">
        <f>IFERROR(VLOOKUP(F54,TICO09!$F:$K,6,FALSE),0)</f>
        <v>20.811900000000001</v>
      </c>
      <c r="L54">
        <f>IFERROR(VLOOKUP(F54,SROU03!$F:$L,7,FALSE),0)</f>
        <v>27.714099999999998</v>
      </c>
      <c r="M54">
        <v>29.319199999999999</v>
      </c>
      <c r="N54" t="str">
        <f t="shared" si="1"/>
        <v>BM3D</v>
      </c>
      <c r="O54">
        <f t="shared" si="2"/>
        <v>29.319199999999999</v>
      </c>
      <c r="P54">
        <f>VLOOKUP(N54,'Color codes'!$A:$B,2,FALSE)</f>
        <v>1</v>
      </c>
      <c r="Q54">
        <f>TRUNC(VLOOKUP(N54,'Color codes'!$A:$E,3,FALSE)*(0.25 + 0.75*O54/40))</f>
        <v>203</v>
      </c>
      <c r="R54">
        <f>TRUNC(VLOOKUP(N54,'Color codes'!$A:$E,4,FALSE)*(0.25 + 0.75*O54/40))</f>
        <v>85</v>
      </c>
      <c r="S54">
        <f>TRUNC(VLOOKUP(N54,'Color codes'!$A:$E,5,FALSE)*(0.25 + 0.75*O54/40))</f>
        <v>83</v>
      </c>
      <c r="T54" t="b">
        <f t="shared" si="3"/>
        <v>1</v>
      </c>
    </row>
    <row r="55" spans="1:20" x14ac:dyDescent="0.25">
      <c r="A55" t="s">
        <v>7</v>
      </c>
      <c r="B55" t="s">
        <v>11</v>
      </c>
      <c r="C55">
        <v>7</v>
      </c>
      <c r="D55">
        <v>1.0000000000000001E-5</v>
      </c>
      <c r="E55">
        <v>1E-3</v>
      </c>
      <c r="F55" t="str">
        <f t="shared" si="4"/>
        <v>lena256_blurkernel10_7_0,00001_0,001</v>
      </c>
      <c r="G55">
        <f>IFERROR(VLOOKUP(F55,SROU03!$F:$H,2,FALSE),0)</f>
        <v>14.272964999999999</v>
      </c>
      <c r="H55">
        <f>IFERROR(VLOOKUP(F55,SROU03!$F:$H,3,FALSE),0)</f>
        <v>8.6472099999999994</v>
      </c>
      <c r="I55">
        <v>15.5282</v>
      </c>
      <c r="J55">
        <v>12.012700000000001</v>
      </c>
      <c r="K55">
        <f>IFERROR(VLOOKUP(F55,TICO09!$F:$K,6,FALSE),0)</f>
        <v>18.7227</v>
      </c>
      <c r="L55">
        <f>IFERROR(VLOOKUP(F55,SROU03!$F:$L,7,FALSE),0)</f>
        <v>22.389800000000001</v>
      </c>
      <c r="M55">
        <v>22.156400000000001</v>
      </c>
      <c r="N55" t="str">
        <f t="shared" ref="N55:N106" si="5">IF((M55&gt;(MAX(K55,L55))),"BM3D",IF(L55&gt;(MAX(K55,M55)),"SROU03","TICO09"))</f>
        <v>SROU03</v>
      </c>
      <c r="O55">
        <f t="shared" si="2"/>
        <v>22.389800000000001</v>
      </c>
      <c r="P55">
        <f>VLOOKUP(N55,'Color codes'!$A:$B,2,FALSE)</f>
        <v>3</v>
      </c>
      <c r="Q55">
        <f>TRUNC(VLOOKUP(N55,'Color codes'!$A:$E,3,FALSE)*(0.25 + 0.75*O55/40))</f>
        <v>71</v>
      </c>
      <c r="R55">
        <f>TRUNC(VLOOKUP(N55,'Color codes'!$A:$E,4,FALSE)*(0.25 + 0.75*O55/40))</f>
        <v>117</v>
      </c>
      <c r="S55">
        <f>TRUNC(VLOOKUP(N55,'Color codes'!$A:$E,5,FALSE)*(0.25 + 0.75*O55/40))</f>
        <v>170</v>
      </c>
      <c r="T55" t="b">
        <f t="shared" si="3"/>
        <v>0</v>
      </c>
    </row>
    <row r="56" spans="1:20" x14ac:dyDescent="0.25">
      <c r="A56" t="s">
        <v>7</v>
      </c>
      <c r="B56" t="s">
        <v>11</v>
      </c>
      <c r="C56">
        <v>7</v>
      </c>
      <c r="D56">
        <v>1.0000000000000001E-5</v>
      </c>
      <c r="E56">
        <v>0.01</v>
      </c>
      <c r="F56" t="str">
        <f t="shared" si="4"/>
        <v>lena256_blurkernel10_7_0,00001_0,01</v>
      </c>
      <c r="G56">
        <f>IFERROR(VLOOKUP(F56,SROU03!$F:$H,2,FALSE),0)</f>
        <v>11.154995</v>
      </c>
      <c r="H56">
        <f>IFERROR(VLOOKUP(F56,SROU03!$F:$H,3,FALSE),0)</f>
        <v>8.6959160000000004</v>
      </c>
      <c r="I56">
        <v>6.5035999999999996</v>
      </c>
      <c r="J56">
        <v>12.012700000000001</v>
      </c>
      <c r="K56">
        <f>IFERROR(VLOOKUP(F56,TICO09!$F:$K,6,FALSE),0)</f>
        <v>14.667400000000001</v>
      </c>
      <c r="L56">
        <f>IFERROR(VLOOKUP(F56,SROU03!$F:$L,7,FALSE),0)</f>
        <v>19.2559</v>
      </c>
      <c r="M56">
        <v>15.759600000000001</v>
      </c>
      <c r="N56" t="str">
        <f t="shared" si="5"/>
        <v>SROU03</v>
      </c>
      <c r="O56">
        <f t="shared" si="2"/>
        <v>19.2559</v>
      </c>
      <c r="P56">
        <f>VLOOKUP(N56,'Color codes'!$A:$B,2,FALSE)</f>
        <v>3</v>
      </c>
      <c r="Q56">
        <f>TRUNC(VLOOKUP(N56,'Color codes'!$A:$E,3,FALSE)*(0.25 + 0.75*O56/40))</f>
        <v>65</v>
      </c>
      <c r="R56">
        <f>TRUNC(VLOOKUP(N56,'Color codes'!$A:$E,4,FALSE)*(0.25 + 0.75*O56/40))</f>
        <v>107</v>
      </c>
      <c r="S56">
        <f>TRUNC(VLOOKUP(N56,'Color codes'!$A:$E,5,FALSE)*(0.25 + 0.75*O56/40))</f>
        <v>155</v>
      </c>
      <c r="T56" t="b">
        <f t="shared" si="3"/>
        <v>1</v>
      </c>
    </row>
    <row r="57" spans="1:20" x14ac:dyDescent="0.25">
      <c r="A57" t="s">
        <v>7</v>
      </c>
      <c r="B57" t="s">
        <v>11</v>
      </c>
      <c r="C57">
        <v>7</v>
      </c>
      <c r="D57">
        <v>1.0000000000000001E-5</v>
      </c>
      <c r="E57">
        <v>0.1</v>
      </c>
      <c r="F57" t="str">
        <f t="shared" si="4"/>
        <v>lena256_blurkernel10_7_0,00001_0,1</v>
      </c>
      <c r="G57">
        <f>IFERROR(VLOOKUP(F57,SROU03!$F:$H,2,FALSE),0)</f>
        <v>8.9981489999999997</v>
      </c>
      <c r="H57">
        <f>IFERROR(VLOOKUP(F57,SROU03!$F:$H,3,FALSE),0)</f>
        <v>8.7617890000000003</v>
      </c>
      <c r="I57">
        <v>1.2404999999999999</v>
      </c>
      <c r="J57">
        <v>12.012700000000001</v>
      </c>
      <c r="K57">
        <f>IFERROR(VLOOKUP(F57,TICO09!$F:$K,6,FALSE),0)</f>
        <v>9.6396999999999995</v>
      </c>
      <c r="L57">
        <f>IFERROR(VLOOKUP(F57,SROU03!$F:$L,7,FALSE),0)</f>
        <v>13.0787</v>
      </c>
      <c r="M57">
        <v>10.268000000000001</v>
      </c>
      <c r="N57" t="str">
        <f t="shared" si="5"/>
        <v>SROU03</v>
      </c>
      <c r="O57">
        <f t="shared" si="2"/>
        <v>13.0787</v>
      </c>
      <c r="P57">
        <f>VLOOKUP(N57,'Color codes'!$A:$B,2,FALSE)</f>
        <v>3</v>
      </c>
      <c r="Q57">
        <f>TRUNC(VLOOKUP(N57,'Color codes'!$A:$E,3,FALSE)*(0.25 + 0.75*O57/40))</f>
        <v>52</v>
      </c>
      <c r="R57">
        <f>TRUNC(VLOOKUP(N57,'Color codes'!$A:$E,4,FALSE)*(0.25 + 0.75*O57/40))</f>
        <v>87</v>
      </c>
      <c r="S57">
        <f>TRUNC(VLOOKUP(N57,'Color codes'!$A:$E,5,FALSE)*(0.25 + 0.75*O57/40))</f>
        <v>126</v>
      </c>
      <c r="T57" t="b">
        <f t="shared" si="3"/>
        <v>1</v>
      </c>
    </row>
    <row r="58" spans="1:20" x14ac:dyDescent="0.25">
      <c r="A58" t="s">
        <v>7</v>
      </c>
      <c r="B58" t="s">
        <v>11</v>
      </c>
      <c r="C58">
        <v>15</v>
      </c>
      <c r="D58">
        <v>1.0000000000000001E-5</v>
      </c>
      <c r="E58">
        <v>1E-4</v>
      </c>
      <c r="F58" t="str">
        <f t="shared" si="4"/>
        <v>lena256_blurkernel10_15_0,00001_0,0001</v>
      </c>
      <c r="G58">
        <f>IFERROR(VLOOKUP(F58,SROU03!$F:$H,2,FALSE),0)</f>
        <v>21.780586</v>
      </c>
      <c r="H58">
        <f>IFERROR(VLOOKUP(F58,SROU03!$F:$H,3,FALSE),0)</f>
        <v>19.654114</v>
      </c>
      <c r="I58">
        <v>25.413900000000002</v>
      </c>
      <c r="J58">
        <v>8.4251000000000005</v>
      </c>
      <c r="K58">
        <f>IFERROR(VLOOKUP(F58,TICO09!$F:$K,6,FALSE),0)</f>
        <v>21.132899999999999</v>
      </c>
      <c r="L58">
        <f>IFERROR(VLOOKUP(F58,SROU03!$F:$L,7,FALSE),0)</f>
        <v>27.075700000000001</v>
      </c>
      <c r="M58">
        <v>29.358499999999999</v>
      </c>
      <c r="N58" t="str">
        <f t="shared" si="5"/>
        <v>BM3D</v>
      </c>
      <c r="O58">
        <f t="shared" si="2"/>
        <v>29.358499999999999</v>
      </c>
      <c r="P58">
        <f>VLOOKUP(N58,'Color codes'!$A:$B,2,FALSE)</f>
        <v>1</v>
      </c>
      <c r="Q58">
        <f>TRUNC(VLOOKUP(N58,'Color codes'!$A:$E,3,FALSE)*(0.25 + 0.75*O58/40))</f>
        <v>204</v>
      </c>
      <c r="R58">
        <f>TRUNC(VLOOKUP(N58,'Color codes'!$A:$E,4,FALSE)*(0.25 + 0.75*O58/40))</f>
        <v>85</v>
      </c>
      <c r="S58">
        <f>TRUNC(VLOOKUP(N58,'Color codes'!$A:$E,5,FALSE)*(0.25 + 0.75*O58/40))</f>
        <v>83</v>
      </c>
      <c r="T58" t="b">
        <f t="shared" si="3"/>
        <v>1</v>
      </c>
    </row>
    <row r="59" spans="1:20" x14ac:dyDescent="0.25">
      <c r="A59" t="s">
        <v>7</v>
      </c>
      <c r="B59" t="s">
        <v>11</v>
      </c>
      <c r="C59">
        <v>15</v>
      </c>
      <c r="D59">
        <v>1.0000000000000001E-5</v>
      </c>
      <c r="E59">
        <v>1E-3</v>
      </c>
      <c r="F59" t="str">
        <f t="shared" si="4"/>
        <v>lena256_blurkernel10_15_0,00001_0,001</v>
      </c>
      <c r="G59">
        <f>IFERROR(VLOOKUP(F59,SROU03!$F:$H,2,FALSE),0)</f>
        <v>10.06354</v>
      </c>
      <c r="H59">
        <f>IFERROR(VLOOKUP(F59,SROU03!$F:$H,3,FALSE),0)</f>
        <v>18.874655000000001</v>
      </c>
      <c r="I59">
        <v>15.4777</v>
      </c>
      <c r="J59">
        <v>8.4251000000000005</v>
      </c>
      <c r="K59">
        <f>IFERROR(VLOOKUP(F59,TICO09!$F:$K,6,FALSE),0)</f>
        <v>18.624300000000002</v>
      </c>
      <c r="L59">
        <f>IFERROR(VLOOKUP(F59,SROU03!$F:$L,7,FALSE),0)</f>
        <v>21.311499999999999</v>
      </c>
      <c r="M59">
        <v>22.171199999999999</v>
      </c>
      <c r="N59" t="str">
        <f t="shared" si="5"/>
        <v>BM3D</v>
      </c>
      <c r="O59">
        <f t="shared" si="2"/>
        <v>22.171199999999999</v>
      </c>
      <c r="P59">
        <f>VLOOKUP(N59,'Color codes'!$A:$B,2,FALSE)</f>
        <v>1</v>
      </c>
      <c r="Q59">
        <f>TRUNC(VLOOKUP(N59,'Color codes'!$A:$E,3,FALSE)*(0.25 + 0.75*O59/40))</f>
        <v>169</v>
      </c>
      <c r="R59">
        <f>TRUNC(VLOOKUP(N59,'Color codes'!$A:$E,4,FALSE)*(0.25 + 0.75*O59/40))</f>
        <v>71</v>
      </c>
      <c r="S59">
        <f>TRUNC(VLOOKUP(N59,'Color codes'!$A:$E,5,FALSE)*(0.25 + 0.75*O59/40))</f>
        <v>69</v>
      </c>
      <c r="T59" t="b">
        <f t="shared" si="3"/>
        <v>0</v>
      </c>
    </row>
    <row r="60" spans="1:20" x14ac:dyDescent="0.25">
      <c r="A60" t="s">
        <v>7</v>
      </c>
      <c r="B60" t="s">
        <v>11</v>
      </c>
      <c r="C60">
        <v>15</v>
      </c>
      <c r="D60">
        <v>1.0000000000000001E-5</v>
      </c>
      <c r="E60">
        <v>0.01</v>
      </c>
      <c r="F60" t="str">
        <f t="shared" si="4"/>
        <v>lena256_blurkernel10_15_0,00001_0,01</v>
      </c>
      <c r="G60">
        <f>IFERROR(VLOOKUP(F60,SROU03!$F:$H,2,FALSE),0)</f>
        <v>6.9808669999999999</v>
      </c>
      <c r="H60">
        <f>IFERROR(VLOOKUP(F60,SROU03!$F:$H,3,FALSE),0)</f>
        <v>18.862404000000002</v>
      </c>
      <c r="I60">
        <v>6.4850000000000003</v>
      </c>
      <c r="J60">
        <v>8.4251000000000005</v>
      </c>
      <c r="K60">
        <f>IFERROR(VLOOKUP(F60,TICO09!$F:$K,6,FALSE),0)</f>
        <v>13.915699999999999</v>
      </c>
      <c r="L60">
        <f>IFERROR(VLOOKUP(F60,SROU03!$F:$L,7,FALSE),0)</f>
        <v>17.9529</v>
      </c>
      <c r="M60">
        <v>15.7842</v>
      </c>
      <c r="N60" t="str">
        <f t="shared" si="5"/>
        <v>SROU03</v>
      </c>
      <c r="O60">
        <f t="shared" si="2"/>
        <v>17.9529</v>
      </c>
      <c r="P60">
        <f>VLOOKUP(N60,'Color codes'!$A:$B,2,FALSE)</f>
        <v>3</v>
      </c>
      <c r="Q60">
        <f>TRUNC(VLOOKUP(N60,'Color codes'!$A:$E,3,FALSE)*(0.25 + 0.75*O60/40))</f>
        <v>62</v>
      </c>
      <c r="R60">
        <f>TRUNC(VLOOKUP(N60,'Color codes'!$A:$E,4,FALSE)*(0.25 + 0.75*O60/40))</f>
        <v>103</v>
      </c>
      <c r="S60">
        <f>TRUNC(VLOOKUP(N60,'Color codes'!$A:$E,5,FALSE)*(0.25 + 0.75*O60/40))</f>
        <v>149</v>
      </c>
      <c r="T60" t="b">
        <f t="shared" si="3"/>
        <v>1</v>
      </c>
    </row>
    <row r="61" spans="1:20" x14ac:dyDescent="0.25">
      <c r="A61" t="s">
        <v>7</v>
      </c>
      <c r="B61" t="s">
        <v>11</v>
      </c>
      <c r="C61">
        <v>15</v>
      </c>
      <c r="D61">
        <v>1.0000000000000001E-5</v>
      </c>
      <c r="E61">
        <v>0.1</v>
      </c>
      <c r="F61" t="str">
        <f t="shared" si="4"/>
        <v>lena256_blurkernel10_15_0,00001_0,1</v>
      </c>
      <c r="G61">
        <f>IFERROR(VLOOKUP(F61,SROU03!$F:$H,2,FALSE),0)</f>
        <v>5.699497</v>
      </c>
      <c r="H61">
        <f>IFERROR(VLOOKUP(F61,SROU03!$F:$H,3,FALSE),0)</f>
        <v>18.898703000000001</v>
      </c>
      <c r="I61">
        <v>1.2773000000000001</v>
      </c>
      <c r="J61">
        <v>8.4251000000000005</v>
      </c>
      <c r="K61">
        <f>IFERROR(VLOOKUP(F61,TICO09!$F:$K,6,FALSE),0)</f>
        <v>8.5427</v>
      </c>
      <c r="L61">
        <f>IFERROR(VLOOKUP(F61,SROU03!$F:$L,7,FALSE),0)</f>
        <v>13.1046</v>
      </c>
      <c r="M61">
        <v>10.315799999999999</v>
      </c>
      <c r="N61" t="str">
        <f t="shared" si="5"/>
        <v>SROU03</v>
      </c>
      <c r="O61">
        <f t="shared" si="2"/>
        <v>13.1046</v>
      </c>
      <c r="P61">
        <f>VLOOKUP(N61,'Color codes'!$A:$B,2,FALSE)</f>
        <v>3</v>
      </c>
      <c r="Q61">
        <f>TRUNC(VLOOKUP(N61,'Color codes'!$A:$E,3,FALSE)*(0.25 + 0.75*O61/40))</f>
        <v>53</v>
      </c>
      <c r="R61">
        <f>TRUNC(VLOOKUP(N61,'Color codes'!$A:$E,4,FALSE)*(0.25 + 0.75*O61/40))</f>
        <v>87</v>
      </c>
      <c r="S61">
        <f>TRUNC(VLOOKUP(N61,'Color codes'!$A:$E,5,FALSE)*(0.25 + 0.75*O61/40))</f>
        <v>126</v>
      </c>
      <c r="T61" t="b">
        <f t="shared" si="3"/>
        <v>1</v>
      </c>
    </row>
    <row r="62" spans="1:20" x14ac:dyDescent="0.25">
      <c r="A62" t="s">
        <v>7</v>
      </c>
      <c r="B62" t="s">
        <v>11</v>
      </c>
      <c r="C62">
        <v>31</v>
      </c>
      <c r="D62">
        <v>1.0000000000000001E-5</v>
      </c>
      <c r="E62">
        <v>1E-4</v>
      </c>
      <c r="F62" t="str">
        <f t="shared" si="4"/>
        <v>lena256_blurkernel10_31_0,00001_0,0001</v>
      </c>
      <c r="G62">
        <f>IFERROR(VLOOKUP(F62,SROU03!$F:$H,2,FALSE),0)</f>
        <v>20.939412999999998</v>
      </c>
      <c r="H62">
        <f>IFERROR(VLOOKUP(F62,SROU03!$F:$H,3,FALSE),0)</f>
        <v>40.621605000000002</v>
      </c>
      <c r="I62">
        <v>25.3994</v>
      </c>
      <c r="J62">
        <v>5.6351000000000004</v>
      </c>
      <c r="K62">
        <f>IFERROR(VLOOKUP(F62,TICO09!$F:$K,6,FALSE),0)</f>
        <v>21.052600000000002</v>
      </c>
      <c r="L62">
        <f>IFERROR(VLOOKUP(F62,SROU03!$F:$L,7,FALSE),0)</f>
        <v>25.561299999999999</v>
      </c>
      <c r="M62">
        <v>29.3583</v>
      </c>
      <c r="N62" t="str">
        <f t="shared" si="5"/>
        <v>BM3D</v>
      </c>
      <c r="O62">
        <f t="shared" si="2"/>
        <v>29.3583</v>
      </c>
      <c r="P62">
        <f>VLOOKUP(N62,'Color codes'!$A:$B,2,FALSE)</f>
        <v>1</v>
      </c>
      <c r="Q62">
        <f>TRUNC(VLOOKUP(N62,'Color codes'!$A:$E,3,FALSE)*(0.25 + 0.75*O62/40))</f>
        <v>204</v>
      </c>
      <c r="R62">
        <f>TRUNC(VLOOKUP(N62,'Color codes'!$A:$E,4,FALSE)*(0.25 + 0.75*O62/40))</f>
        <v>85</v>
      </c>
      <c r="S62">
        <f>TRUNC(VLOOKUP(N62,'Color codes'!$A:$E,5,FALSE)*(0.25 + 0.75*O62/40))</f>
        <v>83</v>
      </c>
      <c r="T62" t="b">
        <f t="shared" si="3"/>
        <v>1</v>
      </c>
    </row>
    <row r="63" spans="1:20" x14ac:dyDescent="0.25">
      <c r="A63" t="s">
        <v>7</v>
      </c>
      <c r="B63" t="s">
        <v>11</v>
      </c>
      <c r="C63">
        <v>31</v>
      </c>
      <c r="D63">
        <v>1.0000000000000001E-5</v>
      </c>
      <c r="E63">
        <v>1E-3</v>
      </c>
      <c r="F63" t="str">
        <f t="shared" si="4"/>
        <v>lena256_blurkernel10_31_0,00001_0,001</v>
      </c>
      <c r="G63">
        <f>IFERROR(VLOOKUP(F63,SROU03!$F:$H,2,FALSE),0)</f>
        <v>7.7283020000000002</v>
      </c>
      <c r="H63">
        <f>IFERROR(VLOOKUP(F63,SROU03!$F:$H,3,FALSE),0)</f>
        <v>38.991622</v>
      </c>
      <c r="I63">
        <v>15.4948</v>
      </c>
      <c r="J63">
        <v>5.6351000000000004</v>
      </c>
      <c r="K63">
        <f>IFERROR(VLOOKUP(F63,TICO09!$F:$K,6,FALSE),0)</f>
        <v>18.394200000000001</v>
      </c>
      <c r="L63">
        <f>IFERROR(VLOOKUP(F63,SROU03!$F:$L,7,FALSE),0)</f>
        <v>17.3353</v>
      </c>
      <c r="M63">
        <v>22.151399999999999</v>
      </c>
      <c r="N63" t="str">
        <f t="shared" si="5"/>
        <v>BM3D</v>
      </c>
      <c r="O63">
        <f t="shared" si="2"/>
        <v>22.151399999999999</v>
      </c>
      <c r="P63">
        <f>VLOOKUP(N63,'Color codes'!$A:$B,2,FALSE)</f>
        <v>1</v>
      </c>
      <c r="Q63">
        <f>TRUNC(VLOOKUP(N63,'Color codes'!$A:$E,3,FALSE)*(0.25 + 0.75*O63/40))</f>
        <v>169</v>
      </c>
      <c r="R63">
        <f>TRUNC(VLOOKUP(N63,'Color codes'!$A:$E,4,FALSE)*(0.25 + 0.75*O63/40))</f>
        <v>71</v>
      </c>
      <c r="S63">
        <f>TRUNC(VLOOKUP(N63,'Color codes'!$A:$E,5,FALSE)*(0.25 + 0.75*O63/40))</f>
        <v>69</v>
      </c>
      <c r="T63" t="b">
        <f t="shared" si="3"/>
        <v>1</v>
      </c>
    </row>
    <row r="64" spans="1:20" x14ac:dyDescent="0.25">
      <c r="A64" t="s">
        <v>7</v>
      </c>
      <c r="B64" t="s">
        <v>11</v>
      </c>
      <c r="C64">
        <v>31</v>
      </c>
      <c r="D64">
        <v>1.0000000000000001E-5</v>
      </c>
      <c r="E64">
        <v>0.01</v>
      </c>
      <c r="F64" t="str">
        <f t="shared" si="4"/>
        <v>lena256_blurkernel10_31_0,00001_0,01</v>
      </c>
      <c r="G64">
        <f>IFERROR(VLOOKUP(F64,SROU03!$F:$H,2,FALSE),0)</f>
        <v>4.8831509999999998</v>
      </c>
      <c r="H64">
        <f>IFERROR(VLOOKUP(F64,SROU03!$F:$H,3,FALSE),0)</f>
        <v>38.801219000000003</v>
      </c>
      <c r="I64">
        <v>6.5204000000000004</v>
      </c>
      <c r="J64">
        <v>5.6351000000000004</v>
      </c>
      <c r="K64">
        <f>IFERROR(VLOOKUP(F64,TICO09!$F:$K,6,FALSE),0)</f>
        <v>13.7232</v>
      </c>
      <c r="L64">
        <f>IFERROR(VLOOKUP(F64,SROU03!$F:$L,7,FALSE),0)</f>
        <v>14.9146</v>
      </c>
      <c r="M64">
        <v>15.8941</v>
      </c>
      <c r="N64" t="str">
        <f t="shared" si="5"/>
        <v>BM3D</v>
      </c>
      <c r="O64">
        <f t="shared" si="2"/>
        <v>15.8941</v>
      </c>
      <c r="P64">
        <f>VLOOKUP(N64,'Color codes'!$A:$B,2,FALSE)</f>
        <v>1</v>
      </c>
      <c r="Q64">
        <f>TRUNC(VLOOKUP(N64,'Color codes'!$A:$E,3,FALSE)*(0.25 + 0.75*O64/40))</f>
        <v>139</v>
      </c>
      <c r="R64">
        <f>TRUNC(VLOOKUP(N64,'Color codes'!$A:$E,4,FALSE)*(0.25 + 0.75*O64/40))</f>
        <v>58</v>
      </c>
      <c r="S64">
        <f>TRUNC(VLOOKUP(N64,'Color codes'!$A:$E,5,FALSE)*(0.25 + 0.75*O64/40))</f>
        <v>56</v>
      </c>
      <c r="T64" t="b">
        <f t="shared" si="3"/>
        <v>0</v>
      </c>
    </row>
    <row r="65" spans="1:20" x14ac:dyDescent="0.25">
      <c r="A65" t="s">
        <v>7</v>
      </c>
      <c r="B65" t="s">
        <v>11</v>
      </c>
      <c r="C65">
        <v>31</v>
      </c>
      <c r="D65">
        <v>1.0000000000000001E-5</v>
      </c>
      <c r="E65">
        <v>0.1</v>
      </c>
      <c r="F65" t="str">
        <f t="shared" si="4"/>
        <v>lena256_blurkernel10_31_0,00001_0,1</v>
      </c>
      <c r="G65">
        <f>IFERROR(VLOOKUP(F65,SROU03!$F:$H,2,FALSE),0)</f>
        <v>3.7066490000000001</v>
      </c>
      <c r="H65">
        <f>IFERROR(VLOOKUP(F65,SROU03!$F:$H,3,FALSE),0)</f>
        <v>38.833258999999998</v>
      </c>
      <c r="I65">
        <v>1.2785</v>
      </c>
      <c r="J65">
        <v>5.6351000000000004</v>
      </c>
      <c r="K65">
        <f>IFERROR(VLOOKUP(F65,TICO09!$F:$K,6,FALSE),0)</f>
        <v>7.9951999999999996</v>
      </c>
      <c r="L65">
        <f>IFERROR(VLOOKUP(F65,SROU03!$F:$L,7,FALSE),0)</f>
        <v>9.2941000000000003</v>
      </c>
      <c r="M65">
        <v>10.326499999999999</v>
      </c>
      <c r="N65" t="str">
        <f t="shared" si="5"/>
        <v>BM3D</v>
      </c>
      <c r="O65">
        <f t="shared" si="2"/>
        <v>10.326499999999999</v>
      </c>
      <c r="P65">
        <f>VLOOKUP(N65,'Color codes'!$A:$B,2,FALSE)</f>
        <v>1</v>
      </c>
      <c r="Q65">
        <f>TRUNC(VLOOKUP(N65,'Color codes'!$A:$E,3,FALSE)*(0.25 + 0.75*O65/40))</f>
        <v>113</v>
      </c>
      <c r="R65">
        <f>TRUNC(VLOOKUP(N65,'Color codes'!$A:$E,4,FALSE)*(0.25 + 0.75*O65/40))</f>
        <v>47</v>
      </c>
      <c r="S65">
        <f>TRUNC(VLOOKUP(N65,'Color codes'!$A:$E,5,FALSE)*(0.25 + 0.75*O65/40))</f>
        <v>46</v>
      </c>
      <c r="T65" t="b">
        <f t="shared" si="3"/>
        <v>1</v>
      </c>
    </row>
    <row r="66" spans="1:20" x14ac:dyDescent="0.25">
      <c r="A66" t="s">
        <v>12</v>
      </c>
      <c r="B66" t="s">
        <v>8</v>
      </c>
      <c r="C66">
        <v>3</v>
      </c>
      <c r="D66">
        <v>1.0000000000000001E-5</v>
      </c>
      <c r="E66">
        <v>1E-4</v>
      </c>
      <c r="F66" t="str">
        <f t="shared" si="4"/>
        <v>tree256_blurkernel7_3_0,00001_0,0001</v>
      </c>
      <c r="G66">
        <f>IFERROR(VLOOKUP(F66,SROU03!$F:$H,2,FALSE),0)</f>
        <v>34.472690999999998</v>
      </c>
      <c r="H66">
        <f>IFERROR(VLOOKUP(F66,SROU03!$F:$H,3,FALSE),0)</f>
        <v>3.2802639999999998</v>
      </c>
      <c r="I66">
        <v>25.645399999999999</v>
      </c>
      <c r="J66">
        <v>12.2697</v>
      </c>
      <c r="K66">
        <f>IFERROR(VLOOKUP(F66,TICO09!$F:$K,6,FALSE),0)</f>
        <v>12.639799999999999</v>
      </c>
      <c r="L66">
        <f>IFERROR(VLOOKUP(F66,SROU03!$F:$L,7,FALSE),0)</f>
        <v>25.332999999999998</v>
      </c>
      <c r="M66">
        <v>25.755199999999999</v>
      </c>
      <c r="N66" t="str">
        <f t="shared" si="5"/>
        <v>BM3D</v>
      </c>
      <c r="O66">
        <f t="shared" si="2"/>
        <v>25.755199999999999</v>
      </c>
      <c r="P66">
        <f>VLOOKUP(N66,'Color codes'!$A:$B,2,FALSE)</f>
        <v>1</v>
      </c>
      <c r="Q66">
        <f>TRUNC(VLOOKUP(N66,'Color codes'!$A:$E,3,FALSE)*(0.25 + 0.75*O66/40))</f>
        <v>186</v>
      </c>
      <c r="R66">
        <f>TRUNC(VLOOKUP(N66,'Color codes'!$A:$E,4,FALSE)*(0.25 + 0.75*O66/40))</f>
        <v>78</v>
      </c>
      <c r="S66">
        <f>TRUNC(VLOOKUP(N66,'Color codes'!$A:$E,5,FALSE)*(0.25 + 0.75*O66/40))</f>
        <v>76</v>
      </c>
      <c r="T66" t="b">
        <f t="shared" si="3"/>
        <v>0</v>
      </c>
    </row>
    <row r="67" spans="1:20" x14ac:dyDescent="0.25">
      <c r="A67" t="s">
        <v>12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4"/>
        <v>tree256_blurkernel7_3_0,00001_0,001</v>
      </c>
      <c r="G67">
        <f>IFERROR(VLOOKUP(F67,SROU03!$F:$H,2,FALSE),0)</f>
        <v>27.035435</v>
      </c>
      <c r="H67">
        <f>IFERROR(VLOOKUP(F67,SROU03!$F:$H,3,FALSE),0)</f>
        <v>3.1829529999999999</v>
      </c>
      <c r="I67">
        <v>15.6715</v>
      </c>
      <c r="J67">
        <v>12.2697</v>
      </c>
      <c r="K67">
        <f>IFERROR(VLOOKUP(F67,TICO09!$F:$K,6,FALSE),0)</f>
        <v>12.5724</v>
      </c>
      <c r="L67">
        <f>IFERROR(VLOOKUP(F67,SROU03!$F:$L,7,FALSE),0)</f>
        <v>17.485399999999998</v>
      </c>
      <c r="M67">
        <v>16.6891</v>
      </c>
      <c r="N67" t="str">
        <f t="shared" si="5"/>
        <v>SROU03</v>
      </c>
      <c r="O67">
        <f t="shared" ref="O67:O130" si="6">MAX(K67:M67)</f>
        <v>17.485399999999998</v>
      </c>
      <c r="P67">
        <f>VLOOKUP(N67,'Color codes'!$A:$B,2,FALSE)</f>
        <v>3</v>
      </c>
      <c r="Q67">
        <f>TRUNC(VLOOKUP(N67,'Color codes'!$A:$E,3,FALSE)*(0.25 + 0.75*O67/40))</f>
        <v>61</v>
      </c>
      <c r="R67">
        <f>TRUNC(VLOOKUP(N67,'Color codes'!$A:$E,4,FALSE)*(0.25 + 0.75*O67/40))</f>
        <v>101</v>
      </c>
      <c r="S67">
        <f>TRUNC(VLOOKUP(N67,'Color codes'!$A:$E,5,FALSE)*(0.25 + 0.75*O67/40))</f>
        <v>147</v>
      </c>
      <c r="T67" t="b">
        <f t="shared" ref="T67:T130" si="7">(ABS(L67-M67)  &gt; 1)</f>
        <v>0</v>
      </c>
    </row>
    <row r="68" spans="1:20" x14ac:dyDescent="0.25">
      <c r="A68" t="s">
        <v>12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4"/>
        <v>tree256_blurkernel7_3_0,00001_0,01</v>
      </c>
      <c r="G68">
        <f>IFERROR(VLOOKUP(F68,SROU03!$F:$H,2,FALSE),0)</f>
        <v>22.767109999999999</v>
      </c>
      <c r="H68">
        <f>IFERROR(VLOOKUP(F68,SROU03!$F:$H,3,FALSE),0)</f>
        <v>3.2772380000000001</v>
      </c>
      <c r="I68">
        <v>6.6473000000000004</v>
      </c>
      <c r="J68">
        <v>12.2697</v>
      </c>
      <c r="K68">
        <f>IFERROR(VLOOKUP(F68,TICO09!$F:$K,6,FALSE),0)</f>
        <v>12.4857</v>
      </c>
      <c r="L68">
        <f>IFERROR(VLOOKUP(F68,SROU03!$F:$L,7,FALSE),0)</f>
        <v>16.2194</v>
      </c>
      <c r="M68">
        <v>9.8323</v>
      </c>
      <c r="N68" t="str">
        <f t="shared" si="5"/>
        <v>SROU03</v>
      </c>
      <c r="O68">
        <f t="shared" si="6"/>
        <v>16.2194</v>
      </c>
      <c r="P68">
        <f>VLOOKUP(N68,'Color codes'!$A:$B,2,FALSE)</f>
        <v>3</v>
      </c>
      <c r="Q68">
        <f>TRUNC(VLOOKUP(N68,'Color codes'!$A:$E,3,FALSE)*(0.25 + 0.75*O68/40))</f>
        <v>59</v>
      </c>
      <c r="R68">
        <f>TRUNC(VLOOKUP(N68,'Color codes'!$A:$E,4,FALSE)*(0.25 + 0.75*O68/40))</f>
        <v>97</v>
      </c>
      <c r="S68">
        <f>TRUNC(VLOOKUP(N68,'Color codes'!$A:$E,5,FALSE)*(0.25 + 0.75*O68/40))</f>
        <v>141</v>
      </c>
      <c r="T68" t="b">
        <f t="shared" si="7"/>
        <v>1</v>
      </c>
    </row>
    <row r="69" spans="1:20" x14ac:dyDescent="0.25">
      <c r="A69" t="s">
        <v>12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4"/>
        <v>tree256_blurkernel7_3_0,00001_0,1</v>
      </c>
      <c r="G69">
        <f>IFERROR(VLOOKUP(F69,SROU03!$F:$H,2,FALSE),0)</f>
        <v>20.164594000000001</v>
      </c>
      <c r="H69">
        <f>IFERROR(VLOOKUP(F69,SROU03!$F:$H,3,FALSE),0)</f>
        <v>3.3193199999999998</v>
      </c>
      <c r="I69">
        <v>1.2901</v>
      </c>
      <c r="J69">
        <v>12.2697</v>
      </c>
      <c r="K69">
        <f>IFERROR(VLOOKUP(F69,TICO09!$F:$K,6,FALSE),0)</f>
        <v>9.9596999999999998</v>
      </c>
      <c r="L69">
        <f>IFERROR(VLOOKUP(F69,SROU03!$F:$L,7,FALSE),0)</f>
        <v>16.194700000000001</v>
      </c>
      <c r="M69">
        <v>5.1035000000000004</v>
      </c>
      <c r="N69" t="str">
        <f t="shared" si="5"/>
        <v>SROU03</v>
      </c>
      <c r="O69">
        <f t="shared" si="6"/>
        <v>16.194700000000001</v>
      </c>
      <c r="P69">
        <f>VLOOKUP(N69,'Color codes'!$A:$B,2,FALSE)</f>
        <v>3</v>
      </c>
      <c r="Q69">
        <f>TRUNC(VLOOKUP(N69,'Color codes'!$A:$E,3,FALSE)*(0.25 + 0.75*O69/40))</f>
        <v>59</v>
      </c>
      <c r="R69">
        <f>TRUNC(VLOOKUP(N69,'Color codes'!$A:$E,4,FALSE)*(0.25 + 0.75*O69/40))</f>
        <v>97</v>
      </c>
      <c r="S69">
        <f>TRUNC(VLOOKUP(N69,'Color codes'!$A:$E,5,FALSE)*(0.25 + 0.75*O69/40))</f>
        <v>141</v>
      </c>
      <c r="T69" t="b">
        <f t="shared" si="7"/>
        <v>1</v>
      </c>
    </row>
    <row r="70" spans="1:20" x14ac:dyDescent="0.25">
      <c r="A70" t="s">
        <v>12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4"/>
        <v>tree256_blurkernel7_7_0,00001_0,0001</v>
      </c>
      <c r="G70">
        <f>IFERROR(VLOOKUP(F70,SROU03!$F:$H,2,FALSE),0)</f>
        <v>25.289180000000002</v>
      </c>
      <c r="H70">
        <f>IFERROR(VLOOKUP(F70,SROU03!$F:$H,3,FALSE),0)</f>
        <v>8.5016029999999994</v>
      </c>
      <c r="I70">
        <v>25.639099999999999</v>
      </c>
      <c r="J70">
        <v>6.8818999999999999</v>
      </c>
      <c r="K70">
        <f>IFERROR(VLOOKUP(F70,TICO09!$F:$K,6,FALSE),0)</f>
        <v>12.0754</v>
      </c>
      <c r="L70">
        <f>IFERROR(VLOOKUP(F70,SROU03!$F:$L,7,FALSE),0)</f>
        <v>24.791799999999999</v>
      </c>
      <c r="M70">
        <v>25.7637</v>
      </c>
      <c r="N70" t="str">
        <f t="shared" si="5"/>
        <v>BM3D</v>
      </c>
      <c r="O70">
        <f t="shared" si="6"/>
        <v>25.7637</v>
      </c>
      <c r="P70">
        <f>VLOOKUP(N70,'Color codes'!$A:$B,2,FALSE)</f>
        <v>1</v>
      </c>
      <c r="Q70">
        <f>TRUNC(VLOOKUP(N70,'Color codes'!$A:$E,3,FALSE)*(0.25 + 0.75*O70/40))</f>
        <v>186</v>
      </c>
      <c r="R70">
        <f>TRUNC(VLOOKUP(N70,'Color codes'!$A:$E,4,FALSE)*(0.25 + 0.75*O70/40))</f>
        <v>78</v>
      </c>
      <c r="S70">
        <f>TRUNC(VLOOKUP(N70,'Color codes'!$A:$E,5,FALSE)*(0.25 + 0.75*O70/40))</f>
        <v>76</v>
      </c>
      <c r="T70" t="b">
        <f t="shared" si="7"/>
        <v>0</v>
      </c>
    </row>
    <row r="71" spans="1:20" x14ac:dyDescent="0.25">
      <c r="A71" t="s">
        <v>12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4"/>
        <v>tree256_blurkernel7_7_0,00001_0,001</v>
      </c>
      <c r="G71">
        <f>IFERROR(VLOOKUP(F71,SROU03!$F:$H,2,FALSE),0)</f>
        <v>15.292589</v>
      </c>
      <c r="H71">
        <f>IFERROR(VLOOKUP(F71,SROU03!$F:$H,3,FALSE),0)</f>
        <v>8.1521050000000006</v>
      </c>
      <c r="I71">
        <v>15.7446</v>
      </c>
      <c r="J71">
        <v>6.8818999999999999</v>
      </c>
      <c r="K71">
        <f>IFERROR(VLOOKUP(F71,TICO09!$F:$K,6,FALSE),0)</f>
        <v>11.3147</v>
      </c>
      <c r="L71">
        <f>IFERROR(VLOOKUP(F71,SROU03!$F:$L,7,FALSE),0)</f>
        <v>15.603300000000001</v>
      </c>
      <c r="M71">
        <v>16.736799999999999</v>
      </c>
      <c r="N71" t="str">
        <f t="shared" si="5"/>
        <v>BM3D</v>
      </c>
      <c r="O71">
        <f t="shared" si="6"/>
        <v>16.736799999999999</v>
      </c>
      <c r="P71">
        <f>VLOOKUP(N71,'Color codes'!$A:$B,2,FALSE)</f>
        <v>1</v>
      </c>
      <c r="Q71">
        <f>TRUNC(VLOOKUP(N71,'Color codes'!$A:$E,3,FALSE)*(0.25 + 0.75*O71/40))</f>
        <v>143</v>
      </c>
      <c r="R71">
        <f>TRUNC(VLOOKUP(N71,'Color codes'!$A:$E,4,FALSE)*(0.25 + 0.75*O71/40))</f>
        <v>60</v>
      </c>
      <c r="S71">
        <f>TRUNC(VLOOKUP(N71,'Color codes'!$A:$E,5,FALSE)*(0.25 + 0.75*O71/40))</f>
        <v>58</v>
      </c>
      <c r="T71" t="b">
        <f t="shared" si="7"/>
        <v>1</v>
      </c>
    </row>
    <row r="72" spans="1:20" x14ac:dyDescent="0.25">
      <c r="A72" t="s">
        <v>12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4"/>
        <v>tree256_blurkernel7_7_0,00001_0,01</v>
      </c>
      <c r="G72">
        <f>IFERROR(VLOOKUP(F72,SROU03!$F:$H,2,FALSE),0)</f>
        <v>12.509428</v>
      </c>
      <c r="H72">
        <f>IFERROR(VLOOKUP(F72,SROU03!$F:$H,3,FALSE),0)</f>
        <v>8.1779159999999997</v>
      </c>
      <c r="I72">
        <v>6.6375000000000002</v>
      </c>
      <c r="J72">
        <v>6.8818999999999999</v>
      </c>
      <c r="K72">
        <f>IFERROR(VLOOKUP(F72,TICO09!$F:$K,6,FALSE),0)</f>
        <v>9.0643999999999991</v>
      </c>
      <c r="L72">
        <f>IFERROR(VLOOKUP(F72,SROU03!$F:$L,7,FALSE),0)</f>
        <v>11.455500000000001</v>
      </c>
      <c r="M72">
        <v>9.7920999999999996</v>
      </c>
      <c r="N72" t="str">
        <f t="shared" si="5"/>
        <v>SROU03</v>
      </c>
      <c r="O72">
        <f t="shared" si="6"/>
        <v>11.455500000000001</v>
      </c>
      <c r="P72">
        <f>VLOOKUP(N72,'Color codes'!$A:$B,2,FALSE)</f>
        <v>3</v>
      </c>
      <c r="Q72">
        <f>TRUNC(VLOOKUP(N72,'Color codes'!$A:$E,3,FALSE)*(0.25 + 0.75*O72/40))</f>
        <v>49</v>
      </c>
      <c r="R72">
        <f>TRUNC(VLOOKUP(N72,'Color codes'!$A:$E,4,FALSE)*(0.25 + 0.75*O72/40))</f>
        <v>81</v>
      </c>
      <c r="S72">
        <f>TRUNC(VLOOKUP(N72,'Color codes'!$A:$E,5,FALSE)*(0.25 + 0.75*O72/40))</f>
        <v>118</v>
      </c>
      <c r="T72" t="b">
        <f t="shared" si="7"/>
        <v>1</v>
      </c>
    </row>
    <row r="73" spans="1:20" x14ac:dyDescent="0.25">
      <c r="A73" t="s">
        <v>12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4"/>
        <v>tree256_blurkernel7_7_0,00001_0,1</v>
      </c>
      <c r="G73">
        <f>IFERROR(VLOOKUP(F73,SROU03!$F:$H,2,FALSE),0)</f>
        <v>9.863607</v>
      </c>
      <c r="H73">
        <f>IFERROR(VLOOKUP(F73,SROU03!$F:$H,3,FALSE),0)</f>
        <v>8.2567909999999998</v>
      </c>
      <c r="I73">
        <v>1.2766999999999999</v>
      </c>
      <c r="J73">
        <v>6.8818999999999999</v>
      </c>
      <c r="K73">
        <f>IFERROR(VLOOKUP(F73,TICO09!$F:$K,6,FALSE),0)</f>
        <v>6.5049000000000001</v>
      </c>
      <c r="L73">
        <f>IFERROR(VLOOKUP(F73,SROU03!$F:$L,7,FALSE),0)</f>
        <v>8.7687000000000008</v>
      </c>
      <c r="M73">
        <v>5.0496999999999996</v>
      </c>
      <c r="N73" t="str">
        <f t="shared" si="5"/>
        <v>SROU03</v>
      </c>
      <c r="O73">
        <f t="shared" si="6"/>
        <v>8.7687000000000008</v>
      </c>
      <c r="P73">
        <f>VLOOKUP(N73,'Color codes'!$A:$B,2,FALSE)</f>
        <v>3</v>
      </c>
      <c r="Q73">
        <f>TRUNC(VLOOKUP(N73,'Color codes'!$A:$E,3,FALSE)*(0.25 + 0.75*O73/40))</f>
        <v>44</v>
      </c>
      <c r="R73">
        <f>TRUNC(VLOOKUP(N73,'Color codes'!$A:$E,4,FALSE)*(0.25 + 0.75*O73/40))</f>
        <v>72</v>
      </c>
      <c r="S73">
        <f>TRUNC(VLOOKUP(N73,'Color codes'!$A:$E,5,FALSE)*(0.25 + 0.75*O73/40))</f>
        <v>105</v>
      </c>
      <c r="T73" t="b">
        <f t="shared" si="7"/>
        <v>1</v>
      </c>
    </row>
    <row r="74" spans="1:20" x14ac:dyDescent="0.25">
      <c r="A74" t="s">
        <v>12</v>
      </c>
      <c r="B74" t="s">
        <v>8</v>
      </c>
      <c r="C74">
        <v>15</v>
      </c>
      <c r="D74">
        <v>1.0000000000000001E-5</v>
      </c>
      <c r="E74">
        <v>1E-4</v>
      </c>
      <c r="F74" t="str">
        <f t="shared" si="4"/>
        <v>tree256_blurkernel7_15_0,00001_0,0001</v>
      </c>
      <c r="G74">
        <f>IFERROR(VLOOKUP(F74,SROU03!$F:$H,2,FALSE),0)</f>
        <v>22.503813999999998</v>
      </c>
      <c r="H74">
        <f>IFERROR(VLOOKUP(F74,SROU03!$F:$H,3,FALSE),0)</f>
        <v>18.571337</v>
      </c>
      <c r="I74">
        <v>25.628499999999999</v>
      </c>
      <c r="J74">
        <v>3.9232</v>
      </c>
      <c r="K74">
        <f>IFERROR(VLOOKUP(F74,TICO09!$F:$K,6,FALSE),0)</f>
        <v>13.3748</v>
      </c>
      <c r="L74">
        <f>IFERROR(VLOOKUP(F74,SROU03!$F:$L,7,FALSE),0)</f>
        <v>24.794699999999999</v>
      </c>
      <c r="M74">
        <v>25.7517</v>
      </c>
      <c r="N74" t="str">
        <f t="shared" si="5"/>
        <v>BM3D</v>
      </c>
      <c r="O74">
        <f t="shared" si="6"/>
        <v>25.7517</v>
      </c>
      <c r="P74">
        <f>VLOOKUP(N74,'Color codes'!$A:$B,2,FALSE)</f>
        <v>1</v>
      </c>
      <c r="Q74">
        <f>TRUNC(VLOOKUP(N74,'Color codes'!$A:$E,3,FALSE)*(0.25 + 0.75*O74/40))</f>
        <v>186</v>
      </c>
      <c r="R74">
        <f>TRUNC(VLOOKUP(N74,'Color codes'!$A:$E,4,FALSE)*(0.25 + 0.75*O74/40))</f>
        <v>78</v>
      </c>
      <c r="S74">
        <f>TRUNC(VLOOKUP(N74,'Color codes'!$A:$E,5,FALSE)*(0.25 + 0.75*O74/40))</f>
        <v>76</v>
      </c>
      <c r="T74" t="b">
        <f t="shared" si="7"/>
        <v>0</v>
      </c>
    </row>
    <row r="75" spans="1:20" x14ac:dyDescent="0.25">
      <c r="A75" t="s">
        <v>12</v>
      </c>
      <c r="B75" t="s">
        <v>8</v>
      </c>
      <c r="C75">
        <v>15</v>
      </c>
      <c r="D75">
        <v>1.0000000000000001E-5</v>
      </c>
      <c r="E75">
        <v>1E-3</v>
      </c>
      <c r="F75" t="str">
        <f t="shared" si="4"/>
        <v>tree256_blurkernel7_15_0,00001_0,001</v>
      </c>
      <c r="G75">
        <f>IFERROR(VLOOKUP(F75,SROU03!$F:$H,2,FALSE),0)</f>
        <v>10.112631</v>
      </c>
      <c r="H75">
        <f>IFERROR(VLOOKUP(F75,SROU03!$F:$H,3,FALSE),0)</f>
        <v>17.763186000000001</v>
      </c>
      <c r="I75">
        <v>15.738300000000001</v>
      </c>
      <c r="J75">
        <v>3.9232</v>
      </c>
      <c r="K75">
        <f>IFERROR(VLOOKUP(F75,TICO09!$F:$K,6,FALSE),0)</f>
        <v>12.3065</v>
      </c>
      <c r="L75">
        <f>IFERROR(VLOOKUP(F75,SROU03!$F:$L,7,FALSE),0)</f>
        <v>16.386199999999999</v>
      </c>
      <c r="M75">
        <v>16.751799999999999</v>
      </c>
      <c r="N75" t="str">
        <f t="shared" si="5"/>
        <v>BM3D</v>
      </c>
      <c r="O75">
        <f t="shared" si="6"/>
        <v>16.751799999999999</v>
      </c>
      <c r="P75">
        <f>VLOOKUP(N75,'Color codes'!$A:$B,2,FALSE)</f>
        <v>1</v>
      </c>
      <c r="Q75">
        <f>TRUNC(VLOOKUP(N75,'Color codes'!$A:$E,3,FALSE)*(0.25 + 0.75*O75/40))</f>
        <v>143</v>
      </c>
      <c r="R75">
        <f>TRUNC(VLOOKUP(N75,'Color codes'!$A:$E,4,FALSE)*(0.25 + 0.75*O75/40))</f>
        <v>60</v>
      </c>
      <c r="S75">
        <f>TRUNC(VLOOKUP(N75,'Color codes'!$A:$E,5,FALSE)*(0.25 + 0.75*O75/40))</f>
        <v>58</v>
      </c>
      <c r="T75" t="b">
        <f t="shared" si="7"/>
        <v>0</v>
      </c>
    </row>
    <row r="76" spans="1:20" x14ac:dyDescent="0.25">
      <c r="A76" t="s">
        <v>12</v>
      </c>
      <c r="B76" t="s">
        <v>8</v>
      </c>
      <c r="C76">
        <v>15</v>
      </c>
      <c r="D76">
        <v>1.0000000000000001E-5</v>
      </c>
      <c r="E76">
        <v>0.01</v>
      </c>
      <c r="F76" t="str">
        <f t="shared" si="4"/>
        <v>tree256_blurkernel7_15_0,00001_0,01</v>
      </c>
      <c r="G76">
        <f>IFERROR(VLOOKUP(F76,SROU03!$F:$H,2,FALSE),0)</f>
        <v>7.0511889999999999</v>
      </c>
      <c r="H76">
        <f>IFERROR(VLOOKUP(F76,SROU03!$F:$H,3,FALSE),0)</f>
        <v>17.725826999999999</v>
      </c>
      <c r="I76">
        <v>6.6646000000000001</v>
      </c>
      <c r="J76">
        <v>3.9232</v>
      </c>
      <c r="K76">
        <f>IFERROR(VLOOKUP(F76,TICO09!$F:$K,6,FALSE),0)</f>
        <v>9.0094999999999992</v>
      </c>
      <c r="L76">
        <f>IFERROR(VLOOKUP(F76,SROU03!$F:$L,7,FALSE),0)</f>
        <v>11.477499999999999</v>
      </c>
      <c r="M76">
        <v>9.8483999999999998</v>
      </c>
      <c r="N76" t="str">
        <f t="shared" si="5"/>
        <v>SROU03</v>
      </c>
      <c r="O76">
        <f t="shared" si="6"/>
        <v>11.477499999999999</v>
      </c>
      <c r="P76">
        <f>VLOOKUP(N76,'Color codes'!$A:$B,2,FALSE)</f>
        <v>3</v>
      </c>
      <c r="Q76">
        <f>TRUNC(VLOOKUP(N76,'Color codes'!$A:$E,3,FALSE)*(0.25 + 0.75*O76/40))</f>
        <v>49</v>
      </c>
      <c r="R76">
        <f>TRUNC(VLOOKUP(N76,'Color codes'!$A:$E,4,FALSE)*(0.25 + 0.75*O76/40))</f>
        <v>81</v>
      </c>
      <c r="S76">
        <f>TRUNC(VLOOKUP(N76,'Color codes'!$A:$E,5,FALSE)*(0.25 + 0.75*O76/40))</f>
        <v>118</v>
      </c>
      <c r="T76" t="b">
        <f t="shared" si="7"/>
        <v>1</v>
      </c>
    </row>
    <row r="77" spans="1:20" x14ac:dyDescent="0.25">
      <c r="A77" t="s">
        <v>12</v>
      </c>
      <c r="B77" t="s">
        <v>8</v>
      </c>
      <c r="C77">
        <v>15</v>
      </c>
      <c r="D77">
        <v>1.0000000000000001E-5</v>
      </c>
      <c r="E77">
        <v>0.1</v>
      </c>
      <c r="F77" t="str">
        <f t="shared" si="4"/>
        <v>tree256_blurkernel7_15_0,00001_0,1</v>
      </c>
      <c r="G77">
        <f>IFERROR(VLOOKUP(F77,SROU03!$F:$H,2,FALSE),0)</f>
        <v>5.8110860000000004</v>
      </c>
      <c r="H77">
        <f>IFERROR(VLOOKUP(F77,SROU03!$F:$H,3,FALSE),0)</f>
        <v>17.749348000000001</v>
      </c>
      <c r="I77">
        <v>1.2672000000000001</v>
      </c>
      <c r="J77">
        <v>3.9232</v>
      </c>
      <c r="K77">
        <f>IFERROR(VLOOKUP(F77,TICO09!$F:$K,6,FALSE),0)</f>
        <v>4.8752000000000004</v>
      </c>
      <c r="L77">
        <f>IFERROR(VLOOKUP(F77,SROU03!$F:$L,7,FALSE),0)</f>
        <v>7.3704999999999998</v>
      </c>
      <c r="M77">
        <v>5.0944000000000003</v>
      </c>
      <c r="N77" t="str">
        <f t="shared" si="5"/>
        <v>SROU03</v>
      </c>
      <c r="O77">
        <f t="shared" si="6"/>
        <v>7.3704999999999998</v>
      </c>
      <c r="P77">
        <f>VLOOKUP(N77,'Color codes'!$A:$B,2,FALSE)</f>
        <v>3</v>
      </c>
      <c r="Q77">
        <f>TRUNC(VLOOKUP(N77,'Color codes'!$A:$E,3,FALSE)*(0.25 + 0.75*O77/40))</f>
        <v>41</v>
      </c>
      <c r="R77">
        <f>TRUNC(VLOOKUP(N77,'Color codes'!$A:$E,4,FALSE)*(0.25 + 0.75*O77/40))</f>
        <v>68</v>
      </c>
      <c r="S77">
        <f>TRUNC(VLOOKUP(N77,'Color codes'!$A:$E,5,FALSE)*(0.25 + 0.75*O77/40))</f>
        <v>98</v>
      </c>
      <c r="T77" t="b">
        <f t="shared" si="7"/>
        <v>1</v>
      </c>
    </row>
    <row r="78" spans="1:20" x14ac:dyDescent="0.25">
      <c r="A78" t="s">
        <v>12</v>
      </c>
      <c r="B78" t="s">
        <v>8</v>
      </c>
      <c r="C78">
        <v>31</v>
      </c>
      <c r="D78">
        <v>1.0000000000000001E-5</v>
      </c>
      <c r="E78">
        <v>1E-4</v>
      </c>
      <c r="F78" t="str">
        <f t="shared" si="4"/>
        <v>tree256_blurkernel7_31_0,00001_0,0001</v>
      </c>
      <c r="G78">
        <f>IFERROR(VLOOKUP(F78,SROU03!$F:$H,2,FALSE),0)</f>
        <v>21.662075999999999</v>
      </c>
      <c r="H78">
        <f>IFERROR(VLOOKUP(F78,SROU03!$F:$H,3,FALSE),0)</f>
        <v>38.411172999999998</v>
      </c>
      <c r="I78">
        <v>25.604600000000001</v>
      </c>
      <c r="J78">
        <v>2.42</v>
      </c>
      <c r="K78">
        <f>IFERROR(VLOOKUP(F78,TICO09!$F:$K,6,FALSE),0)</f>
        <v>13.696899999999999</v>
      </c>
      <c r="L78">
        <f>IFERROR(VLOOKUP(F78,SROU03!$F:$L,7,FALSE),0)</f>
        <v>24.5549</v>
      </c>
      <c r="M78">
        <v>25.724599999999999</v>
      </c>
      <c r="N78" t="str">
        <f t="shared" si="5"/>
        <v>BM3D</v>
      </c>
      <c r="O78">
        <f t="shared" si="6"/>
        <v>25.724599999999999</v>
      </c>
      <c r="P78">
        <f>VLOOKUP(N78,'Color codes'!$A:$B,2,FALSE)</f>
        <v>1</v>
      </c>
      <c r="Q78">
        <f>TRUNC(VLOOKUP(N78,'Color codes'!$A:$E,3,FALSE)*(0.25 + 0.75*O78/40))</f>
        <v>186</v>
      </c>
      <c r="R78">
        <f>TRUNC(VLOOKUP(N78,'Color codes'!$A:$E,4,FALSE)*(0.25 + 0.75*O78/40))</f>
        <v>78</v>
      </c>
      <c r="S78">
        <f>TRUNC(VLOOKUP(N78,'Color codes'!$A:$E,5,FALSE)*(0.25 + 0.75*O78/40))</f>
        <v>76</v>
      </c>
      <c r="T78" t="b">
        <f t="shared" si="7"/>
        <v>1</v>
      </c>
    </row>
    <row r="79" spans="1:20" x14ac:dyDescent="0.25">
      <c r="A79" t="s">
        <v>12</v>
      </c>
      <c r="B79" t="s">
        <v>8</v>
      </c>
      <c r="C79">
        <v>31</v>
      </c>
      <c r="D79">
        <v>1.0000000000000001E-5</v>
      </c>
      <c r="E79">
        <v>1E-3</v>
      </c>
      <c r="F79" t="str">
        <f t="shared" si="4"/>
        <v>tree256_blurkernel7_31_0,00001_0,001</v>
      </c>
      <c r="G79">
        <f>IFERROR(VLOOKUP(F79,SROU03!$F:$H,2,FALSE),0)</f>
        <v>8.1901969999999995</v>
      </c>
      <c r="H79">
        <f>IFERROR(VLOOKUP(F79,SROU03!$F:$H,3,FALSE),0)</f>
        <v>36.664512999999999</v>
      </c>
      <c r="I79">
        <v>15.72</v>
      </c>
      <c r="J79">
        <v>2.42</v>
      </c>
      <c r="K79">
        <f>IFERROR(VLOOKUP(F79,TICO09!$F:$K,6,FALSE),0)</f>
        <v>12.521800000000001</v>
      </c>
      <c r="L79">
        <f>IFERROR(VLOOKUP(F79,SROU03!$F:$L,7,FALSE),0)</f>
        <v>15.746700000000001</v>
      </c>
      <c r="M79">
        <v>16.7302</v>
      </c>
      <c r="N79" t="str">
        <f t="shared" si="5"/>
        <v>BM3D</v>
      </c>
      <c r="O79">
        <f t="shared" si="6"/>
        <v>16.7302</v>
      </c>
      <c r="P79">
        <f>VLOOKUP(N79,'Color codes'!$A:$B,2,FALSE)</f>
        <v>1</v>
      </c>
      <c r="Q79">
        <f>TRUNC(VLOOKUP(N79,'Color codes'!$A:$E,3,FALSE)*(0.25 + 0.75*O79/40))</f>
        <v>143</v>
      </c>
      <c r="R79">
        <f>TRUNC(VLOOKUP(N79,'Color codes'!$A:$E,4,FALSE)*(0.25 + 0.75*O79/40))</f>
        <v>60</v>
      </c>
      <c r="S79">
        <f>TRUNC(VLOOKUP(N79,'Color codes'!$A:$E,5,FALSE)*(0.25 + 0.75*O79/40))</f>
        <v>58</v>
      </c>
      <c r="T79" t="b">
        <f t="shared" si="7"/>
        <v>0</v>
      </c>
    </row>
    <row r="80" spans="1:20" x14ac:dyDescent="0.25">
      <c r="A80" t="s">
        <v>12</v>
      </c>
      <c r="B80" t="s">
        <v>8</v>
      </c>
      <c r="C80">
        <v>31</v>
      </c>
      <c r="D80">
        <v>1.0000000000000001E-5</v>
      </c>
      <c r="E80">
        <v>0.01</v>
      </c>
      <c r="F80" t="str">
        <f t="shared" si="4"/>
        <v>tree256_blurkernel7_31_0,00001_0,01</v>
      </c>
      <c r="G80">
        <f>IFERROR(VLOOKUP(F80,SROU03!$F:$H,2,FALSE),0)</f>
        <v>4.688644</v>
      </c>
      <c r="H80">
        <f>IFERROR(VLOOKUP(F80,SROU03!$F:$H,3,FALSE),0)</f>
        <v>36.522537999999997</v>
      </c>
      <c r="I80">
        <v>6.6585999999999999</v>
      </c>
      <c r="J80">
        <v>2.42</v>
      </c>
      <c r="K80">
        <f>IFERROR(VLOOKUP(F80,TICO09!$F:$K,6,FALSE),0)</f>
        <v>9.0954999999999995</v>
      </c>
      <c r="L80">
        <f>IFERROR(VLOOKUP(F80,SROU03!$F:$L,7,FALSE),0)</f>
        <v>10.5305</v>
      </c>
      <c r="M80">
        <v>9.8333999999999993</v>
      </c>
      <c r="N80" t="str">
        <f t="shared" si="5"/>
        <v>SROU03</v>
      </c>
      <c r="O80">
        <f t="shared" si="6"/>
        <v>10.5305</v>
      </c>
      <c r="P80">
        <f>VLOOKUP(N80,'Color codes'!$A:$B,2,FALSE)</f>
        <v>3</v>
      </c>
      <c r="Q80">
        <f>TRUNC(VLOOKUP(N80,'Color codes'!$A:$E,3,FALSE)*(0.25 + 0.75*O80/40))</f>
        <v>47</v>
      </c>
      <c r="R80">
        <f>TRUNC(VLOOKUP(N80,'Color codes'!$A:$E,4,FALSE)*(0.25 + 0.75*O80/40))</f>
        <v>78</v>
      </c>
      <c r="S80">
        <f>TRUNC(VLOOKUP(N80,'Color codes'!$A:$E,5,FALSE)*(0.25 + 0.75*O80/40))</f>
        <v>114</v>
      </c>
      <c r="T80" t="b">
        <f t="shared" si="7"/>
        <v>0</v>
      </c>
    </row>
    <row r="81" spans="1:20" x14ac:dyDescent="0.25">
      <c r="A81" t="s">
        <v>12</v>
      </c>
      <c r="B81" t="s">
        <v>8</v>
      </c>
      <c r="C81">
        <v>31</v>
      </c>
      <c r="D81">
        <v>1.0000000000000001E-5</v>
      </c>
      <c r="E81">
        <v>0.1</v>
      </c>
      <c r="F81" t="str">
        <f t="shared" si="4"/>
        <v>tree256_blurkernel7_31_0,00001_0,1</v>
      </c>
      <c r="G81">
        <f>IFERROR(VLOOKUP(F81,SROU03!$F:$H,2,FALSE),0)</f>
        <v>3.436906</v>
      </c>
      <c r="H81">
        <f>IFERROR(VLOOKUP(F81,SROU03!$F:$H,3,FALSE),0)</f>
        <v>36.544604999999997</v>
      </c>
      <c r="I81">
        <v>1.2689999999999999</v>
      </c>
      <c r="J81">
        <v>2.42</v>
      </c>
      <c r="K81">
        <f>IFERROR(VLOOKUP(F81,TICO09!$F:$K,6,FALSE),0)</f>
        <v>4.4759000000000002</v>
      </c>
      <c r="L81">
        <f>IFERROR(VLOOKUP(F81,SROU03!$F:$L,7,FALSE),0)</f>
        <v>7.3154000000000003</v>
      </c>
      <c r="M81">
        <v>5.0289000000000001</v>
      </c>
      <c r="N81" t="str">
        <f t="shared" si="5"/>
        <v>SROU03</v>
      </c>
      <c r="O81">
        <f t="shared" si="6"/>
        <v>7.3154000000000003</v>
      </c>
      <c r="P81">
        <f>VLOOKUP(N81,'Color codes'!$A:$B,2,FALSE)</f>
        <v>3</v>
      </c>
      <c r="Q81">
        <f>TRUNC(VLOOKUP(N81,'Color codes'!$A:$E,3,FALSE)*(0.25 + 0.75*O81/40))</f>
        <v>41</v>
      </c>
      <c r="R81">
        <f>TRUNC(VLOOKUP(N81,'Color codes'!$A:$E,4,FALSE)*(0.25 + 0.75*O81/40))</f>
        <v>68</v>
      </c>
      <c r="S81">
        <f>TRUNC(VLOOKUP(N81,'Color codes'!$A:$E,5,FALSE)*(0.25 + 0.75*O81/40))</f>
        <v>98</v>
      </c>
      <c r="T81" t="b">
        <f t="shared" si="7"/>
        <v>1</v>
      </c>
    </row>
    <row r="82" spans="1:20" x14ac:dyDescent="0.25">
      <c r="A82" t="s">
        <v>12</v>
      </c>
      <c r="B82" t="s">
        <v>9</v>
      </c>
      <c r="C82">
        <v>3</v>
      </c>
      <c r="D82">
        <v>1.0000000000000001E-5</v>
      </c>
      <c r="E82">
        <v>1E-4</v>
      </c>
      <c r="F82" t="str">
        <f t="shared" si="4"/>
        <v>tree256_blurkernel8_3_0,00001_0,0001</v>
      </c>
      <c r="G82">
        <f>IFERROR(VLOOKUP(F82,SROU03!$F:$H,2,FALSE),0)</f>
        <v>36.234701000000001</v>
      </c>
      <c r="H82">
        <f>IFERROR(VLOOKUP(F82,SROU03!$F:$H,3,FALSE),0)</f>
        <v>3.203424</v>
      </c>
      <c r="I82">
        <v>25.635200000000001</v>
      </c>
      <c r="J82">
        <v>12.2698</v>
      </c>
      <c r="K82">
        <f>IFERROR(VLOOKUP(F82,TICO09!$F:$K,6,FALSE),0)</f>
        <v>12.698</v>
      </c>
      <c r="L82">
        <f>IFERROR(VLOOKUP(F82,SROU03!$F:$L,7,FALSE),0)</f>
        <v>25.831</v>
      </c>
      <c r="M82">
        <v>25.7593</v>
      </c>
      <c r="N82" t="str">
        <f t="shared" si="5"/>
        <v>SROU03</v>
      </c>
      <c r="O82">
        <f t="shared" si="6"/>
        <v>25.831</v>
      </c>
      <c r="P82">
        <f>VLOOKUP(N82,'Color codes'!$A:$B,2,FALSE)</f>
        <v>3</v>
      </c>
      <c r="Q82">
        <f>TRUNC(VLOOKUP(N82,'Color codes'!$A:$E,3,FALSE)*(0.25 + 0.75*O82/40))</f>
        <v>78</v>
      </c>
      <c r="R82">
        <f>TRUNC(VLOOKUP(N82,'Color codes'!$A:$E,4,FALSE)*(0.25 + 0.75*O82/40))</f>
        <v>129</v>
      </c>
      <c r="S82">
        <f>TRUNC(VLOOKUP(N82,'Color codes'!$A:$E,5,FALSE)*(0.25 + 0.75*O82/40))</f>
        <v>187</v>
      </c>
      <c r="T82" t="b">
        <f t="shared" si="7"/>
        <v>0</v>
      </c>
    </row>
    <row r="83" spans="1:20" x14ac:dyDescent="0.25">
      <c r="A83" t="s">
        <v>12</v>
      </c>
      <c r="B83" t="s">
        <v>9</v>
      </c>
      <c r="C83">
        <v>3</v>
      </c>
      <c r="D83">
        <v>1.0000000000000001E-5</v>
      </c>
      <c r="E83">
        <v>1E-3</v>
      </c>
      <c r="F83" t="str">
        <f t="shared" si="4"/>
        <v>tree256_blurkernel8_3_0,00001_0,001</v>
      </c>
      <c r="G83">
        <f>IFERROR(VLOOKUP(F83,SROU03!$F:$H,2,FALSE),0)</f>
        <v>28.701722</v>
      </c>
      <c r="H83">
        <f>IFERROR(VLOOKUP(F83,SROU03!$F:$H,3,FALSE),0)</f>
        <v>3.1273049999999998</v>
      </c>
      <c r="I83">
        <v>15.721299999999999</v>
      </c>
      <c r="J83">
        <v>12.2698</v>
      </c>
      <c r="K83">
        <f>IFERROR(VLOOKUP(F83,TICO09!$F:$K,6,FALSE),0)</f>
        <v>12.636200000000001</v>
      </c>
      <c r="L83">
        <f>IFERROR(VLOOKUP(F83,SROU03!$F:$L,7,FALSE),0)</f>
        <v>19.401</v>
      </c>
      <c r="M83">
        <v>16.747499999999999</v>
      </c>
      <c r="N83" t="str">
        <f t="shared" si="5"/>
        <v>SROU03</v>
      </c>
      <c r="O83">
        <f t="shared" si="6"/>
        <v>19.401</v>
      </c>
      <c r="P83">
        <f>VLOOKUP(N83,'Color codes'!$A:$B,2,FALSE)</f>
        <v>3</v>
      </c>
      <c r="Q83">
        <f>TRUNC(VLOOKUP(N83,'Color codes'!$A:$E,3,FALSE)*(0.25 + 0.75*O83/40))</f>
        <v>65</v>
      </c>
      <c r="R83">
        <f>TRUNC(VLOOKUP(N83,'Color codes'!$A:$E,4,FALSE)*(0.25 + 0.75*O83/40))</f>
        <v>108</v>
      </c>
      <c r="S83">
        <f>TRUNC(VLOOKUP(N83,'Color codes'!$A:$E,5,FALSE)*(0.25 + 0.75*O83/40))</f>
        <v>156</v>
      </c>
      <c r="T83" t="b">
        <f t="shared" si="7"/>
        <v>1</v>
      </c>
    </row>
    <row r="84" spans="1:20" x14ac:dyDescent="0.25">
      <c r="A84" t="s">
        <v>12</v>
      </c>
      <c r="B84" t="s">
        <v>9</v>
      </c>
      <c r="C84">
        <v>3</v>
      </c>
      <c r="D84">
        <v>1.0000000000000001E-5</v>
      </c>
      <c r="E84">
        <v>0.01</v>
      </c>
      <c r="F84" t="str">
        <f t="shared" si="4"/>
        <v>tree256_blurkernel8_3_0,00001_0,01</v>
      </c>
      <c r="G84">
        <f>IFERROR(VLOOKUP(F84,SROU03!$F:$H,2,FALSE),0)</f>
        <v>23.273617999999999</v>
      </c>
      <c r="H84">
        <f>IFERROR(VLOOKUP(F84,SROU03!$F:$H,3,FALSE),0)</f>
        <v>3.263782</v>
      </c>
      <c r="I84">
        <v>6.6342999999999996</v>
      </c>
      <c r="J84">
        <v>12.2698</v>
      </c>
      <c r="K84">
        <f>IFERROR(VLOOKUP(F84,TICO09!$F:$K,6,FALSE),0)</f>
        <v>12.518000000000001</v>
      </c>
      <c r="L84">
        <f>IFERROR(VLOOKUP(F84,SROU03!$F:$L,7,FALSE),0)</f>
        <v>18.621600000000001</v>
      </c>
      <c r="M84">
        <v>9.8343000000000007</v>
      </c>
      <c r="N84" t="str">
        <f t="shared" si="5"/>
        <v>SROU03</v>
      </c>
      <c r="O84">
        <f t="shared" si="6"/>
        <v>18.621600000000001</v>
      </c>
      <c r="P84">
        <f>VLOOKUP(N84,'Color codes'!$A:$B,2,FALSE)</f>
        <v>3</v>
      </c>
      <c r="Q84">
        <f>TRUNC(VLOOKUP(N84,'Color codes'!$A:$E,3,FALSE)*(0.25 + 0.75*O84/40))</f>
        <v>64</v>
      </c>
      <c r="R84">
        <f>TRUNC(VLOOKUP(N84,'Color codes'!$A:$E,4,FALSE)*(0.25 + 0.75*O84/40))</f>
        <v>105</v>
      </c>
      <c r="S84">
        <f>TRUNC(VLOOKUP(N84,'Color codes'!$A:$E,5,FALSE)*(0.25 + 0.75*O84/40))</f>
        <v>152</v>
      </c>
      <c r="T84" t="b">
        <f t="shared" si="7"/>
        <v>1</v>
      </c>
    </row>
    <row r="85" spans="1:20" x14ac:dyDescent="0.25">
      <c r="A85" t="s">
        <v>12</v>
      </c>
      <c r="B85" t="s">
        <v>9</v>
      </c>
      <c r="C85">
        <v>3</v>
      </c>
      <c r="D85">
        <v>1.0000000000000001E-5</v>
      </c>
      <c r="E85">
        <v>0.1</v>
      </c>
      <c r="F85" t="str">
        <f t="shared" si="4"/>
        <v>tree256_blurkernel8_3_0,00001_0,1</v>
      </c>
      <c r="G85">
        <f>IFERROR(VLOOKUP(F85,SROU03!$F:$H,2,FALSE),0)</f>
        <v>20.242751999999999</v>
      </c>
      <c r="H85">
        <f>IFERROR(VLOOKUP(F85,SROU03!$F:$H,3,FALSE),0)</f>
        <v>3.3199890000000001</v>
      </c>
      <c r="I85">
        <v>1.2664</v>
      </c>
      <c r="J85">
        <v>12.2698</v>
      </c>
      <c r="K85">
        <f>IFERROR(VLOOKUP(F85,TICO09!$F:$K,6,FALSE),0)</f>
        <v>9.8120999999999992</v>
      </c>
      <c r="L85">
        <f>IFERROR(VLOOKUP(F85,SROU03!$F:$L,7,FALSE),0)</f>
        <v>16.988800000000001</v>
      </c>
      <c r="M85">
        <v>4.9739000000000004</v>
      </c>
      <c r="N85" t="str">
        <f t="shared" si="5"/>
        <v>SROU03</v>
      </c>
      <c r="O85">
        <f t="shared" si="6"/>
        <v>16.988800000000001</v>
      </c>
      <c r="P85">
        <f>VLOOKUP(N85,'Color codes'!$A:$B,2,FALSE)</f>
        <v>3</v>
      </c>
      <c r="Q85">
        <f>TRUNC(VLOOKUP(N85,'Color codes'!$A:$E,3,FALSE)*(0.25 + 0.75*O85/40))</f>
        <v>60</v>
      </c>
      <c r="R85">
        <f>TRUNC(VLOOKUP(N85,'Color codes'!$A:$E,4,FALSE)*(0.25 + 0.75*O85/40))</f>
        <v>100</v>
      </c>
      <c r="S85">
        <f>TRUNC(VLOOKUP(N85,'Color codes'!$A:$E,5,FALSE)*(0.25 + 0.75*O85/40))</f>
        <v>144</v>
      </c>
      <c r="T85" t="b">
        <f t="shared" si="7"/>
        <v>1</v>
      </c>
    </row>
    <row r="86" spans="1:20" x14ac:dyDescent="0.25">
      <c r="A86" t="s">
        <v>12</v>
      </c>
      <c r="B86" t="s">
        <v>9</v>
      </c>
      <c r="C86">
        <v>7</v>
      </c>
      <c r="D86">
        <v>1.0000000000000001E-5</v>
      </c>
      <c r="E86">
        <v>1E-4</v>
      </c>
      <c r="F86" t="str">
        <f t="shared" si="4"/>
        <v>tree256_blurkernel8_7_0,00001_0,0001</v>
      </c>
      <c r="G86">
        <f>IFERROR(VLOOKUP(F86,SROU03!$F:$H,2,FALSE),0)</f>
        <v>26.482206999999999</v>
      </c>
      <c r="H86">
        <f>IFERROR(VLOOKUP(F86,SROU03!$F:$H,3,FALSE),0)</f>
        <v>8.3913639999999994</v>
      </c>
      <c r="I86">
        <v>25.611999999999998</v>
      </c>
      <c r="J86">
        <v>6.9607999999999999</v>
      </c>
      <c r="K86">
        <f>IFERROR(VLOOKUP(F86,TICO09!$F:$K,6,FALSE),0)</f>
        <v>12.019399999999999</v>
      </c>
      <c r="L86">
        <f>IFERROR(VLOOKUP(F86,SROU03!$F:$L,7,FALSE),0)</f>
        <v>25.2956</v>
      </c>
      <c r="M86">
        <v>25.737500000000001</v>
      </c>
      <c r="N86" t="str">
        <f t="shared" si="5"/>
        <v>BM3D</v>
      </c>
      <c r="O86">
        <f t="shared" si="6"/>
        <v>25.737500000000001</v>
      </c>
      <c r="P86">
        <f>VLOOKUP(N86,'Color codes'!$A:$B,2,FALSE)</f>
        <v>1</v>
      </c>
      <c r="Q86">
        <f>TRUNC(VLOOKUP(N86,'Color codes'!$A:$E,3,FALSE)*(0.25 + 0.75*O86/40))</f>
        <v>186</v>
      </c>
      <c r="R86">
        <f>TRUNC(VLOOKUP(N86,'Color codes'!$A:$E,4,FALSE)*(0.25 + 0.75*O86/40))</f>
        <v>78</v>
      </c>
      <c r="S86">
        <f>TRUNC(VLOOKUP(N86,'Color codes'!$A:$E,5,FALSE)*(0.25 + 0.75*O86/40))</f>
        <v>76</v>
      </c>
      <c r="T86" t="b">
        <f t="shared" si="7"/>
        <v>0</v>
      </c>
    </row>
    <row r="87" spans="1:20" x14ac:dyDescent="0.25">
      <c r="A87" t="s">
        <v>12</v>
      </c>
      <c r="B87" t="s">
        <v>9</v>
      </c>
      <c r="C87">
        <v>7</v>
      </c>
      <c r="D87">
        <v>1.0000000000000001E-5</v>
      </c>
      <c r="E87">
        <v>1E-3</v>
      </c>
      <c r="F87" t="str">
        <f t="shared" ref="F87:F138" si="8">A87&amp;"_"&amp;B87&amp;"_"&amp;C87&amp;"_"&amp;D87&amp;"_"&amp;E87</f>
        <v>tree256_blurkernel8_7_0,00001_0,001</v>
      </c>
      <c r="G87">
        <f>IFERROR(VLOOKUP(F87,SROU03!$F:$H,2,FALSE),0)</f>
        <v>16.717133</v>
      </c>
      <c r="H87">
        <f>IFERROR(VLOOKUP(F87,SROU03!$F:$H,3,FALSE),0)</f>
        <v>8.0748829999999998</v>
      </c>
      <c r="I87">
        <v>15.686199999999999</v>
      </c>
      <c r="J87">
        <v>6.9607999999999999</v>
      </c>
      <c r="K87">
        <f>IFERROR(VLOOKUP(F87,TICO09!$F:$K,6,FALSE),0)</f>
        <v>11.292299999999999</v>
      </c>
      <c r="L87">
        <f>IFERROR(VLOOKUP(F87,SROU03!$F:$L,7,FALSE),0)</f>
        <v>16.578299999999999</v>
      </c>
      <c r="M87">
        <v>16.708600000000001</v>
      </c>
      <c r="N87" t="str">
        <f t="shared" si="5"/>
        <v>BM3D</v>
      </c>
      <c r="O87">
        <f t="shared" si="6"/>
        <v>16.708600000000001</v>
      </c>
      <c r="P87">
        <f>VLOOKUP(N87,'Color codes'!$A:$B,2,FALSE)</f>
        <v>1</v>
      </c>
      <c r="Q87">
        <f>TRUNC(VLOOKUP(N87,'Color codes'!$A:$E,3,FALSE)*(0.25 + 0.75*O87/40))</f>
        <v>143</v>
      </c>
      <c r="R87">
        <f>TRUNC(VLOOKUP(N87,'Color codes'!$A:$E,4,FALSE)*(0.25 + 0.75*O87/40))</f>
        <v>60</v>
      </c>
      <c r="S87">
        <f>TRUNC(VLOOKUP(N87,'Color codes'!$A:$E,5,FALSE)*(0.25 + 0.75*O87/40))</f>
        <v>58</v>
      </c>
      <c r="T87" t="b">
        <f t="shared" si="7"/>
        <v>0</v>
      </c>
    </row>
    <row r="88" spans="1:20" x14ac:dyDescent="0.25">
      <c r="A88" t="s">
        <v>12</v>
      </c>
      <c r="B88" t="s">
        <v>9</v>
      </c>
      <c r="C88">
        <v>7</v>
      </c>
      <c r="D88">
        <v>1.0000000000000001E-5</v>
      </c>
      <c r="E88">
        <v>0.01</v>
      </c>
      <c r="F88" t="str">
        <f t="shared" si="8"/>
        <v>tree256_blurkernel8_7_0,00001_0,01</v>
      </c>
      <c r="G88">
        <f>IFERROR(VLOOKUP(F88,SROU03!$F:$H,2,FALSE),0)</f>
        <v>13.075782</v>
      </c>
      <c r="H88">
        <f>IFERROR(VLOOKUP(F88,SROU03!$F:$H,3,FALSE),0)</f>
        <v>8.1554359999999999</v>
      </c>
      <c r="I88">
        <v>6.6559999999999997</v>
      </c>
      <c r="J88">
        <v>6.9607999999999999</v>
      </c>
      <c r="K88">
        <f>IFERROR(VLOOKUP(F88,TICO09!$F:$K,6,FALSE),0)</f>
        <v>9.1798000000000002</v>
      </c>
      <c r="L88">
        <f>IFERROR(VLOOKUP(F88,SROU03!$F:$L,7,FALSE),0)</f>
        <v>14.138500000000001</v>
      </c>
      <c r="M88">
        <v>9.8195999999999994</v>
      </c>
      <c r="N88" t="str">
        <f t="shared" si="5"/>
        <v>SROU03</v>
      </c>
      <c r="O88">
        <f t="shared" si="6"/>
        <v>14.138500000000001</v>
      </c>
      <c r="P88">
        <f>VLOOKUP(N88,'Color codes'!$A:$B,2,FALSE)</f>
        <v>3</v>
      </c>
      <c r="Q88">
        <f>TRUNC(VLOOKUP(N88,'Color codes'!$A:$E,3,FALSE)*(0.25 + 0.75*O88/40))</f>
        <v>55</v>
      </c>
      <c r="R88">
        <f>TRUNC(VLOOKUP(N88,'Color codes'!$A:$E,4,FALSE)*(0.25 + 0.75*O88/40))</f>
        <v>90</v>
      </c>
      <c r="S88">
        <f>TRUNC(VLOOKUP(N88,'Color codes'!$A:$E,5,FALSE)*(0.25 + 0.75*O88/40))</f>
        <v>131</v>
      </c>
      <c r="T88" t="b">
        <f t="shared" si="7"/>
        <v>1</v>
      </c>
    </row>
    <row r="89" spans="1:20" x14ac:dyDescent="0.25">
      <c r="A89" t="s">
        <v>12</v>
      </c>
      <c r="B89" t="s">
        <v>9</v>
      </c>
      <c r="C89">
        <v>7</v>
      </c>
      <c r="D89">
        <v>1.0000000000000001E-5</v>
      </c>
      <c r="E89">
        <v>0.1</v>
      </c>
      <c r="F89" t="str">
        <f t="shared" si="8"/>
        <v>tree256_blurkernel8_7_0,00001_0,1</v>
      </c>
      <c r="G89">
        <f>IFERROR(VLOOKUP(F89,SROU03!$F:$H,2,FALSE),0)</f>
        <v>9.9124859999999995</v>
      </c>
      <c r="H89">
        <f>IFERROR(VLOOKUP(F89,SROU03!$F:$H,3,FALSE),0)</f>
        <v>8.25807</v>
      </c>
      <c r="I89">
        <v>1.2742</v>
      </c>
      <c r="J89">
        <v>6.9607999999999999</v>
      </c>
      <c r="K89">
        <f>IFERROR(VLOOKUP(F89,TICO09!$F:$K,6,FALSE),0)</f>
        <v>6.5795000000000003</v>
      </c>
      <c r="L89">
        <f>IFERROR(VLOOKUP(F89,SROU03!$F:$L,7,FALSE),0)</f>
        <v>11.1684</v>
      </c>
      <c r="M89">
        <v>5.1013999999999999</v>
      </c>
      <c r="N89" t="str">
        <f t="shared" si="5"/>
        <v>SROU03</v>
      </c>
      <c r="O89">
        <f t="shared" si="6"/>
        <v>11.1684</v>
      </c>
      <c r="P89">
        <f>VLOOKUP(N89,'Color codes'!$A:$B,2,FALSE)</f>
        <v>3</v>
      </c>
      <c r="Q89">
        <f>TRUNC(VLOOKUP(N89,'Color codes'!$A:$E,3,FALSE)*(0.25 + 0.75*O89/40))</f>
        <v>49</v>
      </c>
      <c r="R89">
        <f>TRUNC(VLOOKUP(N89,'Color codes'!$A:$E,4,FALSE)*(0.25 + 0.75*O89/40))</f>
        <v>80</v>
      </c>
      <c r="S89">
        <f>TRUNC(VLOOKUP(N89,'Color codes'!$A:$E,5,FALSE)*(0.25 + 0.75*O89/40))</f>
        <v>117</v>
      </c>
      <c r="T89" t="b">
        <f t="shared" si="7"/>
        <v>1</v>
      </c>
    </row>
    <row r="90" spans="1:20" x14ac:dyDescent="0.25">
      <c r="A90" t="s">
        <v>12</v>
      </c>
      <c r="B90" t="s">
        <v>9</v>
      </c>
      <c r="C90">
        <v>15</v>
      </c>
      <c r="D90">
        <v>1.0000000000000001E-5</v>
      </c>
      <c r="E90">
        <v>1E-4</v>
      </c>
      <c r="F90" t="str">
        <f t="shared" si="8"/>
        <v>tree256_blurkernel8_15_0,00001_0,0001</v>
      </c>
      <c r="G90">
        <f>IFERROR(VLOOKUP(F90,SROU03!$F:$H,2,FALSE),0)</f>
        <v>23.245142999999999</v>
      </c>
      <c r="H90">
        <f>IFERROR(VLOOKUP(F90,SROU03!$F:$H,3,FALSE),0)</f>
        <v>18.44979</v>
      </c>
      <c r="I90">
        <v>25.6327</v>
      </c>
      <c r="J90">
        <v>4.1384999999999996</v>
      </c>
      <c r="K90">
        <f>IFERROR(VLOOKUP(F90,TICO09!$F:$K,6,FALSE),0)</f>
        <v>13.2781</v>
      </c>
      <c r="L90">
        <f>IFERROR(VLOOKUP(F90,SROU03!$F:$L,7,FALSE),0)</f>
        <v>24.718599999999999</v>
      </c>
      <c r="M90">
        <v>25.751999999999999</v>
      </c>
      <c r="N90" t="str">
        <f t="shared" si="5"/>
        <v>BM3D</v>
      </c>
      <c r="O90">
        <f t="shared" si="6"/>
        <v>25.751999999999999</v>
      </c>
      <c r="P90">
        <f>VLOOKUP(N90,'Color codes'!$A:$B,2,FALSE)</f>
        <v>1</v>
      </c>
      <c r="Q90">
        <f>TRUNC(VLOOKUP(N90,'Color codes'!$A:$E,3,FALSE)*(0.25 + 0.75*O90/40))</f>
        <v>186</v>
      </c>
      <c r="R90">
        <f>TRUNC(VLOOKUP(N90,'Color codes'!$A:$E,4,FALSE)*(0.25 + 0.75*O90/40))</f>
        <v>78</v>
      </c>
      <c r="S90">
        <f>TRUNC(VLOOKUP(N90,'Color codes'!$A:$E,5,FALSE)*(0.25 + 0.75*O90/40))</f>
        <v>76</v>
      </c>
      <c r="T90" t="b">
        <f t="shared" si="7"/>
        <v>1</v>
      </c>
    </row>
    <row r="91" spans="1:20" x14ac:dyDescent="0.25">
      <c r="A91" t="s">
        <v>12</v>
      </c>
      <c r="B91" t="s">
        <v>9</v>
      </c>
      <c r="C91">
        <v>15</v>
      </c>
      <c r="D91">
        <v>1.0000000000000001E-5</v>
      </c>
      <c r="E91">
        <v>1E-3</v>
      </c>
      <c r="F91" t="str">
        <f t="shared" si="8"/>
        <v>tree256_blurkernel8_15_0,00001_0,001</v>
      </c>
      <c r="G91">
        <f>IFERROR(VLOOKUP(F91,SROU03!$F:$H,2,FALSE),0)</f>
        <v>11.571281000000001</v>
      </c>
      <c r="H91">
        <f>IFERROR(VLOOKUP(F91,SROU03!$F:$H,3,FALSE),0)</f>
        <v>17.659464</v>
      </c>
      <c r="I91">
        <v>15.710100000000001</v>
      </c>
      <c r="J91">
        <v>4.1384999999999996</v>
      </c>
      <c r="K91">
        <f>IFERROR(VLOOKUP(F91,TICO09!$F:$K,6,FALSE),0)</f>
        <v>12.196999999999999</v>
      </c>
      <c r="L91">
        <f>IFERROR(VLOOKUP(F91,SROU03!$F:$L,7,FALSE),0)</f>
        <v>16.631599999999999</v>
      </c>
      <c r="M91">
        <v>16.717199999999998</v>
      </c>
      <c r="N91" t="str">
        <f t="shared" si="5"/>
        <v>BM3D</v>
      </c>
      <c r="O91">
        <f t="shared" si="6"/>
        <v>16.717199999999998</v>
      </c>
      <c r="P91">
        <f>VLOOKUP(N91,'Color codes'!$A:$B,2,FALSE)</f>
        <v>1</v>
      </c>
      <c r="Q91">
        <f>TRUNC(VLOOKUP(N91,'Color codes'!$A:$E,3,FALSE)*(0.25 + 0.75*O91/40))</f>
        <v>143</v>
      </c>
      <c r="R91">
        <f>TRUNC(VLOOKUP(N91,'Color codes'!$A:$E,4,FALSE)*(0.25 + 0.75*O91/40))</f>
        <v>60</v>
      </c>
      <c r="S91">
        <f>TRUNC(VLOOKUP(N91,'Color codes'!$A:$E,5,FALSE)*(0.25 + 0.75*O91/40))</f>
        <v>58</v>
      </c>
      <c r="T91" t="b">
        <f t="shared" si="7"/>
        <v>0</v>
      </c>
    </row>
    <row r="92" spans="1:20" x14ac:dyDescent="0.25">
      <c r="A92" t="s">
        <v>12</v>
      </c>
      <c r="B92" t="s">
        <v>9</v>
      </c>
      <c r="C92">
        <v>15</v>
      </c>
      <c r="D92">
        <v>1.0000000000000001E-5</v>
      </c>
      <c r="E92">
        <v>0.01</v>
      </c>
      <c r="F92" t="str">
        <f t="shared" si="8"/>
        <v>tree256_blurkernel8_15_0,00001_0,01</v>
      </c>
      <c r="G92">
        <f>IFERROR(VLOOKUP(F92,SROU03!$F:$H,2,FALSE),0)</f>
        <v>8.2928069999999998</v>
      </c>
      <c r="H92">
        <f>IFERROR(VLOOKUP(F92,SROU03!$F:$H,3,FALSE),0)</f>
        <v>17.670248999999998</v>
      </c>
      <c r="I92">
        <v>6.6269999999999998</v>
      </c>
      <c r="J92">
        <v>4.1384999999999996</v>
      </c>
      <c r="K92">
        <f>IFERROR(VLOOKUP(F92,TICO09!$F:$K,6,FALSE),0)</f>
        <v>8.8828999999999994</v>
      </c>
      <c r="L92">
        <f>IFERROR(VLOOKUP(F92,SROU03!$F:$L,7,FALSE),0)</f>
        <v>12.403600000000001</v>
      </c>
      <c r="M92">
        <v>9.8370999999999995</v>
      </c>
      <c r="N92" t="str">
        <f t="shared" si="5"/>
        <v>SROU03</v>
      </c>
      <c r="O92">
        <f t="shared" si="6"/>
        <v>12.403600000000001</v>
      </c>
      <c r="P92">
        <f>VLOOKUP(N92,'Color codes'!$A:$B,2,FALSE)</f>
        <v>3</v>
      </c>
      <c r="Q92">
        <f>TRUNC(VLOOKUP(N92,'Color codes'!$A:$E,3,FALSE)*(0.25 + 0.75*O92/40))</f>
        <v>51</v>
      </c>
      <c r="R92">
        <f>TRUNC(VLOOKUP(N92,'Color codes'!$A:$E,4,FALSE)*(0.25 + 0.75*O92/40))</f>
        <v>84</v>
      </c>
      <c r="S92">
        <f>TRUNC(VLOOKUP(N92,'Color codes'!$A:$E,5,FALSE)*(0.25 + 0.75*O92/40))</f>
        <v>123</v>
      </c>
      <c r="T92" t="b">
        <f t="shared" si="7"/>
        <v>1</v>
      </c>
    </row>
    <row r="93" spans="1:20" x14ac:dyDescent="0.25">
      <c r="A93" t="s">
        <v>12</v>
      </c>
      <c r="B93" t="s">
        <v>9</v>
      </c>
      <c r="C93">
        <v>15</v>
      </c>
      <c r="D93">
        <v>1.0000000000000001E-5</v>
      </c>
      <c r="E93">
        <v>0.1</v>
      </c>
      <c r="F93" t="str">
        <f t="shared" si="8"/>
        <v>tree256_blurkernel8_15_0,00001_0,1</v>
      </c>
      <c r="G93">
        <f>IFERROR(VLOOKUP(F93,SROU03!$F:$H,2,FALSE),0)</f>
        <v>6.3521169999999998</v>
      </c>
      <c r="H93">
        <f>IFERROR(VLOOKUP(F93,SROU03!$F:$H,3,FALSE),0)</f>
        <v>17.741949000000002</v>
      </c>
      <c r="I93">
        <v>1.2907</v>
      </c>
      <c r="J93">
        <v>4.1384999999999996</v>
      </c>
      <c r="K93">
        <f>IFERROR(VLOOKUP(F93,TICO09!$F:$K,6,FALSE),0)</f>
        <v>4.9417</v>
      </c>
      <c r="L93">
        <f>IFERROR(VLOOKUP(F93,SROU03!$F:$L,7,FALSE),0)</f>
        <v>9.7248999999999999</v>
      </c>
      <c r="M93">
        <v>5.1132999999999997</v>
      </c>
      <c r="N93" t="str">
        <f t="shared" si="5"/>
        <v>SROU03</v>
      </c>
      <c r="O93">
        <f t="shared" si="6"/>
        <v>9.7248999999999999</v>
      </c>
      <c r="P93">
        <f>VLOOKUP(N93,'Color codes'!$A:$B,2,FALSE)</f>
        <v>3</v>
      </c>
      <c r="Q93">
        <f>TRUNC(VLOOKUP(N93,'Color codes'!$A:$E,3,FALSE)*(0.25 + 0.75*O93/40))</f>
        <v>46</v>
      </c>
      <c r="R93">
        <f>TRUNC(VLOOKUP(N93,'Color codes'!$A:$E,4,FALSE)*(0.25 + 0.75*O93/40))</f>
        <v>76</v>
      </c>
      <c r="S93">
        <f>TRUNC(VLOOKUP(N93,'Color codes'!$A:$E,5,FALSE)*(0.25 + 0.75*O93/40))</f>
        <v>110</v>
      </c>
      <c r="T93" t="b">
        <f t="shared" si="7"/>
        <v>1</v>
      </c>
    </row>
    <row r="94" spans="1:20" x14ac:dyDescent="0.25">
      <c r="A94" t="s">
        <v>12</v>
      </c>
      <c r="B94" t="s">
        <v>9</v>
      </c>
      <c r="C94">
        <v>31</v>
      </c>
      <c r="D94">
        <v>1.0000000000000001E-5</v>
      </c>
      <c r="E94">
        <v>1E-4</v>
      </c>
      <c r="F94" t="str">
        <f t="shared" si="8"/>
        <v>tree256_blurkernel8_31_0,00001_0,0001</v>
      </c>
      <c r="G94">
        <f>IFERROR(VLOOKUP(F94,SROU03!$F:$H,2,FALSE),0)</f>
        <v>21.954425000000001</v>
      </c>
      <c r="H94">
        <f>IFERROR(VLOOKUP(F94,SROU03!$F:$H,3,FALSE),0)</f>
        <v>38.325780999999999</v>
      </c>
      <c r="I94">
        <v>25.63</v>
      </c>
      <c r="J94">
        <v>2.5009000000000001</v>
      </c>
      <c r="K94">
        <f>IFERROR(VLOOKUP(F94,TICO09!$F:$K,6,FALSE),0)</f>
        <v>13.6685</v>
      </c>
      <c r="L94">
        <f>IFERROR(VLOOKUP(F94,SROU03!$F:$L,7,FALSE),0)</f>
        <v>24.2319</v>
      </c>
      <c r="M94">
        <v>25.741499999999998</v>
      </c>
      <c r="N94" t="str">
        <f t="shared" si="5"/>
        <v>BM3D</v>
      </c>
      <c r="O94">
        <f t="shared" si="6"/>
        <v>25.741499999999998</v>
      </c>
      <c r="P94">
        <f>VLOOKUP(N94,'Color codes'!$A:$B,2,FALSE)</f>
        <v>1</v>
      </c>
      <c r="Q94">
        <f>TRUNC(VLOOKUP(N94,'Color codes'!$A:$E,3,FALSE)*(0.25 + 0.75*O94/40))</f>
        <v>186</v>
      </c>
      <c r="R94">
        <f>TRUNC(VLOOKUP(N94,'Color codes'!$A:$E,4,FALSE)*(0.25 + 0.75*O94/40))</f>
        <v>78</v>
      </c>
      <c r="S94">
        <f>TRUNC(VLOOKUP(N94,'Color codes'!$A:$E,5,FALSE)*(0.25 + 0.75*O94/40))</f>
        <v>76</v>
      </c>
      <c r="T94" t="b">
        <f t="shared" si="7"/>
        <v>1</v>
      </c>
    </row>
    <row r="95" spans="1:20" x14ac:dyDescent="0.25">
      <c r="A95" t="s">
        <v>12</v>
      </c>
      <c r="B95" t="s">
        <v>9</v>
      </c>
      <c r="C95">
        <v>31</v>
      </c>
      <c r="D95">
        <v>1.0000000000000001E-5</v>
      </c>
      <c r="E95">
        <v>1E-3</v>
      </c>
      <c r="F95" t="str">
        <f t="shared" si="8"/>
        <v>tree256_blurkernel8_31_0,00001_0,001</v>
      </c>
      <c r="G95">
        <f>IFERROR(VLOOKUP(F95,SROU03!$F:$H,2,FALSE),0)</f>
        <v>8.8831900000000008</v>
      </c>
      <c r="H95">
        <f>IFERROR(VLOOKUP(F95,SROU03!$F:$H,3,FALSE),0)</f>
        <v>36.595289000000001</v>
      </c>
      <c r="I95">
        <v>15.7043</v>
      </c>
      <c r="J95">
        <v>2.5009000000000001</v>
      </c>
      <c r="K95">
        <f>IFERROR(VLOOKUP(F95,TICO09!$F:$K,6,FALSE),0)</f>
        <v>12.6198</v>
      </c>
      <c r="L95">
        <f>IFERROR(VLOOKUP(F95,SROU03!$F:$L,7,FALSE),0)</f>
        <v>15.8531</v>
      </c>
      <c r="M95">
        <v>16.7193</v>
      </c>
      <c r="N95" t="str">
        <f t="shared" si="5"/>
        <v>BM3D</v>
      </c>
      <c r="O95">
        <f t="shared" si="6"/>
        <v>16.7193</v>
      </c>
      <c r="P95">
        <f>VLOOKUP(N95,'Color codes'!$A:$B,2,FALSE)</f>
        <v>1</v>
      </c>
      <c r="Q95">
        <f>TRUNC(VLOOKUP(N95,'Color codes'!$A:$E,3,FALSE)*(0.25 + 0.75*O95/40))</f>
        <v>143</v>
      </c>
      <c r="R95">
        <f>TRUNC(VLOOKUP(N95,'Color codes'!$A:$E,4,FALSE)*(0.25 + 0.75*O95/40))</f>
        <v>60</v>
      </c>
      <c r="S95">
        <f>TRUNC(VLOOKUP(N95,'Color codes'!$A:$E,5,FALSE)*(0.25 + 0.75*O95/40))</f>
        <v>58</v>
      </c>
      <c r="T95" t="b">
        <f t="shared" si="7"/>
        <v>0</v>
      </c>
    </row>
    <row r="96" spans="1:20" x14ac:dyDescent="0.25">
      <c r="A96" t="s">
        <v>12</v>
      </c>
      <c r="B96" t="s">
        <v>9</v>
      </c>
      <c r="C96">
        <v>31</v>
      </c>
      <c r="D96">
        <v>1.0000000000000001E-5</v>
      </c>
      <c r="E96">
        <v>0.01</v>
      </c>
      <c r="F96" t="str">
        <f t="shared" si="8"/>
        <v>tree256_blurkernel8_31_0,00001_0,01</v>
      </c>
      <c r="G96">
        <f>IFERROR(VLOOKUP(F96,SROU03!$F:$H,2,FALSE),0)</f>
        <v>5.5687860000000002</v>
      </c>
      <c r="H96">
        <f>IFERROR(VLOOKUP(F96,SROU03!$F:$H,3,FALSE),0)</f>
        <v>36.475808000000001</v>
      </c>
      <c r="I96">
        <v>6.5842000000000001</v>
      </c>
      <c r="J96">
        <v>2.5009000000000001</v>
      </c>
      <c r="K96">
        <f>IFERROR(VLOOKUP(F96,TICO09!$F:$K,6,FALSE),0)</f>
        <v>8.9992999999999999</v>
      </c>
      <c r="L96">
        <f>IFERROR(VLOOKUP(F96,SROU03!$F:$L,7,FALSE),0)</f>
        <v>10.608700000000001</v>
      </c>
      <c r="M96">
        <v>9.7990999999999993</v>
      </c>
      <c r="N96" t="str">
        <f t="shared" si="5"/>
        <v>SROU03</v>
      </c>
      <c r="O96">
        <f t="shared" si="6"/>
        <v>10.608700000000001</v>
      </c>
      <c r="P96">
        <f>VLOOKUP(N96,'Color codes'!$A:$B,2,FALSE)</f>
        <v>3</v>
      </c>
      <c r="Q96">
        <f>TRUNC(VLOOKUP(N96,'Color codes'!$A:$E,3,FALSE)*(0.25 + 0.75*O96/40))</f>
        <v>48</v>
      </c>
      <c r="R96">
        <f>TRUNC(VLOOKUP(N96,'Color codes'!$A:$E,4,FALSE)*(0.25 + 0.75*O96/40))</f>
        <v>79</v>
      </c>
      <c r="S96">
        <f>TRUNC(VLOOKUP(N96,'Color codes'!$A:$E,5,FALSE)*(0.25 + 0.75*O96/40))</f>
        <v>114</v>
      </c>
      <c r="T96" t="b">
        <f t="shared" si="7"/>
        <v>0</v>
      </c>
    </row>
    <row r="97" spans="1:20" x14ac:dyDescent="0.25">
      <c r="A97" t="s">
        <v>12</v>
      </c>
      <c r="B97" t="s">
        <v>9</v>
      </c>
      <c r="C97">
        <v>31</v>
      </c>
      <c r="D97">
        <v>1.0000000000000001E-5</v>
      </c>
      <c r="E97">
        <v>0.1</v>
      </c>
      <c r="F97" t="str">
        <f t="shared" si="8"/>
        <v>tree256_blurkernel8_31_0,00001_0,1</v>
      </c>
      <c r="G97">
        <f>IFERROR(VLOOKUP(F97,SROU03!$F:$H,2,FALSE),0)</f>
        <v>4.1147960000000001</v>
      </c>
      <c r="H97">
        <f>IFERROR(VLOOKUP(F97,SROU03!$F:$H,3,FALSE),0)</f>
        <v>36.525795000000002</v>
      </c>
      <c r="I97">
        <v>1.2714000000000001</v>
      </c>
      <c r="J97">
        <v>2.5009000000000001</v>
      </c>
      <c r="K97">
        <f>IFERROR(VLOOKUP(F97,TICO09!$F:$K,6,FALSE),0)</f>
        <v>4.4349999999999996</v>
      </c>
      <c r="L97">
        <f>IFERROR(VLOOKUP(F97,SROU03!$F:$L,7,FALSE),0)</f>
        <v>7.5681000000000003</v>
      </c>
      <c r="M97">
        <v>5.0468000000000002</v>
      </c>
      <c r="N97" t="str">
        <f t="shared" si="5"/>
        <v>SROU03</v>
      </c>
      <c r="O97">
        <f t="shared" si="6"/>
        <v>7.5681000000000003</v>
      </c>
      <c r="P97">
        <f>VLOOKUP(N97,'Color codes'!$A:$B,2,FALSE)</f>
        <v>3</v>
      </c>
      <c r="Q97">
        <f>TRUNC(VLOOKUP(N97,'Color codes'!$A:$E,3,FALSE)*(0.25 + 0.75*O97/40))</f>
        <v>41</v>
      </c>
      <c r="R97">
        <f>TRUNC(VLOOKUP(N97,'Color codes'!$A:$E,4,FALSE)*(0.25 + 0.75*O97/40))</f>
        <v>68</v>
      </c>
      <c r="S97">
        <f>TRUNC(VLOOKUP(N97,'Color codes'!$A:$E,5,FALSE)*(0.25 + 0.75*O97/40))</f>
        <v>99</v>
      </c>
      <c r="T97" t="b">
        <f t="shared" si="7"/>
        <v>1</v>
      </c>
    </row>
    <row r="98" spans="1:20" x14ac:dyDescent="0.25">
      <c r="A98" t="s">
        <v>12</v>
      </c>
      <c r="B98" t="s">
        <v>10</v>
      </c>
      <c r="C98">
        <v>3</v>
      </c>
      <c r="D98">
        <v>1.0000000000000001E-5</v>
      </c>
      <c r="E98">
        <v>1E-4</v>
      </c>
      <c r="F98" t="str">
        <f t="shared" si="8"/>
        <v>tree256_line_3_0,00001_0,0001</v>
      </c>
      <c r="G98">
        <f>IFERROR(VLOOKUP(F98,SROU03!$F:$H,2,FALSE),0)</f>
        <v>42.500205999999999</v>
      </c>
      <c r="H98">
        <f>IFERROR(VLOOKUP(F98,SROU03!$F:$H,3,FALSE),0)</f>
        <v>2.9211010000000002</v>
      </c>
      <c r="I98">
        <v>25.641500000000001</v>
      </c>
      <c r="J98">
        <v>9.3459000000000003</v>
      </c>
      <c r="K98">
        <f>IFERROR(VLOOKUP(F98,TICO09!$F:$K,6,FALSE),0)</f>
        <v>11.8714</v>
      </c>
      <c r="L98">
        <f>IFERROR(VLOOKUP(F98,SROU03!$F:$L,7,FALSE),0)</f>
        <v>26.386700000000001</v>
      </c>
      <c r="M98">
        <v>25.759</v>
      </c>
      <c r="N98" t="str">
        <f t="shared" si="5"/>
        <v>SROU03</v>
      </c>
      <c r="O98">
        <f t="shared" si="6"/>
        <v>26.386700000000001</v>
      </c>
      <c r="P98">
        <f>VLOOKUP(N98,'Color codes'!$A:$B,2,FALSE)</f>
        <v>3</v>
      </c>
      <c r="Q98">
        <f>TRUNC(VLOOKUP(N98,'Color codes'!$A:$E,3,FALSE)*(0.25 + 0.75*O98/40))</f>
        <v>79</v>
      </c>
      <c r="R98">
        <f>TRUNC(VLOOKUP(N98,'Color codes'!$A:$E,4,FALSE)*(0.25 + 0.75*O98/40))</f>
        <v>131</v>
      </c>
      <c r="S98">
        <f>TRUNC(VLOOKUP(N98,'Color codes'!$A:$E,5,FALSE)*(0.25 + 0.75*O98/40))</f>
        <v>189</v>
      </c>
      <c r="T98" t="b">
        <f t="shared" si="7"/>
        <v>0</v>
      </c>
    </row>
    <row r="99" spans="1:20" x14ac:dyDescent="0.25">
      <c r="A99" t="s">
        <v>12</v>
      </c>
      <c r="B99" t="s">
        <v>10</v>
      </c>
      <c r="C99">
        <v>3</v>
      </c>
      <c r="D99">
        <v>1.0000000000000001E-5</v>
      </c>
      <c r="E99">
        <v>1E-3</v>
      </c>
      <c r="F99" t="str">
        <f t="shared" si="8"/>
        <v>tree256_line_3_0,00001_0,001</v>
      </c>
      <c r="G99">
        <f>IFERROR(VLOOKUP(F99,SROU03!$F:$H,2,FALSE),0)</f>
        <v>32.852992</v>
      </c>
      <c r="H99">
        <f>IFERROR(VLOOKUP(F99,SROU03!$F:$H,3,FALSE),0)</f>
        <v>2.9713889999999998</v>
      </c>
      <c r="I99">
        <v>15.709099999999999</v>
      </c>
      <c r="J99">
        <v>9.3459000000000003</v>
      </c>
      <c r="K99">
        <f>IFERROR(VLOOKUP(F99,TICO09!$F:$K,6,FALSE),0)</f>
        <v>11.4696</v>
      </c>
      <c r="L99">
        <f>IFERROR(VLOOKUP(F99,SROU03!$F:$L,7,FALSE),0)</f>
        <v>19.728000000000002</v>
      </c>
      <c r="M99">
        <v>16.742000000000001</v>
      </c>
      <c r="N99" t="str">
        <f t="shared" si="5"/>
        <v>SROU03</v>
      </c>
      <c r="O99">
        <f t="shared" si="6"/>
        <v>19.728000000000002</v>
      </c>
      <c r="P99">
        <f>VLOOKUP(N99,'Color codes'!$A:$B,2,FALSE)</f>
        <v>3</v>
      </c>
      <c r="Q99">
        <f>TRUNC(VLOOKUP(N99,'Color codes'!$A:$E,3,FALSE)*(0.25 + 0.75*O99/40))</f>
        <v>66</v>
      </c>
      <c r="R99">
        <f>TRUNC(VLOOKUP(N99,'Color codes'!$A:$E,4,FALSE)*(0.25 + 0.75*O99/40))</f>
        <v>109</v>
      </c>
      <c r="S99">
        <f>TRUNC(VLOOKUP(N99,'Color codes'!$A:$E,5,FALSE)*(0.25 + 0.75*O99/40))</f>
        <v>158</v>
      </c>
      <c r="T99" t="b">
        <f t="shared" si="7"/>
        <v>1</v>
      </c>
    </row>
    <row r="100" spans="1:20" x14ac:dyDescent="0.25">
      <c r="A100" t="s">
        <v>12</v>
      </c>
      <c r="B100" t="s">
        <v>10</v>
      </c>
      <c r="C100">
        <v>3</v>
      </c>
      <c r="D100">
        <v>1.0000000000000001E-5</v>
      </c>
      <c r="E100">
        <v>0.01</v>
      </c>
      <c r="F100" t="str">
        <f t="shared" si="8"/>
        <v>tree256_line_3_0,00001_0,01</v>
      </c>
      <c r="G100">
        <f>IFERROR(VLOOKUP(F100,SROU03!$F:$H,2,FALSE),0)</f>
        <v>24.059252999999998</v>
      </c>
      <c r="H100">
        <f>IFERROR(VLOOKUP(F100,SROU03!$F:$H,3,FALSE),0)</f>
        <v>3.2318129999999998</v>
      </c>
      <c r="I100">
        <v>6.6239999999999997</v>
      </c>
      <c r="J100">
        <v>9.3459000000000003</v>
      </c>
      <c r="K100">
        <f>IFERROR(VLOOKUP(F100,TICO09!$F:$K,6,FALSE),0)</f>
        <v>10.4293</v>
      </c>
      <c r="L100">
        <f>IFERROR(VLOOKUP(F100,SROU03!$F:$L,7,FALSE),0)</f>
        <v>17.173400000000001</v>
      </c>
      <c r="M100">
        <v>9.8666</v>
      </c>
      <c r="N100" t="str">
        <f t="shared" si="5"/>
        <v>SROU03</v>
      </c>
      <c r="O100">
        <f t="shared" si="6"/>
        <v>17.173400000000001</v>
      </c>
      <c r="P100">
        <f>VLOOKUP(N100,'Color codes'!$A:$B,2,FALSE)</f>
        <v>3</v>
      </c>
      <c r="Q100">
        <f>TRUNC(VLOOKUP(N100,'Color codes'!$A:$E,3,FALSE)*(0.25 + 0.75*O100/40))</f>
        <v>61</v>
      </c>
      <c r="R100">
        <f>TRUNC(VLOOKUP(N100,'Color codes'!$A:$E,4,FALSE)*(0.25 + 0.75*O100/40))</f>
        <v>100</v>
      </c>
      <c r="S100">
        <f>TRUNC(VLOOKUP(N100,'Color codes'!$A:$E,5,FALSE)*(0.25 + 0.75*O100/40))</f>
        <v>145</v>
      </c>
      <c r="T100" t="b">
        <f t="shared" si="7"/>
        <v>1</v>
      </c>
    </row>
    <row r="101" spans="1:20" x14ac:dyDescent="0.25">
      <c r="A101" t="s">
        <v>12</v>
      </c>
      <c r="B101" t="s">
        <v>10</v>
      </c>
      <c r="C101">
        <v>3</v>
      </c>
      <c r="D101">
        <v>1.0000000000000001E-5</v>
      </c>
      <c r="E101">
        <v>0.1</v>
      </c>
      <c r="F101" t="str">
        <f t="shared" si="8"/>
        <v>tree256_line_3_0,00001_0,1</v>
      </c>
      <c r="G101">
        <f>IFERROR(VLOOKUP(F101,SROU03!$F:$H,2,FALSE),0)</f>
        <v>20.021588000000001</v>
      </c>
      <c r="H101">
        <f>IFERROR(VLOOKUP(F101,SROU03!$F:$H,3,FALSE),0)</f>
        <v>3.318047</v>
      </c>
      <c r="I101">
        <v>1.2818000000000001</v>
      </c>
      <c r="J101">
        <v>9.3459000000000003</v>
      </c>
      <c r="K101">
        <f>IFERROR(VLOOKUP(F101,TICO09!$F:$K,6,FALSE),0)</f>
        <v>8.1890000000000001</v>
      </c>
      <c r="L101">
        <f>IFERROR(VLOOKUP(F101,SROU03!$F:$L,7,FALSE),0)</f>
        <v>8.4076000000000004</v>
      </c>
      <c r="M101">
        <v>5.1235999999999997</v>
      </c>
      <c r="N101" t="str">
        <f t="shared" si="5"/>
        <v>SROU03</v>
      </c>
      <c r="O101">
        <f t="shared" si="6"/>
        <v>8.4076000000000004</v>
      </c>
      <c r="P101">
        <f>VLOOKUP(N101,'Color codes'!$A:$B,2,FALSE)</f>
        <v>3</v>
      </c>
      <c r="Q101">
        <f>TRUNC(VLOOKUP(N101,'Color codes'!$A:$E,3,FALSE)*(0.25 + 0.75*O101/40))</f>
        <v>43</v>
      </c>
      <c r="R101">
        <f>TRUNC(VLOOKUP(N101,'Color codes'!$A:$E,4,FALSE)*(0.25 + 0.75*O101/40))</f>
        <v>71</v>
      </c>
      <c r="S101">
        <f>TRUNC(VLOOKUP(N101,'Color codes'!$A:$E,5,FALSE)*(0.25 + 0.75*O101/40))</f>
        <v>103</v>
      </c>
      <c r="T101" t="b">
        <f t="shared" si="7"/>
        <v>1</v>
      </c>
    </row>
    <row r="102" spans="1:20" x14ac:dyDescent="0.25">
      <c r="A102" t="s">
        <v>12</v>
      </c>
      <c r="B102" t="s">
        <v>10</v>
      </c>
      <c r="C102">
        <v>7</v>
      </c>
      <c r="D102">
        <v>1.0000000000000001E-5</v>
      </c>
      <c r="E102">
        <v>1E-4</v>
      </c>
      <c r="F102" t="str">
        <f t="shared" si="8"/>
        <v>tree256_line_7_0,00001_0,0001</v>
      </c>
      <c r="G102">
        <f>IFERROR(VLOOKUP(F102,SROU03!$F:$H,2,FALSE),0)</f>
        <v>32.112152000000002</v>
      </c>
      <c r="H102">
        <f>IFERROR(VLOOKUP(F102,SROU03!$F:$H,3,FALSE),0)</f>
        <v>7.8178929999999998</v>
      </c>
      <c r="I102">
        <v>25.6081</v>
      </c>
      <c r="J102">
        <v>5.2511999999999999</v>
      </c>
      <c r="K102">
        <f>IFERROR(VLOOKUP(F102,TICO09!$F:$K,6,FALSE),0)</f>
        <v>13.0983</v>
      </c>
      <c r="L102">
        <f>IFERROR(VLOOKUP(F102,SROU03!$F:$L,7,FALSE),0)</f>
        <v>25.023800000000001</v>
      </c>
      <c r="M102">
        <v>25.731000000000002</v>
      </c>
      <c r="N102" t="str">
        <f t="shared" si="5"/>
        <v>BM3D</v>
      </c>
      <c r="O102">
        <f t="shared" si="6"/>
        <v>25.731000000000002</v>
      </c>
      <c r="P102">
        <f>VLOOKUP(N102,'Color codes'!$A:$B,2,FALSE)</f>
        <v>1</v>
      </c>
      <c r="Q102">
        <f>TRUNC(VLOOKUP(N102,'Color codes'!$A:$E,3,FALSE)*(0.25 + 0.75*O102/40))</f>
        <v>186</v>
      </c>
      <c r="R102">
        <f>TRUNC(VLOOKUP(N102,'Color codes'!$A:$E,4,FALSE)*(0.25 + 0.75*O102/40))</f>
        <v>78</v>
      </c>
      <c r="S102">
        <f>TRUNC(VLOOKUP(N102,'Color codes'!$A:$E,5,FALSE)*(0.25 + 0.75*O102/40))</f>
        <v>76</v>
      </c>
      <c r="T102" t="b">
        <f t="shared" si="7"/>
        <v>0</v>
      </c>
    </row>
    <row r="103" spans="1:20" x14ac:dyDescent="0.25">
      <c r="A103" t="s">
        <v>12</v>
      </c>
      <c r="B103" t="s">
        <v>10</v>
      </c>
      <c r="C103">
        <v>7</v>
      </c>
      <c r="D103">
        <v>1.0000000000000001E-5</v>
      </c>
      <c r="E103">
        <v>1E-3</v>
      </c>
      <c r="F103" t="str">
        <f t="shared" si="8"/>
        <v>tree256_line_7_0,00001_0,001</v>
      </c>
      <c r="G103">
        <f>IFERROR(VLOOKUP(F103,SROU03!$F:$H,2,FALSE),0)</f>
        <v>21.566970999999999</v>
      </c>
      <c r="H103">
        <f>IFERROR(VLOOKUP(F103,SROU03!$F:$H,3,FALSE),0)</f>
        <v>7.7422089999999999</v>
      </c>
      <c r="I103">
        <v>15.7111</v>
      </c>
      <c r="J103">
        <v>5.2511999999999999</v>
      </c>
      <c r="K103">
        <f>IFERROR(VLOOKUP(F103,TICO09!$F:$K,6,FALSE),0)</f>
        <v>12.1981</v>
      </c>
      <c r="L103">
        <f>IFERROR(VLOOKUP(F103,SROU03!$F:$L,7,FALSE),0)</f>
        <v>16.850100000000001</v>
      </c>
      <c r="M103">
        <v>16.720600000000001</v>
      </c>
      <c r="N103" t="str">
        <f t="shared" si="5"/>
        <v>SROU03</v>
      </c>
      <c r="O103">
        <f t="shared" si="6"/>
        <v>16.850100000000001</v>
      </c>
      <c r="P103">
        <f>VLOOKUP(N103,'Color codes'!$A:$B,2,FALSE)</f>
        <v>3</v>
      </c>
      <c r="Q103">
        <f>TRUNC(VLOOKUP(N103,'Color codes'!$A:$E,3,FALSE)*(0.25 + 0.75*O103/40))</f>
        <v>60</v>
      </c>
      <c r="R103">
        <f>TRUNC(VLOOKUP(N103,'Color codes'!$A:$E,4,FALSE)*(0.25 + 0.75*O103/40))</f>
        <v>99</v>
      </c>
      <c r="S103">
        <f>TRUNC(VLOOKUP(N103,'Color codes'!$A:$E,5,FALSE)*(0.25 + 0.75*O103/40))</f>
        <v>144</v>
      </c>
      <c r="T103" t="b">
        <f t="shared" si="7"/>
        <v>0</v>
      </c>
    </row>
    <row r="104" spans="1:20" x14ac:dyDescent="0.25">
      <c r="A104" t="s">
        <v>12</v>
      </c>
      <c r="B104" t="s">
        <v>10</v>
      </c>
      <c r="C104">
        <v>7</v>
      </c>
      <c r="D104">
        <v>1.0000000000000001E-5</v>
      </c>
      <c r="E104">
        <v>0.01</v>
      </c>
      <c r="F104" t="str">
        <f t="shared" si="8"/>
        <v>tree256_line_7_0,00001_0,01</v>
      </c>
      <c r="G104">
        <f>IFERROR(VLOOKUP(F104,SROU03!$F:$H,2,FALSE),0)</f>
        <v>14.643162</v>
      </c>
      <c r="H104">
        <f>IFERROR(VLOOKUP(F104,SROU03!$F:$H,3,FALSE),0)</f>
        <v>8.0560530000000004</v>
      </c>
      <c r="I104">
        <v>6.6104000000000003</v>
      </c>
      <c r="J104">
        <v>5.2511999999999999</v>
      </c>
      <c r="K104">
        <f>IFERROR(VLOOKUP(F104,TICO09!$F:$K,6,FALSE),0)</f>
        <v>9.3389000000000006</v>
      </c>
      <c r="L104">
        <f>IFERROR(VLOOKUP(F104,SROU03!$F:$L,7,FALSE),0)</f>
        <v>10.6439</v>
      </c>
      <c r="M104">
        <v>9.7830999999999992</v>
      </c>
      <c r="N104" t="str">
        <f t="shared" si="5"/>
        <v>SROU03</v>
      </c>
      <c r="O104">
        <f t="shared" si="6"/>
        <v>10.6439</v>
      </c>
      <c r="P104">
        <f>VLOOKUP(N104,'Color codes'!$A:$B,2,FALSE)</f>
        <v>3</v>
      </c>
      <c r="Q104">
        <f>TRUNC(VLOOKUP(N104,'Color codes'!$A:$E,3,FALSE)*(0.25 + 0.75*O104/40))</f>
        <v>48</v>
      </c>
      <c r="R104">
        <f>TRUNC(VLOOKUP(N104,'Color codes'!$A:$E,4,FALSE)*(0.25 + 0.75*O104/40))</f>
        <v>79</v>
      </c>
      <c r="S104">
        <f>TRUNC(VLOOKUP(N104,'Color codes'!$A:$E,5,FALSE)*(0.25 + 0.75*O104/40))</f>
        <v>114</v>
      </c>
      <c r="T104" t="b">
        <f t="shared" si="7"/>
        <v>0</v>
      </c>
    </row>
    <row r="105" spans="1:20" x14ac:dyDescent="0.25">
      <c r="A105" t="s">
        <v>12</v>
      </c>
      <c r="B105" t="s">
        <v>10</v>
      </c>
      <c r="C105">
        <v>7</v>
      </c>
      <c r="D105">
        <v>1.0000000000000001E-5</v>
      </c>
      <c r="E105">
        <v>0.1</v>
      </c>
      <c r="F105" t="str">
        <f t="shared" si="8"/>
        <v>tree256_line_7_0,00001_0,1</v>
      </c>
      <c r="G105">
        <f>IFERROR(VLOOKUP(F105,SROU03!$F:$H,2,FALSE),0)</f>
        <v>10.106241000000001</v>
      </c>
      <c r="H105">
        <f>IFERROR(VLOOKUP(F105,SROU03!$F:$H,3,FALSE),0)</f>
        <v>8.2295809999999996</v>
      </c>
      <c r="I105">
        <v>1.2918000000000001</v>
      </c>
      <c r="J105">
        <v>5.2511999999999999</v>
      </c>
      <c r="K105">
        <f>IFERROR(VLOOKUP(F105,TICO09!$F:$K,6,FALSE),0)</f>
        <v>5.7595999999999998</v>
      </c>
      <c r="L105">
        <f>IFERROR(VLOOKUP(F105,SROU03!$F:$L,7,FALSE),0)</f>
        <v>6.1925999999999997</v>
      </c>
      <c r="M105">
        <v>5.0258000000000003</v>
      </c>
      <c r="N105" t="str">
        <f t="shared" si="5"/>
        <v>SROU03</v>
      </c>
      <c r="O105">
        <f t="shared" si="6"/>
        <v>6.1925999999999997</v>
      </c>
      <c r="P105">
        <f>VLOOKUP(N105,'Color codes'!$A:$B,2,FALSE)</f>
        <v>3</v>
      </c>
      <c r="Q105">
        <f>TRUNC(VLOOKUP(N105,'Color codes'!$A:$E,3,FALSE)*(0.25 + 0.75*O105/40))</f>
        <v>39</v>
      </c>
      <c r="R105">
        <f>TRUNC(VLOOKUP(N105,'Color codes'!$A:$E,4,FALSE)*(0.25 + 0.75*O105/40))</f>
        <v>64</v>
      </c>
      <c r="S105">
        <f>TRUNC(VLOOKUP(N105,'Color codes'!$A:$E,5,FALSE)*(0.25 + 0.75*O105/40))</f>
        <v>93</v>
      </c>
      <c r="T105" t="b">
        <f t="shared" si="7"/>
        <v>1</v>
      </c>
    </row>
    <row r="106" spans="1:20" x14ac:dyDescent="0.25">
      <c r="A106" t="s">
        <v>12</v>
      </c>
      <c r="B106" t="s">
        <v>10</v>
      </c>
      <c r="C106">
        <v>15</v>
      </c>
      <c r="D106">
        <v>1.0000000000000001E-5</v>
      </c>
      <c r="E106">
        <v>1E-4</v>
      </c>
      <c r="F106" t="str">
        <f t="shared" si="8"/>
        <v>tree256_line_15_0,00001_0,0001</v>
      </c>
      <c r="G106">
        <f>IFERROR(VLOOKUP(F106,SROU03!$F:$H,2,FALSE),0)</f>
        <v>26.788083</v>
      </c>
      <c r="H106">
        <f>IFERROR(VLOOKUP(F106,SROU03!$F:$H,3,FALSE),0)</f>
        <v>17.743539999999999</v>
      </c>
      <c r="I106">
        <v>25.626300000000001</v>
      </c>
      <c r="J106">
        <v>3.2846000000000002</v>
      </c>
      <c r="K106">
        <f>IFERROR(VLOOKUP(F106,TICO09!$F:$K,6,FALSE),0)</f>
        <v>13.3728</v>
      </c>
      <c r="L106">
        <f>IFERROR(VLOOKUP(F106,SROU03!$F:$L,7,FALSE),0)</f>
        <v>24.679099999999998</v>
      </c>
      <c r="M106">
        <v>25.750599999999999</v>
      </c>
      <c r="N106" t="str">
        <f t="shared" si="5"/>
        <v>BM3D</v>
      </c>
      <c r="O106">
        <f t="shared" si="6"/>
        <v>25.750599999999999</v>
      </c>
      <c r="P106">
        <f>VLOOKUP(N106,'Color codes'!$A:$B,2,FALSE)</f>
        <v>1</v>
      </c>
      <c r="Q106">
        <f>TRUNC(VLOOKUP(N106,'Color codes'!$A:$E,3,FALSE)*(0.25 + 0.75*O106/40))</f>
        <v>186</v>
      </c>
      <c r="R106">
        <f>TRUNC(VLOOKUP(N106,'Color codes'!$A:$E,4,FALSE)*(0.25 + 0.75*O106/40))</f>
        <v>78</v>
      </c>
      <c r="S106">
        <f>TRUNC(VLOOKUP(N106,'Color codes'!$A:$E,5,FALSE)*(0.25 + 0.75*O106/40))</f>
        <v>76</v>
      </c>
      <c r="T106" t="b">
        <f t="shared" si="7"/>
        <v>1</v>
      </c>
    </row>
    <row r="107" spans="1:20" x14ac:dyDescent="0.25">
      <c r="A107" t="s">
        <v>12</v>
      </c>
      <c r="B107" t="s">
        <v>10</v>
      </c>
      <c r="C107">
        <v>15</v>
      </c>
      <c r="D107">
        <v>1.0000000000000001E-5</v>
      </c>
      <c r="E107">
        <v>1E-3</v>
      </c>
      <c r="F107" t="str">
        <f t="shared" si="8"/>
        <v>tree256_line_15_0,00001_0,001</v>
      </c>
      <c r="G107">
        <f>IFERROR(VLOOKUP(F107,SROU03!$F:$H,2,FALSE),0)</f>
        <v>15.281193999999999</v>
      </c>
      <c r="H107">
        <f>IFERROR(VLOOKUP(F107,SROU03!$F:$H,3,FALSE),0)</f>
        <v>17.265825</v>
      </c>
      <c r="I107">
        <v>15.738200000000001</v>
      </c>
      <c r="J107">
        <v>3.2846000000000002</v>
      </c>
      <c r="K107">
        <f>IFERROR(VLOOKUP(F107,TICO09!$F:$K,6,FALSE),0)</f>
        <v>12.4</v>
      </c>
      <c r="L107">
        <f>IFERROR(VLOOKUP(F107,SROU03!$F:$L,7,FALSE),0)</f>
        <v>15.7165</v>
      </c>
      <c r="M107">
        <v>16.7485</v>
      </c>
      <c r="N107" t="str">
        <f t="shared" ref="N107:N158" si="9">IF((M107&gt;(MAX(K107,L107))),"BM3D",IF(L107&gt;(MAX(K107,M107)),"SROU03","TICO09"))</f>
        <v>BM3D</v>
      </c>
      <c r="O107">
        <f t="shared" si="6"/>
        <v>16.7485</v>
      </c>
      <c r="P107">
        <f>VLOOKUP(N107,'Color codes'!$A:$B,2,FALSE)</f>
        <v>1</v>
      </c>
      <c r="Q107">
        <f>TRUNC(VLOOKUP(N107,'Color codes'!$A:$E,3,FALSE)*(0.25 + 0.75*O107/40))</f>
        <v>143</v>
      </c>
      <c r="R107">
        <f>TRUNC(VLOOKUP(N107,'Color codes'!$A:$E,4,FALSE)*(0.25 + 0.75*O107/40))</f>
        <v>60</v>
      </c>
      <c r="S107">
        <f>TRUNC(VLOOKUP(N107,'Color codes'!$A:$E,5,FALSE)*(0.25 + 0.75*O107/40))</f>
        <v>58</v>
      </c>
      <c r="T107" t="b">
        <f t="shared" si="7"/>
        <v>1</v>
      </c>
    </row>
    <row r="108" spans="1:20" x14ac:dyDescent="0.25">
      <c r="A108" t="s">
        <v>12</v>
      </c>
      <c r="B108" t="s">
        <v>10</v>
      </c>
      <c r="C108">
        <v>15</v>
      </c>
      <c r="D108">
        <v>1.0000000000000001E-5</v>
      </c>
      <c r="E108">
        <v>0.01</v>
      </c>
      <c r="F108" t="str">
        <f t="shared" si="8"/>
        <v>tree256_line_15_0,00001_0,01</v>
      </c>
      <c r="G108">
        <f>IFERROR(VLOOKUP(F108,SROU03!$F:$H,2,FALSE),0)</f>
        <v>9.8952980000000004</v>
      </c>
      <c r="H108">
        <f>IFERROR(VLOOKUP(F108,SROU03!$F:$H,3,FALSE),0)</f>
        <v>17.542798999999999</v>
      </c>
      <c r="I108">
        <v>6.6273</v>
      </c>
      <c r="J108">
        <v>3.2846000000000002</v>
      </c>
      <c r="K108">
        <f>IFERROR(VLOOKUP(F108,TICO09!$F:$K,6,FALSE),0)</f>
        <v>9.1562000000000001</v>
      </c>
      <c r="L108">
        <f>IFERROR(VLOOKUP(F108,SROU03!$F:$L,7,FALSE),0)</f>
        <v>8.6239000000000008</v>
      </c>
      <c r="M108">
        <v>9.7967999999999993</v>
      </c>
      <c r="N108" t="str">
        <f t="shared" si="9"/>
        <v>BM3D</v>
      </c>
      <c r="O108">
        <f t="shared" si="6"/>
        <v>9.7967999999999993</v>
      </c>
      <c r="P108">
        <f>VLOOKUP(N108,'Color codes'!$A:$B,2,FALSE)</f>
        <v>1</v>
      </c>
      <c r="Q108">
        <f>TRUNC(VLOOKUP(N108,'Color codes'!$A:$E,3,FALSE)*(0.25 + 0.75*O108/40))</f>
        <v>110</v>
      </c>
      <c r="R108">
        <f>TRUNC(VLOOKUP(N108,'Color codes'!$A:$E,4,FALSE)*(0.25 + 0.75*O108/40))</f>
        <v>46</v>
      </c>
      <c r="S108">
        <f>TRUNC(VLOOKUP(N108,'Color codes'!$A:$E,5,FALSE)*(0.25 + 0.75*O108/40))</f>
        <v>45</v>
      </c>
      <c r="T108" t="b">
        <f t="shared" si="7"/>
        <v>1</v>
      </c>
    </row>
    <row r="109" spans="1:20" x14ac:dyDescent="0.25">
      <c r="A109" t="s">
        <v>12</v>
      </c>
      <c r="B109" t="s">
        <v>10</v>
      </c>
      <c r="C109">
        <v>15</v>
      </c>
      <c r="D109">
        <v>1.0000000000000001E-5</v>
      </c>
      <c r="E109">
        <v>0.1</v>
      </c>
      <c r="F109" t="str">
        <f t="shared" si="8"/>
        <v>tree256_line_15_0,00001_0,1</v>
      </c>
      <c r="G109">
        <f>IFERROR(VLOOKUP(F109,SROU03!$F:$H,2,FALSE),0)</f>
        <v>6.4112130000000001</v>
      </c>
      <c r="H109">
        <f>IFERROR(VLOOKUP(F109,SROU03!$F:$H,3,FALSE),0)</f>
        <v>17.726725999999999</v>
      </c>
      <c r="I109">
        <v>1.286</v>
      </c>
      <c r="J109">
        <v>3.2846000000000002</v>
      </c>
      <c r="K109">
        <f>IFERROR(VLOOKUP(F109,TICO09!$F:$K,6,FALSE),0)</f>
        <v>4.9248000000000003</v>
      </c>
      <c r="L109">
        <f>IFERROR(VLOOKUP(F109,SROU03!$F:$L,7,FALSE),0)</f>
        <v>5.7813999999999997</v>
      </c>
      <c r="M109">
        <v>5.0247000000000002</v>
      </c>
      <c r="N109" t="str">
        <f t="shared" si="9"/>
        <v>SROU03</v>
      </c>
      <c r="O109">
        <f t="shared" si="6"/>
        <v>5.7813999999999997</v>
      </c>
      <c r="P109">
        <f>VLOOKUP(N109,'Color codes'!$A:$B,2,FALSE)</f>
        <v>3</v>
      </c>
      <c r="Q109">
        <f>TRUNC(VLOOKUP(N109,'Color codes'!$A:$E,3,FALSE)*(0.25 + 0.75*O109/40))</f>
        <v>38</v>
      </c>
      <c r="R109">
        <f>TRUNC(VLOOKUP(N109,'Color codes'!$A:$E,4,FALSE)*(0.25 + 0.75*O109/40))</f>
        <v>63</v>
      </c>
      <c r="S109">
        <f>TRUNC(VLOOKUP(N109,'Color codes'!$A:$E,5,FALSE)*(0.25 + 0.75*O109/40))</f>
        <v>91</v>
      </c>
      <c r="T109" t="b">
        <f t="shared" si="7"/>
        <v>0</v>
      </c>
    </row>
    <row r="110" spans="1:20" x14ac:dyDescent="0.25">
      <c r="A110" t="s">
        <v>12</v>
      </c>
      <c r="B110" t="s">
        <v>10</v>
      </c>
      <c r="C110">
        <v>31</v>
      </c>
      <c r="D110">
        <v>1.0000000000000001E-5</v>
      </c>
      <c r="E110">
        <v>1E-4</v>
      </c>
      <c r="F110" t="str">
        <f t="shared" si="8"/>
        <v>tree256_line_31_0,00001_0,0001</v>
      </c>
      <c r="G110">
        <f>IFERROR(VLOOKUP(F110,SROU03!$F:$H,2,FALSE),0)</f>
        <v>24.076516999999999</v>
      </c>
      <c r="H110">
        <f>IFERROR(VLOOKUP(F110,SROU03!$F:$H,3,FALSE),0)</f>
        <v>37.588718999999998</v>
      </c>
      <c r="I110">
        <v>25.576799999999999</v>
      </c>
      <c r="J110">
        <v>2.3241999999999998</v>
      </c>
      <c r="K110">
        <f>IFERROR(VLOOKUP(F110,TICO09!$F:$K,6,FALSE),0)</f>
        <v>13.5007</v>
      </c>
      <c r="L110">
        <f>IFERROR(VLOOKUP(F110,SROU03!$F:$L,7,FALSE),0)</f>
        <v>24.713999999999999</v>
      </c>
      <c r="M110">
        <v>25.6934</v>
      </c>
      <c r="N110" t="str">
        <f t="shared" si="9"/>
        <v>BM3D</v>
      </c>
      <c r="O110">
        <f t="shared" si="6"/>
        <v>25.6934</v>
      </c>
      <c r="P110">
        <f>VLOOKUP(N110,'Color codes'!$A:$B,2,FALSE)</f>
        <v>1</v>
      </c>
      <c r="Q110">
        <f>TRUNC(VLOOKUP(N110,'Color codes'!$A:$E,3,FALSE)*(0.25 + 0.75*O110/40))</f>
        <v>186</v>
      </c>
      <c r="R110">
        <f>TRUNC(VLOOKUP(N110,'Color codes'!$A:$E,4,FALSE)*(0.25 + 0.75*O110/40))</f>
        <v>78</v>
      </c>
      <c r="S110">
        <f>TRUNC(VLOOKUP(N110,'Color codes'!$A:$E,5,FALSE)*(0.25 + 0.75*O110/40))</f>
        <v>76</v>
      </c>
      <c r="T110" t="b">
        <f t="shared" si="7"/>
        <v>0</v>
      </c>
    </row>
    <row r="111" spans="1:20" x14ac:dyDescent="0.25">
      <c r="A111" t="s">
        <v>12</v>
      </c>
      <c r="B111" t="s">
        <v>10</v>
      </c>
      <c r="C111">
        <v>31</v>
      </c>
      <c r="D111">
        <v>1.0000000000000001E-5</v>
      </c>
      <c r="E111">
        <v>1E-3</v>
      </c>
      <c r="F111" t="str">
        <f t="shared" si="8"/>
        <v>tree256_line_31_0,00001_0,001</v>
      </c>
      <c r="G111">
        <f>IFERROR(VLOOKUP(F111,SROU03!$F:$H,2,FALSE),0)</f>
        <v>11.791567000000001</v>
      </c>
      <c r="H111">
        <f>IFERROR(VLOOKUP(F111,SROU03!$F:$H,3,FALSE),0)</f>
        <v>36.204016000000003</v>
      </c>
      <c r="I111">
        <v>15.7056</v>
      </c>
      <c r="J111">
        <v>2.3241999999999998</v>
      </c>
      <c r="K111">
        <f>IFERROR(VLOOKUP(F111,TICO09!$F:$K,6,FALSE),0)</f>
        <v>12.444000000000001</v>
      </c>
      <c r="L111">
        <f>IFERROR(VLOOKUP(F111,SROU03!$F:$L,7,FALSE),0)</f>
        <v>15.4445</v>
      </c>
      <c r="M111">
        <v>16.689599999999999</v>
      </c>
      <c r="N111" t="str">
        <f t="shared" si="9"/>
        <v>BM3D</v>
      </c>
      <c r="O111">
        <f t="shared" si="6"/>
        <v>16.689599999999999</v>
      </c>
      <c r="P111">
        <f>VLOOKUP(N111,'Color codes'!$A:$B,2,FALSE)</f>
        <v>1</v>
      </c>
      <c r="Q111">
        <f>TRUNC(VLOOKUP(N111,'Color codes'!$A:$E,3,FALSE)*(0.25 + 0.75*O111/40))</f>
        <v>143</v>
      </c>
      <c r="R111">
        <f>TRUNC(VLOOKUP(N111,'Color codes'!$A:$E,4,FALSE)*(0.25 + 0.75*O111/40))</f>
        <v>60</v>
      </c>
      <c r="S111">
        <f>TRUNC(VLOOKUP(N111,'Color codes'!$A:$E,5,FALSE)*(0.25 + 0.75*O111/40))</f>
        <v>58</v>
      </c>
      <c r="T111" t="b">
        <f t="shared" si="7"/>
        <v>1</v>
      </c>
    </row>
    <row r="112" spans="1:20" x14ac:dyDescent="0.25">
      <c r="A112" t="s">
        <v>12</v>
      </c>
      <c r="B112" t="s">
        <v>10</v>
      </c>
      <c r="C112">
        <v>31</v>
      </c>
      <c r="D112">
        <v>1.0000000000000001E-5</v>
      </c>
      <c r="E112">
        <v>0.01</v>
      </c>
      <c r="F112" t="str">
        <f t="shared" si="8"/>
        <v>tree256_line_31_0,00001_0,01</v>
      </c>
      <c r="G112">
        <f>IFERROR(VLOOKUP(F112,SROU03!$F:$H,2,FALSE),0)</f>
        <v>7.0743400000000003</v>
      </c>
      <c r="H112">
        <f>IFERROR(VLOOKUP(F112,SROU03!$F:$H,3,FALSE),0)</f>
        <v>36.415385000000001</v>
      </c>
      <c r="I112">
        <v>6.6348000000000003</v>
      </c>
      <c r="J112">
        <v>2.3241999999999998</v>
      </c>
      <c r="K112">
        <f>IFERROR(VLOOKUP(F112,TICO09!$F:$K,6,FALSE),0)</f>
        <v>9.1544000000000008</v>
      </c>
      <c r="L112">
        <f>IFERROR(VLOOKUP(F112,SROU03!$F:$L,7,FALSE),0)</f>
        <v>7.9020999999999999</v>
      </c>
      <c r="M112">
        <v>9.8237000000000005</v>
      </c>
      <c r="N112" t="str">
        <f t="shared" si="9"/>
        <v>BM3D</v>
      </c>
      <c r="O112">
        <f t="shared" si="6"/>
        <v>9.8237000000000005</v>
      </c>
      <c r="P112">
        <f>VLOOKUP(N112,'Color codes'!$A:$B,2,FALSE)</f>
        <v>1</v>
      </c>
      <c r="Q112">
        <f>TRUNC(VLOOKUP(N112,'Color codes'!$A:$E,3,FALSE)*(0.25 + 0.75*O112/40))</f>
        <v>110</v>
      </c>
      <c r="R112">
        <f>TRUNC(VLOOKUP(N112,'Color codes'!$A:$E,4,FALSE)*(0.25 + 0.75*O112/40))</f>
        <v>46</v>
      </c>
      <c r="S112">
        <f>TRUNC(VLOOKUP(N112,'Color codes'!$A:$E,5,FALSE)*(0.25 + 0.75*O112/40))</f>
        <v>45</v>
      </c>
      <c r="T112" t="b">
        <f t="shared" si="7"/>
        <v>1</v>
      </c>
    </row>
    <row r="113" spans="1:20" x14ac:dyDescent="0.25">
      <c r="A113" t="s">
        <v>12</v>
      </c>
      <c r="B113" t="s">
        <v>10</v>
      </c>
      <c r="C113">
        <v>31</v>
      </c>
      <c r="D113">
        <v>1.0000000000000001E-5</v>
      </c>
      <c r="E113">
        <v>0.1</v>
      </c>
      <c r="F113" t="str">
        <f t="shared" si="8"/>
        <v>tree256_line_31_0,00001_0,1</v>
      </c>
      <c r="G113">
        <f>IFERROR(VLOOKUP(F113,SROU03!$F:$H,2,FALSE),0)</f>
        <v>4.446142</v>
      </c>
      <c r="H113">
        <f>IFERROR(VLOOKUP(F113,SROU03!$F:$H,3,FALSE),0)</f>
        <v>36.596992</v>
      </c>
      <c r="I113">
        <v>1.2824</v>
      </c>
      <c r="J113">
        <v>2.3241999999999998</v>
      </c>
      <c r="K113">
        <f>IFERROR(VLOOKUP(F113,TICO09!$F:$K,6,FALSE),0)</f>
        <v>4.6657999999999999</v>
      </c>
      <c r="L113">
        <f>IFERROR(VLOOKUP(F113,SROU03!$F:$L,7,FALSE),0)</f>
        <v>4.5087000000000002</v>
      </c>
      <c r="M113">
        <v>5.0247999999999999</v>
      </c>
      <c r="N113" t="str">
        <f t="shared" si="9"/>
        <v>BM3D</v>
      </c>
      <c r="O113">
        <f t="shared" si="6"/>
        <v>5.0247999999999999</v>
      </c>
      <c r="P113">
        <f>VLOOKUP(N113,'Color codes'!$A:$B,2,FALSE)</f>
        <v>1</v>
      </c>
      <c r="Q113">
        <f>TRUNC(VLOOKUP(N113,'Color codes'!$A:$E,3,FALSE)*(0.25 + 0.75*O113/40))</f>
        <v>87</v>
      </c>
      <c r="R113">
        <f>TRUNC(VLOOKUP(N113,'Color codes'!$A:$E,4,FALSE)*(0.25 + 0.75*O113/40))</f>
        <v>36</v>
      </c>
      <c r="S113">
        <f>TRUNC(VLOOKUP(N113,'Color codes'!$A:$E,5,FALSE)*(0.25 + 0.75*O113/40))</f>
        <v>35</v>
      </c>
      <c r="T113" t="b">
        <f t="shared" si="7"/>
        <v>0</v>
      </c>
    </row>
    <row r="114" spans="1:20" x14ac:dyDescent="0.25">
      <c r="A114" t="s">
        <v>12</v>
      </c>
      <c r="B114" t="s">
        <v>11</v>
      </c>
      <c r="C114">
        <v>3</v>
      </c>
      <c r="D114">
        <v>1.0000000000000001E-5</v>
      </c>
      <c r="E114">
        <v>1E-4</v>
      </c>
      <c r="F114" t="str">
        <f t="shared" si="8"/>
        <v>tree256_blurkernel10_3_0,00001_0,0001</v>
      </c>
      <c r="G114">
        <f>IFERROR(VLOOKUP(F114,SROU03!$F:$H,2,FALSE),0)</f>
        <v>34.761901999999999</v>
      </c>
      <c r="H114">
        <f>IFERROR(VLOOKUP(F114,SROU03!$F:$H,3,FALSE),0)</f>
        <v>3.2655460000000001</v>
      </c>
      <c r="I114">
        <v>25.613</v>
      </c>
      <c r="J114">
        <v>10.563599999999999</v>
      </c>
      <c r="K114">
        <f>IFERROR(VLOOKUP(F114,TICO09!$F:$K,6,FALSE),0)</f>
        <v>11.9267</v>
      </c>
      <c r="L114">
        <f>IFERROR(VLOOKUP(F114,SROU03!$F:$L,7,FALSE),0)</f>
        <v>26.225899999999999</v>
      </c>
      <c r="M114">
        <v>25.734500000000001</v>
      </c>
      <c r="N114" t="str">
        <f t="shared" si="9"/>
        <v>SROU03</v>
      </c>
      <c r="O114">
        <f t="shared" si="6"/>
        <v>26.225899999999999</v>
      </c>
      <c r="P114">
        <f>VLOOKUP(N114,'Color codes'!$A:$B,2,FALSE)</f>
        <v>3</v>
      </c>
      <c r="Q114">
        <f>TRUNC(VLOOKUP(N114,'Color codes'!$A:$E,3,FALSE)*(0.25 + 0.75*O114/40))</f>
        <v>79</v>
      </c>
      <c r="R114">
        <f>TRUNC(VLOOKUP(N114,'Color codes'!$A:$E,4,FALSE)*(0.25 + 0.75*O114/40))</f>
        <v>130</v>
      </c>
      <c r="S114">
        <f>TRUNC(VLOOKUP(N114,'Color codes'!$A:$E,5,FALSE)*(0.25 + 0.75*O114/40))</f>
        <v>189</v>
      </c>
      <c r="T114" t="b">
        <f t="shared" si="7"/>
        <v>0</v>
      </c>
    </row>
    <row r="115" spans="1:20" x14ac:dyDescent="0.25">
      <c r="A115" t="s">
        <v>12</v>
      </c>
      <c r="B115" t="s">
        <v>11</v>
      </c>
      <c r="C115">
        <v>3</v>
      </c>
      <c r="D115">
        <v>1.0000000000000001E-5</v>
      </c>
      <c r="E115">
        <v>1E-3</v>
      </c>
      <c r="F115" t="str">
        <f t="shared" si="8"/>
        <v>tree256_blurkernel10_3_0,00001_0,001</v>
      </c>
      <c r="G115">
        <f>IFERROR(VLOOKUP(F115,SROU03!$F:$H,2,FALSE),0)</f>
        <v>27.372761000000001</v>
      </c>
      <c r="H115">
        <f>IFERROR(VLOOKUP(F115,SROU03!$F:$H,3,FALSE),0)</f>
        <v>3.1692170000000002</v>
      </c>
      <c r="I115">
        <v>15.661099999999999</v>
      </c>
      <c r="J115">
        <v>10.563599999999999</v>
      </c>
      <c r="K115">
        <f>IFERROR(VLOOKUP(F115,TICO09!$F:$K,6,FALSE),0)</f>
        <v>11.6998</v>
      </c>
      <c r="L115">
        <f>IFERROR(VLOOKUP(F115,SROU03!$F:$L,7,FALSE),0)</f>
        <v>18.670300000000001</v>
      </c>
      <c r="M115">
        <v>16.679300000000001</v>
      </c>
      <c r="N115" t="str">
        <f t="shared" si="9"/>
        <v>SROU03</v>
      </c>
      <c r="O115">
        <f t="shared" si="6"/>
        <v>18.670300000000001</v>
      </c>
      <c r="P115">
        <f>VLOOKUP(N115,'Color codes'!$A:$B,2,FALSE)</f>
        <v>3</v>
      </c>
      <c r="Q115">
        <f>TRUNC(VLOOKUP(N115,'Color codes'!$A:$E,3,FALSE)*(0.25 + 0.75*O115/40))</f>
        <v>64</v>
      </c>
      <c r="R115">
        <f>TRUNC(VLOOKUP(N115,'Color codes'!$A:$E,4,FALSE)*(0.25 + 0.75*O115/40))</f>
        <v>105</v>
      </c>
      <c r="S115">
        <f>TRUNC(VLOOKUP(N115,'Color codes'!$A:$E,5,FALSE)*(0.25 + 0.75*O115/40))</f>
        <v>153</v>
      </c>
      <c r="T115" t="b">
        <f t="shared" si="7"/>
        <v>1</v>
      </c>
    </row>
    <row r="116" spans="1:20" x14ac:dyDescent="0.25">
      <c r="A116" t="s">
        <v>12</v>
      </c>
      <c r="B116" t="s">
        <v>11</v>
      </c>
      <c r="C116">
        <v>3</v>
      </c>
      <c r="D116">
        <v>1.0000000000000001E-5</v>
      </c>
      <c r="E116">
        <v>0.01</v>
      </c>
      <c r="F116" t="str">
        <f t="shared" si="8"/>
        <v>tree256_blurkernel10_3_0,00001_0,01</v>
      </c>
      <c r="G116">
        <f>IFERROR(VLOOKUP(F116,SROU03!$F:$H,2,FALSE),0)</f>
        <v>23.154679000000002</v>
      </c>
      <c r="H116">
        <f>IFERROR(VLOOKUP(F116,SROU03!$F:$H,3,FALSE),0)</f>
        <v>3.2625660000000001</v>
      </c>
      <c r="I116">
        <v>6.6040000000000001</v>
      </c>
      <c r="J116">
        <v>10.563599999999999</v>
      </c>
      <c r="K116">
        <f>IFERROR(VLOOKUP(F116,TICO09!$F:$K,6,FALSE),0)</f>
        <v>11.1874</v>
      </c>
      <c r="L116">
        <f>IFERROR(VLOOKUP(F116,SROU03!$F:$L,7,FALSE),0)</f>
        <v>16.601700000000001</v>
      </c>
      <c r="M116">
        <v>9.8213000000000008</v>
      </c>
      <c r="N116" t="str">
        <f t="shared" si="9"/>
        <v>SROU03</v>
      </c>
      <c r="O116">
        <f t="shared" si="6"/>
        <v>16.601700000000001</v>
      </c>
      <c r="P116">
        <f>VLOOKUP(N116,'Color codes'!$A:$B,2,FALSE)</f>
        <v>3</v>
      </c>
      <c r="Q116">
        <f>TRUNC(VLOOKUP(N116,'Color codes'!$A:$E,3,FALSE)*(0.25 + 0.75*O116/40))</f>
        <v>60</v>
      </c>
      <c r="R116">
        <f>TRUNC(VLOOKUP(N116,'Color codes'!$A:$E,4,FALSE)*(0.25 + 0.75*O116/40))</f>
        <v>98</v>
      </c>
      <c r="S116">
        <f>TRUNC(VLOOKUP(N116,'Color codes'!$A:$E,5,FALSE)*(0.25 + 0.75*O116/40))</f>
        <v>143</v>
      </c>
      <c r="T116" t="b">
        <f t="shared" si="7"/>
        <v>1</v>
      </c>
    </row>
    <row r="117" spans="1:20" x14ac:dyDescent="0.25">
      <c r="A117" t="s">
        <v>12</v>
      </c>
      <c r="B117" t="s">
        <v>11</v>
      </c>
      <c r="C117">
        <v>3</v>
      </c>
      <c r="D117">
        <v>1.0000000000000001E-5</v>
      </c>
      <c r="E117">
        <v>0.1</v>
      </c>
      <c r="F117" t="str">
        <f t="shared" si="8"/>
        <v>tree256_blurkernel10_3_0,00001_0,1</v>
      </c>
      <c r="G117">
        <f>IFERROR(VLOOKUP(F117,SROU03!$F:$H,2,FALSE),0)</f>
        <v>20.047853</v>
      </c>
      <c r="H117">
        <f>IFERROR(VLOOKUP(F117,SROU03!$F:$H,3,FALSE),0)</f>
        <v>3.3191310000000001</v>
      </c>
      <c r="I117">
        <v>1.2718</v>
      </c>
      <c r="J117">
        <v>10.563599999999999</v>
      </c>
      <c r="K117">
        <f>IFERROR(VLOOKUP(F117,TICO09!$F:$K,6,FALSE),0)</f>
        <v>8.8571000000000009</v>
      </c>
      <c r="L117">
        <f>IFERROR(VLOOKUP(F117,SROU03!$F:$L,7,FALSE),0)</f>
        <v>13.100099999999999</v>
      </c>
      <c r="M117">
        <v>5.0285000000000002</v>
      </c>
      <c r="N117" t="str">
        <f t="shared" si="9"/>
        <v>SROU03</v>
      </c>
      <c r="O117">
        <f t="shared" si="6"/>
        <v>13.100099999999999</v>
      </c>
      <c r="P117">
        <f>VLOOKUP(N117,'Color codes'!$A:$B,2,FALSE)</f>
        <v>3</v>
      </c>
      <c r="Q117">
        <f>TRUNC(VLOOKUP(N117,'Color codes'!$A:$E,3,FALSE)*(0.25 + 0.75*O117/40))</f>
        <v>53</v>
      </c>
      <c r="R117">
        <f>TRUNC(VLOOKUP(N117,'Color codes'!$A:$E,4,FALSE)*(0.25 + 0.75*O117/40))</f>
        <v>87</v>
      </c>
      <c r="S117">
        <f>TRUNC(VLOOKUP(N117,'Color codes'!$A:$E,5,FALSE)*(0.25 + 0.75*O117/40))</f>
        <v>126</v>
      </c>
      <c r="T117" t="b">
        <f t="shared" si="7"/>
        <v>1</v>
      </c>
    </row>
    <row r="118" spans="1:20" x14ac:dyDescent="0.25">
      <c r="A118" t="s">
        <v>12</v>
      </c>
      <c r="B118" t="s">
        <v>11</v>
      </c>
      <c r="C118">
        <v>7</v>
      </c>
      <c r="D118">
        <v>1.0000000000000001E-5</v>
      </c>
      <c r="E118">
        <v>1E-4</v>
      </c>
      <c r="F118" t="str">
        <f t="shared" si="8"/>
        <v>tree256_blurkernel10_7_0,00001_0,0001</v>
      </c>
      <c r="G118">
        <f>IFERROR(VLOOKUP(F118,SROU03!$F:$H,2,FALSE),0)</f>
        <v>25.620992999999999</v>
      </c>
      <c r="H118">
        <f>IFERROR(VLOOKUP(F118,SROU03!$F:$H,3,FALSE),0)</f>
        <v>8.4580099999999998</v>
      </c>
      <c r="I118">
        <v>25.601700000000001</v>
      </c>
      <c r="J118">
        <v>5.9894999999999996</v>
      </c>
      <c r="K118">
        <f>IFERROR(VLOOKUP(F118,TICO09!$F:$K,6,FALSE),0)</f>
        <v>12.784700000000001</v>
      </c>
      <c r="L118">
        <f>IFERROR(VLOOKUP(F118,SROU03!$F:$L,7,FALSE),0)</f>
        <v>25.174800000000001</v>
      </c>
      <c r="M118">
        <v>25.722200000000001</v>
      </c>
      <c r="N118" t="str">
        <f t="shared" si="9"/>
        <v>BM3D</v>
      </c>
      <c r="O118">
        <f t="shared" si="6"/>
        <v>25.722200000000001</v>
      </c>
      <c r="P118">
        <f>VLOOKUP(N118,'Color codes'!$A:$B,2,FALSE)</f>
        <v>1</v>
      </c>
      <c r="Q118">
        <f>TRUNC(VLOOKUP(N118,'Color codes'!$A:$E,3,FALSE)*(0.25 + 0.75*O118/40))</f>
        <v>186</v>
      </c>
      <c r="R118">
        <f>TRUNC(VLOOKUP(N118,'Color codes'!$A:$E,4,FALSE)*(0.25 + 0.75*O118/40))</f>
        <v>78</v>
      </c>
      <c r="S118">
        <f>TRUNC(VLOOKUP(N118,'Color codes'!$A:$E,5,FALSE)*(0.25 + 0.75*O118/40))</f>
        <v>76</v>
      </c>
      <c r="T118" t="b">
        <f t="shared" si="7"/>
        <v>0</v>
      </c>
    </row>
    <row r="119" spans="1:20" x14ac:dyDescent="0.25">
      <c r="A119" t="s">
        <v>12</v>
      </c>
      <c r="B119" t="s">
        <v>11</v>
      </c>
      <c r="C119">
        <v>7</v>
      </c>
      <c r="D119">
        <v>1.0000000000000001E-5</v>
      </c>
      <c r="E119">
        <v>1E-3</v>
      </c>
      <c r="F119" t="str">
        <f t="shared" si="8"/>
        <v>tree256_blurkernel10_7_0,00001_0,001</v>
      </c>
      <c r="G119">
        <f>IFERROR(VLOOKUP(F119,SROU03!$F:$H,2,FALSE),0)</f>
        <v>15.713266000000001</v>
      </c>
      <c r="H119">
        <f>IFERROR(VLOOKUP(F119,SROU03!$F:$H,3,FALSE),0)</f>
        <v>8.1143450000000001</v>
      </c>
      <c r="I119">
        <v>15.7104</v>
      </c>
      <c r="J119">
        <v>5.9894999999999996</v>
      </c>
      <c r="K119">
        <f>IFERROR(VLOOKUP(F119,TICO09!$F:$K,6,FALSE),0)</f>
        <v>11.981</v>
      </c>
      <c r="L119">
        <f>IFERROR(VLOOKUP(F119,SROU03!$F:$L,7,FALSE),0)</f>
        <v>16.9009</v>
      </c>
      <c r="M119">
        <v>16.738700000000001</v>
      </c>
      <c r="N119" t="str">
        <f t="shared" si="9"/>
        <v>SROU03</v>
      </c>
      <c r="O119">
        <f t="shared" si="6"/>
        <v>16.9009</v>
      </c>
      <c r="P119">
        <f>VLOOKUP(N119,'Color codes'!$A:$B,2,FALSE)</f>
        <v>3</v>
      </c>
      <c r="Q119">
        <f>TRUNC(VLOOKUP(N119,'Color codes'!$A:$E,3,FALSE)*(0.25 + 0.75*O119/40))</f>
        <v>60</v>
      </c>
      <c r="R119">
        <f>TRUNC(VLOOKUP(N119,'Color codes'!$A:$E,4,FALSE)*(0.25 + 0.75*O119/40))</f>
        <v>99</v>
      </c>
      <c r="S119">
        <f>TRUNC(VLOOKUP(N119,'Color codes'!$A:$E,5,FALSE)*(0.25 + 0.75*O119/40))</f>
        <v>144</v>
      </c>
      <c r="T119" t="b">
        <f t="shared" si="7"/>
        <v>0</v>
      </c>
    </row>
    <row r="120" spans="1:20" x14ac:dyDescent="0.25">
      <c r="A120" t="s">
        <v>12</v>
      </c>
      <c r="B120" t="s">
        <v>11</v>
      </c>
      <c r="C120">
        <v>7</v>
      </c>
      <c r="D120">
        <v>1.0000000000000001E-5</v>
      </c>
      <c r="E120">
        <v>0.01</v>
      </c>
      <c r="F120" t="str">
        <f t="shared" si="8"/>
        <v>tree256_blurkernel10_7_0,00001_0,01</v>
      </c>
      <c r="G120">
        <f>IFERROR(VLOOKUP(F120,SROU03!$F:$H,2,FALSE),0)</f>
        <v>12.643542</v>
      </c>
      <c r="H120">
        <f>IFERROR(VLOOKUP(F120,SROU03!$F:$H,3,FALSE),0)</f>
        <v>8.1567030000000003</v>
      </c>
      <c r="I120">
        <v>6.6203000000000003</v>
      </c>
      <c r="J120">
        <v>5.9894999999999996</v>
      </c>
      <c r="K120">
        <f>IFERROR(VLOOKUP(F120,TICO09!$F:$K,6,FALSE),0)</f>
        <v>9.2650000000000006</v>
      </c>
      <c r="L120">
        <f>IFERROR(VLOOKUP(F120,SROU03!$F:$L,7,FALSE),0)</f>
        <v>12.9291</v>
      </c>
      <c r="M120">
        <v>9.8383000000000003</v>
      </c>
      <c r="N120" t="str">
        <f t="shared" si="9"/>
        <v>SROU03</v>
      </c>
      <c r="O120">
        <f t="shared" si="6"/>
        <v>12.9291</v>
      </c>
      <c r="P120">
        <f>VLOOKUP(N120,'Color codes'!$A:$B,2,FALSE)</f>
        <v>3</v>
      </c>
      <c r="Q120">
        <f>TRUNC(VLOOKUP(N120,'Color codes'!$A:$E,3,FALSE)*(0.25 + 0.75*O120/40))</f>
        <v>52</v>
      </c>
      <c r="R120">
        <f>TRUNC(VLOOKUP(N120,'Color codes'!$A:$E,4,FALSE)*(0.25 + 0.75*O120/40))</f>
        <v>86</v>
      </c>
      <c r="S120">
        <f>TRUNC(VLOOKUP(N120,'Color codes'!$A:$E,5,FALSE)*(0.25 + 0.75*O120/40))</f>
        <v>125</v>
      </c>
      <c r="T120" t="b">
        <f t="shared" si="7"/>
        <v>1</v>
      </c>
    </row>
    <row r="121" spans="1:20" x14ac:dyDescent="0.25">
      <c r="A121" t="s">
        <v>12</v>
      </c>
      <c r="B121" t="s">
        <v>11</v>
      </c>
      <c r="C121">
        <v>7</v>
      </c>
      <c r="D121">
        <v>1.0000000000000001E-5</v>
      </c>
      <c r="E121">
        <v>0.1</v>
      </c>
      <c r="F121" t="str">
        <f t="shared" si="8"/>
        <v>tree256_blurkernel10_7_0,00001_0,1</v>
      </c>
      <c r="G121">
        <f>IFERROR(VLOOKUP(F121,SROU03!$F:$H,2,FALSE),0)</f>
        <v>9.9194549999999992</v>
      </c>
      <c r="H121">
        <f>IFERROR(VLOOKUP(F121,SROU03!$F:$H,3,FALSE),0)</f>
        <v>8.2389150000000004</v>
      </c>
      <c r="I121">
        <v>1.2551000000000001</v>
      </c>
      <c r="J121">
        <v>5.9894999999999996</v>
      </c>
      <c r="K121">
        <f>IFERROR(VLOOKUP(F121,TICO09!$F:$K,6,FALSE),0)</f>
        <v>6.0018000000000002</v>
      </c>
      <c r="L121">
        <f>IFERROR(VLOOKUP(F121,SROU03!$F:$L,7,FALSE),0)</f>
        <v>9.9074000000000009</v>
      </c>
      <c r="M121">
        <v>4.9875999999999996</v>
      </c>
      <c r="N121" t="str">
        <f t="shared" si="9"/>
        <v>SROU03</v>
      </c>
      <c r="O121">
        <f t="shared" si="6"/>
        <v>9.9074000000000009</v>
      </c>
      <c r="P121">
        <f>VLOOKUP(N121,'Color codes'!$A:$B,2,FALSE)</f>
        <v>3</v>
      </c>
      <c r="Q121">
        <f>TRUNC(VLOOKUP(N121,'Color codes'!$A:$E,3,FALSE)*(0.25 + 0.75*O121/40))</f>
        <v>46</v>
      </c>
      <c r="R121">
        <f>TRUNC(VLOOKUP(N121,'Color codes'!$A:$E,4,FALSE)*(0.25 + 0.75*O121/40))</f>
        <v>76</v>
      </c>
      <c r="S121">
        <f>TRUNC(VLOOKUP(N121,'Color codes'!$A:$E,5,FALSE)*(0.25 + 0.75*O121/40))</f>
        <v>111</v>
      </c>
      <c r="T121" t="b">
        <f t="shared" si="7"/>
        <v>1</v>
      </c>
    </row>
    <row r="122" spans="1:20" x14ac:dyDescent="0.25">
      <c r="A122" t="s">
        <v>12</v>
      </c>
      <c r="B122" t="s">
        <v>11</v>
      </c>
      <c r="C122">
        <v>15</v>
      </c>
      <c r="D122">
        <v>1.0000000000000001E-5</v>
      </c>
      <c r="E122">
        <v>1E-4</v>
      </c>
      <c r="F122" t="str">
        <f t="shared" si="8"/>
        <v>tree256_blurkernel10_15_0,00001_0,0001</v>
      </c>
      <c r="G122">
        <f>IFERROR(VLOOKUP(F122,SROU03!$F:$H,2,FALSE),0)</f>
        <v>23.048929999999999</v>
      </c>
      <c r="H122">
        <f>IFERROR(VLOOKUP(F122,SROU03!$F:$H,3,FALSE),0)</f>
        <v>18.458176000000002</v>
      </c>
      <c r="I122">
        <v>25.565999999999999</v>
      </c>
      <c r="J122">
        <v>3.7442000000000002</v>
      </c>
      <c r="K122">
        <f>IFERROR(VLOOKUP(F122,TICO09!$F:$K,6,FALSE),0)</f>
        <v>13.329000000000001</v>
      </c>
      <c r="L122">
        <f>IFERROR(VLOOKUP(F122,SROU03!$F:$L,7,FALSE),0)</f>
        <v>24.5961</v>
      </c>
      <c r="M122">
        <v>25.695499999999999</v>
      </c>
      <c r="N122" t="str">
        <f t="shared" si="9"/>
        <v>BM3D</v>
      </c>
      <c r="O122">
        <f t="shared" si="6"/>
        <v>25.695499999999999</v>
      </c>
      <c r="P122">
        <f>VLOOKUP(N122,'Color codes'!$A:$B,2,FALSE)</f>
        <v>1</v>
      </c>
      <c r="Q122">
        <f>TRUNC(VLOOKUP(N122,'Color codes'!$A:$E,3,FALSE)*(0.25 + 0.75*O122/40))</f>
        <v>186</v>
      </c>
      <c r="R122">
        <f>TRUNC(VLOOKUP(N122,'Color codes'!$A:$E,4,FALSE)*(0.25 + 0.75*O122/40))</f>
        <v>78</v>
      </c>
      <c r="S122">
        <f>TRUNC(VLOOKUP(N122,'Color codes'!$A:$E,5,FALSE)*(0.25 + 0.75*O122/40))</f>
        <v>76</v>
      </c>
      <c r="T122" t="b">
        <f t="shared" si="7"/>
        <v>1</v>
      </c>
    </row>
    <row r="123" spans="1:20" x14ac:dyDescent="0.25">
      <c r="A123" t="s">
        <v>12</v>
      </c>
      <c r="B123" t="s">
        <v>11</v>
      </c>
      <c r="C123">
        <v>15</v>
      </c>
      <c r="D123">
        <v>1.0000000000000001E-5</v>
      </c>
      <c r="E123">
        <v>1E-3</v>
      </c>
      <c r="F123" t="str">
        <f t="shared" si="8"/>
        <v>tree256_blurkernel10_15_0,00001_0,001</v>
      </c>
      <c r="G123">
        <f>IFERROR(VLOOKUP(F123,SROU03!$F:$H,2,FALSE),0)</f>
        <v>11.13199</v>
      </c>
      <c r="H123">
        <f>IFERROR(VLOOKUP(F123,SROU03!$F:$H,3,FALSE),0)</f>
        <v>17.664906999999999</v>
      </c>
      <c r="I123">
        <v>15.6976</v>
      </c>
      <c r="J123">
        <v>3.7442000000000002</v>
      </c>
      <c r="K123">
        <f>IFERROR(VLOOKUP(F123,TICO09!$F:$K,6,FALSE),0)</f>
        <v>12.328099999999999</v>
      </c>
      <c r="L123">
        <f>IFERROR(VLOOKUP(F123,SROU03!$F:$L,7,FALSE),0)</f>
        <v>16.401599999999998</v>
      </c>
      <c r="M123">
        <v>16.725999999999999</v>
      </c>
      <c r="N123" t="str">
        <f t="shared" si="9"/>
        <v>BM3D</v>
      </c>
      <c r="O123">
        <f t="shared" si="6"/>
        <v>16.725999999999999</v>
      </c>
      <c r="P123">
        <f>VLOOKUP(N123,'Color codes'!$A:$B,2,FALSE)</f>
        <v>1</v>
      </c>
      <c r="Q123">
        <f>TRUNC(VLOOKUP(N123,'Color codes'!$A:$E,3,FALSE)*(0.25 + 0.75*O123/40))</f>
        <v>143</v>
      </c>
      <c r="R123">
        <f>TRUNC(VLOOKUP(N123,'Color codes'!$A:$E,4,FALSE)*(0.25 + 0.75*O123/40))</f>
        <v>60</v>
      </c>
      <c r="S123">
        <f>TRUNC(VLOOKUP(N123,'Color codes'!$A:$E,5,FALSE)*(0.25 + 0.75*O123/40))</f>
        <v>58</v>
      </c>
      <c r="T123" t="b">
        <f t="shared" si="7"/>
        <v>0</v>
      </c>
    </row>
    <row r="124" spans="1:20" x14ac:dyDescent="0.25">
      <c r="A124" t="s">
        <v>12</v>
      </c>
      <c r="B124" t="s">
        <v>11</v>
      </c>
      <c r="C124">
        <v>15</v>
      </c>
      <c r="D124">
        <v>1.0000000000000001E-5</v>
      </c>
      <c r="E124">
        <v>0.01</v>
      </c>
      <c r="F124" t="str">
        <f t="shared" si="8"/>
        <v>tree256_blurkernel10_15_0,00001_0,01</v>
      </c>
      <c r="G124">
        <f>IFERROR(VLOOKUP(F124,SROU03!$F:$H,2,FALSE),0)</f>
        <v>7.925789</v>
      </c>
      <c r="H124">
        <f>IFERROR(VLOOKUP(F124,SROU03!$F:$H,3,FALSE),0)</f>
        <v>17.659611000000002</v>
      </c>
      <c r="I124">
        <v>6.6397000000000004</v>
      </c>
      <c r="J124">
        <v>3.7442000000000002</v>
      </c>
      <c r="K124">
        <f>IFERROR(VLOOKUP(F124,TICO09!$F:$K,6,FALSE),0)</f>
        <v>9.2149000000000001</v>
      </c>
      <c r="L124">
        <f>IFERROR(VLOOKUP(F124,SROU03!$F:$L,7,FALSE),0)</f>
        <v>11.972</v>
      </c>
      <c r="M124">
        <v>9.8338999999999999</v>
      </c>
      <c r="N124" t="str">
        <f t="shared" si="9"/>
        <v>SROU03</v>
      </c>
      <c r="O124">
        <f t="shared" si="6"/>
        <v>11.972</v>
      </c>
      <c r="P124">
        <f>VLOOKUP(N124,'Color codes'!$A:$B,2,FALSE)</f>
        <v>3</v>
      </c>
      <c r="Q124">
        <f>TRUNC(VLOOKUP(N124,'Color codes'!$A:$E,3,FALSE)*(0.25 + 0.75*O124/40))</f>
        <v>50</v>
      </c>
      <c r="R124">
        <f>TRUNC(VLOOKUP(N124,'Color codes'!$A:$E,4,FALSE)*(0.25 + 0.75*O124/40))</f>
        <v>83</v>
      </c>
      <c r="S124">
        <f>TRUNC(VLOOKUP(N124,'Color codes'!$A:$E,5,FALSE)*(0.25 + 0.75*O124/40))</f>
        <v>120</v>
      </c>
      <c r="T124" t="b">
        <f t="shared" si="7"/>
        <v>1</v>
      </c>
    </row>
    <row r="125" spans="1:20" x14ac:dyDescent="0.25">
      <c r="A125" t="s">
        <v>12</v>
      </c>
      <c r="B125" t="s">
        <v>11</v>
      </c>
      <c r="C125">
        <v>15</v>
      </c>
      <c r="D125">
        <v>1.0000000000000001E-5</v>
      </c>
      <c r="E125">
        <v>0.1</v>
      </c>
      <c r="F125" t="str">
        <f t="shared" si="8"/>
        <v>tree256_blurkernel10_15_0,00001_0,1</v>
      </c>
      <c r="G125">
        <f>IFERROR(VLOOKUP(F125,SROU03!$F:$H,2,FALSE),0)</f>
        <v>6.2487199999999996</v>
      </c>
      <c r="H125">
        <f>IFERROR(VLOOKUP(F125,SROU03!$F:$H,3,FALSE),0)</f>
        <v>17.712686999999999</v>
      </c>
      <c r="I125">
        <v>1.2868999999999999</v>
      </c>
      <c r="J125">
        <v>3.7442000000000002</v>
      </c>
      <c r="K125">
        <f>IFERROR(VLOOKUP(F125,TICO09!$F:$K,6,FALSE),0)</f>
        <v>5.0941999999999998</v>
      </c>
      <c r="L125">
        <f>IFERROR(VLOOKUP(F125,SROU03!$F:$L,7,FALSE),0)</f>
        <v>9.7885000000000009</v>
      </c>
      <c r="M125">
        <v>5.1101999999999999</v>
      </c>
      <c r="N125" t="str">
        <f t="shared" si="9"/>
        <v>SROU03</v>
      </c>
      <c r="O125">
        <f t="shared" si="6"/>
        <v>9.7885000000000009</v>
      </c>
      <c r="P125">
        <f>VLOOKUP(N125,'Color codes'!$A:$B,2,FALSE)</f>
        <v>3</v>
      </c>
      <c r="Q125">
        <f>TRUNC(VLOOKUP(N125,'Color codes'!$A:$E,3,FALSE)*(0.25 + 0.75*O125/40))</f>
        <v>46</v>
      </c>
      <c r="R125">
        <f>TRUNC(VLOOKUP(N125,'Color codes'!$A:$E,4,FALSE)*(0.25 + 0.75*O125/40))</f>
        <v>76</v>
      </c>
      <c r="S125">
        <f>TRUNC(VLOOKUP(N125,'Color codes'!$A:$E,5,FALSE)*(0.25 + 0.75*O125/40))</f>
        <v>110</v>
      </c>
      <c r="T125" t="b">
        <f t="shared" si="7"/>
        <v>1</v>
      </c>
    </row>
    <row r="126" spans="1:20" x14ac:dyDescent="0.25">
      <c r="A126" t="s">
        <v>12</v>
      </c>
      <c r="B126" t="s">
        <v>11</v>
      </c>
      <c r="C126">
        <v>31</v>
      </c>
      <c r="D126">
        <v>1.0000000000000001E-5</v>
      </c>
      <c r="E126">
        <v>1E-4</v>
      </c>
      <c r="F126" t="str">
        <f t="shared" si="8"/>
        <v>tree256_blurkernel10_31_0,00001_0,0001</v>
      </c>
      <c r="G126">
        <f>IFERROR(VLOOKUP(F126,SROU03!$F:$H,2,FALSE),0)</f>
        <v>22.085160999999999</v>
      </c>
      <c r="H126">
        <f>IFERROR(VLOOKUP(F126,SROU03!$F:$H,3,FALSE),0)</f>
        <v>38.204839999999997</v>
      </c>
      <c r="I126">
        <v>25.610600000000002</v>
      </c>
      <c r="J126">
        <v>2.5832000000000002</v>
      </c>
      <c r="K126">
        <f>IFERROR(VLOOKUP(F126,TICO09!$F:$K,6,FALSE),0)</f>
        <v>13.391400000000001</v>
      </c>
      <c r="L126">
        <f>IFERROR(VLOOKUP(F126,SROU03!$F:$L,7,FALSE),0)</f>
        <v>23.9483</v>
      </c>
      <c r="M126">
        <v>25.7317</v>
      </c>
      <c r="N126" t="str">
        <f t="shared" si="9"/>
        <v>BM3D</v>
      </c>
      <c r="O126">
        <f t="shared" si="6"/>
        <v>25.7317</v>
      </c>
      <c r="P126">
        <f>VLOOKUP(N126,'Color codes'!$A:$B,2,FALSE)</f>
        <v>1</v>
      </c>
      <c r="Q126">
        <f>TRUNC(VLOOKUP(N126,'Color codes'!$A:$E,3,FALSE)*(0.25 + 0.75*O126/40))</f>
        <v>186</v>
      </c>
      <c r="R126">
        <f>TRUNC(VLOOKUP(N126,'Color codes'!$A:$E,4,FALSE)*(0.25 + 0.75*O126/40))</f>
        <v>78</v>
      </c>
      <c r="S126">
        <f>TRUNC(VLOOKUP(N126,'Color codes'!$A:$E,5,FALSE)*(0.25 + 0.75*O126/40))</f>
        <v>76</v>
      </c>
      <c r="T126" t="b">
        <f t="shared" si="7"/>
        <v>1</v>
      </c>
    </row>
    <row r="127" spans="1:20" x14ac:dyDescent="0.25">
      <c r="A127" t="s">
        <v>12</v>
      </c>
      <c r="B127" t="s">
        <v>11</v>
      </c>
      <c r="C127">
        <v>31</v>
      </c>
      <c r="D127">
        <v>1.0000000000000001E-5</v>
      </c>
      <c r="E127">
        <v>1E-3</v>
      </c>
      <c r="F127" t="str">
        <f t="shared" si="8"/>
        <v>tree256_blurkernel10_31_0,00001_0,001</v>
      </c>
      <c r="G127">
        <f>IFERROR(VLOOKUP(F127,SROU03!$F:$H,2,FALSE),0)</f>
        <v>9.1245139999999996</v>
      </c>
      <c r="H127">
        <f>IFERROR(VLOOKUP(F127,SROU03!$F:$H,3,FALSE),0)</f>
        <v>36.476284</v>
      </c>
      <c r="I127">
        <v>15.738099999999999</v>
      </c>
      <c r="J127">
        <v>2.5832000000000002</v>
      </c>
      <c r="K127">
        <f>IFERROR(VLOOKUP(F127,TICO09!$F:$K,6,FALSE),0)</f>
        <v>12.4003</v>
      </c>
      <c r="L127">
        <f>IFERROR(VLOOKUP(F127,SROU03!$F:$L,7,FALSE),0)</f>
        <v>15.8172</v>
      </c>
      <c r="M127">
        <v>16.744499999999999</v>
      </c>
      <c r="N127" t="str">
        <f t="shared" si="9"/>
        <v>BM3D</v>
      </c>
      <c r="O127">
        <f t="shared" si="6"/>
        <v>16.744499999999999</v>
      </c>
      <c r="P127">
        <f>VLOOKUP(N127,'Color codes'!$A:$B,2,FALSE)</f>
        <v>1</v>
      </c>
      <c r="Q127">
        <f>TRUNC(VLOOKUP(N127,'Color codes'!$A:$E,3,FALSE)*(0.25 + 0.75*O127/40))</f>
        <v>143</v>
      </c>
      <c r="R127">
        <f>TRUNC(VLOOKUP(N127,'Color codes'!$A:$E,4,FALSE)*(0.25 + 0.75*O127/40))</f>
        <v>60</v>
      </c>
      <c r="S127">
        <f>TRUNC(VLOOKUP(N127,'Color codes'!$A:$E,5,FALSE)*(0.25 + 0.75*O127/40))</f>
        <v>58</v>
      </c>
      <c r="T127" t="b">
        <f t="shared" si="7"/>
        <v>0</v>
      </c>
    </row>
    <row r="128" spans="1:20" x14ac:dyDescent="0.25">
      <c r="A128" t="s">
        <v>12</v>
      </c>
      <c r="B128" t="s">
        <v>11</v>
      </c>
      <c r="C128">
        <v>31</v>
      </c>
      <c r="D128">
        <v>1.0000000000000001E-5</v>
      </c>
      <c r="E128">
        <v>0.01</v>
      </c>
      <c r="F128" t="str">
        <f t="shared" si="8"/>
        <v>tree256_blurkernel10_31_0,00001_0,01</v>
      </c>
      <c r="G128">
        <f>IFERROR(VLOOKUP(F128,SROU03!$F:$H,2,FALSE),0)</f>
        <v>5.6277949999999999</v>
      </c>
      <c r="H128">
        <f>IFERROR(VLOOKUP(F128,SROU03!$F:$H,3,FALSE),0)</f>
        <v>36.385145999999999</v>
      </c>
      <c r="I128">
        <v>6.6936</v>
      </c>
      <c r="J128">
        <v>2.5832000000000002</v>
      </c>
      <c r="K128">
        <f>IFERROR(VLOOKUP(F128,TICO09!$F:$K,6,FALSE),0)</f>
        <v>9.1976999999999993</v>
      </c>
      <c r="L128">
        <f>IFERROR(VLOOKUP(F128,SROU03!$F:$L,7,FALSE),0)</f>
        <v>10.755100000000001</v>
      </c>
      <c r="M128">
        <v>9.9206000000000003</v>
      </c>
      <c r="N128" t="str">
        <f t="shared" si="9"/>
        <v>SROU03</v>
      </c>
      <c r="O128">
        <f t="shared" si="6"/>
        <v>10.755100000000001</v>
      </c>
      <c r="P128">
        <f>VLOOKUP(N128,'Color codes'!$A:$B,2,FALSE)</f>
        <v>3</v>
      </c>
      <c r="Q128">
        <f>TRUNC(VLOOKUP(N128,'Color codes'!$A:$E,3,FALSE)*(0.25 + 0.75*O128/40))</f>
        <v>48</v>
      </c>
      <c r="R128">
        <f>TRUNC(VLOOKUP(N128,'Color codes'!$A:$E,4,FALSE)*(0.25 + 0.75*O128/40))</f>
        <v>79</v>
      </c>
      <c r="S128">
        <f>TRUNC(VLOOKUP(N128,'Color codes'!$A:$E,5,FALSE)*(0.25 + 0.75*O128/40))</f>
        <v>115</v>
      </c>
      <c r="T128" t="b">
        <f t="shared" si="7"/>
        <v>0</v>
      </c>
    </row>
    <row r="129" spans="1:20" x14ac:dyDescent="0.25">
      <c r="A129" t="s">
        <v>12</v>
      </c>
      <c r="B129" t="s">
        <v>11</v>
      </c>
      <c r="C129">
        <v>31</v>
      </c>
      <c r="D129">
        <v>1.0000000000000001E-5</v>
      </c>
      <c r="E129">
        <v>0.1</v>
      </c>
      <c r="F129" t="str">
        <f t="shared" si="8"/>
        <v>tree256_blurkernel10_31_0,00001_0,1</v>
      </c>
      <c r="G129">
        <f>IFERROR(VLOOKUP(F129,SROU03!$F:$H,2,FALSE),0)</f>
        <v>4.0006979999999999</v>
      </c>
      <c r="H129">
        <f>IFERROR(VLOOKUP(F129,SROU03!$F:$H,3,FALSE),0)</f>
        <v>36.448644000000002</v>
      </c>
      <c r="I129">
        <v>1.2823</v>
      </c>
      <c r="J129">
        <v>2.5832000000000002</v>
      </c>
      <c r="K129">
        <f>IFERROR(VLOOKUP(F129,TICO09!$F:$K,6,FALSE),0)</f>
        <v>4.7446999999999999</v>
      </c>
      <c r="L129">
        <f>IFERROR(VLOOKUP(F129,SROU03!$F:$L,7,FALSE),0)</f>
        <v>7.6505999999999998</v>
      </c>
      <c r="M129">
        <v>5.1032000000000002</v>
      </c>
      <c r="N129" t="str">
        <f t="shared" si="9"/>
        <v>SROU03</v>
      </c>
      <c r="O129">
        <f t="shared" si="6"/>
        <v>7.6505999999999998</v>
      </c>
      <c r="P129">
        <f>VLOOKUP(N129,'Color codes'!$A:$B,2,FALSE)</f>
        <v>3</v>
      </c>
      <c r="Q129">
        <f>TRUNC(VLOOKUP(N129,'Color codes'!$A:$E,3,FALSE)*(0.25 + 0.75*O129/40))</f>
        <v>42</v>
      </c>
      <c r="R129">
        <f>TRUNC(VLOOKUP(N129,'Color codes'!$A:$E,4,FALSE)*(0.25 + 0.75*O129/40))</f>
        <v>69</v>
      </c>
      <c r="S129">
        <f>TRUNC(VLOOKUP(N129,'Color codes'!$A:$E,5,FALSE)*(0.25 + 0.75*O129/40))</f>
        <v>100</v>
      </c>
      <c r="T129" t="b">
        <f t="shared" si="7"/>
        <v>1</v>
      </c>
    </row>
    <row r="130" spans="1:20" x14ac:dyDescent="0.25">
      <c r="A130" t="s">
        <v>13</v>
      </c>
      <c r="B130" t="s">
        <v>8</v>
      </c>
      <c r="C130">
        <v>3</v>
      </c>
      <c r="D130">
        <v>1.0000000000000001E-5</v>
      </c>
      <c r="E130">
        <v>1E-4</v>
      </c>
      <c r="F130" t="str">
        <f t="shared" si="8"/>
        <v>text256_blurkernel7_3_0,00001_0,0001</v>
      </c>
      <c r="G130">
        <f>IFERROR(VLOOKUP(F130,SROU03!$F:$H,2,FALSE),0)</f>
        <v>18.617412999999999</v>
      </c>
      <c r="H130">
        <f>IFERROR(VLOOKUP(F130,SROU03!$F:$H,3,FALSE),0)</f>
        <v>6.1026939999999996</v>
      </c>
      <c r="I130">
        <v>31.154499999999999</v>
      </c>
      <c r="J130">
        <v>9.2067999999999994</v>
      </c>
      <c r="K130">
        <f>IFERROR(VLOOKUP(F130,TICO09!$F:$K,6,FALSE),0)</f>
        <v>17.302299999999999</v>
      </c>
      <c r="L130">
        <f>IFERROR(VLOOKUP(F130,SROU03!$F:$L,7,FALSE),0)</f>
        <v>34.175800000000002</v>
      </c>
      <c r="M130">
        <v>34.256999999999998</v>
      </c>
      <c r="N130" t="str">
        <f t="shared" si="9"/>
        <v>BM3D</v>
      </c>
      <c r="O130">
        <f t="shared" si="6"/>
        <v>34.256999999999998</v>
      </c>
      <c r="P130">
        <f>VLOOKUP(N130,'Color codes'!$A:$B,2,FALSE)</f>
        <v>1</v>
      </c>
      <c r="Q130">
        <f>TRUNC(VLOOKUP(N130,'Color codes'!$A:$E,3,FALSE)*(0.25 + 0.75*O130/40))</f>
        <v>227</v>
      </c>
      <c r="R130">
        <f>TRUNC(VLOOKUP(N130,'Color codes'!$A:$E,4,FALSE)*(0.25 + 0.75*O130/40))</f>
        <v>95</v>
      </c>
      <c r="S130">
        <f>TRUNC(VLOOKUP(N130,'Color codes'!$A:$E,5,FALSE)*(0.25 + 0.75*O130/40))</f>
        <v>92</v>
      </c>
      <c r="T130" t="b">
        <f t="shared" si="7"/>
        <v>0</v>
      </c>
    </row>
    <row r="131" spans="1:20" x14ac:dyDescent="0.25">
      <c r="A131" t="s">
        <v>13</v>
      </c>
      <c r="B131" t="s">
        <v>8</v>
      </c>
      <c r="C131">
        <v>3</v>
      </c>
      <c r="D131">
        <v>1.0000000000000001E-5</v>
      </c>
      <c r="E131">
        <v>1E-3</v>
      </c>
      <c r="F131" t="str">
        <f t="shared" si="8"/>
        <v>text256_blurkernel7_3_0,00001_0,001</v>
      </c>
      <c r="G131">
        <f>IFERROR(VLOOKUP(F131,SROU03!$F:$H,2,FALSE),0)</f>
        <v>15.446187999999999</v>
      </c>
      <c r="H131">
        <f>IFERROR(VLOOKUP(F131,SROU03!$F:$H,3,FALSE),0)</f>
        <v>5.8357950000000001</v>
      </c>
      <c r="I131">
        <v>21.163799999999998</v>
      </c>
      <c r="J131">
        <v>9.2067999999999994</v>
      </c>
      <c r="K131">
        <f>IFERROR(VLOOKUP(F131,TICO09!$F:$K,6,FALSE),0)</f>
        <v>16.664899999999999</v>
      </c>
      <c r="L131">
        <f>IFERROR(VLOOKUP(F131,SROU03!$F:$L,7,FALSE),0)</f>
        <v>23.7639</v>
      </c>
      <c r="M131">
        <v>24.7424</v>
      </c>
      <c r="N131" t="str">
        <f t="shared" si="9"/>
        <v>BM3D</v>
      </c>
      <c r="O131">
        <f t="shared" ref="O131:O194" si="10">MAX(K131:M131)</f>
        <v>24.7424</v>
      </c>
      <c r="P131">
        <f>VLOOKUP(N131,'Color codes'!$A:$B,2,FALSE)</f>
        <v>1</v>
      </c>
      <c r="Q131">
        <f>TRUNC(VLOOKUP(N131,'Color codes'!$A:$E,3,FALSE)*(0.25 + 0.75*O131/40))</f>
        <v>182</v>
      </c>
      <c r="R131">
        <f>TRUNC(VLOOKUP(N131,'Color codes'!$A:$E,4,FALSE)*(0.25 + 0.75*O131/40))</f>
        <v>76</v>
      </c>
      <c r="S131">
        <f>TRUNC(VLOOKUP(N131,'Color codes'!$A:$E,5,FALSE)*(0.25 + 0.75*O131/40))</f>
        <v>74</v>
      </c>
      <c r="T131" t="b">
        <f t="shared" ref="T131:T194" si="11">(ABS(L131-M131)  &gt; 1)</f>
        <v>0</v>
      </c>
    </row>
    <row r="132" spans="1:20" x14ac:dyDescent="0.25">
      <c r="A132" t="s">
        <v>13</v>
      </c>
      <c r="B132" t="s">
        <v>8</v>
      </c>
      <c r="C132">
        <v>3</v>
      </c>
      <c r="D132">
        <v>1.0000000000000001E-5</v>
      </c>
      <c r="E132">
        <v>0.01</v>
      </c>
      <c r="F132" t="str">
        <f t="shared" si="8"/>
        <v>text256_blurkernel7_3_0,00001_0,01</v>
      </c>
      <c r="G132">
        <f>IFERROR(VLOOKUP(F132,SROU03!$F:$H,2,FALSE),0)</f>
        <v>15.024877</v>
      </c>
      <c r="H132">
        <f>IFERROR(VLOOKUP(F132,SROU03!$F:$H,3,FALSE),0)</f>
        <v>5.836849</v>
      </c>
      <c r="I132">
        <v>11.1706</v>
      </c>
      <c r="J132">
        <v>9.2067999999999994</v>
      </c>
      <c r="K132">
        <f>IFERROR(VLOOKUP(F132,TICO09!$F:$K,6,FALSE),0)</f>
        <v>12.879099999999999</v>
      </c>
      <c r="L132">
        <f>IFERROR(VLOOKUP(F132,SROU03!$F:$L,7,FALSE),0)</f>
        <v>20.237400000000001</v>
      </c>
      <c r="M132">
        <v>15.046799999999999</v>
      </c>
      <c r="N132" t="str">
        <f t="shared" si="9"/>
        <v>SROU03</v>
      </c>
      <c r="O132">
        <f t="shared" si="10"/>
        <v>20.237400000000001</v>
      </c>
      <c r="P132">
        <f>VLOOKUP(N132,'Color codes'!$A:$B,2,FALSE)</f>
        <v>3</v>
      </c>
      <c r="Q132">
        <f>TRUNC(VLOOKUP(N132,'Color codes'!$A:$E,3,FALSE)*(0.25 + 0.75*O132/40))</f>
        <v>67</v>
      </c>
      <c r="R132">
        <f>TRUNC(VLOOKUP(N132,'Color codes'!$A:$E,4,FALSE)*(0.25 + 0.75*O132/40))</f>
        <v>110</v>
      </c>
      <c r="S132">
        <f>TRUNC(VLOOKUP(N132,'Color codes'!$A:$E,5,FALSE)*(0.25 + 0.75*O132/40))</f>
        <v>160</v>
      </c>
      <c r="T132" t="b">
        <f t="shared" si="11"/>
        <v>1</v>
      </c>
    </row>
    <row r="133" spans="1:20" x14ac:dyDescent="0.25">
      <c r="A133" t="s">
        <v>13</v>
      </c>
      <c r="B133" t="s">
        <v>8</v>
      </c>
      <c r="C133">
        <v>3</v>
      </c>
      <c r="D133">
        <v>1.0000000000000001E-5</v>
      </c>
      <c r="E133">
        <v>0.1</v>
      </c>
      <c r="F133" t="str">
        <f t="shared" si="8"/>
        <v>text256_blurkernel7_3_0,00001_0,1</v>
      </c>
      <c r="G133">
        <f>IFERROR(VLOOKUP(F133,SROU03!$F:$H,2,FALSE),0)</f>
        <v>14.590434999999999</v>
      </c>
      <c r="H133">
        <f>IFERROR(VLOOKUP(F133,SROU03!$F:$H,3,FALSE),0)</f>
        <v>5.9308019999999999</v>
      </c>
      <c r="I133">
        <v>2.7606000000000002</v>
      </c>
      <c r="J133">
        <v>9.2067999999999994</v>
      </c>
      <c r="K133">
        <f>IFERROR(VLOOKUP(F133,TICO09!$F:$K,6,FALSE),0)</f>
        <v>8.5205000000000002</v>
      </c>
      <c r="L133">
        <f>IFERROR(VLOOKUP(F133,SROU03!$F:$L,7,FALSE),0)</f>
        <v>20.337499999999999</v>
      </c>
      <c r="M133">
        <v>5.0578000000000003</v>
      </c>
      <c r="N133" t="str">
        <f t="shared" si="9"/>
        <v>SROU03</v>
      </c>
      <c r="O133">
        <f t="shared" si="10"/>
        <v>20.337499999999999</v>
      </c>
      <c r="P133">
        <f>VLOOKUP(N133,'Color codes'!$A:$B,2,FALSE)</f>
        <v>3</v>
      </c>
      <c r="Q133">
        <f>TRUNC(VLOOKUP(N133,'Color codes'!$A:$E,3,FALSE)*(0.25 + 0.75*O133/40))</f>
        <v>67</v>
      </c>
      <c r="R133">
        <f>TRUNC(VLOOKUP(N133,'Color codes'!$A:$E,4,FALSE)*(0.25 + 0.75*O133/40))</f>
        <v>111</v>
      </c>
      <c r="S133">
        <f>TRUNC(VLOOKUP(N133,'Color codes'!$A:$E,5,FALSE)*(0.25 + 0.75*O133/40))</f>
        <v>160</v>
      </c>
      <c r="T133" t="b">
        <f t="shared" si="11"/>
        <v>1</v>
      </c>
    </row>
    <row r="134" spans="1:20" x14ac:dyDescent="0.25">
      <c r="A134" t="s">
        <v>13</v>
      </c>
      <c r="B134" t="s">
        <v>8</v>
      </c>
      <c r="C134">
        <v>7</v>
      </c>
      <c r="D134">
        <v>1.0000000000000001E-5</v>
      </c>
      <c r="E134">
        <v>1E-4</v>
      </c>
      <c r="F134" t="str">
        <f t="shared" si="8"/>
        <v>text256_blurkernel7_7_0,00001_0,0001</v>
      </c>
      <c r="G134">
        <f>IFERROR(VLOOKUP(F134,SROU03!$F:$H,2,FALSE),0)</f>
        <v>13.580299</v>
      </c>
      <c r="H134">
        <f>IFERROR(VLOOKUP(F134,SROU03!$F:$H,3,FALSE),0)</f>
        <v>15.902549</v>
      </c>
      <c r="I134">
        <v>31.077400000000001</v>
      </c>
      <c r="J134">
        <v>3.1002999999999998</v>
      </c>
      <c r="K134">
        <f>IFERROR(VLOOKUP(F134,TICO09!$F:$K,6,FALSE),0)</f>
        <v>18.841699999999999</v>
      </c>
      <c r="L134">
        <f>IFERROR(VLOOKUP(F134,SROU03!$F:$L,7,FALSE),0)</f>
        <v>31.776700000000002</v>
      </c>
      <c r="M134">
        <v>34.258899999999997</v>
      </c>
      <c r="N134" t="str">
        <f t="shared" si="9"/>
        <v>BM3D</v>
      </c>
      <c r="O134">
        <f t="shared" si="10"/>
        <v>34.258899999999997</v>
      </c>
      <c r="P134">
        <f>VLOOKUP(N134,'Color codes'!$A:$B,2,FALSE)</f>
        <v>1</v>
      </c>
      <c r="Q134">
        <f>TRUNC(VLOOKUP(N134,'Color codes'!$A:$E,3,FALSE)*(0.25 + 0.75*O134/40))</f>
        <v>227</v>
      </c>
      <c r="R134">
        <f>TRUNC(VLOOKUP(N134,'Color codes'!$A:$E,4,FALSE)*(0.25 + 0.75*O134/40))</f>
        <v>95</v>
      </c>
      <c r="S134">
        <f>TRUNC(VLOOKUP(N134,'Color codes'!$A:$E,5,FALSE)*(0.25 + 0.75*O134/40))</f>
        <v>92</v>
      </c>
      <c r="T134" t="b">
        <f t="shared" si="11"/>
        <v>1</v>
      </c>
    </row>
    <row r="135" spans="1:20" x14ac:dyDescent="0.25">
      <c r="A135" t="s">
        <v>13</v>
      </c>
      <c r="B135" t="s">
        <v>8</v>
      </c>
      <c r="C135">
        <v>7</v>
      </c>
      <c r="D135">
        <v>1.0000000000000001E-5</v>
      </c>
      <c r="E135">
        <v>1E-3</v>
      </c>
      <c r="F135" t="str">
        <f t="shared" si="8"/>
        <v>text256_blurkernel7_7_0,00001_0,001</v>
      </c>
      <c r="G135">
        <f>IFERROR(VLOOKUP(F135,SROU03!$F:$H,2,FALSE),0)</f>
        <v>8.5453419999999998</v>
      </c>
      <c r="H135">
        <f>IFERROR(VLOOKUP(F135,SROU03!$F:$H,3,FALSE),0)</f>
        <v>15.205392</v>
      </c>
      <c r="I135">
        <v>21.1004</v>
      </c>
      <c r="J135">
        <v>3.1002999999999998</v>
      </c>
      <c r="K135">
        <f>IFERROR(VLOOKUP(F135,TICO09!$F:$K,6,FALSE),0)</f>
        <v>17.744900000000001</v>
      </c>
      <c r="L135">
        <f>IFERROR(VLOOKUP(F135,SROU03!$F:$L,7,FALSE),0)</f>
        <v>23.7209</v>
      </c>
      <c r="M135">
        <v>24.6236</v>
      </c>
      <c r="N135" t="str">
        <f t="shared" si="9"/>
        <v>BM3D</v>
      </c>
      <c r="O135">
        <f t="shared" si="10"/>
        <v>24.6236</v>
      </c>
      <c r="P135">
        <f>VLOOKUP(N135,'Color codes'!$A:$B,2,FALSE)</f>
        <v>1</v>
      </c>
      <c r="Q135">
        <f>TRUNC(VLOOKUP(N135,'Color codes'!$A:$E,3,FALSE)*(0.25 + 0.75*O135/40))</f>
        <v>181</v>
      </c>
      <c r="R135">
        <f>TRUNC(VLOOKUP(N135,'Color codes'!$A:$E,4,FALSE)*(0.25 + 0.75*O135/40))</f>
        <v>76</v>
      </c>
      <c r="S135">
        <f>TRUNC(VLOOKUP(N135,'Color codes'!$A:$E,5,FALSE)*(0.25 + 0.75*O135/40))</f>
        <v>74</v>
      </c>
      <c r="T135" t="b">
        <f t="shared" si="11"/>
        <v>0</v>
      </c>
    </row>
    <row r="136" spans="1:20" x14ac:dyDescent="0.25">
      <c r="A136" t="s">
        <v>13</v>
      </c>
      <c r="B136" t="s">
        <v>8</v>
      </c>
      <c r="C136">
        <v>7</v>
      </c>
      <c r="D136">
        <v>1.0000000000000001E-5</v>
      </c>
      <c r="E136">
        <v>0.01</v>
      </c>
      <c r="F136" t="str">
        <f t="shared" si="8"/>
        <v>text256_blurkernel7_7_0,00001_0,01</v>
      </c>
      <c r="G136">
        <f>IFERROR(VLOOKUP(F136,SROU03!$F:$H,2,FALSE),0)</f>
        <v>7.9163370000000004</v>
      </c>
      <c r="H136">
        <f>IFERROR(VLOOKUP(F136,SROU03!$F:$H,3,FALSE),0)</f>
        <v>15.141078</v>
      </c>
      <c r="I136">
        <v>11.156599999999999</v>
      </c>
      <c r="J136">
        <v>3.1002999999999998</v>
      </c>
      <c r="K136">
        <f>IFERROR(VLOOKUP(F136,TICO09!$F:$K,6,FALSE),0)</f>
        <v>12.7392</v>
      </c>
      <c r="L136">
        <f>IFERROR(VLOOKUP(F136,SROU03!$F:$L,7,FALSE),0)</f>
        <v>12.145799999999999</v>
      </c>
      <c r="M136">
        <v>14.9437</v>
      </c>
      <c r="N136" t="str">
        <f t="shared" si="9"/>
        <v>BM3D</v>
      </c>
      <c r="O136">
        <f t="shared" si="10"/>
        <v>14.9437</v>
      </c>
      <c r="P136">
        <f>VLOOKUP(N136,'Color codes'!$A:$B,2,FALSE)</f>
        <v>1</v>
      </c>
      <c r="Q136">
        <f>TRUNC(VLOOKUP(N136,'Color codes'!$A:$E,3,FALSE)*(0.25 + 0.75*O136/40))</f>
        <v>135</v>
      </c>
      <c r="R136">
        <f>TRUNC(VLOOKUP(N136,'Color codes'!$A:$E,4,FALSE)*(0.25 + 0.75*O136/40))</f>
        <v>56</v>
      </c>
      <c r="S136">
        <f>TRUNC(VLOOKUP(N136,'Color codes'!$A:$E,5,FALSE)*(0.25 + 0.75*O136/40))</f>
        <v>55</v>
      </c>
      <c r="T136" t="b">
        <f t="shared" si="11"/>
        <v>1</v>
      </c>
    </row>
    <row r="137" spans="1:20" x14ac:dyDescent="0.25">
      <c r="A137" t="s">
        <v>13</v>
      </c>
      <c r="B137" t="s">
        <v>8</v>
      </c>
      <c r="C137">
        <v>7</v>
      </c>
      <c r="D137">
        <v>1.0000000000000001E-5</v>
      </c>
      <c r="E137">
        <v>0.1</v>
      </c>
      <c r="F137" t="str">
        <f t="shared" si="8"/>
        <v>text256_blurkernel7_7_0,00001_0,1</v>
      </c>
      <c r="G137">
        <f>IFERROR(VLOOKUP(F137,SROU03!$F:$H,2,FALSE),0)</f>
        <v>7.8678650000000001</v>
      </c>
      <c r="H137">
        <f>IFERROR(VLOOKUP(F137,SROU03!$F:$H,3,FALSE),0)</f>
        <v>15.172454</v>
      </c>
      <c r="I137">
        <v>2.7522000000000002</v>
      </c>
      <c r="J137">
        <v>3.1002999999999998</v>
      </c>
      <c r="K137">
        <f>IFERROR(VLOOKUP(F137,TICO09!$F:$K,6,FALSE),0)</f>
        <v>5.6731999999999996</v>
      </c>
      <c r="L137">
        <f>IFERROR(VLOOKUP(F137,SROU03!$F:$L,7,FALSE),0)</f>
        <v>11.8012</v>
      </c>
      <c r="M137">
        <v>5.0845000000000002</v>
      </c>
      <c r="N137" t="str">
        <f t="shared" si="9"/>
        <v>SROU03</v>
      </c>
      <c r="O137">
        <f t="shared" si="10"/>
        <v>11.8012</v>
      </c>
      <c r="P137">
        <f>VLOOKUP(N137,'Color codes'!$A:$B,2,FALSE)</f>
        <v>3</v>
      </c>
      <c r="Q137">
        <f>TRUNC(VLOOKUP(N137,'Color codes'!$A:$E,3,FALSE)*(0.25 + 0.75*O137/40))</f>
        <v>50</v>
      </c>
      <c r="R137">
        <f>TRUNC(VLOOKUP(N137,'Color codes'!$A:$E,4,FALSE)*(0.25 + 0.75*O137/40))</f>
        <v>82</v>
      </c>
      <c r="S137">
        <f>TRUNC(VLOOKUP(N137,'Color codes'!$A:$E,5,FALSE)*(0.25 + 0.75*O137/40))</f>
        <v>120</v>
      </c>
      <c r="T137" t="b">
        <f t="shared" si="11"/>
        <v>1</v>
      </c>
    </row>
    <row r="138" spans="1:20" x14ac:dyDescent="0.25">
      <c r="A138" t="s">
        <v>13</v>
      </c>
      <c r="B138" t="s">
        <v>8</v>
      </c>
      <c r="C138">
        <v>15</v>
      </c>
      <c r="D138">
        <v>1.0000000000000001E-5</v>
      </c>
      <c r="E138">
        <v>1E-4</v>
      </c>
      <c r="F138" t="str">
        <f t="shared" si="8"/>
        <v>text256_blurkernel7_15_0,00001_0,0001</v>
      </c>
      <c r="G138">
        <f>IFERROR(VLOOKUP(F138,SROU03!$F:$H,2,FALSE),0)</f>
        <v>12.015909000000001</v>
      </c>
      <c r="H138">
        <f>IFERROR(VLOOKUP(F138,SROU03!$F:$H,3,FALSE),0)</f>
        <v>35.020679000000001</v>
      </c>
      <c r="I138">
        <v>31.107700000000001</v>
      </c>
      <c r="J138">
        <v>1.5184</v>
      </c>
      <c r="K138">
        <f>IFERROR(VLOOKUP(F138,TICO09!$F:$K,6,FALSE),0)</f>
        <v>19.591100000000001</v>
      </c>
      <c r="L138">
        <f>IFERROR(VLOOKUP(F138,SROU03!$F:$L,7,FALSE),0)</f>
        <v>31.459599999999998</v>
      </c>
      <c r="M138">
        <v>34.215400000000002</v>
      </c>
      <c r="N138" t="str">
        <f t="shared" si="9"/>
        <v>BM3D</v>
      </c>
      <c r="O138">
        <f t="shared" si="10"/>
        <v>34.215400000000002</v>
      </c>
      <c r="P138">
        <f>VLOOKUP(N138,'Color codes'!$A:$B,2,FALSE)</f>
        <v>1</v>
      </c>
      <c r="Q138">
        <f>TRUNC(VLOOKUP(N138,'Color codes'!$A:$E,3,FALSE)*(0.25 + 0.75*O138/40))</f>
        <v>227</v>
      </c>
      <c r="R138">
        <f>TRUNC(VLOOKUP(N138,'Color codes'!$A:$E,4,FALSE)*(0.25 + 0.75*O138/40))</f>
        <v>95</v>
      </c>
      <c r="S138">
        <f>TRUNC(VLOOKUP(N138,'Color codes'!$A:$E,5,FALSE)*(0.25 + 0.75*O138/40))</f>
        <v>92</v>
      </c>
      <c r="T138" t="b">
        <f t="shared" si="11"/>
        <v>1</v>
      </c>
    </row>
    <row r="139" spans="1:20" x14ac:dyDescent="0.25">
      <c r="A139" t="s">
        <v>13</v>
      </c>
      <c r="B139" t="s">
        <v>8</v>
      </c>
      <c r="C139">
        <v>15</v>
      </c>
      <c r="D139">
        <v>1.0000000000000001E-5</v>
      </c>
      <c r="E139">
        <v>1E-3</v>
      </c>
      <c r="F139" t="str">
        <f t="shared" ref="F139:F190" si="12">A139&amp;"_"&amp;B139&amp;"_"&amp;C139&amp;"_"&amp;D139&amp;"_"&amp;E139</f>
        <v>text256_blurkernel7_15_0,00001_0,001</v>
      </c>
      <c r="G139">
        <f>IFERROR(VLOOKUP(F139,SROU03!$F:$H,2,FALSE),0)</f>
        <v>5.6199240000000001</v>
      </c>
      <c r="H139">
        <f>IFERROR(VLOOKUP(F139,SROU03!$F:$H,3,FALSE),0)</f>
        <v>33.485757</v>
      </c>
      <c r="I139">
        <v>21.061299999999999</v>
      </c>
      <c r="J139">
        <v>1.5184</v>
      </c>
      <c r="K139">
        <f>IFERROR(VLOOKUP(F139,TICO09!$F:$K,6,FALSE),0)</f>
        <v>18.3066</v>
      </c>
      <c r="L139">
        <f>IFERROR(VLOOKUP(F139,SROU03!$F:$L,7,FALSE),0)</f>
        <v>23.014399999999998</v>
      </c>
      <c r="M139">
        <v>24.611799999999999</v>
      </c>
      <c r="N139" t="str">
        <f t="shared" si="9"/>
        <v>BM3D</v>
      </c>
      <c r="O139">
        <f t="shared" si="10"/>
        <v>24.611799999999999</v>
      </c>
      <c r="P139">
        <f>VLOOKUP(N139,'Color codes'!$A:$B,2,FALSE)</f>
        <v>1</v>
      </c>
      <c r="Q139">
        <f>TRUNC(VLOOKUP(N139,'Color codes'!$A:$E,3,FALSE)*(0.25 + 0.75*O139/40))</f>
        <v>181</v>
      </c>
      <c r="R139">
        <f>TRUNC(VLOOKUP(N139,'Color codes'!$A:$E,4,FALSE)*(0.25 + 0.75*O139/40))</f>
        <v>76</v>
      </c>
      <c r="S139">
        <f>TRUNC(VLOOKUP(N139,'Color codes'!$A:$E,5,FALSE)*(0.25 + 0.75*O139/40))</f>
        <v>73</v>
      </c>
      <c r="T139" t="b">
        <f t="shared" si="11"/>
        <v>1</v>
      </c>
    </row>
    <row r="140" spans="1:20" x14ac:dyDescent="0.25">
      <c r="A140" t="s">
        <v>13</v>
      </c>
      <c r="B140" t="s">
        <v>8</v>
      </c>
      <c r="C140">
        <v>15</v>
      </c>
      <c r="D140">
        <v>1.0000000000000001E-5</v>
      </c>
      <c r="E140">
        <v>0.01</v>
      </c>
      <c r="F140" t="str">
        <f t="shared" si="12"/>
        <v>text256_blurkernel7_15_0,00001_0,01</v>
      </c>
      <c r="G140">
        <f>IFERROR(VLOOKUP(F140,SROU03!$F:$H,2,FALSE),0)</f>
        <v>4.4576510000000003</v>
      </c>
      <c r="H140">
        <f>IFERROR(VLOOKUP(F140,SROU03!$F:$H,3,FALSE),0)</f>
        <v>33.351106999999999</v>
      </c>
      <c r="I140">
        <v>11.2577</v>
      </c>
      <c r="J140">
        <v>1.5184</v>
      </c>
      <c r="K140">
        <f>IFERROR(VLOOKUP(F140,TICO09!$F:$K,6,FALSE),0)</f>
        <v>12.9398</v>
      </c>
      <c r="L140">
        <f>IFERROR(VLOOKUP(F140,SROU03!$F:$L,7,FALSE),0)</f>
        <v>15.261200000000001</v>
      </c>
      <c r="M140">
        <v>15.088699999999999</v>
      </c>
      <c r="N140" t="str">
        <f t="shared" si="9"/>
        <v>SROU03</v>
      </c>
      <c r="O140">
        <f t="shared" si="10"/>
        <v>15.261200000000001</v>
      </c>
      <c r="P140">
        <f>VLOOKUP(N140,'Color codes'!$A:$B,2,FALSE)</f>
        <v>3</v>
      </c>
      <c r="Q140">
        <f>TRUNC(VLOOKUP(N140,'Color codes'!$A:$E,3,FALSE)*(0.25 + 0.75*O140/40))</f>
        <v>57</v>
      </c>
      <c r="R140">
        <f>TRUNC(VLOOKUP(N140,'Color codes'!$A:$E,4,FALSE)*(0.25 + 0.75*O140/40))</f>
        <v>94</v>
      </c>
      <c r="S140">
        <f>TRUNC(VLOOKUP(N140,'Color codes'!$A:$E,5,FALSE)*(0.25 + 0.75*O140/40))</f>
        <v>136</v>
      </c>
      <c r="T140" t="b">
        <f t="shared" si="11"/>
        <v>0</v>
      </c>
    </row>
    <row r="141" spans="1:20" x14ac:dyDescent="0.25">
      <c r="A141" t="s">
        <v>13</v>
      </c>
      <c r="B141" t="s">
        <v>8</v>
      </c>
      <c r="C141">
        <v>15</v>
      </c>
      <c r="D141">
        <v>1.0000000000000001E-5</v>
      </c>
      <c r="E141">
        <v>0.1</v>
      </c>
      <c r="F141" t="str">
        <f t="shared" si="12"/>
        <v>text256_blurkernel7_15_0,00001_0,1</v>
      </c>
      <c r="G141">
        <f>IFERROR(VLOOKUP(F141,SROU03!$F:$H,2,FALSE),0)</f>
        <v>4.2674690000000002</v>
      </c>
      <c r="H141">
        <f>IFERROR(VLOOKUP(F141,SROU03!$F:$H,3,FALSE),0)</f>
        <v>33.376131000000001</v>
      </c>
      <c r="I141">
        <v>2.7530000000000001</v>
      </c>
      <c r="J141">
        <v>1.5184</v>
      </c>
      <c r="K141">
        <f>IFERROR(VLOOKUP(F141,TICO09!$F:$K,6,FALSE),0)</f>
        <v>5.2827999999999999</v>
      </c>
      <c r="L141">
        <f>IFERROR(VLOOKUP(F141,SROU03!$F:$L,7,FALSE),0)</f>
        <v>10.9748</v>
      </c>
      <c r="M141">
        <v>5.1097000000000001</v>
      </c>
      <c r="N141" t="str">
        <f t="shared" si="9"/>
        <v>SROU03</v>
      </c>
      <c r="O141">
        <f t="shared" si="10"/>
        <v>10.9748</v>
      </c>
      <c r="P141">
        <f>VLOOKUP(N141,'Color codes'!$A:$B,2,FALSE)</f>
        <v>3</v>
      </c>
      <c r="Q141">
        <f>TRUNC(VLOOKUP(N141,'Color codes'!$A:$E,3,FALSE)*(0.25 + 0.75*O141/40))</f>
        <v>48</v>
      </c>
      <c r="R141">
        <f>TRUNC(VLOOKUP(N141,'Color codes'!$A:$E,4,FALSE)*(0.25 + 0.75*O141/40))</f>
        <v>80</v>
      </c>
      <c r="S141">
        <f>TRUNC(VLOOKUP(N141,'Color codes'!$A:$E,5,FALSE)*(0.25 + 0.75*O141/40))</f>
        <v>116</v>
      </c>
      <c r="T141" t="b">
        <f t="shared" si="11"/>
        <v>1</v>
      </c>
    </row>
    <row r="142" spans="1:20" x14ac:dyDescent="0.25">
      <c r="A142" t="s">
        <v>13</v>
      </c>
      <c r="B142" t="s">
        <v>8</v>
      </c>
      <c r="C142">
        <v>31</v>
      </c>
      <c r="D142">
        <v>1.0000000000000001E-5</v>
      </c>
      <c r="E142">
        <v>1E-4</v>
      </c>
      <c r="F142" t="str">
        <f t="shared" si="12"/>
        <v>text256_blurkernel7_31_0,00001_0,0001</v>
      </c>
      <c r="G142">
        <f>IFERROR(VLOOKUP(F142,SROU03!$F:$H,2,FALSE),0)</f>
        <v>11.521022</v>
      </c>
      <c r="H142">
        <f>IFERROR(VLOOKUP(F142,SROU03!$F:$H,3,FALSE),0)</f>
        <v>72.830184000000003</v>
      </c>
      <c r="I142">
        <v>31.114899999999999</v>
      </c>
      <c r="J142">
        <v>0.78390000000000004</v>
      </c>
      <c r="K142">
        <f>IFERROR(VLOOKUP(F142,TICO09!$F:$K,6,FALSE),0)</f>
        <v>19.409600000000001</v>
      </c>
      <c r="L142">
        <f>IFERROR(VLOOKUP(F142,SROU03!$F:$L,7,FALSE),0)</f>
        <v>30.9206</v>
      </c>
      <c r="M142">
        <v>34.210900000000002</v>
      </c>
      <c r="N142" t="str">
        <f t="shared" si="9"/>
        <v>BM3D</v>
      </c>
      <c r="O142">
        <f t="shared" si="10"/>
        <v>34.210900000000002</v>
      </c>
      <c r="P142">
        <f>VLOOKUP(N142,'Color codes'!$A:$B,2,FALSE)</f>
        <v>1</v>
      </c>
      <c r="Q142">
        <f>TRUNC(VLOOKUP(N142,'Color codes'!$A:$E,3,FALSE)*(0.25 + 0.75*O142/40))</f>
        <v>227</v>
      </c>
      <c r="R142">
        <f>TRUNC(VLOOKUP(N142,'Color codes'!$A:$E,4,FALSE)*(0.25 + 0.75*O142/40))</f>
        <v>95</v>
      </c>
      <c r="S142">
        <f>TRUNC(VLOOKUP(N142,'Color codes'!$A:$E,5,FALSE)*(0.25 + 0.75*O142/40))</f>
        <v>92</v>
      </c>
      <c r="T142" t="b">
        <f t="shared" si="11"/>
        <v>1</v>
      </c>
    </row>
    <row r="143" spans="1:20" x14ac:dyDescent="0.25">
      <c r="A143" t="s">
        <v>13</v>
      </c>
      <c r="B143" t="s">
        <v>8</v>
      </c>
      <c r="C143">
        <v>31</v>
      </c>
      <c r="D143">
        <v>1.0000000000000001E-5</v>
      </c>
      <c r="E143">
        <v>1E-3</v>
      </c>
      <c r="F143" t="str">
        <f t="shared" si="12"/>
        <v>text256_blurkernel7_31_0,00001_0,001</v>
      </c>
      <c r="G143">
        <f>IFERROR(VLOOKUP(F143,SROU03!$F:$H,2,FALSE),0)</f>
        <v>4.4013270000000002</v>
      </c>
      <c r="H143">
        <f>IFERROR(VLOOKUP(F143,SROU03!$F:$H,3,FALSE),0)</f>
        <v>69.619961000000004</v>
      </c>
      <c r="I143">
        <v>21.131900000000002</v>
      </c>
      <c r="J143">
        <v>0.78390000000000004</v>
      </c>
      <c r="K143">
        <f>IFERROR(VLOOKUP(F143,TICO09!$F:$K,6,FALSE),0)</f>
        <v>18.241700000000002</v>
      </c>
      <c r="L143">
        <f>IFERROR(VLOOKUP(F143,SROU03!$F:$L,7,FALSE),0)</f>
        <v>21.665099999999999</v>
      </c>
      <c r="M143">
        <v>24.679500000000001</v>
      </c>
      <c r="N143" t="str">
        <f t="shared" si="9"/>
        <v>BM3D</v>
      </c>
      <c r="O143">
        <f t="shared" si="10"/>
        <v>24.679500000000001</v>
      </c>
      <c r="P143">
        <f>VLOOKUP(N143,'Color codes'!$A:$B,2,FALSE)</f>
        <v>1</v>
      </c>
      <c r="Q143">
        <f>TRUNC(VLOOKUP(N143,'Color codes'!$A:$E,3,FALSE)*(0.25 + 0.75*O143/40))</f>
        <v>181</v>
      </c>
      <c r="R143">
        <f>TRUNC(VLOOKUP(N143,'Color codes'!$A:$E,4,FALSE)*(0.25 + 0.75*O143/40))</f>
        <v>76</v>
      </c>
      <c r="S143">
        <f>TRUNC(VLOOKUP(N143,'Color codes'!$A:$E,5,FALSE)*(0.25 + 0.75*O143/40))</f>
        <v>74</v>
      </c>
      <c r="T143" t="b">
        <f t="shared" si="11"/>
        <v>1</v>
      </c>
    </row>
    <row r="144" spans="1:20" x14ac:dyDescent="0.25">
      <c r="A144" t="s">
        <v>13</v>
      </c>
      <c r="B144" t="s">
        <v>8</v>
      </c>
      <c r="C144">
        <v>31</v>
      </c>
      <c r="D144">
        <v>1.0000000000000001E-5</v>
      </c>
      <c r="E144">
        <v>0.01</v>
      </c>
      <c r="F144" t="str">
        <f t="shared" si="12"/>
        <v>text256_blurkernel7_31_0,00001_0,01</v>
      </c>
      <c r="G144">
        <f>IFERROR(VLOOKUP(F144,SROU03!$F:$H,2,FALSE),0)</f>
        <v>1.9716720000000001</v>
      </c>
      <c r="H144">
        <f>IFERROR(VLOOKUP(F144,SROU03!$F:$H,3,FALSE),0)</f>
        <v>69.519779</v>
      </c>
      <c r="I144">
        <v>11.1556</v>
      </c>
      <c r="J144">
        <v>0.78390000000000004</v>
      </c>
      <c r="K144">
        <f>IFERROR(VLOOKUP(F144,TICO09!$F:$K,6,FALSE),0)</f>
        <v>13.018599999999999</v>
      </c>
      <c r="L144">
        <f>IFERROR(VLOOKUP(F144,SROU03!$F:$L,7,FALSE),0)</f>
        <v>9.1242999999999999</v>
      </c>
      <c r="M144">
        <v>15.0037</v>
      </c>
      <c r="N144" t="str">
        <f t="shared" si="9"/>
        <v>BM3D</v>
      </c>
      <c r="O144">
        <f t="shared" si="10"/>
        <v>15.0037</v>
      </c>
      <c r="P144">
        <f>VLOOKUP(N144,'Color codes'!$A:$B,2,FALSE)</f>
        <v>1</v>
      </c>
      <c r="Q144">
        <f>TRUNC(VLOOKUP(N144,'Color codes'!$A:$E,3,FALSE)*(0.25 + 0.75*O144/40))</f>
        <v>135</v>
      </c>
      <c r="R144">
        <f>TRUNC(VLOOKUP(N144,'Color codes'!$A:$E,4,FALSE)*(0.25 + 0.75*O144/40))</f>
        <v>56</v>
      </c>
      <c r="S144">
        <f>TRUNC(VLOOKUP(N144,'Color codes'!$A:$E,5,FALSE)*(0.25 + 0.75*O144/40))</f>
        <v>55</v>
      </c>
      <c r="T144" t="b">
        <f t="shared" si="11"/>
        <v>1</v>
      </c>
    </row>
    <row r="145" spans="1:20" x14ac:dyDescent="0.25">
      <c r="A145" t="s">
        <v>13</v>
      </c>
      <c r="B145" t="s">
        <v>8</v>
      </c>
      <c r="C145">
        <v>31</v>
      </c>
      <c r="D145">
        <v>1.0000000000000001E-5</v>
      </c>
      <c r="E145">
        <v>0.1</v>
      </c>
      <c r="F145" t="str">
        <f t="shared" si="12"/>
        <v>text256_blurkernel7_31_0,00001_0,1</v>
      </c>
      <c r="G145">
        <f>IFERROR(VLOOKUP(F145,SROU03!$F:$H,2,FALSE),0)</f>
        <v>2.5616690000000002</v>
      </c>
      <c r="H145">
        <f>IFERROR(VLOOKUP(F145,SROU03!$F:$H,3,FALSE),0)</f>
        <v>69.305104</v>
      </c>
      <c r="I145">
        <v>2.7778</v>
      </c>
      <c r="J145">
        <v>0.78390000000000004</v>
      </c>
      <c r="K145">
        <f>IFERROR(VLOOKUP(F145,TICO09!$F:$K,6,FALSE),0)</f>
        <v>5.2916999999999996</v>
      </c>
      <c r="L145">
        <f>IFERROR(VLOOKUP(F145,SROU03!$F:$L,7,FALSE),0)</f>
        <v>7.7367999999999997</v>
      </c>
      <c r="M145">
        <v>5.0152000000000001</v>
      </c>
      <c r="N145" t="str">
        <f t="shared" si="9"/>
        <v>SROU03</v>
      </c>
      <c r="O145">
        <f t="shared" si="10"/>
        <v>7.7367999999999997</v>
      </c>
      <c r="P145">
        <f>VLOOKUP(N145,'Color codes'!$A:$B,2,FALSE)</f>
        <v>3</v>
      </c>
      <c r="Q145">
        <f>TRUNC(VLOOKUP(N145,'Color codes'!$A:$E,3,FALSE)*(0.25 + 0.75*O145/40))</f>
        <v>42</v>
      </c>
      <c r="R145">
        <f>TRUNC(VLOOKUP(N145,'Color codes'!$A:$E,4,FALSE)*(0.25 + 0.75*O145/40))</f>
        <v>69</v>
      </c>
      <c r="S145">
        <f>TRUNC(VLOOKUP(N145,'Color codes'!$A:$E,5,FALSE)*(0.25 + 0.75*O145/40))</f>
        <v>100</v>
      </c>
      <c r="T145" t="b">
        <f t="shared" si="11"/>
        <v>1</v>
      </c>
    </row>
    <row r="146" spans="1:20" x14ac:dyDescent="0.25">
      <c r="A146" t="s">
        <v>13</v>
      </c>
      <c r="B146" t="s">
        <v>9</v>
      </c>
      <c r="C146">
        <v>3</v>
      </c>
      <c r="D146">
        <v>1.0000000000000001E-5</v>
      </c>
      <c r="E146">
        <v>1E-4</v>
      </c>
      <c r="F146" t="str">
        <f t="shared" si="12"/>
        <v>text256_blurkernel8_3_0,00001_0,0001</v>
      </c>
      <c r="G146">
        <f>IFERROR(VLOOKUP(F146,SROU03!$F:$H,2,FALSE),0)</f>
        <v>19.601205</v>
      </c>
      <c r="H146">
        <f>IFERROR(VLOOKUP(F146,SROU03!$F:$H,3,FALSE),0)</f>
        <v>5.9521189999999997</v>
      </c>
      <c r="I146">
        <v>31.129300000000001</v>
      </c>
      <c r="J146">
        <v>8.6220999999999997</v>
      </c>
      <c r="K146">
        <f>IFERROR(VLOOKUP(F146,TICO09!$F:$K,6,FALSE),0)</f>
        <v>17.149999999999999</v>
      </c>
      <c r="L146">
        <f>IFERROR(VLOOKUP(F146,SROU03!$F:$L,7,FALSE),0)</f>
        <v>34.6875</v>
      </c>
      <c r="M146">
        <v>34.262500000000003</v>
      </c>
      <c r="N146" t="str">
        <f t="shared" si="9"/>
        <v>SROU03</v>
      </c>
      <c r="O146">
        <f t="shared" si="10"/>
        <v>34.6875</v>
      </c>
      <c r="P146">
        <f>VLOOKUP(N146,'Color codes'!$A:$B,2,FALSE)</f>
        <v>3</v>
      </c>
      <c r="Q146">
        <f>TRUNC(VLOOKUP(N146,'Color codes'!$A:$E,3,FALSE)*(0.25 + 0.75*O146/40))</f>
        <v>96</v>
      </c>
      <c r="R146">
        <f>TRUNC(VLOOKUP(N146,'Color codes'!$A:$E,4,FALSE)*(0.25 + 0.75*O146/40))</f>
        <v>158</v>
      </c>
      <c r="S146">
        <f>TRUNC(VLOOKUP(N146,'Color codes'!$A:$E,5,FALSE)*(0.25 + 0.75*O146/40))</f>
        <v>229</v>
      </c>
      <c r="T146" t="b">
        <f t="shared" si="11"/>
        <v>0</v>
      </c>
    </row>
    <row r="147" spans="1:20" x14ac:dyDescent="0.25">
      <c r="A147" t="s">
        <v>13</v>
      </c>
      <c r="B147" t="s">
        <v>9</v>
      </c>
      <c r="C147">
        <v>3</v>
      </c>
      <c r="D147">
        <v>1.0000000000000001E-5</v>
      </c>
      <c r="E147">
        <v>1E-3</v>
      </c>
      <c r="F147" t="str">
        <f t="shared" si="12"/>
        <v>text256_blurkernel8_3_0,00001_0,001</v>
      </c>
      <c r="G147">
        <f>IFERROR(VLOOKUP(F147,SROU03!$F:$H,2,FALSE),0)</f>
        <v>16.588915</v>
      </c>
      <c r="H147">
        <f>IFERROR(VLOOKUP(F147,SROU03!$F:$H,3,FALSE),0)</f>
        <v>5.6972680000000002</v>
      </c>
      <c r="I147">
        <v>21.1571</v>
      </c>
      <c r="J147">
        <v>8.6220999999999997</v>
      </c>
      <c r="K147">
        <f>IFERROR(VLOOKUP(F147,TICO09!$F:$K,6,FALSE),0)</f>
        <v>16.497599999999998</v>
      </c>
      <c r="L147">
        <f>IFERROR(VLOOKUP(F147,SROU03!$F:$L,7,FALSE),0)</f>
        <v>25.0458</v>
      </c>
      <c r="M147">
        <v>24.731300000000001</v>
      </c>
      <c r="N147" t="str">
        <f t="shared" si="9"/>
        <v>SROU03</v>
      </c>
      <c r="O147">
        <f t="shared" si="10"/>
        <v>25.0458</v>
      </c>
      <c r="P147">
        <f>VLOOKUP(N147,'Color codes'!$A:$B,2,FALSE)</f>
        <v>3</v>
      </c>
      <c r="Q147">
        <f>TRUNC(VLOOKUP(N147,'Color codes'!$A:$E,3,FALSE)*(0.25 + 0.75*O147/40))</f>
        <v>76</v>
      </c>
      <c r="R147">
        <f>TRUNC(VLOOKUP(N147,'Color codes'!$A:$E,4,FALSE)*(0.25 + 0.75*O147/40))</f>
        <v>126</v>
      </c>
      <c r="S147">
        <f>TRUNC(VLOOKUP(N147,'Color codes'!$A:$E,5,FALSE)*(0.25 + 0.75*O147/40))</f>
        <v>183</v>
      </c>
      <c r="T147" t="b">
        <f t="shared" si="11"/>
        <v>0</v>
      </c>
    </row>
    <row r="148" spans="1:20" x14ac:dyDescent="0.25">
      <c r="A148" t="s">
        <v>13</v>
      </c>
      <c r="B148" t="s">
        <v>9</v>
      </c>
      <c r="C148">
        <v>3</v>
      </c>
      <c r="D148">
        <v>1.0000000000000001E-5</v>
      </c>
      <c r="E148">
        <v>0.01</v>
      </c>
      <c r="F148" t="str">
        <f t="shared" si="12"/>
        <v>text256_blurkernel8_3_0,00001_0,01</v>
      </c>
      <c r="G148">
        <f>IFERROR(VLOOKUP(F148,SROU03!$F:$H,2,FALSE),0)</f>
        <v>15.861338999999999</v>
      </c>
      <c r="H148">
        <f>IFERROR(VLOOKUP(F148,SROU03!$F:$H,3,FALSE),0)</f>
        <v>5.7406689999999996</v>
      </c>
      <c r="I148">
        <v>11.183199999999999</v>
      </c>
      <c r="J148">
        <v>8.6220999999999997</v>
      </c>
      <c r="K148">
        <f>IFERROR(VLOOKUP(F148,TICO09!$F:$K,6,FALSE),0)</f>
        <v>12.8148</v>
      </c>
      <c r="L148">
        <f>IFERROR(VLOOKUP(F148,SROU03!$F:$L,7,FALSE),0)</f>
        <v>20.4252</v>
      </c>
      <c r="M148">
        <v>15.085100000000001</v>
      </c>
      <c r="N148" t="str">
        <f t="shared" si="9"/>
        <v>SROU03</v>
      </c>
      <c r="O148">
        <f t="shared" si="10"/>
        <v>20.4252</v>
      </c>
      <c r="P148">
        <f>VLOOKUP(N148,'Color codes'!$A:$B,2,FALSE)</f>
        <v>3</v>
      </c>
      <c r="Q148">
        <f>TRUNC(VLOOKUP(N148,'Color codes'!$A:$E,3,FALSE)*(0.25 + 0.75*O148/40))</f>
        <v>67</v>
      </c>
      <c r="R148">
        <f>TRUNC(VLOOKUP(N148,'Color codes'!$A:$E,4,FALSE)*(0.25 + 0.75*O148/40))</f>
        <v>111</v>
      </c>
      <c r="S148">
        <f>TRUNC(VLOOKUP(N148,'Color codes'!$A:$E,5,FALSE)*(0.25 + 0.75*O148/40))</f>
        <v>161</v>
      </c>
      <c r="T148" t="b">
        <f t="shared" si="11"/>
        <v>1</v>
      </c>
    </row>
    <row r="149" spans="1:20" x14ac:dyDescent="0.25">
      <c r="A149" t="s">
        <v>13</v>
      </c>
      <c r="B149" t="s">
        <v>9</v>
      </c>
      <c r="C149">
        <v>3</v>
      </c>
      <c r="D149">
        <v>1.0000000000000001E-5</v>
      </c>
      <c r="E149">
        <v>0.1</v>
      </c>
      <c r="F149" t="str">
        <f t="shared" si="12"/>
        <v>text256_blurkernel8_3_0,00001_0,1</v>
      </c>
      <c r="G149">
        <f>IFERROR(VLOOKUP(F149,SROU03!$F:$H,2,FALSE),0)</f>
        <v>14.866759999999999</v>
      </c>
      <c r="H149">
        <f>IFERROR(VLOOKUP(F149,SROU03!$F:$H,3,FALSE),0)</f>
        <v>5.9033759999999997</v>
      </c>
      <c r="I149">
        <v>2.8163</v>
      </c>
      <c r="J149">
        <v>8.6220999999999997</v>
      </c>
      <c r="K149">
        <f>IFERROR(VLOOKUP(F149,TICO09!$F:$K,6,FALSE),0)</f>
        <v>8.4269999999999996</v>
      </c>
      <c r="L149">
        <f>IFERROR(VLOOKUP(F149,SROU03!$F:$L,7,FALSE),0)</f>
        <v>24.0687</v>
      </c>
      <c r="M149">
        <v>5.1051000000000002</v>
      </c>
      <c r="N149" t="str">
        <f t="shared" si="9"/>
        <v>SROU03</v>
      </c>
      <c r="O149">
        <f t="shared" si="10"/>
        <v>24.0687</v>
      </c>
      <c r="P149">
        <f>VLOOKUP(N149,'Color codes'!$A:$B,2,FALSE)</f>
        <v>3</v>
      </c>
      <c r="Q149">
        <f>TRUNC(VLOOKUP(N149,'Color codes'!$A:$E,3,FALSE)*(0.25 + 0.75*O149/40))</f>
        <v>75</v>
      </c>
      <c r="R149">
        <f>TRUNC(VLOOKUP(N149,'Color codes'!$A:$E,4,FALSE)*(0.25 + 0.75*O149/40))</f>
        <v>123</v>
      </c>
      <c r="S149">
        <f>TRUNC(VLOOKUP(N149,'Color codes'!$A:$E,5,FALSE)*(0.25 + 0.75*O149/40))</f>
        <v>178</v>
      </c>
      <c r="T149" t="b">
        <f t="shared" si="11"/>
        <v>1</v>
      </c>
    </row>
    <row r="150" spans="1:20" x14ac:dyDescent="0.25">
      <c r="A150" t="s">
        <v>13</v>
      </c>
      <c r="B150" t="s">
        <v>9</v>
      </c>
      <c r="C150">
        <v>7</v>
      </c>
      <c r="D150">
        <v>1.0000000000000001E-5</v>
      </c>
      <c r="E150">
        <v>1E-4</v>
      </c>
      <c r="F150" t="str">
        <f t="shared" si="12"/>
        <v>text256_blurkernel8_7_0,00001_0,0001</v>
      </c>
      <c r="G150">
        <f>IFERROR(VLOOKUP(F150,SROU03!$F:$H,2,FALSE),0)</f>
        <v>14.253970000000001</v>
      </c>
      <c r="H150">
        <f>IFERROR(VLOOKUP(F150,SROU03!$F:$H,3,FALSE),0)</f>
        <v>15.68275</v>
      </c>
      <c r="I150">
        <v>31.137699999999999</v>
      </c>
      <c r="J150">
        <v>2.7486000000000002</v>
      </c>
      <c r="K150">
        <f>IFERROR(VLOOKUP(F150,TICO09!$F:$K,6,FALSE),0)</f>
        <v>18.8965</v>
      </c>
      <c r="L150">
        <f>IFERROR(VLOOKUP(F150,SROU03!$F:$L,7,FALSE),0)</f>
        <v>31.4757</v>
      </c>
      <c r="M150">
        <v>34.241100000000003</v>
      </c>
      <c r="N150" t="str">
        <f t="shared" si="9"/>
        <v>BM3D</v>
      </c>
      <c r="O150">
        <f t="shared" si="10"/>
        <v>34.241100000000003</v>
      </c>
      <c r="P150">
        <f>VLOOKUP(N150,'Color codes'!$A:$B,2,FALSE)</f>
        <v>1</v>
      </c>
      <c r="Q150">
        <f>TRUNC(VLOOKUP(N150,'Color codes'!$A:$E,3,FALSE)*(0.25 + 0.75*O150/40))</f>
        <v>227</v>
      </c>
      <c r="R150">
        <f>TRUNC(VLOOKUP(N150,'Color codes'!$A:$E,4,FALSE)*(0.25 + 0.75*O150/40))</f>
        <v>95</v>
      </c>
      <c r="S150">
        <f>TRUNC(VLOOKUP(N150,'Color codes'!$A:$E,5,FALSE)*(0.25 + 0.75*O150/40))</f>
        <v>92</v>
      </c>
      <c r="T150" t="b">
        <f t="shared" si="11"/>
        <v>1</v>
      </c>
    </row>
    <row r="151" spans="1:20" x14ac:dyDescent="0.25">
      <c r="A151" t="s">
        <v>13</v>
      </c>
      <c r="B151" t="s">
        <v>9</v>
      </c>
      <c r="C151">
        <v>7</v>
      </c>
      <c r="D151">
        <v>1.0000000000000001E-5</v>
      </c>
      <c r="E151">
        <v>1E-3</v>
      </c>
      <c r="F151" t="str">
        <f t="shared" si="12"/>
        <v>text256_blurkernel8_7_0,00001_0,001</v>
      </c>
      <c r="G151">
        <f>IFERROR(VLOOKUP(F151,SROU03!$F:$H,2,FALSE),0)</f>
        <v>9.5433299999999992</v>
      </c>
      <c r="H151">
        <f>IFERROR(VLOOKUP(F151,SROU03!$F:$H,3,FALSE),0)</f>
        <v>15.005687999999999</v>
      </c>
      <c r="I151">
        <v>21.1294</v>
      </c>
      <c r="J151">
        <v>2.7486000000000002</v>
      </c>
      <c r="K151">
        <f>IFERROR(VLOOKUP(F151,TICO09!$F:$K,6,FALSE),0)</f>
        <v>17.8004</v>
      </c>
      <c r="L151">
        <f>IFERROR(VLOOKUP(F151,SROU03!$F:$L,7,FALSE),0)</f>
        <v>23.9528</v>
      </c>
      <c r="M151">
        <v>24.746400000000001</v>
      </c>
      <c r="N151" t="str">
        <f t="shared" si="9"/>
        <v>BM3D</v>
      </c>
      <c r="O151">
        <f t="shared" si="10"/>
        <v>24.746400000000001</v>
      </c>
      <c r="P151">
        <f>VLOOKUP(N151,'Color codes'!$A:$B,2,FALSE)</f>
        <v>1</v>
      </c>
      <c r="Q151">
        <f>TRUNC(VLOOKUP(N151,'Color codes'!$A:$E,3,FALSE)*(0.25 + 0.75*O151/40))</f>
        <v>182</v>
      </c>
      <c r="R151">
        <f>TRUNC(VLOOKUP(N151,'Color codes'!$A:$E,4,FALSE)*(0.25 + 0.75*O151/40))</f>
        <v>76</v>
      </c>
      <c r="S151">
        <f>TRUNC(VLOOKUP(N151,'Color codes'!$A:$E,5,FALSE)*(0.25 + 0.75*O151/40))</f>
        <v>74</v>
      </c>
      <c r="T151" t="b">
        <f t="shared" si="11"/>
        <v>0</v>
      </c>
    </row>
    <row r="152" spans="1:20" x14ac:dyDescent="0.25">
      <c r="A152" t="s">
        <v>13</v>
      </c>
      <c r="B152" t="s">
        <v>9</v>
      </c>
      <c r="C152">
        <v>7</v>
      </c>
      <c r="D152">
        <v>1.0000000000000001E-5</v>
      </c>
      <c r="E152">
        <v>0.01</v>
      </c>
      <c r="F152" t="str">
        <f t="shared" si="12"/>
        <v>text256_blurkernel8_7_0,00001_0,01</v>
      </c>
      <c r="G152">
        <f>IFERROR(VLOOKUP(F152,SROU03!$F:$H,2,FALSE),0)</f>
        <v>8.7260880000000007</v>
      </c>
      <c r="H152">
        <f>IFERROR(VLOOKUP(F152,SROU03!$F:$H,3,FALSE),0)</f>
        <v>14.997251</v>
      </c>
      <c r="I152">
        <v>11.241899999999999</v>
      </c>
      <c r="J152">
        <v>2.7486000000000002</v>
      </c>
      <c r="K152">
        <f>IFERROR(VLOOKUP(F152,TICO09!$F:$K,6,FALSE),0)</f>
        <v>12.833</v>
      </c>
      <c r="L152">
        <f>IFERROR(VLOOKUP(F152,SROU03!$F:$L,7,FALSE),0)</f>
        <v>14.971299999999999</v>
      </c>
      <c r="M152">
        <v>15.018700000000001</v>
      </c>
      <c r="N152" t="str">
        <f t="shared" si="9"/>
        <v>BM3D</v>
      </c>
      <c r="O152">
        <f t="shared" si="10"/>
        <v>15.018700000000001</v>
      </c>
      <c r="P152">
        <f>VLOOKUP(N152,'Color codes'!$A:$B,2,FALSE)</f>
        <v>1</v>
      </c>
      <c r="Q152">
        <f>TRUNC(VLOOKUP(N152,'Color codes'!$A:$E,3,FALSE)*(0.25 + 0.75*O152/40))</f>
        <v>135</v>
      </c>
      <c r="R152">
        <f>TRUNC(VLOOKUP(N152,'Color codes'!$A:$E,4,FALSE)*(0.25 + 0.75*O152/40))</f>
        <v>56</v>
      </c>
      <c r="S152">
        <f>TRUNC(VLOOKUP(N152,'Color codes'!$A:$E,5,FALSE)*(0.25 + 0.75*O152/40))</f>
        <v>55</v>
      </c>
      <c r="T152" t="b">
        <f t="shared" si="11"/>
        <v>0</v>
      </c>
    </row>
    <row r="153" spans="1:20" x14ac:dyDescent="0.25">
      <c r="A153" t="s">
        <v>13</v>
      </c>
      <c r="B153" t="s">
        <v>9</v>
      </c>
      <c r="C153">
        <v>7</v>
      </c>
      <c r="D153">
        <v>1.0000000000000001E-5</v>
      </c>
      <c r="E153">
        <v>0.1</v>
      </c>
      <c r="F153" t="str">
        <f t="shared" si="12"/>
        <v>text256_blurkernel8_7_0,00001_0,1</v>
      </c>
      <c r="G153">
        <f>IFERROR(VLOOKUP(F153,SROU03!$F:$H,2,FALSE),0)</f>
        <v>8.0959850000000007</v>
      </c>
      <c r="H153">
        <f>IFERROR(VLOOKUP(F153,SROU03!$F:$H,3,FALSE),0)</f>
        <v>15.139229</v>
      </c>
      <c r="I153">
        <v>2.7446000000000002</v>
      </c>
      <c r="J153">
        <v>2.7486000000000002</v>
      </c>
      <c r="K153">
        <f>IFERROR(VLOOKUP(F153,TICO09!$F:$K,6,FALSE),0)</f>
        <v>5.6341000000000001</v>
      </c>
      <c r="L153">
        <f>IFERROR(VLOOKUP(F153,SROU03!$F:$L,7,FALSE),0)</f>
        <v>16.6388</v>
      </c>
      <c r="M153">
        <v>5.0671999999999997</v>
      </c>
      <c r="N153" t="str">
        <f t="shared" si="9"/>
        <v>SROU03</v>
      </c>
      <c r="O153">
        <f t="shared" si="10"/>
        <v>16.6388</v>
      </c>
      <c r="P153">
        <f>VLOOKUP(N153,'Color codes'!$A:$B,2,FALSE)</f>
        <v>3</v>
      </c>
      <c r="Q153">
        <f>TRUNC(VLOOKUP(N153,'Color codes'!$A:$E,3,FALSE)*(0.25 + 0.75*O153/40))</f>
        <v>60</v>
      </c>
      <c r="R153">
        <f>TRUNC(VLOOKUP(N153,'Color codes'!$A:$E,4,FALSE)*(0.25 + 0.75*O153/40))</f>
        <v>98</v>
      </c>
      <c r="S153">
        <f>TRUNC(VLOOKUP(N153,'Color codes'!$A:$E,5,FALSE)*(0.25 + 0.75*O153/40))</f>
        <v>143</v>
      </c>
      <c r="T153" t="b">
        <f t="shared" si="11"/>
        <v>1</v>
      </c>
    </row>
    <row r="154" spans="1:20" x14ac:dyDescent="0.25">
      <c r="A154" t="s">
        <v>13</v>
      </c>
      <c r="B154" t="s">
        <v>9</v>
      </c>
      <c r="C154">
        <v>15</v>
      </c>
      <c r="D154">
        <v>1.0000000000000001E-5</v>
      </c>
      <c r="E154">
        <v>1E-4</v>
      </c>
      <c r="F154" t="str">
        <f t="shared" si="12"/>
        <v>text256_blurkernel8_15_0,00001_0,0001</v>
      </c>
      <c r="G154">
        <f>IFERROR(VLOOKUP(F154,SROU03!$F:$H,2,FALSE),0)</f>
        <v>12.42435</v>
      </c>
      <c r="H154">
        <f>IFERROR(VLOOKUP(F154,SROU03!$F:$H,3,FALSE),0)</f>
        <v>34.777996999999999</v>
      </c>
      <c r="I154">
        <v>31.1</v>
      </c>
      <c r="J154">
        <v>1.6815</v>
      </c>
      <c r="K154">
        <f>IFERROR(VLOOKUP(F154,TICO09!$F:$K,6,FALSE),0)</f>
        <v>19.662800000000001</v>
      </c>
      <c r="L154">
        <f>IFERROR(VLOOKUP(F154,SROU03!$F:$L,7,FALSE),0)</f>
        <v>30.904</v>
      </c>
      <c r="M154">
        <v>34.260300000000001</v>
      </c>
      <c r="N154" t="str">
        <f t="shared" si="9"/>
        <v>BM3D</v>
      </c>
      <c r="O154">
        <f t="shared" si="10"/>
        <v>34.260300000000001</v>
      </c>
      <c r="P154">
        <f>VLOOKUP(N154,'Color codes'!$A:$B,2,FALSE)</f>
        <v>1</v>
      </c>
      <c r="Q154">
        <f>TRUNC(VLOOKUP(N154,'Color codes'!$A:$E,3,FALSE)*(0.25 + 0.75*O154/40))</f>
        <v>227</v>
      </c>
      <c r="R154">
        <f>TRUNC(VLOOKUP(N154,'Color codes'!$A:$E,4,FALSE)*(0.25 + 0.75*O154/40))</f>
        <v>95</v>
      </c>
      <c r="S154">
        <f>TRUNC(VLOOKUP(N154,'Color codes'!$A:$E,5,FALSE)*(0.25 + 0.75*O154/40))</f>
        <v>92</v>
      </c>
      <c r="T154" t="b">
        <f t="shared" si="11"/>
        <v>1</v>
      </c>
    </row>
    <row r="155" spans="1:20" x14ac:dyDescent="0.25">
      <c r="A155" t="s">
        <v>13</v>
      </c>
      <c r="B155" t="s">
        <v>9</v>
      </c>
      <c r="C155">
        <v>15</v>
      </c>
      <c r="D155">
        <v>1.0000000000000001E-5</v>
      </c>
      <c r="E155">
        <v>1E-3</v>
      </c>
      <c r="F155" t="str">
        <f t="shared" si="12"/>
        <v>text256_blurkernel8_15_0,00001_0,001</v>
      </c>
      <c r="G155">
        <f>IFERROR(VLOOKUP(F155,SROU03!$F:$H,2,FALSE),0)</f>
        <v>6.4738230000000003</v>
      </c>
      <c r="H155">
        <f>IFERROR(VLOOKUP(F155,SROU03!$F:$H,3,FALSE),0)</f>
        <v>33.252903000000003</v>
      </c>
      <c r="I155">
        <v>21.0947</v>
      </c>
      <c r="J155">
        <v>1.6815</v>
      </c>
      <c r="K155">
        <f>IFERROR(VLOOKUP(F155,TICO09!$F:$K,6,FALSE),0)</f>
        <v>18.265000000000001</v>
      </c>
      <c r="L155">
        <f>IFERROR(VLOOKUP(F155,SROU03!$F:$L,7,FALSE),0)</f>
        <v>23.0991</v>
      </c>
      <c r="M155">
        <v>24.6264</v>
      </c>
      <c r="N155" t="str">
        <f t="shared" si="9"/>
        <v>BM3D</v>
      </c>
      <c r="O155">
        <f t="shared" si="10"/>
        <v>24.6264</v>
      </c>
      <c r="P155">
        <f>VLOOKUP(N155,'Color codes'!$A:$B,2,FALSE)</f>
        <v>1</v>
      </c>
      <c r="Q155">
        <f>TRUNC(VLOOKUP(N155,'Color codes'!$A:$E,3,FALSE)*(0.25 + 0.75*O155/40))</f>
        <v>181</v>
      </c>
      <c r="R155">
        <f>TRUNC(VLOOKUP(N155,'Color codes'!$A:$E,4,FALSE)*(0.25 + 0.75*O155/40))</f>
        <v>76</v>
      </c>
      <c r="S155">
        <f>TRUNC(VLOOKUP(N155,'Color codes'!$A:$E,5,FALSE)*(0.25 + 0.75*O155/40))</f>
        <v>74</v>
      </c>
      <c r="T155" t="b">
        <f t="shared" si="11"/>
        <v>1</v>
      </c>
    </row>
    <row r="156" spans="1:20" x14ac:dyDescent="0.25">
      <c r="A156" t="s">
        <v>13</v>
      </c>
      <c r="B156" t="s">
        <v>9</v>
      </c>
      <c r="C156">
        <v>15</v>
      </c>
      <c r="D156">
        <v>1.0000000000000001E-5</v>
      </c>
      <c r="E156">
        <v>0.01</v>
      </c>
      <c r="F156" t="str">
        <f t="shared" si="12"/>
        <v>text256_blurkernel8_15_0,00001_0,01</v>
      </c>
      <c r="G156">
        <f>IFERROR(VLOOKUP(F156,SROU03!$F:$H,2,FALSE),0)</f>
        <v>5.497808</v>
      </c>
      <c r="H156">
        <f>IFERROR(VLOOKUP(F156,SROU03!$F:$H,3,FALSE),0)</f>
        <v>33.125292999999999</v>
      </c>
      <c r="I156">
        <v>11.1656</v>
      </c>
      <c r="J156">
        <v>1.6815</v>
      </c>
      <c r="K156">
        <f>IFERROR(VLOOKUP(F156,TICO09!$F:$K,6,FALSE),0)</f>
        <v>12.789300000000001</v>
      </c>
      <c r="L156">
        <f>IFERROR(VLOOKUP(F156,SROU03!$F:$L,7,FALSE),0)</f>
        <v>15.938499999999999</v>
      </c>
      <c r="M156">
        <v>14.923500000000001</v>
      </c>
      <c r="N156" t="str">
        <f t="shared" si="9"/>
        <v>SROU03</v>
      </c>
      <c r="O156">
        <f t="shared" si="10"/>
        <v>15.938499999999999</v>
      </c>
      <c r="P156">
        <f>VLOOKUP(N156,'Color codes'!$A:$B,2,FALSE)</f>
        <v>3</v>
      </c>
      <c r="Q156">
        <f>TRUNC(VLOOKUP(N156,'Color codes'!$A:$E,3,FALSE)*(0.25 + 0.75*O156/40))</f>
        <v>58</v>
      </c>
      <c r="R156">
        <f>TRUNC(VLOOKUP(N156,'Color codes'!$A:$E,4,FALSE)*(0.25 + 0.75*O156/40))</f>
        <v>96</v>
      </c>
      <c r="S156">
        <f>TRUNC(VLOOKUP(N156,'Color codes'!$A:$E,5,FALSE)*(0.25 + 0.75*O156/40))</f>
        <v>139</v>
      </c>
      <c r="T156" t="b">
        <f t="shared" si="11"/>
        <v>1</v>
      </c>
    </row>
    <row r="157" spans="1:20" x14ac:dyDescent="0.25">
      <c r="A157" t="s">
        <v>13</v>
      </c>
      <c r="B157" t="s">
        <v>9</v>
      </c>
      <c r="C157">
        <v>15</v>
      </c>
      <c r="D157">
        <v>1.0000000000000001E-5</v>
      </c>
      <c r="E157">
        <v>0.1</v>
      </c>
      <c r="F157" t="str">
        <f t="shared" si="12"/>
        <v>text256_blurkernel8_15_0,00001_0,1</v>
      </c>
      <c r="G157">
        <f>IFERROR(VLOOKUP(F157,SROU03!$F:$H,2,FALSE),0)</f>
        <v>5.0986760000000002</v>
      </c>
      <c r="H157">
        <f>IFERROR(VLOOKUP(F157,SROU03!$F:$H,3,FALSE),0)</f>
        <v>33.226844</v>
      </c>
      <c r="I157">
        <v>2.7433999999999998</v>
      </c>
      <c r="J157">
        <v>1.6815</v>
      </c>
      <c r="K157">
        <f>IFERROR(VLOOKUP(F157,TICO09!$F:$K,6,FALSE),0)</f>
        <v>5.2685000000000004</v>
      </c>
      <c r="L157">
        <f>IFERROR(VLOOKUP(F157,SROU03!$F:$L,7,FALSE),0)</f>
        <v>11.7601</v>
      </c>
      <c r="M157">
        <v>5.0293000000000001</v>
      </c>
      <c r="N157" t="str">
        <f t="shared" si="9"/>
        <v>SROU03</v>
      </c>
      <c r="O157">
        <f t="shared" si="10"/>
        <v>11.7601</v>
      </c>
      <c r="P157">
        <f>VLOOKUP(N157,'Color codes'!$A:$B,2,FALSE)</f>
        <v>3</v>
      </c>
      <c r="Q157">
        <f>TRUNC(VLOOKUP(N157,'Color codes'!$A:$E,3,FALSE)*(0.25 + 0.75*O157/40))</f>
        <v>50</v>
      </c>
      <c r="R157">
        <f>TRUNC(VLOOKUP(N157,'Color codes'!$A:$E,4,FALSE)*(0.25 + 0.75*O157/40))</f>
        <v>82</v>
      </c>
      <c r="S157">
        <f>TRUNC(VLOOKUP(N157,'Color codes'!$A:$E,5,FALSE)*(0.25 + 0.75*O157/40))</f>
        <v>119</v>
      </c>
      <c r="T157" t="b">
        <f t="shared" si="11"/>
        <v>1</v>
      </c>
    </row>
    <row r="158" spans="1:20" x14ac:dyDescent="0.25">
      <c r="A158" t="s">
        <v>13</v>
      </c>
      <c r="B158" t="s">
        <v>9</v>
      </c>
      <c r="C158">
        <v>31</v>
      </c>
      <c r="D158">
        <v>1.0000000000000001E-5</v>
      </c>
      <c r="E158">
        <v>1E-4</v>
      </c>
      <c r="F158" t="str">
        <f t="shared" si="12"/>
        <v>text256_blurkernel8_31_0,00001_0,0001</v>
      </c>
      <c r="G158">
        <f>IFERROR(VLOOKUP(F158,SROU03!$F:$H,2,FALSE),0)</f>
        <v>11.672393</v>
      </c>
      <c r="H158">
        <f>IFERROR(VLOOKUP(F158,SROU03!$F:$H,3,FALSE),0)</f>
        <v>72.678031000000004</v>
      </c>
      <c r="I158">
        <v>31.1617</v>
      </c>
      <c r="J158">
        <v>0.8679</v>
      </c>
      <c r="K158">
        <f>IFERROR(VLOOKUP(F158,TICO09!$F:$K,6,FALSE),0)</f>
        <v>19.463200000000001</v>
      </c>
      <c r="L158">
        <f>IFERROR(VLOOKUP(F158,SROU03!$F:$L,7,FALSE),0)</f>
        <v>29.962599999999998</v>
      </c>
      <c r="M158">
        <v>34.279699999999998</v>
      </c>
      <c r="N158" t="str">
        <f t="shared" si="9"/>
        <v>BM3D</v>
      </c>
      <c r="O158">
        <f t="shared" si="10"/>
        <v>34.279699999999998</v>
      </c>
      <c r="P158">
        <f>VLOOKUP(N158,'Color codes'!$A:$B,2,FALSE)</f>
        <v>1</v>
      </c>
      <c r="Q158">
        <f>TRUNC(VLOOKUP(N158,'Color codes'!$A:$E,3,FALSE)*(0.25 + 0.75*O158/40))</f>
        <v>227</v>
      </c>
      <c r="R158">
        <f>TRUNC(VLOOKUP(N158,'Color codes'!$A:$E,4,FALSE)*(0.25 + 0.75*O158/40))</f>
        <v>95</v>
      </c>
      <c r="S158">
        <f>TRUNC(VLOOKUP(N158,'Color codes'!$A:$E,5,FALSE)*(0.25 + 0.75*O158/40))</f>
        <v>92</v>
      </c>
      <c r="T158" t="b">
        <f t="shared" si="11"/>
        <v>1</v>
      </c>
    </row>
    <row r="159" spans="1:20" x14ac:dyDescent="0.25">
      <c r="A159" t="s">
        <v>13</v>
      </c>
      <c r="B159" t="s">
        <v>9</v>
      </c>
      <c r="C159">
        <v>31</v>
      </c>
      <c r="D159">
        <v>1.0000000000000001E-5</v>
      </c>
      <c r="E159">
        <v>1E-3</v>
      </c>
      <c r="F159" t="str">
        <f t="shared" si="12"/>
        <v>text256_blurkernel8_31_0,00001_0,001</v>
      </c>
      <c r="G159">
        <f>IFERROR(VLOOKUP(F159,SROU03!$F:$H,2,FALSE),0)</f>
        <v>4.8286410000000002</v>
      </c>
      <c r="H159">
        <f>IFERROR(VLOOKUP(F159,SROU03!$F:$H,3,FALSE),0)</f>
        <v>69.462635000000006</v>
      </c>
      <c r="I159">
        <v>21.147099999999998</v>
      </c>
      <c r="J159">
        <v>0.8679</v>
      </c>
      <c r="K159">
        <f>IFERROR(VLOOKUP(F159,TICO09!$F:$K,6,FALSE),0)</f>
        <v>18.256599999999999</v>
      </c>
      <c r="L159">
        <f>IFERROR(VLOOKUP(F159,SROU03!$F:$L,7,FALSE),0)</f>
        <v>21.293399999999998</v>
      </c>
      <c r="M159">
        <v>24.738</v>
      </c>
      <c r="N159" t="str">
        <f t="shared" ref="N159:N209" si="13">IF((M159&gt;(MAX(K159,L159))),"BM3D",IF(L159&gt;(MAX(K159,M159)),"SROU03","TICO09"))</f>
        <v>BM3D</v>
      </c>
      <c r="O159">
        <f t="shared" si="10"/>
        <v>24.738</v>
      </c>
      <c r="P159">
        <f>VLOOKUP(N159,'Color codes'!$A:$B,2,FALSE)</f>
        <v>1</v>
      </c>
      <c r="Q159">
        <f>TRUNC(VLOOKUP(N159,'Color codes'!$A:$E,3,FALSE)*(0.25 + 0.75*O159/40))</f>
        <v>182</v>
      </c>
      <c r="R159">
        <f>TRUNC(VLOOKUP(N159,'Color codes'!$A:$E,4,FALSE)*(0.25 + 0.75*O159/40))</f>
        <v>76</v>
      </c>
      <c r="S159">
        <f>TRUNC(VLOOKUP(N159,'Color codes'!$A:$E,5,FALSE)*(0.25 + 0.75*O159/40))</f>
        <v>74</v>
      </c>
      <c r="T159" t="b">
        <f t="shared" si="11"/>
        <v>1</v>
      </c>
    </row>
    <row r="160" spans="1:20" x14ac:dyDescent="0.25">
      <c r="A160" t="s">
        <v>13</v>
      </c>
      <c r="B160" t="s">
        <v>9</v>
      </c>
      <c r="C160">
        <v>31</v>
      </c>
      <c r="D160">
        <v>1.0000000000000001E-5</v>
      </c>
      <c r="E160">
        <v>0.01</v>
      </c>
      <c r="F160" t="str">
        <f t="shared" si="12"/>
        <v>text256_blurkernel8_31_0,00001_0,01</v>
      </c>
      <c r="G160">
        <f>IFERROR(VLOOKUP(F160,SROU03!$F:$H,2,FALSE),0)</f>
        <v>3.4802059999999999</v>
      </c>
      <c r="H160">
        <f>IFERROR(VLOOKUP(F160,SROU03!$F:$H,3,FALSE),0)</f>
        <v>69.141686000000007</v>
      </c>
      <c r="I160">
        <v>11.1447</v>
      </c>
      <c r="J160">
        <v>0.8679</v>
      </c>
      <c r="K160">
        <f>IFERROR(VLOOKUP(F160,TICO09!$F:$K,6,FALSE),0)</f>
        <v>12.8581</v>
      </c>
      <c r="L160">
        <f>IFERROR(VLOOKUP(F160,SROU03!$F:$L,7,FALSE),0)</f>
        <v>13.7052</v>
      </c>
      <c r="M160">
        <v>14.9398</v>
      </c>
      <c r="N160" t="str">
        <f t="shared" si="13"/>
        <v>BM3D</v>
      </c>
      <c r="O160">
        <f t="shared" si="10"/>
        <v>14.9398</v>
      </c>
      <c r="P160">
        <f>VLOOKUP(N160,'Color codes'!$A:$B,2,FALSE)</f>
        <v>1</v>
      </c>
      <c r="Q160">
        <f>TRUNC(VLOOKUP(N160,'Color codes'!$A:$E,3,FALSE)*(0.25 + 0.75*O160/40))</f>
        <v>135</v>
      </c>
      <c r="R160">
        <f>TRUNC(VLOOKUP(N160,'Color codes'!$A:$E,4,FALSE)*(0.25 + 0.75*O160/40))</f>
        <v>56</v>
      </c>
      <c r="S160">
        <f>TRUNC(VLOOKUP(N160,'Color codes'!$A:$E,5,FALSE)*(0.25 + 0.75*O160/40))</f>
        <v>55</v>
      </c>
      <c r="T160" t="b">
        <f t="shared" si="11"/>
        <v>1</v>
      </c>
    </row>
    <row r="161" spans="1:20" x14ac:dyDescent="0.25">
      <c r="A161" t="s">
        <v>13</v>
      </c>
      <c r="B161" t="s">
        <v>9</v>
      </c>
      <c r="C161">
        <v>31</v>
      </c>
      <c r="D161">
        <v>1.0000000000000001E-5</v>
      </c>
      <c r="E161">
        <v>0.1</v>
      </c>
      <c r="F161" t="str">
        <f t="shared" si="12"/>
        <v>text256_blurkernel8_31_0,00001_0,1</v>
      </c>
      <c r="G161">
        <f>IFERROR(VLOOKUP(F161,SROU03!$F:$H,2,FALSE),0)</f>
        <v>3.1240730000000001</v>
      </c>
      <c r="H161">
        <f>IFERROR(VLOOKUP(F161,SROU03!$F:$H,3,FALSE),0)</f>
        <v>69.204763999999997</v>
      </c>
      <c r="I161">
        <v>2.7357</v>
      </c>
      <c r="J161">
        <v>0.8679</v>
      </c>
      <c r="K161">
        <f>IFERROR(VLOOKUP(F161,TICO09!$F:$K,6,FALSE),0)</f>
        <v>5.2591999999999999</v>
      </c>
      <c r="L161">
        <f>IFERROR(VLOOKUP(F161,SROU03!$F:$L,7,FALSE),0)</f>
        <v>7.9705000000000004</v>
      </c>
      <c r="M161">
        <v>5.0437000000000003</v>
      </c>
      <c r="N161" t="str">
        <f t="shared" si="13"/>
        <v>SROU03</v>
      </c>
      <c r="O161">
        <f t="shared" si="10"/>
        <v>7.9705000000000004</v>
      </c>
      <c r="P161">
        <f>VLOOKUP(N161,'Color codes'!$A:$B,2,FALSE)</f>
        <v>3</v>
      </c>
      <c r="Q161">
        <f>TRUNC(VLOOKUP(N161,'Color codes'!$A:$E,3,FALSE)*(0.25 + 0.75*O161/40))</f>
        <v>42</v>
      </c>
      <c r="R161">
        <f>TRUNC(VLOOKUP(N161,'Color codes'!$A:$E,4,FALSE)*(0.25 + 0.75*O161/40))</f>
        <v>70</v>
      </c>
      <c r="S161">
        <f>TRUNC(VLOOKUP(N161,'Color codes'!$A:$E,5,FALSE)*(0.25 + 0.75*O161/40))</f>
        <v>101</v>
      </c>
      <c r="T161" t="b">
        <f t="shared" si="11"/>
        <v>1</v>
      </c>
    </row>
    <row r="162" spans="1:20" x14ac:dyDescent="0.25">
      <c r="A162" t="s">
        <v>13</v>
      </c>
      <c r="B162" t="s">
        <v>10</v>
      </c>
      <c r="C162">
        <v>3</v>
      </c>
      <c r="D162">
        <v>1.0000000000000001E-5</v>
      </c>
      <c r="E162">
        <v>1E-4</v>
      </c>
      <c r="F162" t="str">
        <f t="shared" si="12"/>
        <v>text256_line_3_0,00001_0,0001</v>
      </c>
      <c r="G162">
        <f>IFERROR(VLOOKUP(F162,SROU03!$F:$H,2,FALSE),0)</f>
        <v>23.149763</v>
      </c>
      <c r="H162">
        <f>IFERROR(VLOOKUP(F162,SROU03!$F:$H,3,FALSE),0)</f>
        <v>5.399483</v>
      </c>
      <c r="I162">
        <v>31.069500000000001</v>
      </c>
      <c r="J162">
        <v>5.9840999999999998</v>
      </c>
      <c r="K162">
        <f>IFERROR(VLOOKUP(F162,TICO09!$F:$K,6,FALSE),0)</f>
        <v>18.4602</v>
      </c>
      <c r="L162">
        <f>IFERROR(VLOOKUP(F162,SROU03!$F:$L,7,FALSE),0)</f>
        <v>34.936700000000002</v>
      </c>
      <c r="M162">
        <v>34.296399999999998</v>
      </c>
      <c r="N162" t="str">
        <f t="shared" si="13"/>
        <v>SROU03</v>
      </c>
      <c r="O162">
        <f t="shared" si="10"/>
        <v>34.936700000000002</v>
      </c>
      <c r="P162">
        <f>VLOOKUP(N162,'Color codes'!$A:$B,2,FALSE)</f>
        <v>3</v>
      </c>
      <c r="Q162">
        <f>TRUNC(VLOOKUP(N162,'Color codes'!$A:$E,3,FALSE)*(0.25 + 0.75*O162/40))</f>
        <v>96</v>
      </c>
      <c r="R162">
        <f>TRUNC(VLOOKUP(N162,'Color codes'!$A:$E,4,FALSE)*(0.25 + 0.75*O162/40))</f>
        <v>159</v>
      </c>
      <c r="S162">
        <f>TRUNC(VLOOKUP(N162,'Color codes'!$A:$E,5,FALSE)*(0.25 + 0.75*O162/40))</f>
        <v>230</v>
      </c>
      <c r="T162" t="b">
        <f t="shared" si="11"/>
        <v>0</v>
      </c>
    </row>
    <row r="163" spans="1:20" x14ac:dyDescent="0.25">
      <c r="A163" t="s">
        <v>13</v>
      </c>
      <c r="B163" t="s">
        <v>10</v>
      </c>
      <c r="C163">
        <v>3</v>
      </c>
      <c r="D163">
        <v>1.0000000000000001E-5</v>
      </c>
      <c r="E163">
        <v>1E-3</v>
      </c>
      <c r="F163" t="str">
        <f t="shared" si="12"/>
        <v>text256_line_3_0,00001_0,001</v>
      </c>
      <c r="G163">
        <f>IFERROR(VLOOKUP(F163,SROU03!$F:$H,2,FALSE),0)</f>
        <v>20.163658999999999</v>
      </c>
      <c r="H163">
        <f>IFERROR(VLOOKUP(F163,SROU03!$F:$H,3,FALSE),0)</f>
        <v>5.2348119999999998</v>
      </c>
      <c r="I163">
        <v>21.103000000000002</v>
      </c>
      <c r="J163">
        <v>5.9840999999999998</v>
      </c>
      <c r="K163">
        <f>IFERROR(VLOOKUP(F163,TICO09!$F:$K,6,FALSE),0)</f>
        <v>17.530899999999999</v>
      </c>
      <c r="L163">
        <f>IFERROR(VLOOKUP(F163,SROU03!$F:$L,7,FALSE),0)</f>
        <v>29.498200000000001</v>
      </c>
      <c r="M163">
        <v>24.684100000000001</v>
      </c>
      <c r="N163" t="str">
        <f t="shared" si="13"/>
        <v>SROU03</v>
      </c>
      <c r="O163">
        <f t="shared" si="10"/>
        <v>29.498200000000001</v>
      </c>
      <c r="P163">
        <f>VLOOKUP(N163,'Color codes'!$A:$B,2,FALSE)</f>
        <v>3</v>
      </c>
      <c r="Q163">
        <f>TRUNC(VLOOKUP(N163,'Color codes'!$A:$E,3,FALSE)*(0.25 + 0.75*O163/40))</f>
        <v>85</v>
      </c>
      <c r="R163">
        <f>TRUNC(VLOOKUP(N163,'Color codes'!$A:$E,4,FALSE)*(0.25 + 0.75*O163/40))</f>
        <v>141</v>
      </c>
      <c r="S163">
        <f>TRUNC(VLOOKUP(N163,'Color codes'!$A:$E,5,FALSE)*(0.25 + 0.75*O163/40))</f>
        <v>204</v>
      </c>
      <c r="T163" t="b">
        <f t="shared" si="11"/>
        <v>1</v>
      </c>
    </row>
    <row r="164" spans="1:20" x14ac:dyDescent="0.25">
      <c r="A164" t="s">
        <v>13</v>
      </c>
      <c r="B164" t="s">
        <v>10</v>
      </c>
      <c r="C164">
        <v>3</v>
      </c>
      <c r="D164">
        <v>1.0000000000000001E-5</v>
      </c>
      <c r="E164">
        <v>0.01</v>
      </c>
      <c r="F164" t="str">
        <f t="shared" si="12"/>
        <v>text256_line_3_0,00001_0,01</v>
      </c>
      <c r="G164">
        <f>IFERROR(VLOOKUP(F164,SROU03!$F:$H,2,FALSE),0)</f>
        <v>17.137445</v>
      </c>
      <c r="H164">
        <f>IFERROR(VLOOKUP(F164,SROU03!$F:$H,3,FALSE),0)</f>
        <v>5.5795789999999998</v>
      </c>
      <c r="I164">
        <v>11.196400000000001</v>
      </c>
      <c r="J164">
        <v>5.9840999999999998</v>
      </c>
      <c r="K164">
        <f>IFERROR(VLOOKUP(F164,TICO09!$F:$K,6,FALSE),0)</f>
        <v>12.882300000000001</v>
      </c>
      <c r="L164">
        <f>IFERROR(VLOOKUP(F164,SROU03!$F:$L,7,FALSE),0)</f>
        <v>26.715399999999999</v>
      </c>
      <c r="M164">
        <v>15.026999999999999</v>
      </c>
      <c r="N164" t="str">
        <f t="shared" si="13"/>
        <v>SROU03</v>
      </c>
      <c r="O164">
        <f t="shared" si="10"/>
        <v>26.715399999999999</v>
      </c>
      <c r="P164">
        <f>VLOOKUP(N164,'Color codes'!$A:$B,2,FALSE)</f>
        <v>3</v>
      </c>
      <c r="Q164">
        <f>TRUNC(VLOOKUP(N164,'Color codes'!$A:$E,3,FALSE)*(0.25 + 0.75*O164/40))</f>
        <v>80</v>
      </c>
      <c r="R164">
        <f>TRUNC(VLOOKUP(N164,'Color codes'!$A:$E,4,FALSE)*(0.25 + 0.75*O164/40))</f>
        <v>132</v>
      </c>
      <c r="S164">
        <f>TRUNC(VLOOKUP(N164,'Color codes'!$A:$E,5,FALSE)*(0.25 + 0.75*O164/40))</f>
        <v>191</v>
      </c>
      <c r="T164" t="b">
        <f t="shared" si="11"/>
        <v>1</v>
      </c>
    </row>
    <row r="165" spans="1:20" x14ac:dyDescent="0.25">
      <c r="A165" t="s">
        <v>13</v>
      </c>
      <c r="B165" t="s">
        <v>10</v>
      </c>
      <c r="C165">
        <v>3</v>
      </c>
      <c r="D165">
        <v>1.0000000000000001E-5</v>
      </c>
      <c r="E165">
        <v>0.1</v>
      </c>
      <c r="F165" t="str">
        <f t="shared" si="12"/>
        <v>text256_line_3_0,00001_0,1</v>
      </c>
      <c r="G165">
        <f>IFERROR(VLOOKUP(F165,SROU03!$F:$H,2,FALSE),0)</f>
        <v>14.614938</v>
      </c>
      <c r="H165">
        <f>IFERROR(VLOOKUP(F165,SROU03!$F:$H,3,FALSE),0)</f>
        <v>5.9219379999999999</v>
      </c>
      <c r="I165">
        <v>2.7692000000000001</v>
      </c>
      <c r="J165">
        <v>5.9840999999999998</v>
      </c>
      <c r="K165">
        <f>IFERROR(VLOOKUP(F165,TICO09!$F:$K,6,FALSE),0)</f>
        <v>6.8053999999999997</v>
      </c>
      <c r="L165">
        <f>IFERROR(VLOOKUP(F165,SROU03!$F:$L,7,FALSE),0)</f>
        <v>19.0566</v>
      </c>
      <c r="M165">
        <v>4.9509999999999996</v>
      </c>
      <c r="N165" t="str">
        <f t="shared" si="13"/>
        <v>SROU03</v>
      </c>
      <c r="O165">
        <f t="shared" si="10"/>
        <v>19.0566</v>
      </c>
      <c r="P165">
        <f>VLOOKUP(N165,'Color codes'!$A:$B,2,FALSE)</f>
        <v>3</v>
      </c>
      <c r="Q165">
        <f>TRUNC(VLOOKUP(N165,'Color codes'!$A:$E,3,FALSE)*(0.25 + 0.75*O165/40))</f>
        <v>64</v>
      </c>
      <c r="R165">
        <f>TRUNC(VLOOKUP(N165,'Color codes'!$A:$E,4,FALSE)*(0.25 + 0.75*O165/40))</f>
        <v>106</v>
      </c>
      <c r="S165">
        <f>TRUNC(VLOOKUP(N165,'Color codes'!$A:$E,5,FALSE)*(0.25 + 0.75*O165/40))</f>
        <v>154</v>
      </c>
      <c r="T165" t="b">
        <f t="shared" si="11"/>
        <v>1</v>
      </c>
    </row>
    <row r="166" spans="1:20" x14ac:dyDescent="0.25">
      <c r="A166" t="s">
        <v>13</v>
      </c>
      <c r="B166" t="s">
        <v>10</v>
      </c>
      <c r="C166">
        <v>7</v>
      </c>
      <c r="D166">
        <v>1.0000000000000001E-5</v>
      </c>
      <c r="E166">
        <v>1E-4</v>
      </c>
      <c r="F166" t="str">
        <f t="shared" si="12"/>
        <v>text256_line_7_0,00001_0,0001</v>
      </c>
      <c r="G166">
        <f>IFERROR(VLOOKUP(F166,SROU03!$F:$H,2,FALSE),0)</f>
        <v>17.416855000000002</v>
      </c>
      <c r="H166">
        <f>IFERROR(VLOOKUP(F166,SROU03!$F:$H,3,FALSE),0)</f>
        <v>14.578094999999999</v>
      </c>
      <c r="I166">
        <v>31.120899999999999</v>
      </c>
      <c r="J166">
        <v>1.8161</v>
      </c>
      <c r="K166">
        <f>IFERROR(VLOOKUP(F166,TICO09!$F:$K,6,FALSE),0)</f>
        <v>19.3385</v>
      </c>
      <c r="L166">
        <f>IFERROR(VLOOKUP(F166,SROU03!$F:$L,7,FALSE),0)</f>
        <v>32.675699999999999</v>
      </c>
      <c r="M166">
        <v>34.282200000000003</v>
      </c>
      <c r="N166" t="str">
        <f t="shared" si="13"/>
        <v>BM3D</v>
      </c>
      <c r="O166">
        <f t="shared" si="10"/>
        <v>34.282200000000003</v>
      </c>
      <c r="P166">
        <f>VLOOKUP(N166,'Color codes'!$A:$B,2,FALSE)</f>
        <v>1</v>
      </c>
      <c r="Q166">
        <f>TRUNC(VLOOKUP(N166,'Color codes'!$A:$E,3,FALSE)*(0.25 + 0.75*O166/40))</f>
        <v>227</v>
      </c>
      <c r="R166">
        <f>TRUNC(VLOOKUP(N166,'Color codes'!$A:$E,4,FALSE)*(0.25 + 0.75*O166/40))</f>
        <v>95</v>
      </c>
      <c r="S166">
        <f>TRUNC(VLOOKUP(N166,'Color codes'!$A:$E,5,FALSE)*(0.25 + 0.75*O166/40))</f>
        <v>92</v>
      </c>
      <c r="T166" t="b">
        <f t="shared" si="11"/>
        <v>1</v>
      </c>
    </row>
    <row r="167" spans="1:20" x14ac:dyDescent="0.25">
      <c r="A167" t="s">
        <v>13</v>
      </c>
      <c r="B167" t="s">
        <v>10</v>
      </c>
      <c r="C167">
        <v>7</v>
      </c>
      <c r="D167">
        <v>1.0000000000000001E-5</v>
      </c>
      <c r="E167">
        <v>1E-3</v>
      </c>
      <c r="F167" t="str">
        <f t="shared" si="12"/>
        <v>text256_line_7_0,00001_0,001</v>
      </c>
      <c r="G167">
        <f>IFERROR(VLOOKUP(F167,SROU03!$F:$H,2,FALSE),0)</f>
        <v>13.519119999999999</v>
      </c>
      <c r="H167">
        <f>IFERROR(VLOOKUP(F167,SROU03!$F:$H,3,FALSE),0)</f>
        <v>14.037715</v>
      </c>
      <c r="I167">
        <v>21.0852</v>
      </c>
      <c r="J167">
        <v>1.8161</v>
      </c>
      <c r="K167">
        <f>IFERROR(VLOOKUP(F167,TICO09!$F:$K,6,FALSE),0)</f>
        <v>18.074300000000001</v>
      </c>
      <c r="L167">
        <f>IFERROR(VLOOKUP(F167,SROU03!$F:$L,7,FALSE),0)</f>
        <v>24.375399999999999</v>
      </c>
      <c r="M167">
        <v>24.675899999999999</v>
      </c>
      <c r="N167" t="str">
        <f t="shared" si="13"/>
        <v>BM3D</v>
      </c>
      <c r="O167">
        <f t="shared" si="10"/>
        <v>24.675899999999999</v>
      </c>
      <c r="P167">
        <f>VLOOKUP(N167,'Color codes'!$A:$B,2,FALSE)</f>
        <v>1</v>
      </c>
      <c r="Q167">
        <f>TRUNC(VLOOKUP(N167,'Color codes'!$A:$E,3,FALSE)*(0.25 + 0.75*O167/40))</f>
        <v>181</v>
      </c>
      <c r="R167">
        <f>TRUNC(VLOOKUP(N167,'Color codes'!$A:$E,4,FALSE)*(0.25 + 0.75*O167/40))</f>
        <v>76</v>
      </c>
      <c r="S167">
        <f>TRUNC(VLOOKUP(N167,'Color codes'!$A:$E,5,FALSE)*(0.25 + 0.75*O167/40))</f>
        <v>74</v>
      </c>
      <c r="T167" t="b">
        <f t="shared" si="11"/>
        <v>0</v>
      </c>
    </row>
    <row r="168" spans="1:20" x14ac:dyDescent="0.25">
      <c r="A168" t="s">
        <v>13</v>
      </c>
      <c r="B168" t="s">
        <v>10</v>
      </c>
      <c r="C168">
        <v>7</v>
      </c>
      <c r="D168">
        <v>1.0000000000000001E-5</v>
      </c>
      <c r="E168">
        <v>0.01</v>
      </c>
      <c r="F168" t="str">
        <f t="shared" si="12"/>
        <v>text256_line_7_0,00001_0,01</v>
      </c>
      <c r="G168">
        <f>IFERROR(VLOOKUP(F168,SROU03!$F:$H,2,FALSE),0)</f>
        <v>10.980422000000001</v>
      </c>
      <c r="H168">
        <f>IFERROR(VLOOKUP(F168,SROU03!$F:$H,3,FALSE),0)</f>
        <v>14.518281999999999</v>
      </c>
      <c r="I168">
        <v>11.1249</v>
      </c>
      <c r="J168">
        <v>1.8161</v>
      </c>
      <c r="K168">
        <f>IFERROR(VLOOKUP(F168,TICO09!$F:$K,6,FALSE),0)</f>
        <v>12.909800000000001</v>
      </c>
      <c r="L168">
        <f>IFERROR(VLOOKUP(F168,SROU03!$F:$L,7,FALSE),0)</f>
        <v>18.169899999999998</v>
      </c>
      <c r="M168">
        <v>15.0022</v>
      </c>
      <c r="N168" t="str">
        <f t="shared" si="13"/>
        <v>SROU03</v>
      </c>
      <c r="O168">
        <f t="shared" si="10"/>
        <v>18.169899999999998</v>
      </c>
      <c r="P168">
        <f>VLOOKUP(N168,'Color codes'!$A:$B,2,FALSE)</f>
        <v>3</v>
      </c>
      <c r="Q168">
        <f>TRUNC(VLOOKUP(N168,'Color codes'!$A:$E,3,FALSE)*(0.25 + 0.75*O168/40))</f>
        <v>63</v>
      </c>
      <c r="R168">
        <f>TRUNC(VLOOKUP(N168,'Color codes'!$A:$E,4,FALSE)*(0.25 + 0.75*O168/40))</f>
        <v>103</v>
      </c>
      <c r="S168">
        <f>TRUNC(VLOOKUP(N168,'Color codes'!$A:$E,5,FALSE)*(0.25 + 0.75*O168/40))</f>
        <v>150</v>
      </c>
      <c r="T168" t="b">
        <f t="shared" si="11"/>
        <v>1</v>
      </c>
    </row>
    <row r="169" spans="1:20" x14ac:dyDescent="0.25">
      <c r="A169" t="s">
        <v>13</v>
      </c>
      <c r="B169" t="s">
        <v>10</v>
      </c>
      <c r="C169">
        <v>7</v>
      </c>
      <c r="D169">
        <v>1.0000000000000001E-5</v>
      </c>
      <c r="E169">
        <v>0.1</v>
      </c>
      <c r="F169" t="str">
        <f t="shared" si="12"/>
        <v>text256_line_7_0,00001_0,1</v>
      </c>
      <c r="G169">
        <f>IFERROR(VLOOKUP(F169,SROU03!$F:$H,2,FALSE),0)</f>
        <v>8.512613</v>
      </c>
      <c r="H169">
        <f>IFERROR(VLOOKUP(F169,SROU03!$F:$H,3,FALSE),0)</f>
        <v>15.05986</v>
      </c>
      <c r="I169">
        <v>2.7757000000000001</v>
      </c>
      <c r="J169">
        <v>1.8161</v>
      </c>
      <c r="K169">
        <f>IFERROR(VLOOKUP(F169,TICO09!$F:$K,6,FALSE),0)</f>
        <v>5.5785</v>
      </c>
      <c r="L169">
        <f>IFERROR(VLOOKUP(F169,SROU03!$F:$L,7,FALSE),0)</f>
        <v>9.9948999999999995</v>
      </c>
      <c r="M169">
        <v>5.0050999999999997</v>
      </c>
      <c r="N169" t="str">
        <f t="shared" si="13"/>
        <v>SROU03</v>
      </c>
      <c r="O169">
        <f t="shared" si="10"/>
        <v>9.9948999999999995</v>
      </c>
      <c r="P169">
        <f>VLOOKUP(N169,'Color codes'!$A:$B,2,FALSE)</f>
        <v>3</v>
      </c>
      <c r="Q169">
        <f>TRUNC(VLOOKUP(N169,'Color codes'!$A:$E,3,FALSE)*(0.25 + 0.75*O169/40))</f>
        <v>46</v>
      </c>
      <c r="R169">
        <f>TRUNC(VLOOKUP(N169,'Color codes'!$A:$E,4,FALSE)*(0.25 + 0.75*O169/40))</f>
        <v>76</v>
      </c>
      <c r="S169">
        <f>TRUNC(VLOOKUP(N169,'Color codes'!$A:$E,5,FALSE)*(0.25 + 0.75*O169/40))</f>
        <v>111</v>
      </c>
      <c r="T169" t="b">
        <f t="shared" si="11"/>
        <v>1</v>
      </c>
    </row>
    <row r="170" spans="1:20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12"/>
        <v>text256_line_15_0,00001_0,0001</v>
      </c>
      <c r="G170">
        <f>IFERROR(VLOOKUP(F170,SROU03!$F:$H,2,FALSE),0)</f>
        <v>14.463706999999999</v>
      </c>
      <c r="H170">
        <f>IFERROR(VLOOKUP(F170,SROU03!$F:$H,3,FALSE),0)</f>
        <v>33.304606999999997</v>
      </c>
      <c r="I170">
        <v>31.151900000000001</v>
      </c>
      <c r="J170">
        <v>1.343</v>
      </c>
      <c r="K170">
        <f>IFERROR(VLOOKUP(F170,TICO09!$F:$K,6,FALSE),0)</f>
        <v>19.399999999999999</v>
      </c>
      <c r="L170">
        <f>IFERROR(VLOOKUP(F170,SROU03!$F:$L,7,FALSE),0)</f>
        <v>31.8659</v>
      </c>
      <c r="M170">
        <v>34.2821</v>
      </c>
      <c r="N170" t="str">
        <f t="shared" si="13"/>
        <v>BM3D</v>
      </c>
      <c r="O170">
        <f t="shared" si="10"/>
        <v>34.2821</v>
      </c>
      <c r="P170">
        <f>VLOOKUP(N170,'Color codes'!$A:$B,2,FALSE)</f>
        <v>1</v>
      </c>
      <c r="Q170">
        <f>TRUNC(VLOOKUP(N170,'Color codes'!$A:$E,3,FALSE)*(0.25 + 0.75*O170/40))</f>
        <v>227</v>
      </c>
      <c r="R170">
        <f>TRUNC(VLOOKUP(N170,'Color codes'!$A:$E,4,FALSE)*(0.25 + 0.75*O170/40))</f>
        <v>95</v>
      </c>
      <c r="S170">
        <f>TRUNC(VLOOKUP(N170,'Color codes'!$A:$E,5,FALSE)*(0.25 + 0.75*O170/40))</f>
        <v>92</v>
      </c>
      <c r="T170" t="b">
        <f t="shared" si="11"/>
        <v>1</v>
      </c>
    </row>
    <row r="171" spans="1:20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12"/>
        <v>text256_line_15_0,00001_0,001</v>
      </c>
      <c r="G171">
        <f>IFERROR(VLOOKUP(F171,SROU03!$F:$H,2,FALSE),0)</f>
        <v>9.6491299999999995</v>
      </c>
      <c r="H171">
        <f>IFERROR(VLOOKUP(F171,SROU03!$F:$H,3,FALSE),0)</f>
        <v>31.930401</v>
      </c>
      <c r="I171">
        <v>21.122699999999998</v>
      </c>
      <c r="J171">
        <v>1.343</v>
      </c>
      <c r="K171">
        <f>IFERROR(VLOOKUP(F171,TICO09!$F:$K,6,FALSE),0)</f>
        <v>18.073599999999999</v>
      </c>
      <c r="L171">
        <f>IFERROR(VLOOKUP(F171,SROU03!$F:$L,7,FALSE),0)</f>
        <v>22.141999999999999</v>
      </c>
      <c r="M171">
        <v>24.634799999999998</v>
      </c>
      <c r="N171" t="str">
        <f t="shared" si="13"/>
        <v>BM3D</v>
      </c>
      <c r="O171">
        <f t="shared" si="10"/>
        <v>24.634799999999998</v>
      </c>
      <c r="P171">
        <f>VLOOKUP(N171,'Color codes'!$A:$B,2,FALSE)</f>
        <v>1</v>
      </c>
      <c r="Q171">
        <f>TRUNC(VLOOKUP(N171,'Color codes'!$A:$E,3,FALSE)*(0.25 + 0.75*O171/40))</f>
        <v>181</v>
      </c>
      <c r="R171">
        <f>TRUNC(VLOOKUP(N171,'Color codes'!$A:$E,4,FALSE)*(0.25 + 0.75*O171/40))</f>
        <v>76</v>
      </c>
      <c r="S171">
        <f>TRUNC(VLOOKUP(N171,'Color codes'!$A:$E,5,FALSE)*(0.25 + 0.75*O171/40))</f>
        <v>74</v>
      </c>
      <c r="T171" t="b">
        <f t="shared" si="11"/>
        <v>1</v>
      </c>
    </row>
    <row r="172" spans="1:20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12"/>
        <v>text256_line_15_0,00001_0,01</v>
      </c>
      <c r="G172">
        <f>IFERROR(VLOOKUP(F172,SROU03!$F:$H,2,FALSE),0)</f>
        <v>7.6290909999999998</v>
      </c>
      <c r="H172">
        <f>IFERROR(VLOOKUP(F172,SROU03!$F:$H,3,FALSE),0)</f>
        <v>32.379291000000002</v>
      </c>
      <c r="I172">
        <v>11.161799999999999</v>
      </c>
      <c r="J172">
        <v>1.343</v>
      </c>
      <c r="K172">
        <f>IFERROR(VLOOKUP(F172,TICO09!$F:$K,6,FALSE),0)</f>
        <v>12.7331</v>
      </c>
      <c r="L172">
        <f>IFERROR(VLOOKUP(F172,SROU03!$F:$L,7,FALSE),0)</f>
        <v>8.8129000000000008</v>
      </c>
      <c r="M172">
        <v>15.1076</v>
      </c>
      <c r="N172" t="str">
        <f t="shared" si="13"/>
        <v>BM3D</v>
      </c>
      <c r="O172">
        <f t="shared" si="10"/>
        <v>15.1076</v>
      </c>
      <c r="P172">
        <f>VLOOKUP(N172,'Color codes'!$A:$B,2,FALSE)</f>
        <v>1</v>
      </c>
      <c r="Q172">
        <f>TRUNC(VLOOKUP(N172,'Color codes'!$A:$E,3,FALSE)*(0.25 + 0.75*O172/40))</f>
        <v>135</v>
      </c>
      <c r="R172">
        <f>TRUNC(VLOOKUP(N172,'Color codes'!$A:$E,4,FALSE)*(0.25 + 0.75*O172/40))</f>
        <v>57</v>
      </c>
      <c r="S172">
        <f>TRUNC(VLOOKUP(N172,'Color codes'!$A:$E,5,FALSE)*(0.25 + 0.75*O172/40))</f>
        <v>55</v>
      </c>
      <c r="T172" t="b">
        <f t="shared" si="11"/>
        <v>1</v>
      </c>
    </row>
    <row r="173" spans="1:20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12"/>
        <v>text256_line_15_0,00001_0,1</v>
      </c>
      <c r="G173">
        <f>IFERROR(VLOOKUP(F173,SROU03!$F:$H,2,FALSE),0)</f>
        <v>5.7465869999999999</v>
      </c>
      <c r="H173">
        <f>IFERROR(VLOOKUP(F173,SROU03!$F:$H,3,FALSE),0)</f>
        <v>32.998987</v>
      </c>
      <c r="I173">
        <v>2.7686999999999999</v>
      </c>
      <c r="J173">
        <v>1.343</v>
      </c>
      <c r="K173">
        <f>IFERROR(VLOOKUP(F173,TICO09!$F:$K,6,FALSE),0)</f>
        <v>5.3334999999999999</v>
      </c>
      <c r="L173">
        <f>IFERROR(VLOOKUP(F173,SROU03!$F:$L,7,FALSE),0)</f>
        <v>5.3334000000000001</v>
      </c>
      <c r="M173">
        <v>4.9889999999999999</v>
      </c>
      <c r="N173" t="str">
        <f t="shared" si="13"/>
        <v>TICO09</v>
      </c>
      <c r="O173">
        <f t="shared" si="10"/>
        <v>5.3334999999999999</v>
      </c>
      <c r="P173">
        <f>VLOOKUP(N173,'Color codes'!$A:$B,2,FALSE)</f>
        <v>2</v>
      </c>
      <c r="Q173">
        <f>TRUNC(VLOOKUP(N173,'Color codes'!$A:$E,3,FALSE)*(0.25 + 0.75*O173/40))</f>
        <v>74</v>
      </c>
      <c r="R173">
        <f>TRUNC(VLOOKUP(N173,'Color codes'!$A:$E,4,FALSE)*(0.25 + 0.75*O173/40))</f>
        <v>89</v>
      </c>
      <c r="S173">
        <f>TRUNC(VLOOKUP(N173,'Color codes'!$A:$E,5,FALSE)*(0.25 + 0.75*O173/40))</f>
        <v>42</v>
      </c>
      <c r="T173" t="b">
        <f t="shared" si="11"/>
        <v>0</v>
      </c>
    </row>
    <row r="174" spans="1:20" x14ac:dyDescent="0.25">
      <c r="A174" t="s">
        <v>13</v>
      </c>
      <c r="B174" t="s">
        <v>10</v>
      </c>
      <c r="C174">
        <v>31</v>
      </c>
      <c r="D174">
        <v>1.0000000000000001E-5</v>
      </c>
      <c r="E174">
        <v>1E-4</v>
      </c>
      <c r="F174" t="str">
        <f t="shared" si="12"/>
        <v>text256_line_31_0,00001_0,0001</v>
      </c>
      <c r="G174">
        <f>IFERROR(VLOOKUP(F174,SROU03!$F:$H,2,FALSE),0)</f>
        <v>12.893397999999999</v>
      </c>
      <c r="H174">
        <f>IFERROR(VLOOKUP(F174,SROU03!$F:$H,3,FALSE),0)</f>
        <v>70.984235999999996</v>
      </c>
      <c r="I174">
        <v>31.163599999999999</v>
      </c>
      <c r="J174">
        <v>0.1772</v>
      </c>
      <c r="K174">
        <f>IFERROR(VLOOKUP(F174,TICO09!$F:$K,6,FALSE),0)</f>
        <v>19.3002</v>
      </c>
      <c r="L174">
        <f>IFERROR(VLOOKUP(F174,SROU03!$F:$L,7,FALSE),0)</f>
        <v>31.149100000000001</v>
      </c>
      <c r="M174">
        <v>34.263800000000003</v>
      </c>
      <c r="N174" t="str">
        <f t="shared" si="13"/>
        <v>BM3D</v>
      </c>
      <c r="O174">
        <f t="shared" si="10"/>
        <v>34.263800000000003</v>
      </c>
      <c r="P174">
        <f>VLOOKUP(N174,'Color codes'!$A:$B,2,FALSE)</f>
        <v>1</v>
      </c>
      <c r="Q174">
        <f>TRUNC(VLOOKUP(N174,'Color codes'!$A:$E,3,FALSE)*(0.25 + 0.75*O174/40))</f>
        <v>227</v>
      </c>
      <c r="R174">
        <f>TRUNC(VLOOKUP(N174,'Color codes'!$A:$E,4,FALSE)*(0.25 + 0.75*O174/40))</f>
        <v>95</v>
      </c>
      <c r="S174">
        <f>TRUNC(VLOOKUP(N174,'Color codes'!$A:$E,5,FALSE)*(0.25 + 0.75*O174/40))</f>
        <v>92</v>
      </c>
      <c r="T174" t="b">
        <f t="shared" si="11"/>
        <v>1</v>
      </c>
    </row>
    <row r="175" spans="1:20" x14ac:dyDescent="0.25">
      <c r="A175" t="s">
        <v>13</v>
      </c>
      <c r="B175" t="s">
        <v>10</v>
      </c>
      <c r="C175">
        <v>31</v>
      </c>
      <c r="D175">
        <v>1.0000000000000001E-5</v>
      </c>
      <c r="E175">
        <v>1E-3</v>
      </c>
      <c r="F175" t="str">
        <f t="shared" si="12"/>
        <v>text256_line_31_0,00001_0,001</v>
      </c>
      <c r="G175">
        <f>IFERROR(VLOOKUP(F175,SROU03!$F:$H,2,FALSE),0)</f>
        <v>7.1925480000000004</v>
      </c>
      <c r="H175">
        <f>IFERROR(VLOOKUP(F175,SROU03!$F:$H,3,FALSE),0)</f>
        <v>67.935063</v>
      </c>
      <c r="I175">
        <v>21.096299999999999</v>
      </c>
      <c r="J175">
        <v>0.1772</v>
      </c>
      <c r="K175">
        <f>IFERROR(VLOOKUP(F175,TICO09!$F:$K,6,FALSE),0)</f>
        <v>17.923300000000001</v>
      </c>
      <c r="L175">
        <f>IFERROR(VLOOKUP(F175,SROU03!$F:$L,7,FALSE),0)</f>
        <v>21.520800000000001</v>
      </c>
      <c r="M175">
        <v>24.570699999999999</v>
      </c>
      <c r="N175" t="str">
        <f t="shared" si="13"/>
        <v>BM3D</v>
      </c>
      <c r="O175">
        <f t="shared" si="10"/>
        <v>24.570699999999999</v>
      </c>
      <c r="P175">
        <f>VLOOKUP(N175,'Color codes'!$A:$B,2,FALSE)</f>
        <v>1</v>
      </c>
      <c r="Q175">
        <f>TRUNC(VLOOKUP(N175,'Color codes'!$A:$E,3,FALSE)*(0.25 + 0.75*O175/40))</f>
        <v>181</v>
      </c>
      <c r="R175">
        <f>TRUNC(VLOOKUP(N175,'Color codes'!$A:$E,4,FALSE)*(0.25 + 0.75*O175/40))</f>
        <v>76</v>
      </c>
      <c r="S175">
        <f>TRUNC(VLOOKUP(N175,'Color codes'!$A:$E,5,FALSE)*(0.25 + 0.75*O175/40))</f>
        <v>73</v>
      </c>
      <c r="T175" t="b">
        <f t="shared" si="11"/>
        <v>1</v>
      </c>
    </row>
    <row r="176" spans="1:20" x14ac:dyDescent="0.25">
      <c r="A176" t="s">
        <v>13</v>
      </c>
      <c r="B176" t="s">
        <v>10</v>
      </c>
      <c r="C176">
        <v>31</v>
      </c>
      <c r="D176">
        <v>1.0000000000000001E-5</v>
      </c>
      <c r="E176">
        <v>0.01</v>
      </c>
      <c r="F176" t="str">
        <f t="shared" si="12"/>
        <v>text256_line_31_0,00001_0,01</v>
      </c>
      <c r="G176">
        <f>IFERROR(VLOOKUP(F176,SROU03!$F:$H,2,FALSE),0)</f>
        <v>5.3732449999999998</v>
      </c>
      <c r="H176">
        <f>IFERROR(VLOOKUP(F176,SROU03!$F:$H,3,FALSE),0)</f>
        <v>68.249542000000005</v>
      </c>
      <c r="I176">
        <v>11.1355</v>
      </c>
      <c r="J176">
        <v>0.1772</v>
      </c>
      <c r="K176">
        <f>IFERROR(VLOOKUP(F176,TICO09!$F:$K,6,FALSE),0)</f>
        <v>12.7013</v>
      </c>
      <c r="L176">
        <f>IFERROR(VLOOKUP(F176,SROU03!$F:$L,7,FALSE),0)</f>
        <v>7.7976000000000001</v>
      </c>
      <c r="M176">
        <v>15.057700000000001</v>
      </c>
      <c r="N176" t="str">
        <f t="shared" si="13"/>
        <v>BM3D</v>
      </c>
      <c r="O176">
        <f t="shared" si="10"/>
        <v>15.057700000000001</v>
      </c>
      <c r="P176">
        <f>VLOOKUP(N176,'Color codes'!$A:$B,2,FALSE)</f>
        <v>1</v>
      </c>
      <c r="Q176">
        <f>TRUNC(VLOOKUP(N176,'Color codes'!$A:$E,3,FALSE)*(0.25 + 0.75*O176/40))</f>
        <v>135</v>
      </c>
      <c r="R176">
        <f>TRUNC(VLOOKUP(N176,'Color codes'!$A:$E,4,FALSE)*(0.25 + 0.75*O176/40))</f>
        <v>56</v>
      </c>
      <c r="S176">
        <f>TRUNC(VLOOKUP(N176,'Color codes'!$A:$E,5,FALSE)*(0.25 + 0.75*O176/40))</f>
        <v>55</v>
      </c>
      <c r="T176" t="b">
        <f t="shared" si="11"/>
        <v>1</v>
      </c>
    </row>
    <row r="177" spans="1:20" x14ac:dyDescent="0.25">
      <c r="A177" t="s">
        <v>13</v>
      </c>
      <c r="B177" t="s">
        <v>10</v>
      </c>
      <c r="C177">
        <v>31</v>
      </c>
      <c r="D177">
        <v>1.0000000000000001E-5</v>
      </c>
      <c r="E177">
        <v>0.1</v>
      </c>
      <c r="F177" t="str">
        <f t="shared" si="12"/>
        <v>text256_line_31_0,00001_0,1</v>
      </c>
      <c r="G177">
        <f>IFERROR(VLOOKUP(F177,SROU03!$F:$H,2,FALSE),0)</f>
        <v>3.977182</v>
      </c>
      <c r="H177">
        <f>IFERROR(VLOOKUP(F177,SROU03!$F:$H,3,FALSE),0)</f>
        <v>68.884913999999995</v>
      </c>
      <c r="I177">
        <v>2.7812000000000001</v>
      </c>
      <c r="J177">
        <v>0.1772</v>
      </c>
      <c r="K177">
        <f>IFERROR(VLOOKUP(F177,TICO09!$F:$K,6,FALSE),0)</f>
        <v>5.3947000000000003</v>
      </c>
      <c r="L177">
        <f>IFERROR(VLOOKUP(F177,SROU03!$F:$L,7,FALSE),0)</f>
        <v>2.5659000000000001</v>
      </c>
      <c r="M177">
        <v>5.0675999999999997</v>
      </c>
      <c r="N177" t="str">
        <f t="shared" si="13"/>
        <v>TICO09</v>
      </c>
      <c r="O177">
        <f t="shared" si="10"/>
        <v>5.3947000000000003</v>
      </c>
      <c r="P177">
        <f>VLOOKUP(N177,'Color codes'!$A:$B,2,FALSE)</f>
        <v>2</v>
      </c>
      <c r="Q177">
        <f>TRUNC(VLOOKUP(N177,'Color codes'!$A:$E,3,FALSE)*(0.25 + 0.75*O177/40))</f>
        <v>74</v>
      </c>
      <c r="R177">
        <f>TRUNC(VLOOKUP(N177,'Color codes'!$A:$E,4,FALSE)*(0.25 + 0.75*O177/40))</f>
        <v>89</v>
      </c>
      <c r="S177">
        <f>TRUNC(VLOOKUP(N177,'Color codes'!$A:$E,5,FALSE)*(0.25 + 0.75*O177/40))</f>
        <v>42</v>
      </c>
      <c r="T177" t="b">
        <f t="shared" si="11"/>
        <v>1</v>
      </c>
    </row>
    <row r="178" spans="1:20" x14ac:dyDescent="0.25">
      <c r="A178" t="s">
        <v>13</v>
      </c>
      <c r="B178" t="s">
        <v>11</v>
      </c>
      <c r="C178">
        <v>3</v>
      </c>
      <c r="D178">
        <v>1.0000000000000001E-5</v>
      </c>
      <c r="E178">
        <v>1E-4</v>
      </c>
      <c r="F178" t="str">
        <f t="shared" si="12"/>
        <v>text256_blurkernel10_3_0,00001_0,0001</v>
      </c>
      <c r="G178">
        <f>IFERROR(VLOOKUP(F178,SROU03!$F:$H,2,FALSE),0)</f>
        <v>18.770441000000002</v>
      </c>
      <c r="H178">
        <f>IFERROR(VLOOKUP(F178,SROU03!$F:$H,3,FALSE),0)</f>
        <v>6.0733550000000003</v>
      </c>
      <c r="I178">
        <v>31.110600000000002</v>
      </c>
      <c r="J178">
        <v>7.1266999999999996</v>
      </c>
      <c r="K178">
        <f>IFERROR(VLOOKUP(F178,TICO09!$F:$K,6,FALSE),0)</f>
        <v>17.267600000000002</v>
      </c>
      <c r="L178">
        <f>IFERROR(VLOOKUP(F178,SROU03!$F:$L,7,FALSE),0)</f>
        <v>34.313099999999999</v>
      </c>
      <c r="M178">
        <v>34.268799999999999</v>
      </c>
      <c r="N178" t="str">
        <f t="shared" si="13"/>
        <v>SROU03</v>
      </c>
      <c r="O178">
        <f t="shared" si="10"/>
        <v>34.313099999999999</v>
      </c>
      <c r="P178">
        <f>VLOOKUP(N178,'Color codes'!$A:$B,2,FALSE)</f>
        <v>3</v>
      </c>
      <c r="Q178">
        <f>TRUNC(VLOOKUP(N178,'Color codes'!$A:$E,3,FALSE)*(0.25 + 0.75*O178/40))</f>
        <v>95</v>
      </c>
      <c r="R178">
        <f>TRUNC(VLOOKUP(N178,'Color codes'!$A:$E,4,FALSE)*(0.25 + 0.75*O178/40))</f>
        <v>157</v>
      </c>
      <c r="S178">
        <f>TRUNC(VLOOKUP(N178,'Color codes'!$A:$E,5,FALSE)*(0.25 + 0.75*O178/40))</f>
        <v>227</v>
      </c>
      <c r="T178" t="b">
        <f t="shared" si="11"/>
        <v>0</v>
      </c>
    </row>
    <row r="179" spans="1:20" x14ac:dyDescent="0.25">
      <c r="A179" t="s">
        <v>13</v>
      </c>
      <c r="B179" t="s">
        <v>11</v>
      </c>
      <c r="C179">
        <v>3</v>
      </c>
      <c r="D179">
        <v>1.0000000000000001E-5</v>
      </c>
      <c r="E179">
        <v>1E-3</v>
      </c>
      <c r="F179" t="str">
        <f t="shared" si="12"/>
        <v>text256_blurkernel10_3_0,00001_0,001</v>
      </c>
      <c r="G179">
        <f>IFERROR(VLOOKUP(F179,SROU03!$F:$H,2,FALSE),0)</f>
        <v>15.559269</v>
      </c>
      <c r="H179">
        <f>IFERROR(VLOOKUP(F179,SROU03!$F:$H,3,FALSE),0)</f>
        <v>5.8151739999999998</v>
      </c>
      <c r="I179">
        <v>21.117000000000001</v>
      </c>
      <c r="J179">
        <v>7.1266999999999996</v>
      </c>
      <c r="K179">
        <f>IFERROR(VLOOKUP(F179,TICO09!$F:$K,6,FALSE),0)</f>
        <v>16.5871</v>
      </c>
      <c r="L179">
        <f>IFERROR(VLOOKUP(F179,SROU03!$F:$L,7,FALSE),0)</f>
        <v>25.020700000000001</v>
      </c>
      <c r="M179">
        <v>24.735600000000002</v>
      </c>
      <c r="N179" t="str">
        <f t="shared" si="13"/>
        <v>SROU03</v>
      </c>
      <c r="O179">
        <f t="shared" si="10"/>
        <v>25.020700000000001</v>
      </c>
      <c r="P179">
        <f>VLOOKUP(N179,'Color codes'!$A:$B,2,FALSE)</f>
        <v>3</v>
      </c>
      <c r="Q179">
        <f>TRUNC(VLOOKUP(N179,'Color codes'!$A:$E,3,FALSE)*(0.25 + 0.75*O179/40))</f>
        <v>76</v>
      </c>
      <c r="R179">
        <f>TRUNC(VLOOKUP(N179,'Color codes'!$A:$E,4,FALSE)*(0.25 + 0.75*O179/40))</f>
        <v>126</v>
      </c>
      <c r="S179">
        <f>TRUNC(VLOOKUP(N179,'Color codes'!$A:$E,5,FALSE)*(0.25 + 0.75*O179/40))</f>
        <v>183</v>
      </c>
      <c r="T179" t="b">
        <f t="shared" si="11"/>
        <v>0</v>
      </c>
    </row>
    <row r="180" spans="1:20" x14ac:dyDescent="0.25">
      <c r="A180" t="s">
        <v>13</v>
      </c>
      <c r="B180" t="s">
        <v>11</v>
      </c>
      <c r="C180">
        <v>3</v>
      </c>
      <c r="D180">
        <v>1.0000000000000001E-5</v>
      </c>
      <c r="E180">
        <v>0.01</v>
      </c>
      <c r="F180" t="str">
        <f t="shared" si="12"/>
        <v>text256_blurkernel10_3_0,00001_0,01</v>
      </c>
      <c r="G180">
        <f>IFERROR(VLOOKUP(F180,SROU03!$F:$H,2,FALSE),0)</f>
        <v>14.885357000000001</v>
      </c>
      <c r="H180">
        <f>IFERROR(VLOOKUP(F180,SROU03!$F:$H,3,FALSE),0)</f>
        <v>5.846241</v>
      </c>
      <c r="I180">
        <v>11.1663</v>
      </c>
      <c r="J180">
        <v>7.1266999999999996</v>
      </c>
      <c r="K180">
        <f>IFERROR(VLOOKUP(F180,TICO09!$F:$K,6,FALSE),0)</f>
        <v>12.4762</v>
      </c>
      <c r="L180">
        <f>IFERROR(VLOOKUP(F180,SROU03!$F:$L,7,FALSE),0)</f>
        <v>18.906700000000001</v>
      </c>
      <c r="M180">
        <v>14.9864</v>
      </c>
      <c r="N180" t="str">
        <f t="shared" si="13"/>
        <v>SROU03</v>
      </c>
      <c r="O180">
        <f t="shared" si="10"/>
        <v>18.906700000000001</v>
      </c>
      <c r="P180">
        <f>VLOOKUP(N180,'Color codes'!$A:$B,2,FALSE)</f>
        <v>3</v>
      </c>
      <c r="Q180">
        <f>TRUNC(VLOOKUP(N180,'Color codes'!$A:$E,3,FALSE)*(0.25 + 0.75*O180/40))</f>
        <v>64</v>
      </c>
      <c r="R180">
        <f>TRUNC(VLOOKUP(N180,'Color codes'!$A:$E,4,FALSE)*(0.25 + 0.75*O180/40))</f>
        <v>106</v>
      </c>
      <c r="S180">
        <f>TRUNC(VLOOKUP(N180,'Color codes'!$A:$E,5,FALSE)*(0.25 + 0.75*O180/40))</f>
        <v>154</v>
      </c>
      <c r="T180" t="b">
        <f t="shared" si="11"/>
        <v>1</v>
      </c>
    </row>
    <row r="181" spans="1:20" x14ac:dyDescent="0.25">
      <c r="A181" t="s">
        <v>13</v>
      </c>
      <c r="B181" t="s">
        <v>11</v>
      </c>
      <c r="C181">
        <v>3</v>
      </c>
      <c r="D181">
        <v>1.0000000000000001E-5</v>
      </c>
      <c r="E181">
        <v>0.1</v>
      </c>
      <c r="F181" t="str">
        <f t="shared" si="12"/>
        <v>text256_blurkernel10_3_0,00001_0,1</v>
      </c>
      <c r="G181">
        <f>IFERROR(VLOOKUP(F181,SROU03!$F:$H,2,FALSE),0)</f>
        <v>14.454488</v>
      </c>
      <c r="H181">
        <f>IFERROR(VLOOKUP(F181,SROU03!$F:$H,3,FALSE),0)</f>
        <v>5.9387470000000002</v>
      </c>
      <c r="I181">
        <v>2.7448999999999999</v>
      </c>
      <c r="J181">
        <v>7.1266999999999996</v>
      </c>
      <c r="K181">
        <f>IFERROR(VLOOKUP(F181,TICO09!$F:$K,6,FALSE),0)</f>
        <v>7.2297000000000002</v>
      </c>
      <c r="L181">
        <f>IFERROR(VLOOKUP(F181,SROU03!$F:$L,7,FALSE),0)</f>
        <v>15.467599999999999</v>
      </c>
      <c r="M181">
        <v>4.9977999999999998</v>
      </c>
      <c r="N181" t="str">
        <f t="shared" si="13"/>
        <v>SROU03</v>
      </c>
      <c r="O181">
        <f t="shared" si="10"/>
        <v>15.467599999999999</v>
      </c>
      <c r="P181">
        <f>VLOOKUP(N181,'Color codes'!$A:$B,2,FALSE)</f>
        <v>3</v>
      </c>
      <c r="Q181">
        <f>TRUNC(VLOOKUP(N181,'Color codes'!$A:$E,3,FALSE)*(0.25 + 0.75*O181/40))</f>
        <v>57</v>
      </c>
      <c r="R181">
        <f>TRUNC(VLOOKUP(N181,'Color codes'!$A:$E,4,FALSE)*(0.25 + 0.75*O181/40))</f>
        <v>95</v>
      </c>
      <c r="S181">
        <f>TRUNC(VLOOKUP(N181,'Color codes'!$A:$E,5,FALSE)*(0.25 + 0.75*O181/40))</f>
        <v>137</v>
      </c>
      <c r="T181" t="b">
        <f t="shared" si="11"/>
        <v>1</v>
      </c>
    </row>
    <row r="182" spans="1:20" x14ac:dyDescent="0.25">
      <c r="A182" t="s">
        <v>13</v>
      </c>
      <c r="B182" t="s">
        <v>11</v>
      </c>
      <c r="C182">
        <v>7</v>
      </c>
      <c r="D182">
        <v>1.0000000000000001E-5</v>
      </c>
      <c r="E182">
        <v>1E-4</v>
      </c>
      <c r="F182" t="str">
        <f t="shared" si="12"/>
        <v>text256_blurkernel10_7_0,00001_0,0001</v>
      </c>
      <c r="G182">
        <f>IFERROR(VLOOKUP(F182,SROU03!$F:$H,2,FALSE),0)</f>
        <v>13.765853999999999</v>
      </c>
      <c r="H182">
        <f>IFERROR(VLOOKUP(F182,SROU03!$F:$H,3,FALSE),0)</f>
        <v>15.82527</v>
      </c>
      <c r="I182">
        <v>31.104800000000001</v>
      </c>
      <c r="J182">
        <v>2.1823000000000001</v>
      </c>
      <c r="K182">
        <f>IFERROR(VLOOKUP(F182,TICO09!$F:$K,6,FALSE),0)</f>
        <v>19.356000000000002</v>
      </c>
      <c r="L182">
        <f>IFERROR(VLOOKUP(F182,SROU03!$F:$L,7,FALSE),0)</f>
        <v>31.826899999999998</v>
      </c>
      <c r="M182">
        <v>34.220599999999997</v>
      </c>
      <c r="N182" t="str">
        <f t="shared" si="13"/>
        <v>BM3D</v>
      </c>
      <c r="O182">
        <f t="shared" si="10"/>
        <v>34.220599999999997</v>
      </c>
      <c r="P182">
        <f>VLOOKUP(N182,'Color codes'!$A:$B,2,FALSE)</f>
        <v>1</v>
      </c>
      <c r="Q182">
        <f>TRUNC(VLOOKUP(N182,'Color codes'!$A:$E,3,FALSE)*(0.25 + 0.75*O182/40))</f>
        <v>227</v>
      </c>
      <c r="R182">
        <f>TRUNC(VLOOKUP(N182,'Color codes'!$A:$E,4,FALSE)*(0.25 + 0.75*O182/40))</f>
        <v>95</v>
      </c>
      <c r="S182">
        <f>TRUNC(VLOOKUP(N182,'Color codes'!$A:$E,5,FALSE)*(0.25 + 0.75*O182/40))</f>
        <v>92</v>
      </c>
      <c r="T182" t="b">
        <f t="shared" si="11"/>
        <v>1</v>
      </c>
    </row>
    <row r="183" spans="1:20" x14ac:dyDescent="0.25">
      <c r="A183" t="s">
        <v>13</v>
      </c>
      <c r="B183" t="s">
        <v>11</v>
      </c>
      <c r="C183">
        <v>7</v>
      </c>
      <c r="D183">
        <v>1.0000000000000001E-5</v>
      </c>
      <c r="E183">
        <v>1E-3</v>
      </c>
      <c r="F183" t="str">
        <f t="shared" si="12"/>
        <v>text256_blurkernel10_7_0,00001_0,001</v>
      </c>
      <c r="G183">
        <f>IFERROR(VLOOKUP(F183,SROU03!$F:$H,2,FALSE),0)</f>
        <v>8.8052030000000006</v>
      </c>
      <c r="H183">
        <f>IFERROR(VLOOKUP(F183,SROU03!$F:$H,3,FALSE),0)</f>
        <v>15.134888</v>
      </c>
      <c r="I183">
        <v>21.086200000000002</v>
      </c>
      <c r="J183">
        <v>2.1823000000000001</v>
      </c>
      <c r="K183">
        <f>IFERROR(VLOOKUP(F183,TICO09!$F:$K,6,FALSE),0)</f>
        <v>18.1127</v>
      </c>
      <c r="L183">
        <f>IFERROR(VLOOKUP(F183,SROU03!$F:$L,7,FALSE),0)</f>
        <v>23.988299999999999</v>
      </c>
      <c r="M183">
        <v>24.7149</v>
      </c>
      <c r="N183" t="str">
        <f t="shared" si="13"/>
        <v>BM3D</v>
      </c>
      <c r="O183">
        <f t="shared" si="10"/>
        <v>24.7149</v>
      </c>
      <c r="P183">
        <f>VLOOKUP(N183,'Color codes'!$A:$B,2,FALSE)</f>
        <v>1</v>
      </c>
      <c r="Q183">
        <f>TRUNC(VLOOKUP(N183,'Color codes'!$A:$E,3,FALSE)*(0.25 + 0.75*O183/40))</f>
        <v>181</v>
      </c>
      <c r="R183">
        <f>TRUNC(VLOOKUP(N183,'Color codes'!$A:$E,4,FALSE)*(0.25 + 0.75*O183/40))</f>
        <v>76</v>
      </c>
      <c r="S183">
        <f>TRUNC(VLOOKUP(N183,'Color codes'!$A:$E,5,FALSE)*(0.25 + 0.75*O183/40))</f>
        <v>74</v>
      </c>
      <c r="T183" t="b">
        <f t="shared" si="11"/>
        <v>0</v>
      </c>
    </row>
    <row r="184" spans="1:20" x14ac:dyDescent="0.25">
      <c r="A184" t="s">
        <v>13</v>
      </c>
      <c r="B184" t="s">
        <v>11</v>
      </c>
      <c r="C184">
        <v>7</v>
      </c>
      <c r="D184">
        <v>1.0000000000000001E-5</v>
      </c>
      <c r="E184">
        <v>0.01</v>
      </c>
      <c r="F184" t="str">
        <f t="shared" si="12"/>
        <v>text256_blurkernel10_7_0,00001_0,01</v>
      </c>
      <c r="G184">
        <f>IFERROR(VLOOKUP(F184,SROU03!$F:$H,2,FALSE),0)</f>
        <v>8.1290809999999993</v>
      </c>
      <c r="H184">
        <f>IFERROR(VLOOKUP(F184,SROU03!$F:$H,3,FALSE),0)</f>
        <v>15.084194999999999</v>
      </c>
      <c r="I184">
        <v>11.178699999999999</v>
      </c>
      <c r="J184">
        <v>2.1823000000000001</v>
      </c>
      <c r="K184">
        <f>IFERROR(VLOOKUP(F184,TICO09!$F:$K,6,FALSE),0)</f>
        <v>12.8947</v>
      </c>
      <c r="L184">
        <f>IFERROR(VLOOKUP(F184,SROU03!$F:$L,7,FALSE),0)</f>
        <v>15.577400000000001</v>
      </c>
      <c r="M184">
        <v>14.9595</v>
      </c>
      <c r="N184" t="str">
        <f t="shared" si="13"/>
        <v>SROU03</v>
      </c>
      <c r="O184">
        <f t="shared" si="10"/>
        <v>15.577400000000001</v>
      </c>
      <c r="P184">
        <f>VLOOKUP(N184,'Color codes'!$A:$B,2,FALSE)</f>
        <v>3</v>
      </c>
      <c r="Q184">
        <f>TRUNC(VLOOKUP(N184,'Color codes'!$A:$E,3,FALSE)*(0.25 + 0.75*O184/40))</f>
        <v>58</v>
      </c>
      <c r="R184">
        <f>TRUNC(VLOOKUP(N184,'Color codes'!$A:$E,4,FALSE)*(0.25 + 0.75*O184/40))</f>
        <v>95</v>
      </c>
      <c r="S184">
        <f>TRUNC(VLOOKUP(N184,'Color codes'!$A:$E,5,FALSE)*(0.25 + 0.75*O184/40))</f>
        <v>138</v>
      </c>
      <c r="T184" t="b">
        <f t="shared" si="11"/>
        <v>0</v>
      </c>
    </row>
    <row r="185" spans="1:20" x14ac:dyDescent="0.25">
      <c r="A185" t="s">
        <v>13</v>
      </c>
      <c r="B185" t="s">
        <v>11</v>
      </c>
      <c r="C185">
        <v>7</v>
      </c>
      <c r="D185">
        <v>1.0000000000000001E-5</v>
      </c>
      <c r="E185">
        <v>0.1</v>
      </c>
      <c r="F185" t="str">
        <f t="shared" si="12"/>
        <v>text256_blurkernel10_7_0,00001_0,1</v>
      </c>
      <c r="G185">
        <f>IFERROR(VLOOKUP(F185,SROU03!$F:$H,2,FALSE),0)</f>
        <v>7.5770819999999999</v>
      </c>
      <c r="H185">
        <f>IFERROR(VLOOKUP(F185,SROU03!$F:$H,3,FALSE),0)</f>
        <v>15.199932</v>
      </c>
      <c r="I185">
        <v>2.7202000000000002</v>
      </c>
      <c r="J185">
        <v>2.1823000000000001</v>
      </c>
      <c r="K185">
        <f>IFERROR(VLOOKUP(F185,TICO09!$F:$K,6,FALSE),0)</f>
        <v>5.4851000000000001</v>
      </c>
      <c r="L185">
        <f>IFERROR(VLOOKUP(F185,SROU03!$F:$L,7,FALSE),0)</f>
        <v>11.6432</v>
      </c>
      <c r="M185">
        <v>5.0309999999999997</v>
      </c>
      <c r="N185" t="str">
        <f t="shared" si="13"/>
        <v>SROU03</v>
      </c>
      <c r="O185">
        <f t="shared" si="10"/>
        <v>11.6432</v>
      </c>
      <c r="P185">
        <f>VLOOKUP(N185,'Color codes'!$A:$B,2,FALSE)</f>
        <v>3</v>
      </c>
      <c r="Q185">
        <f>TRUNC(VLOOKUP(N185,'Color codes'!$A:$E,3,FALSE)*(0.25 + 0.75*O185/40))</f>
        <v>50</v>
      </c>
      <c r="R185">
        <f>TRUNC(VLOOKUP(N185,'Color codes'!$A:$E,4,FALSE)*(0.25 + 0.75*O185/40))</f>
        <v>82</v>
      </c>
      <c r="S185">
        <f>TRUNC(VLOOKUP(N185,'Color codes'!$A:$E,5,FALSE)*(0.25 + 0.75*O185/40))</f>
        <v>119</v>
      </c>
      <c r="T185" t="b">
        <f t="shared" si="11"/>
        <v>1</v>
      </c>
    </row>
    <row r="186" spans="1:20" x14ac:dyDescent="0.25">
      <c r="A186" t="s">
        <v>13</v>
      </c>
      <c r="B186" t="s">
        <v>11</v>
      </c>
      <c r="C186">
        <v>15</v>
      </c>
      <c r="D186">
        <v>1.0000000000000001E-5</v>
      </c>
      <c r="E186">
        <v>1E-4</v>
      </c>
      <c r="F186" t="str">
        <f t="shared" si="12"/>
        <v>text256_blurkernel10_15_0,00001_0,0001</v>
      </c>
      <c r="G186">
        <f>IFERROR(VLOOKUP(F186,SROU03!$F:$H,2,FALSE),0)</f>
        <v>12.315303</v>
      </c>
      <c r="H186">
        <f>IFERROR(VLOOKUP(F186,SROU03!$F:$H,3,FALSE),0)</f>
        <v>34.794257999999999</v>
      </c>
      <c r="I186">
        <v>31.0883</v>
      </c>
      <c r="J186">
        <v>1.3013999999999999</v>
      </c>
      <c r="K186">
        <f>IFERROR(VLOOKUP(F186,TICO09!$F:$K,6,FALSE),0)</f>
        <v>19.366800000000001</v>
      </c>
      <c r="L186">
        <f>IFERROR(VLOOKUP(F186,SROU03!$F:$L,7,FALSE),0)</f>
        <v>30.032900000000001</v>
      </c>
      <c r="M186">
        <v>34.244599999999998</v>
      </c>
      <c r="N186" t="str">
        <f t="shared" si="13"/>
        <v>BM3D</v>
      </c>
      <c r="O186">
        <f t="shared" si="10"/>
        <v>34.244599999999998</v>
      </c>
      <c r="P186">
        <f>VLOOKUP(N186,'Color codes'!$A:$B,2,FALSE)</f>
        <v>1</v>
      </c>
      <c r="Q186">
        <f>TRUNC(VLOOKUP(N186,'Color codes'!$A:$E,3,FALSE)*(0.25 + 0.75*O186/40))</f>
        <v>227</v>
      </c>
      <c r="R186">
        <f>TRUNC(VLOOKUP(N186,'Color codes'!$A:$E,4,FALSE)*(0.25 + 0.75*O186/40))</f>
        <v>95</v>
      </c>
      <c r="S186">
        <f>TRUNC(VLOOKUP(N186,'Color codes'!$A:$E,5,FALSE)*(0.25 + 0.75*O186/40))</f>
        <v>92</v>
      </c>
      <c r="T186" t="b">
        <f t="shared" si="11"/>
        <v>1</v>
      </c>
    </row>
    <row r="187" spans="1:20" x14ac:dyDescent="0.25">
      <c r="A187" t="s">
        <v>13</v>
      </c>
      <c r="B187" t="s">
        <v>11</v>
      </c>
      <c r="C187">
        <v>15</v>
      </c>
      <c r="D187">
        <v>1.0000000000000001E-5</v>
      </c>
      <c r="E187">
        <v>1E-3</v>
      </c>
      <c r="F187" t="str">
        <f t="shared" si="12"/>
        <v>text256_blurkernel10_15_0,00001_0,001</v>
      </c>
      <c r="G187">
        <f>IFERROR(VLOOKUP(F187,SROU03!$F:$H,2,FALSE),0)</f>
        <v>6.2210599999999996</v>
      </c>
      <c r="H187">
        <f>IFERROR(VLOOKUP(F187,SROU03!$F:$H,3,FALSE),0)</f>
        <v>33.269317999999998</v>
      </c>
      <c r="I187">
        <v>21.0929</v>
      </c>
      <c r="J187">
        <v>1.3013999999999999</v>
      </c>
      <c r="K187">
        <f>IFERROR(VLOOKUP(F187,TICO09!$F:$K,6,FALSE),0)</f>
        <v>18.0535</v>
      </c>
      <c r="L187">
        <f>IFERROR(VLOOKUP(F187,SROU03!$F:$L,7,FALSE),0)</f>
        <v>22.293399999999998</v>
      </c>
      <c r="M187">
        <v>24.611799999999999</v>
      </c>
      <c r="N187" t="str">
        <f t="shared" si="13"/>
        <v>BM3D</v>
      </c>
      <c r="O187">
        <f t="shared" si="10"/>
        <v>24.611799999999999</v>
      </c>
      <c r="P187">
        <f>VLOOKUP(N187,'Color codes'!$A:$B,2,FALSE)</f>
        <v>1</v>
      </c>
      <c r="Q187">
        <f>TRUNC(VLOOKUP(N187,'Color codes'!$A:$E,3,FALSE)*(0.25 + 0.75*O187/40))</f>
        <v>181</v>
      </c>
      <c r="R187">
        <f>TRUNC(VLOOKUP(N187,'Color codes'!$A:$E,4,FALSE)*(0.25 + 0.75*O187/40))</f>
        <v>76</v>
      </c>
      <c r="S187">
        <f>TRUNC(VLOOKUP(N187,'Color codes'!$A:$E,5,FALSE)*(0.25 + 0.75*O187/40))</f>
        <v>73</v>
      </c>
      <c r="T187" t="b">
        <f t="shared" si="11"/>
        <v>1</v>
      </c>
    </row>
    <row r="188" spans="1:20" x14ac:dyDescent="0.25">
      <c r="A188" t="s">
        <v>13</v>
      </c>
      <c r="B188" t="s">
        <v>11</v>
      </c>
      <c r="C188">
        <v>15</v>
      </c>
      <c r="D188">
        <v>1.0000000000000001E-5</v>
      </c>
      <c r="E188">
        <v>0.01</v>
      </c>
      <c r="F188" t="str">
        <f t="shared" si="12"/>
        <v>text256_blurkernel10_15_0,00001_0,01</v>
      </c>
      <c r="G188">
        <f>IFERROR(VLOOKUP(F188,SROU03!$F:$H,2,FALSE),0)</f>
        <v>5.1556189999999997</v>
      </c>
      <c r="H188">
        <f>IFERROR(VLOOKUP(F188,SROU03!$F:$H,3,FALSE),0)</f>
        <v>33.149351000000003</v>
      </c>
      <c r="I188">
        <v>11.1629</v>
      </c>
      <c r="J188">
        <v>1.3013999999999999</v>
      </c>
      <c r="K188">
        <f>IFERROR(VLOOKUP(F188,TICO09!$F:$K,6,FALSE),0)</f>
        <v>12.9239</v>
      </c>
      <c r="L188">
        <f>IFERROR(VLOOKUP(F188,SROU03!$F:$L,7,FALSE),0)</f>
        <v>15.2806</v>
      </c>
      <c r="M188">
        <v>15.007099999999999</v>
      </c>
      <c r="N188" t="str">
        <f t="shared" si="13"/>
        <v>SROU03</v>
      </c>
      <c r="O188">
        <f t="shared" si="10"/>
        <v>15.2806</v>
      </c>
      <c r="P188">
        <f>VLOOKUP(N188,'Color codes'!$A:$B,2,FALSE)</f>
        <v>3</v>
      </c>
      <c r="Q188">
        <f>TRUNC(VLOOKUP(N188,'Color codes'!$A:$E,3,FALSE)*(0.25 + 0.75*O188/40))</f>
        <v>57</v>
      </c>
      <c r="R188">
        <f>TRUNC(VLOOKUP(N188,'Color codes'!$A:$E,4,FALSE)*(0.25 + 0.75*O188/40))</f>
        <v>94</v>
      </c>
      <c r="S188">
        <f>TRUNC(VLOOKUP(N188,'Color codes'!$A:$E,5,FALSE)*(0.25 + 0.75*O188/40))</f>
        <v>136</v>
      </c>
      <c r="T188" t="b">
        <f t="shared" si="11"/>
        <v>0</v>
      </c>
    </row>
    <row r="189" spans="1:20" x14ac:dyDescent="0.25">
      <c r="A189" t="s">
        <v>13</v>
      </c>
      <c r="B189" t="s">
        <v>11</v>
      </c>
      <c r="C189">
        <v>15</v>
      </c>
      <c r="D189">
        <v>1.0000000000000001E-5</v>
      </c>
      <c r="E189">
        <v>0.1</v>
      </c>
      <c r="F189" t="str">
        <f t="shared" si="12"/>
        <v>text256_blurkernel10_15_0,00001_0,1</v>
      </c>
      <c r="G189">
        <f>IFERROR(VLOOKUP(F189,SROU03!$F:$H,2,FALSE),0)</f>
        <v>4.6883790000000003</v>
      </c>
      <c r="H189">
        <f>IFERROR(VLOOKUP(F189,SROU03!$F:$H,3,FALSE),0)</f>
        <v>33.253756000000003</v>
      </c>
      <c r="I189">
        <v>2.7730000000000001</v>
      </c>
      <c r="J189">
        <v>1.3013999999999999</v>
      </c>
      <c r="K189">
        <f>IFERROR(VLOOKUP(F189,TICO09!$F:$K,6,FALSE),0)</f>
        <v>5.4363999999999999</v>
      </c>
      <c r="L189">
        <f>IFERROR(VLOOKUP(F189,SROU03!$F:$L,7,FALSE),0)</f>
        <v>13.141400000000001</v>
      </c>
      <c r="M189">
        <v>4.9652000000000003</v>
      </c>
      <c r="N189" t="str">
        <f t="shared" si="13"/>
        <v>SROU03</v>
      </c>
      <c r="O189">
        <f t="shared" si="10"/>
        <v>13.141400000000001</v>
      </c>
      <c r="P189">
        <f>VLOOKUP(N189,'Color codes'!$A:$B,2,FALSE)</f>
        <v>3</v>
      </c>
      <c r="Q189">
        <f>TRUNC(VLOOKUP(N189,'Color codes'!$A:$E,3,FALSE)*(0.25 + 0.75*O189/40))</f>
        <v>53</v>
      </c>
      <c r="R189">
        <f>TRUNC(VLOOKUP(N189,'Color codes'!$A:$E,4,FALSE)*(0.25 + 0.75*O189/40))</f>
        <v>87</v>
      </c>
      <c r="S189">
        <f>TRUNC(VLOOKUP(N189,'Color codes'!$A:$E,5,FALSE)*(0.25 + 0.75*O189/40))</f>
        <v>126</v>
      </c>
      <c r="T189" t="b">
        <f t="shared" si="11"/>
        <v>1</v>
      </c>
    </row>
    <row r="190" spans="1:20" x14ac:dyDescent="0.25">
      <c r="A190" t="s">
        <v>13</v>
      </c>
      <c r="B190" t="s">
        <v>11</v>
      </c>
      <c r="C190">
        <v>31</v>
      </c>
      <c r="D190">
        <v>1.0000000000000001E-5</v>
      </c>
      <c r="E190">
        <v>1E-4</v>
      </c>
      <c r="F190" t="str">
        <f t="shared" si="12"/>
        <v>text256_blurkernel10_31_0,00001_0,0001</v>
      </c>
      <c r="G190">
        <f>IFERROR(VLOOKUP(F190,SROU03!$F:$H,2,FALSE),0)</f>
        <v>11.750482</v>
      </c>
      <c r="H190">
        <f>IFERROR(VLOOKUP(F190,SROU03!$F:$H,3,FALSE),0)</f>
        <v>72.540250999999998</v>
      </c>
      <c r="I190">
        <v>31.175599999999999</v>
      </c>
      <c r="J190">
        <v>0.23910000000000001</v>
      </c>
      <c r="K190">
        <f>IFERROR(VLOOKUP(F190,TICO09!$F:$K,6,FALSE),0)</f>
        <v>19.319800000000001</v>
      </c>
      <c r="L190">
        <f>IFERROR(VLOOKUP(F190,SROU03!$F:$L,7,FALSE),0)</f>
        <v>28.2516</v>
      </c>
      <c r="M190">
        <v>34.320399999999999</v>
      </c>
      <c r="N190" t="str">
        <f t="shared" si="13"/>
        <v>BM3D</v>
      </c>
      <c r="O190">
        <f t="shared" si="10"/>
        <v>34.320399999999999</v>
      </c>
      <c r="P190">
        <f>VLOOKUP(N190,'Color codes'!$A:$B,2,FALSE)</f>
        <v>1</v>
      </c>
      <c r="Q190">
        <f>TRUNC(VLOOKUP(N190,'Color codes'!$A:$E,3,FALSE)*(0.25 + 0.75*O190/40))</f>
        <v>227</v>
      </c>
      <c r="R190">
        <f>TRUNC(VLOOKUP(N190,'Color codes'!$A:$E,4,FALSE)*(0.25 + 0.75*O190/40))</f>
        <v>95</v>
      </c>
      <c r="S190">
        <f>TRUNC(VLOOKUP(N190,'Color codes'!$A:$E,5,FALSE)*(0.25 + 0.75*O190/40))</f>
        <v>92</v>
      </c>
      <c r="T190" t="b">
        <f t="shared" si="11"/>
        <v>1</v>
      </c>
    </row>
    <row r="191" spans="1:20" x14ac:dyDescent="0.25">
      <c r="A191" t="s">
        <v>13</v>
      </c>
      <c r="B191" t="s">
        <v>11</v>
      </c>
      <c r="C191">
        <v>31</v>
      </c>
      <c r="D191">
        <v>1.0000000000000001E-5</v>
      </c>
      <c r="E191">
        <v>1E-3</v>
      </c>
      <c r="F191" t="str">
        <f t="shared" ref="F191:F241" si="14">A191&amp;"_"&amp;B191&amp;"_"&amp;C191&amp;"_"&amp;D191&amp;"_"&amp;E191</f>
        <v>text256_blurkernel10_31_0,00001_0,001</v>
      </c>
      <c r="G191">
        <f>IFERROR(VLOOKUP(F191,SROU03!$F:$H,2,FALSE),0)</f>
        <v>4.9964310000000003</v>
      </c>
      <c r="H191">
        <f>IFERROR(VLOOKUP(F191,SROU03!$F:$H,3,FALSE),0)</f>
        <v>69.334665999999999</v>
      </c>
      <c r="I191">
        <v>21.0869</v>
      </c>
      <c r="J191">
        <v>0.23910000000000001</v>
      </c>
      <c r="K191">
        <f>IFERROR(VLOOKUP(F191,TICO09!$F:$K,6,FALSE),0)</f>
        <v>18.070599999999999</v>
      </c>
      <c r="L191">
        <f>IFERROR(VLOOKUP(F191,SROU03!$F:$L,7,FALSE),0)</f>
        <v>20.0534</v>
      </c>
      <c r="M191">
        <v>24.651199999999999</v>
      </c>
      <c r="N191" t="str">
        <f t="shared" si="13"/>
        <v>BM3D</v>
      </c>
      <c r="O191">
        <f t="shared" si="10"/>
        <v>24.651199999999999</v>
      </c>
      <c r="P191">
        <f>VLOOKUP(N191,'Color codes'!$A:$B,2,FALSE)</f>
        <v>1</v>
      </c>
      <c r="Q191">
        <f>TRUNC(VLOOKUP(N191,'Color codes'!$A:$E,3,FALSE)*(0.25 + 0.75*O191/40))</f>
        <v>181</v>
      </c>
      <c r="R191">
        <f>TRUNC(VLOOKUP(N191,'Color codes'!$A:$E,4,FALSE)*(0.25 + 0.75*O191/40))</f>
        <v>76</v>
      </c>
      <c r="S191">
        <f>TRUNC(VLOOKUP(N191,'Color codes'!$A:$E,5,FALSE)*(0.25 + 0.75*O191/40))</f>
        <v>74</v>
      </c>
      <c r="T191" t="b">
        <f t="shared" si="11"/>
        <v>1</v>
      </c>
    </row>
    <row r="192" spans="1:20" x14ac:dyDescent="0.25">
      <c r="A192" t="s">
        <v>13</v>
      </c>
      <c r="B192" t="s">
        <v>11</v>
      </c>
      <c r="C192">
        <v>31</v>
      </c>
      <c r="D192">
        <v>1.0000000000000001E-5</v>
      </c>
      <c r="E192">
        <v>0.01</v>
      </c>
      <c r="F192" t="str">
        <f t="shared" si="14"/>
        <v>text256_blurkernel10_31_0,00001_0,01</v>
      </c>
      <c r="G192">
        <f>IFERROR(VLOOKUP(F192,SROU03!$F:$H,2,FALSE),0)</f>
        <v>3.671767</v>
      </c>
      <c r="H192">
        <f>IFERROR(VLOOKUP(F192,SROU03!$F:$H,3,FALSE),0)</f>
        <v>69.030535</v>
      </c>
      <c r="I192">
        <v>11.133800000000001</v>
      </c>
      <c r="J192">
        <v>0.23910000000000001</v>
      </c>
      <c r="K192">
        <f>IFERROR(VLOOKUP(F192,TICO09!$F:$K,6,FALSE),0)</f>
        <v>12.839700000000001</v>
      </c>
      <c r="L192">
        <f>IFERROR(VLOOKUP(F192,SROU03!$F:$L,7,FALSE),0)</f>
        <v>13.5924</v>
      </c>
      <c r="M192">
        <v>14.982200000000001</v>
      </c>
      <c r="N192" t="str">
        <f t="shared" si="13"/>
        <v>BM3D</v>
      </c>
      <c r="O192">
        <f t="shared" si="10"/>
        <v>14.982200000000001</v>
      </c>
      <c r="P192">
        <f>VLOOKUP(N192,'Color codes'!$A:$B,2,FALSE)</f>
        <v>1</v>
      </c>
      <c r="Q192">
        <f>TRUNC(VLOOKUP(N192,'Color codes'!$A:$E,3,FALSE)*(0.25 + 0.75*O192/40))</f>
        <v>135</v>
      </c>
      <c r="R192">
        <f>TRUNC(VLOOKUP(N192,'Color codes'!$A:$E,4,FALSE)*(0.25 + 0.75*O192/40))</f>
        <v>56</v>
      </c>
      <c r="S192">
        <f>TRUNC(VLOOKUP(N192,'Color codes'!$A:$E,5,FALSE)*(0.25 + 0.75*O192/40))</f>
        <v>55</v>
      </c>
      <c r="T192" t="b">
        <f t="shared" si="11"/>
        <v>1</v>
      </c>
    </row>
    <row r="193" spans="1:20" x14ac:dyDescent="0.25">
      <c r="A193" t="s">
        <v>13</v>
      </c>
      <c r="B193" t="s">
        <v>11</v>
      </c>
      <c r="C193">
        <v>31</v>
      </c>
      <c r="D193">
        <v>1.0000000000000001E-5</v>
      </c>
      <c r="E193">
        <v>0.1</v>
      </c>
      <c r="F193" t="str">
        <f t="shared" si="14"/>
        <v>text256_blurkernel10_31_0,00001_0,1</v>
      </c>
      <c r="G193">
        <f>IFERROR(VLOOKUP(F193,SROU03!$F:$H,2,FALSE),0)</f>
        <v>3.2388150000000002</v>
      </c>
      <c r="H193">
        <f>IFERROR(VLOOKUP(F193,SROU03!$F:$H,3,FALSE),0)</f>
        <v>69.129480000000001</v>
      </c>
      <c r="I193">
        <v>2.77</v>
      </c>
      <c r="J193">
        <v>0.23910000000000001</v>
      </c>
      <c r="K193">
        <f>IFERROR(VLOOKUP(F193,TICO09!$F:$K,6,FALSE),0)</f>
        <v>5.4076000000000004</v>
      </c>
      <c r="L193">
        <f>IFERROR(VLOOKUP(F193,SROU03!$F:$L,7,FALSE),0)</f>
        <v>8.0114000000000001</v>
      </c>
      <c r="M193">
        <v>5.0061999999999998</v>
      </c>
      <c r="N193" t="str">
        <f t="shared" si="13"/>
        <v>SROU03</v>
      </c>
      <c r="O193">
        <f t="shared" si="10"/>
        <v>8.0114000000000001</v>
      </c>
      <c r="P193">
        <f>VLOOKUP(N193,'Color codes'!$A:$B,2,FALSE)</f>
        <v>3</v>
      </c>
      <c r="Q193">
        <f>TRUNC(VLOOKUP(N193,'Color codes'!$A:$E,3,FALSE)*(0.25 + 0.75*O193/40))</f>
        <v>42</v>
      </c>
      <c r="R193">
        <f>TRUNC(VLOOKUP(N193,'Color codes'!$A:$E,4,FALSE)*(0.25 + 0.75*O193/40))</f>
        <v>70</v>
      </c>
      <c r="S193">
        <f>TRUNC(VLOOKUP(N193,'Color codes'!$A:$E,5,FALSE)*(0.25 + 0.75*O193/40))</f>
        <v>102</v>
      </c>
      <c r="T193" t="b">
        <f t="shared" si="11"/>
        <v>1</v>
      </c>
    </row>
    <row r="194" spans="1:20" x14ac:dyDescent="0.25">
      <c r="A194" t="s">
        <v>14</v>
      </c>
      <c r="B194" t="s">
        <v>8</v>
      </c>
      <c r="C194">
        <v>3</v>
      </c>
      <c r="D194">
        <v>1.0000000000000001E-5</v>
      </c>
      <c r="E194">
        <v>1E-4</v>
      </c>
      <c r="F194" t="str">
        <f t="shared" si="14"/>
        <v>castle256_blurkernel7_3_0,00001_0,0001</v>
      </c>
      <c r="G194">
        <f>IFERROR(VLOOKUP(F194,SROU03!$F:$H,2,FALSE),0)</f>
        <v>35.407710999999999</v>
      </c>
      <c r="H194">
        <f>IFERROR(VLOOKUP(F194,SROU03!$F:$H,3,FALSE),0)</f>
        <v>3.1912039999999999</v>
      </c>
      <c r="I194">
        <v>25.385999999999999</v>
      </c>
      <c r="J194">
        <v>15.654199999999999</v>
      </c>
      <c r="K194">
        <f>IFERROR(VLOOKUP(F194,TICO09!$F:$K,6,FALSE),0)</f>
        <v>19.024000000000001</v>
      </c>
      <c r="L194">
        <f>IFERROR(VLOOKUP(F194,SROU03!$F:$L,7,FALSE),0)</f>
        <v>28.072099999999999</v>
      </c>
      <c r="M194">
        <v>28.4024</v>
      </c>
      <c r="N194" t="str">
        <f t="shared" si="13"/>
        <v>BM3D</v>
      </c>
      <c r="O194">
        <f t="shared" si="10"/>
        <v>28.4024</v>
      </c>
      <c r="P194">
        <f>VLOOKUP(N194,'Color codes'!$A:$B,2,FALSE)</f>
        <v>1</v>
      </c>
      <c r="Q194">
        <f>TRUNC(VLOOKUP(N194,'Color codes'!$A:$E,3,FALSE)*(0.25 + 0.75*O194/40))</f>
        <v>199</v>
      </c>
      <c r="R194">
        <f>TRUNC(VLOOKUP(N194,'Color codes'!$A:$E,4,FALSE)*(0.25 + 0.75*O194/40))</f>
        <v>83</v>
      </c>
      <c r="S194">
        <f>TRUNC(VLOOKUP(N194,'Color codes'!$A:$E,5,FALSE)*(0.25 + 0.75*O194/40))</f>
        <v>81</v>
      </c>
      <c r="T194" t="b">
        <f t="shared" si="11"/>
        <v>0</v>
      </c>
    </row>
    <row r="195" spans="1:20" x14ac:dyDescent="0.25">
      <c r="A195" t="s">
        <v>14</v>
      </c>
      <c r="B195" t="s">
        <v>8</v>
      </c>
      <c r="C195">
        <v>3</v>
      </c>
      <c r="D195">
        <v>1.0000000000000001E-5</v>
      </c>
      <c r="E195">
        <v>1E-3</v>
      </c>
      <c r="F195" t="str">
        <f t="shared" si="14"/>
        <v>castle256_blurkernel7_3_0,00001_0,001</v>
      </c>
      <c r="G195">
        <f>IFERROR(VLOOKUP(F195,SROU03!$F:$H,2,FALSE),0)</f>
        <v>26.578341999999999</v>
      </c>
      <c r="H195">
        <f>IFERROR(VLOOKUP(F195,SROU03!$F:$H,3,FALSE),0)</f>
        <v>3.1324350000000001</v>
      </c>
      <c r="I195">
        <v>15.5131</v>
      </c>
      <c r="J195">
        <v>15.654199999999999</v>
      </c>
      <c r="K195">
        <f>IFERROR(VLOOKUP(F195,TICO09!$F:$K,6,FALSE),0)</f>
        <v>18.0427</v>
      </c>
      <c r="L195">
        <f>IFERROR(VLOOKUP(F195,SROU03!$F:$L,7,FALSE),0)</f>
        <v>21.287600000000001</v>
      </c>
      <c r="M195">
        <v>20.6205</v>
      </c>
      <c r="N195" t="str">
        <f t="shared" si="13"/>
        <v>SROU03</v>
      </c>
      <c r="O195">
        <f t="shared" ref="O195:O257" si="15">MAX(K195:M195)</f>
        <v>21.287600000000001</v>
      </c>
      <c r="P195">
        <f>VLOOKUP(N195,'Color codes'!$A:$B,2,FALSE)</f>
        <v>3</v>
      </c>
      <c r="Q195">
        <f>TRUNC(VLOOKUP(N195,'Color codes'!$A:$E,3,FALSE)*(0.25 + 0.75*O195/40))</f>
        <v>69</v>
      </c>
      <c r="R195">
        <f>TRUNC(VLOOKUP(N195,'Color codes'!$A:$E,4,FALSE)*(0.25 + 0.75*O195/40))</f>
        <v>114</v>
      </c>
      <c r="S195">
        <f>TRUNC(VLOOKUP(N195,'Color codes'!$A:$E,5,FALSE)*(0.25 + 0.75*O195/40))</f>
        <v>165</v>
      </c>
      <c r="T195" t="b">
        <f t="shared" ref="T195:T257" si="16">(ABS(L195-M195)  &gt; 1)</f>
        <v>0</v>
      </c>
    </row>
    <row r="196" spans="1:20" x14ac:dyDescent="0.25">
      <c r="A196" t="s">
        <v>14</v>
      </c>
      <c r="B196" t="s">
        <v>8</v>
      </c>
      <c r="C196">
        <v>3</v>
      </c>
      <c r="D196">
        <v>1.0000000000000001E-5</v>
      </c>
      <c r="E196">
        <v>0.01</v>
      </c>
      <c r="F196" t="str">
        <f t="shared" si="14"/>
        <v>castle256_blurkernel7_3_0,00001_0,01</v>
      </c>
      <c r="G196">
        <f>IFERROR(VLOOKUP(F196,SROU03!$F:$H,2,FALSE),0)</f>
        <v>22.848984999999999</v>
      </c>
      <c r="H196">
        <f>IFERROR(VLOOKUP(F196,SROU03!$F:$H,3,FALSE),0)</f>
        <v>3.1997230000000001</v>
      </c>
      <c r="I196">
        <v>6.4279000000000002</v>
      </c>
      <c r="J196">
        <v>15.654199999999999</v>
      </c>
      <c r="K196">
        <f>IFERROR(VLOOKUP(F196,TICO09!$F:$K,6,FALSE),0)</f>
        <v>15.7294</v>
      </c>
      <c r="L196">
        <f>IFERROR(VLOOKUP(F196,SROU03!$F:$L,7,FALSE),0)</f>
        <v>20.3888</v>
      </c>
      <c r="M196">
        <v>14.138299999999999</v>
      </c>
      <c r="N196" t="str">
        <f t="shared" si="13"/>
        <v>SROU03</v>
      </c>
      <c r="O196">
        <f t="shared" si="15"/>
        <v>20.3888</v>
      </c>
      <c r="P196">
        <f>VLOOKUP(N196,'Color codes'!$A:$B,2,FALSE)</f>
        <v>3</v>
      </c>
      <c r="Q196">
        <f>TRUNC(VLOOKUP(N196,'Color codes'!$A:$E,3,FALSE)*(0.25 + 0.75*O196/40))</f>
        <v>67</v>
      </c>
      <c r="R196">
        <f>TRUNC(VLOOKUP(N196,'Color codes'!$A:$E,4,FALSE)*(0.25 + 0.75*O196/40))</f>
        <v>111</v>
      </c>
      <c r="S196">
        <f>TRUNC(VLOOKUP(N196,'Color codes'!$A:$E,5,FALSE)*(0.25 + 0.75*O196/40))</f>
        <v>161</v>
      </c>
      <c r="T196" t="b">
        <f t="shared" si="16"/>
        <v>1</v>
      </c>
    </row>
    <row r="197" spans="1:20" x14ac:dyDescent="0.25">
      <c r="A197" t="s">
        <v>14</v>
      </c>
      <c r="B197" t="s">
        <v>8</v>
      </c>
      <c r="C197">
        <v>3</v>
      </c>
      <c r="D197">
        <v>1.0000000000000001E-5</v>
      </c>
      <c r="E197">
        <v>0.1</v>
      </c>
      <c r="F197" t="str">
        <f t="shared" si="14"/>
        <v>castle256_blurkernel7_3_0,00001_0,1</v>
      </c>
      <c r="G197">
        <f>IFERROR(VLOOKUP(F197,SROU03!$F:$H,2,FALSE),0)</f>
        <v>20.584607999999999</v>
      </c>
      <c r="H197">
        <f>IFERROR(VLOOKUP(F197,SROU03!$F:$H,3,FALSE),0)</f>
        <v>3.2247460000000001</v>
      </c>
      <c r="I197">
        <v>1.2261</v>
      </c>
      <c r="J197">
        <v>15.654199999999999</v>
      </c>
      <c r="K197">
        <f>IFERROR(VLOOKUP(F197,TICO09!$F:$K,6,FALSE),0)</f>
        <v>10.454499999999999</v>
      </c>
      <c r="L197">
        <f>IFERROR(VLOOKUP(F197,SROU03!$F:$L,7,FALSE),0)</f>
        <v>19.517199999999999</v>
      </c>
      <c r="M197">
        <v>9.2522000000000002</v>
      </c>
      <c r="N197" t="str">
        <f t="shared" si="13"/>
        <v>SROU03</v>
      </c>
      <c r="O197">
        <f t="shared" si="15"/>
        <v>19.517199999999999</v>
      </c>
      <c r="P197">
        <f>VLOOKUP(N197,'Color codes'!$A:$B,2,FALSE)</f>
        <v>3</v>
      </c>
      <c r="Q197">
        <f>TRUNC(VLOOKUP(N197,'Color codes'!$A:$E,3,FALSE)*(0.25 + 0.75*O197/40))</f>
        <v>65</v>
      </c>
      <c r="R197">
        <f>TRUNC(VLOOKUP(N197,'Color codes'!$A:$E,4,FALSE)*(0.25 + 0.75*O197/40))</f>
        <v>108</v>
      </c>
      <c r="S197">
        <f>TRUNC(VLOOKUP(N197,'Color codes'!$A:$E,5,FALSE)*(0.25 + 0.75*O197/40))</f>
        <v>157</v>
      </c>
      <c r="T197" t="b">
        <f t="shared" si="16"/>
        <v>1</v>
      </c>
    </row>
    <row r="198" spans="1:20" x14ac:dyDescent="0.25">
      <c r="A198" t="s">
        <v>14</v>
      </c>
      <c r="B198" t="s">
        <v>8</v>
      </c>
      <c r="C198">
        <v>7</v>
      </c>
      <c r="D198">
        <v>1.0000000000000001E-5</v>
      </c>
      <c r="E198">
        <v>1E-4</v>
      </c>
      <c r="F198" t="str">
        <f t="shared" si="14"/>
        <v>castle256_blurkernel7_7_0,00001_0,0001</v>
      </c>
      <c r="G198">
        <f>IFERROR(VLOOKUP(F198,SROU03!$F:$H,2,FALSE),0)</f>
        <v>25.966497</v>
      </c>
      <c r="H198">
        <f>IFERROR(VLOOKUP(F198,SROU03!$F:$H,3,FALSE),0)</f>
        <v>8.3118859999999994</v>
      </c>
      <c r="I198">
        <v>25.370799999999999</v>
      </c>
      <c r="J198">
        <v>10.9254</v>
      </c>
      <c r="K198">
        <f>IFERROR(VLOOKUP(F198,TICO09!$F:$K,6,FALSE),0)</f>
        <v>18.894600000000001</v>
      </c>
      <c r="L198">
        <f>IFERROR(VLOOKUP(F198,SROU03!$F:$L,7,FALSE),0)</f>
        <v>26.890999999999998</v>
      </c>
      <c r="M198">
        <v>28.392499999999998</v>
      </c>
      <c r="N198" t="str">
        <f t="shared" si="13"/>
        <v>BM3D</v>
      </c>
      <c r="O198">
        <f t="shared" si="15"/>
        <v>28.392499999999998</v>
      </c>
      <c r="P198">
        <f>VLOOKUP(N198,'Color codes'!$A:$B,2,FALSE)</f>
        <v>1</v>
      </c>
      <c r="Q198">
        <f>TRUNC(VLOOKUP(N198,'Color codes'!$A:$E,3,FALSE)*(0.25 + 0.75*O198/40))</f>
        <v>199</v>
      </c>
      <c r="R198">
        <f>TRUNC(VLOOKUP(N198,'Color codes'!$A:$E,4,FALSE)*(0.25 + 0.75*O198/40))</f>
        <v>83</v>
      </c>
      <c r="S198">
        <f>TRUNC(VLOOKUP(N198,'Color codes'!$A:$E,5,FALSE)*(0.25 + 0.75*O198/40))</f>
        <v>81</v>
      </c>
      <c r="T198" t="b">
        <f t="shared" si="16"/>
        <v>1</v>
      </c>
    </row>
    <row r="199" spans="1:20" x14ac:dyDescent="0.25">
      <c r="A199" t="s">
        <v>14</v>
      </c>
      <c r="B199" t="s">
        <v>8</v>
      </c>
      <c r="C199">
        <v>7</v>
      </c>
      <c r="D199">
        <v>1.0000000000000001E-5</v>
      </c>
      <c r="E199">
        <v>1E-3</v>
      </c>
      <c r="F199" t="str">
        <f t="shared" si="14"/>
        <v>castle256_blurkernel7_7_0,00001_0,001</v>
      </c>
      <c r="G199">
        <f>IFERROR(VLOOKUP(F199,SROU03!$F:$H,2,FALSE),0)</f>
        <v>15.133015</v>
      </c>
      <c r="H199">
        <f>IFERROR(VLOOKUP(F199,SROU03!$F:$H,3,FALSE),0)</f>
        <v>8.0042270000000002</v>
      </c>
      <c r="I199">
        <v>15.5245</v>
      </c>
      <c r="J199">
        <v>10.9254</v>
      </c>
      <c r="K199">
        <f>IFERROR(VLOOKUP(F199,TICO09!$F:$K,6,FALSE),0)</f>
        <v>17.105799999999999</v>
      </c>
      <c r="L199">
        <f>IFERROR(VLOOKUP(F199,SROU03!$F:$L,7,FALSE),0)</f>
        <v>19.748899999999999</v>
      </c>
      <c r="M199">
        <v>20.647099999999998</v>
      </c>
      <c r="N199" t="str">
        <f t="shared" si="13"/>
        <v>BM3D</v>
      </c>
      <c r="O199">
        <f t="shared" si="15"/>
        <v>20.647099999999998</v>
      </c>
      <c r="P199">
        <f>VLOOKUP(N199,'Color codes'!$A:$B,2,FALSE)</f>
        <v>1</v>
      </c>
      <c r="Q199">
        <f>TRUNC(VLOOKUP(N199,'Color codes'!$A:$E,3,FALSE)*(0.25 + 0.75*O199/40))</f>
        <v>162</v>
      </c>
      <c r="R199">
        <f>TRUNC(VLOOKUP(N199,'Color codes'!$A:$E,4,FALSE)*(0.25 + 0.75*O199/40))</f>
        <v>68</v>
      </c>
      <c r="S199">
        <f>TRUNC(VLOOKUP(N199,'Color codes'!$A:$E,5,FALSE)*(0.25 + 0.75*O199/40))</f>
        <v>66</v>
      </c>
      <c r="T199" t="b">
        <f t="shared" si="16"/>
        <v>0</v>
      </c>
    </row>
    <row r="200" spans="1:20" x14ac:dyDescent="0.25">
      <c r="A200" t="s">
        <v>14</v>
      </c>
      <c r="B200" t="s">
        <v>8</v>
      </c>
      <c r="C200">
        <v>7</v>
      </c>
      <c r="D200">
        <v>1.0000000000000001E-5</v>
      </c>
      <c r="E200">
        <v>0.01</v>
      </c>
      <c r="F200" t="str">
        <f t="shared" si="14"/>
        <v>castle256_blurkernel7_7_0,00001_0,01</v>
      </c>
      <c r="G200">
        <f>IFERROR(VLOOKUP(F200,SROU03!$F:$H,2,FALSE),0)</f>
        <v>11.638774</v>
      </c>
      <c r="H200">
        <f>IFERROR(VLOOKUP(F200,SROU03!$F:$H,3,FALSE),0)</f>
        <v>8.0509070000000005</v>
      </c>
      <c r="I200">
        <v>6.4654999999999996</v>
      </c>
      <c r="J200">
        <v>10.9254</v>
      </c>
      <c r="K200">
        <f>IFERROR(VLOOKUP(F200,TICO09!$F:$K,6,FALSE),0)</f>
        <v>13.4984</v>
      </c>
      <c r="L200">
        <f>IFERROR(VLOOKUP(F200,SROU03!$F:$L,7,FALSE),0)</f>
        <v>14.944699999999999</v>
      </c>
      <c r="M200">
        <v>14.1449</v>
      </c>
      <c r="N200" t="str">
        <f t="shared" si="13"/>
        <v>SROU03</v>
      </c>
      <c r="O200">
        <f t="shared" si="15"/>
        <v>14.944699999999999</v>
      </c>
      <c r="P200">
        <f>VLOOKUP(N200,'Color codes'!$A:$B,2,FALSE)</f>
        <v>3</v>
      </c>
      <c r="Q200">
        <f>TRUNC(VLOOKUP(N200,'Color codes'!$A:$E,3,FALSE)*(0.25 + 0.75*O200/40))</f>
        <v>56</v>
      </c>
      <c r="R200">
        <f>TRUNC(VLOOKUP(N200,'Color codes'!$A:$E,4,FALSE)*(0.25 + 0.75*O200/40))</f>
        <v>93</v>
      </c>
      <c r="S200">
        <f>TRUNC(VLOOKUP(N200,'Color codes'!$A:$E,5,FALSE)*(0.25 + 0.75*O200/40))</f>
        <v>135</v>
      </c>
      <c r="T200" t="b">
        <f t="shared" si="16"/>
        <v>0</v>
      </c>
    </row>
    <row r="201" spans="1:20" x14ac:dyDescent="0.25">
      <c r="A201" t="s">
        <v>14</v>
      </c>
      <c r="B201" t="s">
        <v>8</v>
      </c>
      <c r="C201">
        <v>7</v>
      </c>
      <c r="D201">
        <v>1.0000000000000001E-5</v>
      </c>
      <c r="E201">
        <v>0.1</v>
      </c>
      <c r="F201" t="str">
        <f t="shared" si="14"/>
        <v>castle256_blurkernel7_7_0,00001_0,1</v>
      </c>
      <c r="G201">
        <f>IFERROR(VLOOKUP(F201,SROU03!$F:$H,2,FALSE),0)</f>
        <v>9.3599739999999994</v>
      </c>
      <c r="H201">
        <f>IFERROR(VLOOKUP(F201,SROU03!$F:$H,3,FALSE),0)</f>
        <v>8.1039429999999992</v>
      </c>
      <c r="I201">
        <v>1.1967000000000001</v>
      </c>
      <c r="J201">
        <v>10.9254</v>
      </c>
      <c r="K201">
        <f>IFERROR(VLOOKUP(F201,TICO09!$F:$K,6,FALSE),0)</f>
        <v>8.9666999999999994</v>
      </c>
      <c r="L201">
        <f>IFERROR(VLOOKUP(F201,SROU03!$F:$L,7,FALSE),0)</f>
        <v>8.8780000000000001</v>
      </c>
      <c r="M201">
        <v>9.4306000000000001</v>
      </c>
      <c r="N201" t="str">
        <f t="shared" si="13"/>
        <v>BM3D</v>
      </c>
      <c r="O201">
        <f t="shared" si="15"/>
        <v>9.4306000000000001</v>
      </c>
      <c r="P201">
        <f>VLOOKUP(N201,'Color codes'!$A:$B,2,FALSE)</f>
        <v>1</v>
      </c>
      <c r="Q201">
        <f>TRUNC(VLOOKUP(N201,'Color codes'!$A:$E,3,FALSE)*(0.25 + 0.75*O201/40))</f>
        <v>108</v>
      </c>
      <c r="R201">
        <f>TRUNC(VLOOKUP(N201,'Color codes'!$A:$E,4,FALSE)*(0.25 + 0.75*O201/40))</f>
        <v>45</v>
      </c>
      <c r="S201">
        <f>TRUNC(VLOOKUP(N201,'Color codes'!$A:$E,5,FALSE)*(0.25 + 0.75*O201/40))</f>
        <v>44</v>
      </c>
      <c r="T201" t="b">
        <f t="shared" si="16"/>
        <v>0</v>
      </c>
    </row>
    <row r="202" spans="1:20" x14ac:dyDescent="0.25">
      <c r="A202" t="s">
        <v>14</v>
      </c>
      <c r="B202" t="s">
        <v>8</v>
      </c>
      <c r="C202">
        <v>15</v>
      </c>
      <c r="D202">
        <v>1.0000000000000001E-5</v>
      </c>
      <c r="E202">
        <v>1E-4</v>
      </c>
      <c r="F202" t="str">
        <f t="shared" si="14"/>
        <v>castle256_blurkernel7_15_0,00001_0,0001</v>
      </c>
      <c r="G202">
        <f>IFERROR(VLOOKUP(F202,SROU03!$F:$H,2,FALSE),0)</f>
        <v>23.037545999999999</v>
      </c>
      <c r="H202">
        <f>IFERROR(VLOOKUP(F202,SROU03!$F:$H,3,FALSE),0)</f>
        <v>18.269562000000001</v>
      </c>
      <c r="I202">
        <v>25.383099999999999</v>
      </c>
      <c r="J202">
        <v>8.5839999999999996</v>
      </c>
      <c r="K202">
        <f>IFERROR(VLOOKUP(F202,TICO09!$F:$K,6,FALSE),0)</f>
        <v>19.6296</v>
      </c>
      <c r="L202">
        <f>IFERROR(VLOOKUP(F202,SROU03!$F:$L,7,FALSE),0)</f>
        <v>26.61</v>
      </c>
      <c r="M202">
        <v>28.399899999999999</v>
      </c>
      <c r="N202" t="str">
        <f t="shared" si="13"/>
        <v>BM3D</v>
      </c>
      <c r="O202">
        <f t="shared" si="15"/>
        <v>28.399899999999999</v>
      </c>
      <c r="P202">
        <f>VLOOKUP(N202,'Color codes'!$A:$B,2,FALSE)</f>
        <v>1</v>
      </c>
      <c r="Q202">
        <f>TRUNC(VLOOKUP(N202,'Color codes'!$A:$E,3,FALSE)*(0.25 + 0.75*O202/40))</f>
        <v>199</v>
      </c>
      <c r="R202">
        <f>TRUNC(VLOOKUP(N202,'Color codes'!$A:$E,4,FALSE)*(0.25 + 0.75*O202/40))</f>
        <v>83</v>
      </c>
      <c r="S202">
        <f>TRUNC(VLOOKUP(N202,'Color codes'!$A:$E,5,FALSE)*(0.25 + 0.75*O202/40))</f>
        <v>81</v>
      </c>
      <c r="T202" t="b">
        <f t="shared" si="16"/>
        <v>1</v>
      </c>
    </row>
    <row r="203" spans="1:20" x14ac:dyDescent="0.25">
      <c r="A203" t="s">
        <v>14</v>
      </c>
      <c r="B203" t="s">
        <v>8</v>
      </c>
      <c r="C203">
        <v>15</v>
      </c>
      <c r="D203">
        <v>1.0000000000000001E-5</v>
      </c>
      <c r="E203">
        <v>1E-3</v>
      </c>
      <c r="F203" t="str">
        <f t="shared" si="14"/>
        <v>castle256_blurkernel7_15_0,00001_0,001</v>
      </c>
      <c r="G203">
        <f>IFERROR(VLOOKUP(F203,SROU03!$F:$H,2,FALSE),0)</f>
        <v>10.040564</v>
      </c>
      <c r="H203">
        <f>IFERROR(VLOOKUP(F203,SROU03!$F:$H,3,FALSE),0)</f>
        <v>17.521975999999999</v>
      </c>
      <c r="I203">
        <v>15.510199999999999</v>
      </c>
      <c r="J203">
        <v>8.5839999999999996</v>
      </c>
      <c r="K203">
        <f>IFERROR(VLOOKUP(F203,TICO09!$F:$K,6,FALSE),0)</f>
        <v>17.443899999999999</v>
      </c>
      <c r="L203">
        <f>IFERROR(VLOOKUP(F203,SROU03!$F:$L,7,FALSE),0)</f>
        <v>19.871300000000002</v>
      </c>
      <c r="M203">
        <v>20.5669</v>
      </c>
      <c r="N203" t="str">
        <f t="shared" si="13"/>
        <v>BM3D</v>
      </c>
      <c r="O203">
        <f t="shared" si="15"/>
        <v>20.5669</v>
      </c>
      <c r="P203">
        <f>VLOOKUP(N203,'Color codes'!$A:$B,2,FALSE)</f>
        <v>1</v>
      </c>
      <c r="Q203">
        <f>TRUNC(VLOOKUP(N203,'Color codes'!$A:$E,3,FALSE)*(0.25 + 0.75*O203/40))</f>
        <v>162</v>
      </c>
      <c r="R203">
        <f>TRUNC(VLOOKUP(N203,'Color codes'!$A:$E,4,FALSE)*(0.25 + 0.75*O203/40))</f>
        <v>68</v>
      </c>
      <c r="S203">
        <f>TRUNC(VLOOKUP(N203,'Color codes'!$A:$E,5,FALSE)*(0.25 + 0.75*O203/40))</f>
        <v>66</v>
      </c>
      <c r="T203" t="b">
        <f t="shared" si="16"/>
        <v>0</v>
      </c>
    </row>
    <row r="204" spans="1:20" x14ac:dyDescent="0.25">
      <c r="A204" t="s">
        <v>14</v>
      </c>
      <c r="B204" t="s">
        <v>8</v>
      </c>
      <c r="C204">
        <v>15</v>
      </c>
      <c r="D204">
        <v>1.0000000000000001E-5</v>
      </c>
      <c r="E204">
        <v>0.01</v>
      </c>
      <c r="F204" t="str">
        <f t="shared" si="14"/>
        <v>castle256_blurkernel7_15_0,00001_0,01</v>
      </c>
      <c r="G204">
        <f>IFERROR(VLOOKUP(F204,SROU03!$F:$H,2,FALSE),0)</f>
        <v>6.7242150000000001</v>
      </c>
      <c r="H204">
        <f>IFERROR(VLOOKUP(F204,SROU03!$F:$H,3,FALSE),0)</f>
        <v>17.489701</v>
      </c>
      <c r="I204">
        <v>6.4932999999999996</v>
      </c>
      <c r="J204">
        <v>8.5839999999999996</v>
      </c>
      <c r="K204">
        <f>IFERROR(VLOOKUP(F204,TICO09!$F:$K,6,FALSE),0)</f>
        <v>13.162100000000001</v>
      </c>
      <c r="L204">
        <f>IFERROR(VLOOKUP(F204,SROU03!$F:$L,7,FALSE),0)</f>
        <v>15.262</v>
      </c>
      <c r="M204">
        <v>14.1775</v>
      </c>
      <c r="N204" t="str">
        <f t="shared" si="13"/>
        <v>SROU03</v>
      </c>
      <c r="O204">
        <f t="shared" si="15"/>
        <v>15.262</v>
      </c>
      <c r="P204">
        <f>VLOOKUP(N204,'Color codes'!$A:$B,2,FALSE)</f>
        <v>3</v>
      </c>
      <c r="Q204">
        <f>TRUNC(VLOOKUP(N204,'Color codes'!$A:$E,3,FALSE)*(0.25 + 0.75*O204/40))</f>
        <v>57</v>
      </c>
      <c r="R204">
        <f>TRUNC(VLOOKUP(N204,'Color codes'!$A:$E,4,FALSE)*(0.25 + 0.75*O204/40))</f>
        <v>94</v>
      </c>
      <c r="S204">
        <f>TRUNC(VLOOKUP(N204,'Color codes'!$A:$E,5,FALSE)*(0.25 + 0.75*O204/40))</f>
        <v>136</v>
      </c>
      <c r="T204" t="b">
        <f t="shared" si="16"/>
        <v>1</v>
      </c>
    </row>
    <row r="205" spans="1:20" x14ac:dyDescent="0.25">
      <c r="A205" t="s">
        <v>14</v>
      </c>
      <c r="B205" t="s">
        <v>8</v>
      </c>
      <c r="C205">
        <v>15</v>
      </c>
      <c r="D205">
        <v>1.0000000000000001E-5</v>
      </c>
      <c r="E205">
        <v>0.1</v>
      </c>
      <c r="F205" t="str">
        <f t="shared" si="14"/>
        <v>castle256_blurkernel7_15_0,00001_0,1</v>
      </c>
      <c r="G205">
        <f>IFERROR(VLOOKUP(F205,SROU03!$F:$H,2,FALSE),0)</f>
        <v>5.4324329999999996</v>
      </c>
      <c r="H205">
        <f>IFERROR(VLOOKUP(F205,SROU03!$F:$H,3,FALSE),0)</f>
        <v>17.511686000000001</v>
      </c>
      <c r="I205">
        <v>1.1778999999999999</v>
      </c>
      <c r="J205">
        <v>8.5839999999999996</v>
      </c>
      <c r="K205">
        <f>IFERROR(VLOOKUP(F205,TICO09!$F:$K,6,FALSE),0)</f>
        <v>7.8974000000000002</v>
      </c>
      <c r="L205">
        <f>IFERROR(VLOOKUP(F205,SROU03!$F:$L,7,FALSE),0)</f>
        <v>10.3575</v>
      </c>
      <c r="M205">
        <v>9.2095000000000002</v>
      </c>
      <c r="N205" t="str">
        <f t="shared" si="13"/>
        <v>SROU03</v>
      </c>
      <c r="O205">
        <f t="shared" si="15"/>
        <v>10.3575</v>
      </c>
      <c r="P205">
        <f>VLOOKUP(N205,'Color codes'!$A:$B,2,FALSE)</f>
        <v>3</v>
      </c>
      <c r="Q205">
        <f>TRUNC(VLOOKUP(N205,'Color codes'!$A:$E,3,FALSE)*(0.25 + 0.75*O205/40))</f>
        <v>47</v>
      </c>
      <c r="R205">
        <f>TRUNC(VLOOKUP(N205,'Color codes'!$A:$E,4,FALSE)*(0.25 + 0.75*O205/40))</f>
        <v>78</v>
      </c>
      <c r="S205">
        <f>TRUNC(VLOOKUP(N205,'Color codes'!$A:$E,5,FALSE)*(0.25 + 0.75*O205/40))</f>
        <v>113</v>
      </c>
      <c r="T205" t="b">
        <f t="shared" si="16"/>
        <v>1</v>
      </c>
    </row>
    <row r="206" spans="1:20" x14ac:dyDescent="0.25">
      <c r="A206" t="s">
        <v>14</v>
      </c>
      <c r="B206" t="s">
        <v>8</v>
      </c>
      <c r="C206">
        <v>31</v>
      </c>
      <c r="D206">
        <v>1.0000000000000001E-5</v>
      </c>
      <c r="E206">
        <v>1E-4</v>
      </c>
      <c r="F206" t="str">
        <f t="shared" si="14"/>
        <v>castle256_blurkernel7_31_0,00001_0,0001</v>
      </c>
      <c r="G206">
        <f>IFERROR(VLOOKUP(F206,SROU03!$F:$H,2,FALSE),0)</f>
        <v>22.190076000000001</v>
      </c>
      <c r="H206">
        <f>IFERROR(VLOOKUP(F206,SROU03!$F:$H,3,FALSE),0)</f>
        <v>37.837373999999997</v>
      </c>
      <c r="I206">
        <v>25.3612</v>
      </c>
      <c r="J206">
        <v>6.6742999999999997</v>
      </c>
      <c r="K206">
        <f>IFERROR(VLOOKUP(F206,TICO09!$F:$K,6,FALSE),0)</f>
        <v>19.880500000000001</v>
      </c>
      <c r="L206">
        <f>IFERROR(VLOOKUP(F206,SROU03!$F:$L,7,FALSE),0)</f>
        <v>26.321200000000001</v>
      </c>
      <c r="M206">
        <v>28.434899999999999</v>
      </c>
      <c r="N206" t="str">
        <f t="shared" si="13"/>
        <v>BM3D</v>
      </c>
      <c r="O206">
        <f t="shared" si="15"/>
        <v>28.434899999999999</v>
      </c>
      <c r="P206">
        <f>VLOOKUP(N206,'Color codes'!$A:$B,2,FALSE)</f>
        <v>1</v>
      </c>
      <c r="Q206">
        <f>TRUNC(VLOOKUP(N206,'Color codes'!$A:$E,3,FALSE)*(0.25 + 0.75*O206/40))</f>
        <v>199</v>
      </c>
      <c r="R206">
        <f>TRUNC(VLOOKUP(N206,'Color codes'!$A:$E,4,FALSE)*(0.25 + 0.75*O206/40))</f>
        <v>83</v>
      </c>
      <c r="S206">
        <f>TRUNC(VLOOKUP(N206,'Color codes'!$A:$E,5,FALSE)*(0.25 + 0.75*O206/40))</f>
        <v>81</v>
      </c>
      <c r="T206" t="b">
        <f t="shared" si="16"/>
        <v>1</v>
      </c>
    </row>
    <row r="207" spans="1:20" x14ac:dyDescent="0.25">
      <c r="A207" t="s">
        <v>14</v>
      </c>
      <c r="B207" t="s">
        <v>8</v>
      </c>
      <c r="C207">
        <v>31</v>
      </c>
      <c r="D207">
        <v>1.0000000000000001E-5</v>
      </c>
      <c r="E207">
        <v>1E-3</v>
      </c>
      <c r="F207" t="str">
        <f t="shared" si="14"/>
        <v>castle256_blurkernel7_31_0,00001_0,001</v>
      </c>
      <c r="G207">
        <f>IFERROR(VLOOKUP(F207,SROU03!$F:$H,2,FALSE),0)</f>
        <v>8.1539420000000007</v>
      </c>
      <c r="H207">
        <f>IFERROR(VLOOKUP(F207,SROU03!$F:$H,3,FALSE),0)</f>
        <v>36.212432999999997</v>
      </c>
      <c r="I207">
        <v>15.4735</v>
      </c>
      <c r="J207">
        <v>6.6742999999999997</v>
      </c>
      <c r="K207">
        <f>IFERROR(VLOOKUP(F207,TICO09!$F:$K,6,FALSE),0)</f>
        <v>17.6587</v>
      </c>
      <c r="L207">
        <f>IFERROR(VLOOKUP(F207,SROU03!$F:$L,7,FALSE),0)</f>
        <v>19.241099999999999</v>
      </c>
      <c r="M207">
        <v>20.622499999999999</v>
      </c>
      <c r="N207" t="str">
        <f t="shared" si="13"/>
        <v>BM3D</v>
      </c>
      <c r="O207">
        <f t="shared" si="15"/>
        <v>20.622499999999999</v>
      </c>
      <c r="P207">
        <f>VLOOKUP(N207,'Color codes'!$A:$B,2,FALSE)</f>
        <v>1</v>
      </c>
      <c r="Q207">
        <f>TRUNC(VLOOKUP(N207,'Color codes'!$A:$E,3,FALSE)*(0.25 + 0.75*O207/40))</f>
        <v>162</v>
      </c>
      <c r="R207">
        <f>TRUNC(VLOOKUP(N207,'Color codes'!$A:$E,4,FALSE)*(0.25 + 0.75*O207/40))</f>
        <v>68</v>
      </c>
      <c r="S207">
        <f>TRUNC(VLOOKUP(N207,'Color codes'!$A:$E,5,FALSE)*(0.25 + 0.75*O207/40))</f>
        <v>66</v>
      </c>
      <c r="T207" t="b">
        <f t="shared" si="16"/>
        <v>1</v>
      </c>
    </row>
    <row r="208" spans="1:20" x14ac:dyDescent="0.25">
      <c r="A208" t="s">
        <v>14</v>
      </c>
      <c r="B208" t="s">
        <v>8</v>
      </c>
      <c r="C208">
        <v>31</v>
      </c>
      <c r="D208">
        <v>1.0000000000000001E-5</v>
      </c>
      <c r="E208">
        <v>0.01</v>
      </c>
      <c r="F208" t="str">
        <f t="shared" si="14"/>
        <v>castle256_blurkernel7_31_0,00001_0,01</v>
      </c>
      <c r="G208">
        <f>IFERROR(VLOOKUP(F208,SROU03!$F:$H,2,FALSE),0)</f>
        <v>4.3402430000000001</v>
      </c>
      <c r="H208">
        <f>IFERROR(VLOOKUP(F208,SROU03!$F:$H,3,FALSE),0)</f>
        <v>36.082566</v>
      </c>
      <c r="I208">
        <v>6.4843999999999999</v>
      </c>
      <c r="J208">
        <v>6.6742999999999997</v>
      </c>
      <c r="K208">
        <f>IFERROR(VLOOKUP(F208,TICO09!$F:$K,6,FALSE),0)</f>
        <v>13.1228</v>
      </c>
      <c r="L208">
        <f>IFERROR(VLOOKUP(F208,SROU03!$F:$L,7,FALSE),0)</f>
        <v>14.766</v>
      </c>
      <c r="M208">
        <v>14.146100000000001</v>
      </c>
      <c r="N208" t="str">
        <f t="shared" si="13"/>
        <v>SROU03</v>
      </c>
      <c r="O208">
        <f t="shared" si="15"/>
        <v>14.766</v>
      </c>
      <c r="P208">
        <f>VLOOKUP(N208,'Color codes'!$A:$B,2,FALSE)</f>
        <v>3</v>
      </c>
      <c r="Q208">
        <f>TRUNC(VLOOKUP(N208,'Color codes'!$A:$E,3,FALSE)*(0.25 + 0.75*O208/40))</f>
        <v>56</v>
      </c>
      <c r="R208">
        <f>TRUNC(VLOOKUP(N208,'Color codes'!$A:$E,4,FALSE)*(0.25 + 0.75*O208/40))</f>
        <v>92</v>
      </c>
      <c r="S208">
        <f>TRUNC(VLOOKUP(N208,'Color codes'!$A:$E,5,FALSE)*(0.25 + 0.75*O208/40))</f>
        <v>134</v>
      </c>
      <c r="T208" t="b">
        <f t="shared" si="16"/>
        <v>0</v>
      </c>
    </row>
    <row r="209" spans="1:20" x14ac:dyDescent="0.25">
      <c r="A209" t="s">
        <v>14</v>
      </c>
      <c r="B209" t="s">
        <v>8</v>
      </c>
      <c r="C209">
        <v>31</v>
      </c>
      <c r="D209">
        <v>1.0000000000000001E-5</v>
      </c>
      <c r="E209">
        <v>0.1</v>
      </c>
      <c r="F209" t="str">
        <f t="shared" si="14"/>
        <v>castle256_blurkernel7_31_0,00001_0,1</v>
      </c>
      <c r="G209">
        <f>IFERROR(VLOOKUP(F209,SROU03!$F:$H,2,FALSE),0)</f>
        <v>3.3676659999999998</v>
      </c>
      <c r="H209">
        <f>IFERROR(VLOOKUP(F209,SROU03!$F:$H,3,FALSE),0)</f>
        <v>36.080246000000002</v>
      </c>
      <c r="I209">
        <v>1.2290000000000001</v>
      </c>
      <c r="J209">
        <v>6.6742999999999997</v>
      </c>
      <c r="K209">
        <f>IFERROR(VLOOKUP(F209,TICO09!$F:$K,6,FALSE),0)</f>
        <v>7.6637000000000004</v>
      </c>
      <c r="L209">
        <f>IFERROR(VLOOKUP(F209,SROU03!$F:$L,7,FALSE),0)</f>
        <v>7.2641999999999998</v>
      </c>
      <c r="M209">
        <v>9.2545999999999999</v>
      </c>
      <c r="N209" t="str">
        <f t="shared" si="13"/>
        <v>BM3D</v>
      </c>
      <c r="O209">
        <f t="shared" si="15"/>
        <v>9.2545999999999999</v>
      </c>
      <c r="P209">
        <f>VLOOKUP(N209,'Color codes'!$A:$B,2,FALSE)</f>
        <v>1</v>
      </c>
      <c r="Q209">
        <f>TRUNC(VLOOKUP(N209,'Color codes'!$A:$E,3,FALSE)*(0.25 + 0.75*O209/40))</f>
        <v>107</v>
      </c>
      <c r="R209">
        <f>TRUNC(VLOOKUP(N209,'Color codes'!$A:$E,4,FALSE)*(0.25 + 0.75*O209/40))</f>
        <v>45</v>
      </c>
      <c r="S209">
        <f>TRUNC(VLOOKUP(N209,'Color codes'!$A:$E,5,FALSE)*(0.25 + 0.75*O209/40))</f>
        <v>44</v>
      </c>
      <c r="T209" t="b">
        <f t="shared" si="16"/>
        <v>1</v>
      </c>
    </row>
    <row r="210" spans="1:20" x14ac:dyDescent="0.25">
      <c r="A210" t="s">
        <v>14</v>
      </c>
      <c r="B210" t="s">
        <v>9</v>
      </c>
      <c r="C210">
        <v>3</v>
      </c>
      <c r="D210">
        <v>1.0000000000000001E-5</v>
      </c>
      <c r="E210">
        <v>1E-4</v>
      </c>
      <c r="F210" t="str">
        <f t="shared" si="14"/>
        <v>castle256_blurkernel8_3_0,00001_0,0001</v>
      </c>
      <c r="G210">
        <f>IFERROR(VLOOKUP(F210,SROU03!$F:$H,2,FALSE),0)</f>
        <v>37.067048999999997</v>
      </c>
      <c r="H210">
        <f>IFERROR(VLOOKUP(F210,SROU03!$F:$H,3,FALSE),0)</f>
        <v>3.1226699999999998</v>
      </c>
      <c r="I210">
        <v>25.381499999999999</v>
      </c>
      <c r="J210">
        <v>15.313800000000001</v>
      </c>
      <c r="K210">
        <f>IFERROR(VLOOKUP(F210,TICO09!$F:$K,6,FALSE),0)</f>
        <v>19.183199999999999</v>
      </c>
      <c r="L210">
        <f>IFERROR(VLOOKUP(F210,SROU03!$F:$L,7,FALSE),0)</f>
        <v>28.631799999999998</v>
      </c>
      <c r="M210">
        <v>28.4742</v>
      </c>
      <c r="N210" t="str">
        <f t="shared" ref="N210:N257" si="17">IF((M210&gt;(MAX(K210,L210))),"BM3D",IF(L210&gt;(MAX(K210,M210)),"SROU03","TICO09"))</f>
        <v>SROU03</v>
      </c>
      <c r="O210">
        <f t="shared" si="15"/>
        <v>28.631799999999998</v>
      </c>
      <c r="P210">
        <f>VLOOKUP(N210,'Color codes'!$A:$B,2,FALSE)</f>
        <v>3</v>
      </c>
      <c r="Q210">
        <f>TRUNC(VLOOKUP(N210,'Color codes'!$A:$E,3,FALSE)*(0.25 + 0.75*O210/40))</f>
        <v>84</v>
      </c>
      <c r="R210">
        <f>TRUNC(VLOOKUP(N210,'Color codes'!$A:$E,4,FALSE)*(0.25 + 0.75*O210/40))</f>
        <v>138</v>
      </c>
      <c r="S210">
        <f>TRUNC(VLOOKUP(N210,'Color codes'!$A:$E,5,FALSE)*(0.25 + 0.75*O210/40))</f>
        <v>200</v>
      </c>
      <c r="T210" t="b">
        <f t="shared" si="16"/>
        <v>0</v>
      </c>
    </row>
    <row r="211" spans="1:20" x14ac:dyDescent="0.25">
      <c r="A211" t="s">
        <v>14</v>
      </c>
      <c r="B211" t="s">
        <v>9</v>
      </c>
      <c r="C211">
        <v>3</v>
      </c>
      <c r="D211">
        <v>1.0000000000000001E-5</v>
      </c>
      <c r="E211">
        <v>1E-3</v>
      </c>
      <c r="F211" t="str">
        <f t="shared" si="14"/>
        <v>castle256_blurkernel8_3_0,00001_0,001</v>
      </c>
      <c r="G211">
        <f>IFERROR(VLOOKUP(F211,SROU03!$F:$H,2,FALSE),0)</f>
        <v>27.622436</v>
      </c>
      <c r="H211">
        <f>IFERROR(VLOOKUP(F211,SROU03!$F:$H,3,FALSE),0)</f>
        <v>3.0999949999999998</v>
      </c>
      <c r="I211">
        <v>15.5365</v>
      </c>
      <c r="J211">
        <v>15.313800000000001</v>
      </c>
      <c r="K211">
        <f>IFERROR(VLOOKUP(F211,TICO09!$F:$K,6,FALSE),0)</f>
        <v>18.192900000000002</v>
      </c>
      <c r="L211">
        <f>IFERROR(VLOOKUP(F211,SROU03!$F:$L,7,FALSE),0)</f>
        <v>22.992100000000001</v>
      </c>
      <c r="M211">
        <v>20.611899999999999</v>
      </c>
      <c r="N211" t="str">
        <f t="shared" si="17"/>
        <v>SROU03</v>
      </c>
      <c r="O211">
        <f t="shared" si="15"/>
        <v>22.992100000000001</v>
      </c>
      <c r="P211">
        <f>VLOOKUP(N211,'Color codes'!$A:$B,2,FALSE)</f>
        <v>3</v>
      </c>
      <c r="Q211">
        <f>TRUNC(VLOOKUP(N211,'Color codes'!$A:$E,3,FALSE)*(0.25 + 0.75*O211/40))</f>
        <v>72</v>
      </c>
      <c r="R211">
        <f>TRUNC(VLOOKUP(N211,'Color codes'!$A:$E,4,FALSE)*(0.25 + 0.75*O211/40))</f>
        <v>119</v>
      </c>
      <c r="S211">
        <f>TRUNC(VLOOKUP(N211,'Color codes'!$A:$E,5,FALSE)*(0.25 + 0.75*O211/40))</f>
        <v>173</v>
      </c>
      <c r="T211" t="b">
        <f t="shared" si="16"/>
        <v>1</v>
      </c>
    </row>
    <row r="212" spans="1:20" x14ac:dyDescent="0.25">
      <c r="A212" t="s">
        <v>14</v>
      </c>
      <c r="B212" t="s">
        <v>9</v>
      </c>
      <c r="C212">
        <v>3</v>
      </c>
      <c r="D212">
        <v>1.0000000000000001E-5</v>
      </c>
      <c r="E212">
        <v>0.01</v>
      </c>
      <c r="F212" t="str">
        <f t="shared" si="14"/>
        <v>castle256_blurkernel8_3_0,00001_0,01</v>
      </c>
      <c r="G212">
        <f>IFERROR(VLOOKUP(F212,SROU03!$F:$H,2,FALSE),0)</f>
        <v>23.100677999999998</v>
      </c>
      <c r="H212">
        <f>IFERROR(VLOOKUP(F212,SROU03!$F:$H,3,FALSE),0)</f>
        <v>3.193505</v>
      </c>
      <c r="I212">
        <v>6.4904000000000002</v>
      </c>
      <c r="J212">
        <v>15.313800000000001</v>
      </c>
      <c r="K212">
        <f>IFERROR(VLOOKUP(F212,TICO09!$F:$K,6,FALSE),0)</f>
        <v>15.611700000000001</v>
      </c>
      <c r="L212">
        <f>IFERROR(VLOOKUP(F212,SROU03!$F:$L,7,FALSE),0)</f>
        <v>22.394500000000001</v>
      </c>
      <c r="M212">
        <v>14.239699999999999</v>
      </c>
      <c r="N212" t="str">
        <f t="shared" si="17"/>
        <v>SROU03</v>
      </c>
      <c r="O212">
        <f t="shared" si="15"/>
        <v>22.394500000000001</v>
      </c>
      <c r="P212">
        <f>VLOOKUP(N212,'Color codes'!$A:$B,2,FALSE)</f>
        <v>3</v>
      </c>
      <c r="Q212">
        <f>TRUNC(VLOOKUP(N212,'Color codes'!$A:$E,3,FALSE)*(0.25 + 0.75*O212/40))</f>
        <v>71</v>
      </c>
      <c r="R212">
        <f>TRUNC(VLOOKUP(N212,'Color codes'!$A:$E,4,FALSE)*(0.25 + 0.75*O212/40))</f>
        <v>117</v>
      </c>
      <c r="S212">
        <f>TRUNC(VLOOKUP(N212,'Color codes'!$A:$E,5,FALSE)*(0.25 + 0.75*O212/40))</f>
        <v>170</v>
      </c>
      <c r="T212" t="b">
        <f t="shared" si="16"/>
        <v>1</v>
      </c>
    </row>
    <row r="213" spans="1:20" x14ac:dyDescent="0.25">
      <c r="A213" t="s">
        <v>14</v>
      </c>
      <c r="B213" t="s">
        <v>9</v>
      </c>
      <c r="C213">
        <v>3</v>
      </c>
      <c r="D213">
        <v>1.0000000000000001E-5</v>
      </c>
      <c r="E213">
        <v>0.1</v>
      </c>
      <c r="F213" t="str">
        <f t="shared" si="14"/>
        <v>castle256_blurkernel8_3_0,00001_0,1</v>
      </c>
      <c r="G213">
        <f>IFERROR(VLOOKUP(F213,SROU03!$F:$H,2,FALSE),0)</f>
        <v>20.65005</v>
      </c>
      <c r="H213">
        <f>IFERROR(VLOOKUP(F213,SROU03!$F:$H,3,FALSE),0)</f>
        <v>3.224253</v>
      </c>
      <c r="I213">
        <v>1.1998</v>
      </c>
      <c r="J213">
        <v>15.313800000000001</v>
      </c>
      <c r="K213">
        <f>IFERROR(VLOOKUP(F213,TICO09!$F:$K,6,FALSE),0)</f>
        <v>10.5891</v>
      </c>
      <c r="L213">
        <f>IFERROR(VLOOKUP(F213,SROU03!$F:$L,7,FALSE),0)</f>
        <v>19.062799999999999</v>
      </c>
      <c r="M213">
        <v>9.3513999999999999</v>
      </c>
      <c r="N213" t="str">
        <f t="shared" si="17"/>
        <v>SROU03</v>
      </c>
      <c r="O213">
        <f t="shared" si="15"/>
        <v>19.062799999999999</v>
      </c>
      <c r="P213">
        <f>VLOOKUP(N213,'Color codes'!$A:$B,2,FALSE)</f>
        <v>3</v>
      </c>
      <c r="Q213">
        <f>TRUNC(VLOOKUP(N213,'Color codes'!$A:$E,3,FALSE)*(0.25 + 0.75*O213/40))</f>
        <v>64</v>
      </c>
      <c r="R213">
        <f>TRUNC(VLOOKUP(N213,'Color codes'!$A:$E,4,FALSE)*(0.25 + 0.75*O213/40))</f>
        <v>106</v>
      </c>
      <c r="S213">
        <f>TRUNC(VLOOKUP(N213,'Color codes'!$A:$E,5,FALSE)*(0.25 + 0.75*O213/40))</f>
        <v>154</v>
      </c>
      <c r="T213" t="b">
        <f t="shared" si="16"/>
        <v>1</v>
      </c>
    </row>
    <row r="214" spans="1:20" x14ac:dyDescent="0.25">
      <c r="A214" t="s">
        <v>14</v>
      </c>
      <c r="B214" t="s">
        <v>9</v>
      </c>
      <c r="C214">
        <v>7</v>
      </c>
      <c r="D214">
        <v>1.0000000000000001E-5</v>
      </c>
      <c r="E214">
        <v>1E-4</v>
      </c>
      <c r="F214" t="str">
        <f t="shared" si="14"/>
        <v>castle256_blurkernel8_7_0,00001_0,0001</v>
      </c>
      <c r="G214">
        <f>IFERROR(VLOOKUP(F214,SROU03!$F:$H,2,FALSE),0)</f>
        <v>27.084837</v>
      </c>
      <c r="H214">
        <f>IFERROR(VLOOKUP(F214,SROU03!$F:$H,3,FALSE),0)</f>
        <v>8.2125029999999999</v>
      </c>
      <c r="I214">
        <v>25.3809</v>
      </c>
      <c r="J214">
        <v>10.7348</v>
      </c>
      <c r="K214">
        <f>IFERROR(VLOOKUP(F214,TICO09!$F:$K,6,FALSE),0)</f>
        <v>18.915299999999998</v>
      </c>
      <c r="L214">
        <f>IFERROR(VLOOKUP(F214,SROU03!$F:$L,7,FALSE),0)</f>
        <v>27.268799999999999</v>
      </c>
      <c r="M214">
        <v>28.444400000000002</v>
      </c>
      <c r="N214" t="str">
        <f t="shared" si="17"/>
        <v>BM3D</v>
      </c>
      <c r="O214">
        <f t="shared" si="15"/>
        <v>28.444400000000002</v>
      </c>
      <c r="P214">
        <f>VLOOKUP(N214,'Color codes'!$A:$B,2,FALSE)</f>
        <v>1</v>
      </c>
      <c r="Q214">
        <f>TRUNC(VLOOKUP(N214,'Color codes'!$A:$E,3,FALSE)*(0.25 + 0.75*O214/40))</f>
        <v>199</v>
      </c>
      <c r="R214">
        <f>TRUNC(VLOOKUP(N214,'Color codes'!$A:$E,4,FALSE)*(0.25 + 0.75*O214/40))</f>
        <v>83</v>
      </c>
      <c r="S214">
        <f>TRUNC(VLOOKUP(N214,'Color codes'!$A:$E,5,FALSE)*(0.25 + 0.75*O214/40))</f>
        <v>81</v>
      </c>
      <c r="T214" t="b">
        <f t="shared" si="16"/>
        <v>1</v>
      </c>
    </row>
    <row r="215" spans="1:20" x14ac:dyDescent="0.25">
      <c r="A215" t="s">
        <v>14</v>
      </c>
      <c r="B215" t="s">
        <v>9</v>
      </c>
      <c r="C215">
        <v>7</v>
      </c>
      <c r="D215">
        <v>1.0000000000000001E-5</v>
      </c>
      <c r="E215">
        <v>1E-3</v>
      </c>
      <c r="F215" t="str">
        <f t="shared" si="14"/>
        <v>castle256_blurkernel8_7_0,00001_0,001</v>
      </c>
      <c r="G215">
        <f>IFERROR(VLOOKUP(F215,SROU03!$F:$H,2,FALSE),0)</f>
        <v>16.057289000000001</v>
      </c>
      <c r="H215">
        <f>IFERROR(VLOOKUP(F215,SROU03!$F:$H,3,FALSE),0)</f>
        <v>7.9580460000000004</v>
      </c>
      <c r="I215">
        <v>15.534000000000001</v>
      </c>
      <c r="J215">
        <v>10.7348</v>
      </c>
      <c r="K215">
        <f>IFERROR(VLOOKUP(F215,TICO09!$F:$K,6,FALSE),0)</f>
        <v>17.2226</v>
      </c>
      <c r="L215">
        <f>IFERROR(VLOOKUP(F215,SROU03!$F:$L,7,FALSE),0)</f>
        <v>20.336400000000001</v>
      </c>
      <c r="M215">
        <v>20.601500000000001</v>
      </c>
      <c r="N215" t="str">
        <f t="shared" si="17"/>
        <v>BM3D</v>
      </c>
      <c r="O215">
        <f t="shared" si="15"/>
        <v>20.601500000000001</v>
      </c>
      <c r="P215">
        <f>VLOOKUP(N215,'Color codes'!$A:$B,2,FALSE)</f>
        <v>1</v>
      </c>
      <c r="Q215">
        <f>TRUNC(VLOOKUP(N215,'Color codes'!$A:$E,3,FALSE)*(0.25 + 0.75*O215/40))</f>
        <v>162</v>
      </c>
      <c r="R215">
        <f>TRUNC(VLOOKUP(N215,'Color codes'!$A:$E,4,FALSE)*(0.25 + 0.75*O215/40))</f>
        <v>68</v>
      </c>
      <c r="S215">
        <f>TRUNC(VLOOKUP(N215,'Color codes'!$A:$E,5,FALSE)*(0.25 + 0.75*O215/40))</f>
        <v>66</v>
      </c>
      <c r="T215" t="b">
        <f t="shared" si="16"/>
        <v>0</v>
      </c>
    </row>
    <row r="216" spans="1:20" x14ac:dyDescent="0.25">
      <c r="A216" t="s">
        <v>14</v>
      </c>
      <c r="B216" t="s">
        <v>9</v>
      </c>
      <c r="C216">
        <v>7</v>
      </c>
      <c r="D216">
        <v>1.0000000000000001E-5</v>
      </c>
      <c r="E216">
        <v>0.01</v>
      </c>
      <c r="F216" t="str">
        <f t="shared" si="14"/>
        <v>castle256_blurkernel8_7_0,00001_0,01</v>
      </c>
      <c r="G216">
        <f>IFERROR(VLOOKUP(F216,SROU03!$F:$H,2,FALSE),0)</f>
        <v>11.681061</v>
      </c>
      <c r="H216">
        <f>IFERROR(VLOOKUP(F216,SROU03!$F:$H,3,FALSE),0)</f>
        <v>8.0507120000000008</v>
      </c>
      <c r="I216">
        <v>6.4410999999999996</v>
      </c>
      <c r="J216">
        <v>10.7348</v>
      </c>
      <c r="K216">
        <f>IFERROR(VLOOKUP(F216,TICO09!$F:$K,6,FALSE),0)</f>
        <v>13.61</v>
      </c>
      <c r="L216">
        <f>IFERROR(VLOOKUP(F216,SROU03!$F:$L,7,FALSE),0)</f>
        <v>17.139199999999999</v>
      </c>
      <c r="M216">
        <v>14.1098</v>
      </c>
      <c r="N216" t="str">
        <f t="shared" si="17"/>
        <v>SROU03</v>
      </c>
      <c r="O216">
        <f t="shared" si="15"/>
        <v>17.139199999999999</v>
      </c>
      <c r="P216">
        <f>VLOOKUP(N216,'Color codes'!$A:$B,2,FALSE)</f>
        <v>3</v>
      </c>
      <c r="Q216">
        <f>TRUNC(VLOOKUP(N216,'Color codes'!$A:$E,3,FALSE)*(0.25 + 0.75*O216/40))</f>
        <v>61</v>
      </c>
      <c r="R216">
        <f>TRUNC(VLOOKUP(N216,'Color codes'!$A:$E,4,FALSE)*(0.25 + 0.75*O216/40))</f>
        <v>100</v>
      </c>
      <c r="S216">
        <f>TRUNC(VLOOKUP(N216,'Color codes'!$A:$E,5,FALSE)*(0.25 + 0.75*O216/40))</f>
        <v>145</v>
      </c>
      <c r="T216" t="b">
        <f t="shared" si="16"/>
        <v>1</v>
      </c>
    </row>
    <row r="217" spans="1:20" x14ac:dyDescent="0.25">
      <c r="A217" t="s">
        <v>14</v>
      </c>
      <c r="B217" t="s">
        <v>9</v>
      </c>
      <c r="C217">
        <v>7</v>
      </c>
      <c r="D217">
        <v>1.0000000000000001E-5</v>
      </c>
      <c r="E217">
        <v>0.1</v>
      </c>
      <c r="F217" t="str">
        <f t="shared" si="14"/>
        <v>castle256_blurkernel8_7_0,00001_0,1</v>
      </c>
      <c r="G217">
        <f>IFERROR(VLOOKUP(F217,SROU03!$F:$H,2,FALSE),0)</f>
        <v>9.3741500000000002</v>
      </c>
      <c r="H217">
        <f>IFERROR(VLOOKUP(F217,SROU03!$F:$H,3,FALSE),0)</f>
        <v>8.1051409999999997</v>
      </c>
      <c r="I217">
        <v>1.1657</v>
      </c>
      <c r="J217">
        <v>10.7348</v>
      </c>
      <c r="K217">
        <f>IFERROR(VLOOKUP(F217,TICO09!$F:$K,6,FALSE),0)</f>
        <v>8.8915000000000006</v>
      </c>
      <c r="L217">
        <f>IFERROR(VLOOKUP(F217,SROU03!$F:$L,7,FALSE),0)</f>
        <v>8.3667999999999996</v>
      </c>
      <c r="M217">
        <v>9.1402999999999999</v>
      </c>
      <c r="N217" t="str">
        <f t="shared" si="17"/>
        <v>BM3D</v>
      </c>
      <c r="O217">
        <f t="shared" si="15"/>
        <v>9.1402999999999999</v>
      </c>
      <c r="P217">
        <f>VLOOKUP(N217,'Color codes'!$A:$B,2,FALSE)</f>
        <v>1</v>
      </c>
      <c r="Q217">
        <f>TRUNC(VLOOKUP(N217,'Color codes'!$A:$E,3,FALSE)*(0.25 + 0.75*O217/40))</f>
        <v>107</v>
      </c>
      <c r="R217">
        <f>TRUNC(VLOOKUP(N217,'Color codes'!$A:$E,4,FALSE)*(0.25 + 0.75*O217/40))</f>
        <v>45</v>
      </c>
      <c r="S217">
        <f>TRUNC(VLOOKUP(N217,'Color codes'!$A:$E,5,FALSE)*(0.25 + 0.75*O217/40))</f>
        <v>43</v>
      </c>
      <c r="T217" t="b">
        <f t="shared" si="16"/>
        <v>0</v>
      </c>
    </row>
    <row r="218" spans="1:20" x14ac:dyDescent="0.25">
      <c r="A218" t="s">
        <v>14</v>
      </c>
      <c r="B218" t="s">
        <v>9</v>
      </c>
      <c r="C218">
        <v>15</v>
      </c>
      <c r="D218">
        <v>1.0000000000000001E-5</v>
      </c>
      <c r="E218">
        <v>1E-4</v>
      </c>
      <c r="F218" t="str">
        <f t="shared" si="14"/>
        <v>castle256_blurkernel8_15_0,00001_0,0001</v>
      </c>
      <c r="G218">
        <f>IFERROR(VLOOKUP(F218,SROU03!$F:$H,2,FALSE),0)</f>
        <v>23.805531999999999</v>
      </c>
      <c r="H218">
        <f>IFERROR(VLOOKUP(F218,SROU03!$F:$H,3,FALSE),0)</f>
        <v>18.145786000000001</v>
      </c>
      <c r="I218">
        <v>25.3813</v>
      </c>
      <c r="J218">
        <v>8.5722000000000005</v>
      </c>
      <c r="K218">
        <f>IFERROR(VLOOKUP(F218,TICO09!$F:$K,6,FALSE),0)</f>
        <v>19.607600000000001</v>
      </c>
      <c r="L218">
        <f>IFERROR(VLOOKUP(F218,SROU03!$F:$L,7,FALSE),0)</f>
        <v>26.725999999999999</v>
      </c>
      <c r="M218">
        <v>28.438099999999999</v>
      </c>
      <c r="N218" t="str">
        <f t="shared" si="17"/>
        <v>BM3D</v>
      </c>
      <c r="O218">
        <f t="shared" si="15"/>
        <v>28.438099999999999</v>
      </c>
      <c r="P218">
        <f>VLOOKUP(N218,'Color codes'!$A:$B,2,FALSE)</f>
        <v>1</v>
      </c>
      <c r="Q218">
        <f>TRUNC(VLOOKUP(N218,'Color codes'!$A:$E,3,FALSE)*(0.25 + 0.75*O218/40))</f>
        <v>199</v>
      </c>
      <c r="R218">
        <f>TRUNC(VLOOKUP(N218,'Color codes'!$A:$E,4,FALSE)*(0.25 + 0.75*O218/40))</f>
        <v>83</v>
      </c>
      <c r="S218">
        <f>TRUNC(VLOOKUP(N218,'Color codes'!$A:$E,5,FALSE)*(0.25 + 0.75*O218/40))</f>
        <v>81</v>
      </c>
      <c r="T218" t="b">
        <f t="shared" si="16"/>
        <v>1</v>
      </c>
    </row>
    <row r="219" spans="1:20" x14ac:dyDescent="0.25">
      <c r="A219" t="s">
        <v>14</v>
      </c>
      <c r="B219" t="s">
        <v>9</v>
      </c>
      <c r="C219">
        <v>15</v>
      </c>
      <c r="D219">
        <v>1.0000000000000001E-5</v>
      </c>
      <c r="E219">
        <v>1E-3</v>
      </c>
      <c r="F219" t="str">
        <f t="shared" si="14"/>
        <v>castle256_blurkernel8_15_0,00001_0,001</v>
      </c>
      <c r="G219">
        <f>IFERROR(VLOOKUP(F219,SROU03!$F:$H,2,FALSE),0)</f>
        <v>11.266596</v>
      </c>
      <c r="H219">
        <f>IFERROR(VLOOKUP(F219,SROU03!$F:$H,3,FALSE),0)</f>
        <v>17.441991000000002</v>
      </c>
      <c r="I219">
        <v>15.5695</v>
      </c>
      <c r="J219">
        <v>8.5722000000000005</v>
      </c>
      <c r="K219">
        <f>IFERROR(VLOOKUP(F219,TICO09!$F:$K,6,FALSE),0)</f>
        <v>17.441299999999998</v>
      </c>
      <c r="L219">
        <f>IFERROR(VLOOKUP(F219,SROU03!$F:$L,7,FALSE),0)</f>
        <v>20.326899999999998</v>
      </c>
      <c r="M219">
        <v>20.627500000000001</v>
      </c>
      <c r="N219" t="str">
        <f t="shared" si="17"/>
        <v>BM3D</v>
      </c>
      <c r="O219">
        <f t="shared" si="15"/>
        <v>20.627500000000001</v>
      </c>
      <c r="P219">
        <f>VLOOKUP(N219,'Color codes'!$A:$B,2,FALSE)</f>
        <v>1</v>
      </c>
      <c r="Q219">
        <f>TRUNC(VLOOKUP(N219,'Color codes'!$A:$E,3,FALSE)*(0.25 + 0.75*O219/40))</f>
        <v>162</v>
      </c>
      <c r="R219">
        <f>TRUNC(VLOOKUP(N219,'Color codes'!$A:$E,4,FALSE)*(0.25 + 0.75*O219/40))</f>
        <v>68</v>
      </c>
      <c r="S219">
        <f>TRUNC(VLOOKUP(N219,'Color codes'!$A:$E,5,FALSE)*(0.25 + 0.75*O219/40))</f>
        <v>66</v>
      </c>
      <c r="T219" t="b">
        <f t="shared" si="16"/>
        <v>0</v>
      </c>
    </row>
    <row r="220" spans="1:20" x14ac:dyDescent="0.25">
      <c r="A220" t="s">
        <v>14</v>
      </c>
      <c r="B220" t="s">
        <v>9</v>
      </c>
      <c r="C220">
        <v>15</v>
      </c>
      <c r="D220">
        <v>1.0000000000000001E-5</v>
      </c>
      <c r="E220">
        <v>0.01</v>
      </c>
      <c r="F220" t="str">
        <f t="shared" si="14"/>
        <v>castle256_blurkernel8_15_0,00001_0,01</v>
      </c>
      <c r="G220">
        <f>IFERROR(VLOOKUP(F220,SROU03!$F:$H,2,FALSE),0)</f>
        <v>7.4454229999999999</v>
      </c>
      <c r="H220">
        <f>IFERROR(VLOOKUP(F220,SROU03!$F:$H,3,FALSE),0)</f>
        <v>17.467870000000001</v>
      </c>
      <c r="I220">
        <v>6.4645999999999999</v>
      </c>
      <c r="J220">
        <v>8.5722000000000005</v>
      </c>
      <c r="K220">
        <f>IFERROR(VLOOKUP(F220,TICO09!$F:$K,6,FALSE),0)</f>
        <v>13.175000000000001</v>
      </c>
      <c r="L220">
        <f>IFERROR(VLOOKUP(F220,SROU03!$F:$L,7,FALSE),0)</f>
        <v>16.5748</v>
      </c>
      <c r="M220">
        <v>14.167400000000001</v>
      </c>
      <c r="N220" t="str">
        <f t="shared" si="17"/>
        <v>SROU03</v>
      </c>
      <c r="O220">
        <f t="shared" si="15"/>
        <v>16.5748</v>
      </c>
      <c r="P220">
        <f>VLOOKUP(N220,'Color codes'!$A:$B,2,FALSE)</f>
        <v>3</v>
      </c>
      <c r="Q220">
        <f>TRUNC(VLOOKUP(N220,'Color codes'!$A:$E,3,FALSE)*(0.25 + 0.75*O220/40))</f>
        <v>60</v>
      </c>
      <c r="R220">
        <f>TRUNC(VLOOKUP(N220,'Color codes'!$A:$E,4,FALSE)*(0.25 + 0.75*O220/40))</f>
        <v>98</v>
      </c>
      <c r="S220">
        <f>TRUNC(VLOOKUP(N220,'Color codes'!$A:$E,5,FALSE)*(0.25 + 0.75*O220/40))</f>
        <v>142</v>
      </c>
      <c r="T220" t="b">
        <f t="shared" si="16"/>
        <v>1</v>
      </c>
    </row>
    <row r="221" spans="1:20" x14ac:dyDescent="0.25">
      <c r="A221" t="s">
        <v>14</v>
      </c>
      <c r="B221" t="s">
        <v>9</v>
      </c>
      <c r="C221">
        <v>15</v>
      </c>
      <c r="D221">
        <v>1.0000000000000001E-5</v>
      </c>
      <c r="E221">
        <v>0.1</v>
      </c>
      <c r="F221" t="str">
        <f t="shared" si="14"/>
        <v>castle256_blurkernel8_15_0,00001_0,1</v>
      </c>
      <c r="G221">
        <f>IFERROR(VLOOKUP(F221,SROU03!$F:$H,2,FALSE),0)</f>
        <v>5.4744780000000004</v>
      </c>
      <c r="H221">
        <f>IFERROR(VLOOKUP(F221,SROU03!$F:$H,3,FALSE),0)</f>
        <v>17.526479999999999</v>
      </c>
      <c r="I221">
        <v>1.2007000000000001</v>
      </c>
      <c r="J221">
        <v>8.5722000000000005</v>
      </c>
      <c r="K221">
        <f>IFERROR(VLOOKUP(F221,TICO09!$F:$K,6,FALSE),0)</f>
        <v>8.0943000000000005</v>
      </c>
      <c r="L221">
        <f>IFERROR(VLOOKUP(F221,SROU03!$F:$L,7,FALSE),0)</f>
        <v>10.9923</v>
      </c>
      <c r="M221">
        <v>9.3202999999999996</v>
      </c>
      <c r="N221" t="str">
        <f t="shared" si="17"/>
        <v>SROU03</v>
      </c>
      <c r="O221">
        <f t="shared" si="15"/>
        <v>10.9923</v>
      </c>
      <c r="P221">
        <f>VLOOKUP(N221,'Color codes'!$A:$B,2,FALSE)</f>
        <v>3</v>
      </c>
      <c r="Q221">
        <f>TRUNC(VLOOKUP(N221,'Color codes'!$A:$E,3,FALSE)*(0.25 + 0.75*O221/40))</f>
        <v>48</v>
      </c>
      <c r="R221">
        <f>TRUNC(VLOOKUP(N221,'Color codes'!$A:$E,4,FALSE)*(0.25 + 0.75*O221/40))</f>
        <v>80</v>
      </c>
      <c r="S221">
        <f>TRUNC(VLOOKUP(N221,'Color codes'!$A:$E,5,FALSE)*(0.25 + 0.75*O221/40))</f>
        <v>116</v>
      </c>
      <c r="T221" t="b">
        <f t="shared" si="16"/>
        <v>1</v>
      </c>
    </row>
    <row r="222" spans="1:20" x14ac:dyDescent="0.25">
      <c r="A222" t="s">
        <v>14</v>
      </c>
      <c r="B222" t="s">
        <v>9</v>
      </c>
      <c r="C222">
        <v>31</v>
      </c>
      <c r="D222">
        <v>1.0000000000000001E-5</v>
      </c>
      <c r="E222">
        <v>1E-4</v>
      </c>
      <c r="F222" t="str">
        <f t="shared" si="14"/>
        <v>castle256_blurkernel8_31_0,00001_0,0001</v>
      </c>
      <c r="G222">
        <f>IFERROR(VLOOKUP(F222,SROU03!$F:$H,2,FALSE),0)</f>
        <v>22.494772000000001</v>
      </c>
      <c r="H222">
        <f>IFERROR(VLOOKUP(F222,SROU03!$F:$H,3,FALSE),0)</f>
        <v>37.779212999999999</v>
      </c>
      <c r="I222">
        <v>25.374400000000001</v>
      </c>
      <c r="J222">
        <v>6.6215999999999999</v>
      </c>
      <c r="K222">
        <f>IFERROR(VLOOKUP(F222,TICO09!$F:$K,6,FALSE),0)</f>
        <v>19.958200000000001</v>
      </c>
      <c r="L222">
        <f>IFERROR(VLOOKUP(F222,SROU03!$F:$L,7,FALSE),0)</f>
        <v>26.249600000000001</v>
      </c>
      <c r="M222">
        <v>28.4222</v>
      </c>
      <c r="N222" t="str">
        <f t="shared" si="17"/>
        <v>BM3D</v>
      </c>
      <c r="O222">
        <f t="shared" si="15"/>
        <v>28.4222</v>
      </c>
      <c r="P222">
        <f>VLOOKUP(N222,'Color codes'!$A:$B,2,FALSE)</f>
        <v>1</v>
      </c>
      <c r="Q222">
        <f>TRUNC(VLOOKUP(N222,'Color codes'!$A:$E,3,FALSE)*(0.25 + 0.75*O222/40))</f>
        <v>199</v>
      </c>
      <c r="R222">
        <f>TRUNC(VLOOKUP(N222,'Color codes'!$A:$E,4,FALSE)*(0.25 + 0.75*O222/40))</f>
        <v>83</v>
      </c>
      <c r="S222">
        <f>TRUNC(VLOOKUP(N222,'Color codes'!$A:$E,5,FALSE)*(0.25 + 0.75*O222/40))</f>
        <v>81</v>
      </c>
      <c r="T222" t="b">
        <f t="shared" si="16"/>
        <v>1</v>
      </c>
    </row>
    <row r="223" spans="1:20" x14ac:dyDescent="0.25">
      <c r="A223" t="s">
        <v>14</v>
      </c>
      <c r="B223" t="s">
        <v>9</v>
      </c>
      <c r="C223">
        <v>31</v>
      </c>
      <c r="D223">
        <v>1.0000000000000001E-5</v>
      </c>
      <c r="E223">
        <v>1E-3</v>
      </c>
      <c r="F223" t="str">
        <f t="shared" si="14"/>
        <v>castle256_blurkernel8_31_0,00001_0,001</v>
      </c>
      <c r="G223">
        <f>IFERROR(VLOOKUP(F223,SROU03!$F:$H,2,FALSE),0)</f>
        <v>8.8751809999999995</v>
      </c>
      <c r="H223">
        <f>IFERROR(VLOOKUP(F223,SROU03!$F:$H,3,FALSE),0)</f>
        <v>36.17727</v>
      </c>
      <c r="I223">
        <v>15.5314</v>
      </c>
      <c r="J223">
        <v>6.6215999999999999</v>
      </c>
      <c r="K223">
        <f>IFERROR(VLOOKUP(F223,TICO09!$F:$K,6,FALSE),0)</f>
        <v>17.5745</v>
      </c>
      <c r="L223">
        <f>IFERROR(VLOOKUP(F223,SROU03!$F:$L,7,FALSE),0)</f>
        <v>19.3781</v>
      </c>
      <c r="M223">
        <v>20.600300000000001</v>
      </c>
      <c r="N223" t="str">
        <f t="shared" si="17"/>
        <v>BM3D</v>
      </c>
      <c r="O223">
        <f t="shared" si="15"/>
        <v>20.600300000000001</v>
      </c>
      <c r="P223">
        <f>VLOOKUP(N223,'Color codes'!$A:$B,2,FALSE)</f>
        <v>1</v>
      </c>
      <c r="Q223">
        <f>TRUNC(VLOOKUP(N223,'Color codes'!$A:$E,3,FALSE)*(0.25 + 0.75*O223/40))</f>
        <v>162</v>
      </c>
      <c r="R223">
        <f>TRUNC(VLOOKUP(N223,'Color codes'!$A:$E,4,FALSE)*(0.25 + 0.75*O223/40))</f>
        <v>68</v>
      </c>
      <c r="S223">
        <f>TRUNC(VLOOKUP(N223,'Color codes'!$A:$E,5,FALSE)*(0.25 + 0.75*O223/40))</f>
        <v>66</v>
      </c>
      <c r="T223" t="b">
        <f t="shared" si="16"/>
        <v>1</v>
      </c>
    </row>
    <row r="224" spans="1:20" x14ac:dyDescent="0.25">
      <c r="A224" t="s">
        <v>14</v>
      </c>
      <c r="B224" t="s">
        <v>9</v>
      </c>
      <c r="C224">
        <v>31</v>
      </c>
      <c r="D224">
        <v>1.0000000000000001E-5</v>
      </c>
      <c r="E224">
        <v>0.01</v>
      </c>
      <c r="F224" t="str">
        <f t="shared" si="14"/>
        <v>castle256_blurkernel8_31_0,00001_0,01</v>
      </c>
      <c r="G224">
        <f>IFERROR(VLOOKUP(F224,SROU03!$F:$H,2,FALSE),0)</f>
        <v>5.0668170000000003</v>
      </c>
      <c r="H224">
        <f>IFERROR(VLOOKUP(F224,SROU03!$F:$H,3,FALSE),0)</f>
        <v>36.089548999999998</v>
      </c>
      <c r="I224">
        <v>6.5073999999999996</v>
      </c>
      <c r="J224">
        <v>6.6215999999999999</v>
      </c>
      <c r="K224">
        <f>IFERROR(VLOOKUP(F224,TICO09!$F:$K,6,FALSE),0)</f>
        <v>13.0342</v>
      </c>
      <c r="L224">
        <f>IFERROR(VLOOKUP(F224,SROU03!$F:$L,7,FALSE),0)</f>
        <v>14.895899999999999</v>
      </c>
      <c r="M224">
        <v>14.112399999999999</v>
      </c>
      <c r="N224" t="str">
        <f t="shared" si="17"/>
        <v>SROU03</v>
      </c>
      <c r="O224">
        <f t="shared" si="15"/>
        <v>14.895899999999999</v>
      </c>
      <c r="P224">
        <f>VLOOKUP(N224,'Color codes'!$A:$B,2,FALSE)</f>
        <v>3</v>
      </c>
      <c r="Q224">
        <f>TRUNC(VLOOKUP(N224,'Color codes'!$A:$E,3,FALSE)*(0.25 + 0.75*O224/40))</f>
        <v>56</v>
      </c>
      <c r="R224">
        <f>TRUNC(VLOOKUP(N224,'Color codes'!$A:$E,4,FALSE)*(0.25 + 0.75*O224/40))</f>
        <v>93</v>
      </c>
      <c r="S224">
        <f>TRUNC(VLOOKUP(N224,'Color codes'!$A:$E,5,FALSE)*(0.25 + 0.75*O224/40))</f>
        <v>134</v>
      </c>
      <c r="T224" t="b">
        <f t="shared" si="16"/>
        <v>0</v>
      </c>
    </row>
    <row r="225" spans="1:20" x14ac:dyDescent="0.25">
      <c r="A225" t="s">
        <v>14</v>
      </c>
      <c r="B225" t="s">
        <v>9</v>
      </c>
      <c r="C225">
        <v>31</v>
      </c>
      <c r="D225">
        <v>1.0000000000000001E-5</v>
      </c>
      <c r="E225">
        <v>0.1</v>
      </c>
      <c r="F225" t="str">
        <f t="shared" si="14"/>
        <v>castle256_blurkernel8_31_0,00001_0,1</v>
      </c>
      <c r="G225">
        <f>IFERROR(VLOOKUP(F225,SROU03!$F:$H,2,FALSE),0)</f>
        <v>3.7415060000000002</v>
      </c>
      <c r="H225">
        <f>IFERROR(VLOOKUP(F225,SROU03!$F:$H,3,FALSE),0)</f>
        <v>36.117576</v>
      </c>
      <c r="I225">
        <v>1.2146999999999999</v>
      </c>
      <c r="J225">
        <v>6.6215999999999999</v>
      </c>
      <c r="K225">
        <f>IFERROR(VLOOKUP(F225,TICO09!$F:$K,6,FALSE),0)</f>
        <v>7.6494999999999997</v>
      </c>
      <c r="L225">
        <f>IFERROR(VLOOKUP(F225,SROU03!$F:$L,7,FALSE),0)</f>
        <v>8.6898</v>
      </c>
      <c r="M225">
        <v>9.2103999999999999</v>
      </c>
      <c r="N225" t="str">
        <f t="shared" si="17"/>
        <v>BM3D</v>
      </c>
      <c r="O225">
        <f t="shared" si="15"/>
        <v>9.2103999999999999</v>
      </c>
      <c r="P225">
        <f>VLOOKUP(N225,'Color codes'!$A:$B,2,FALSE)</f>
        <v>1</v>
      </c>
      <c r="Q225">
        <f>TRUNC(VLOOKUP(N225,'Color codes'!$A:$E,3,FALSE)*(0.25 + 0.75*O225/40))</f>
        <v>107</v>
      </c>
      <c r="R225">
        <f>TRUNC(VLOOKUP(N225,'Color codes'!$A:$E,4,FALSE)*(0.25 + 0.75*O225/40))</f>
        <v>45</v>
      </c>
      <c r="S225">
        <f>TRUNC(VLOOKUP(N225,'Color codes'!$A:$E,5,FALSE)*(0.25 + 0.75*O225/40))</f>
        <v>43</v>
      </c>
      <c r="T225" t="b">
        <f t="shared" si="16"/>
        <v>0</v>
      </c>
    </row>
    <row r="226" spans="1:20" x14ac:dyDescent="0.25">
      <c r="A226" t="s">
        <v>14</v>
      </c>
      <c r="B226" t="s">
        <v>10</v>
      </c>
      <c r="C226">
        <v>3</v>
      </c>
      <c r="D226">
        <v>1.0000000000000001E-5</v>
      </c>
      <c r="E226">
        <v>1E-4</v>
      </c>
      <c r="F226" t="str">
        <f t="shared" si="14"/>
        <v>castle256_line_3_0,00001_0,0001</v>
      </c>
      <c r="G226">
        <f>IFERROR(VLOOKUP(F226,SROU03!$F:$H,2,FALSE),0)</f>
        <v>42.272851000000003</v>
      </c>
      <c r="H226">
        <f>IFERROR(VLOOKUP(F226,SROU03!$F:$H,3,FALSE),0)</f>
        <v>2.9035700000000002</v>
      </c>
      <c r="I226">
        <v>25.3508</v>
      </c>
      <c r="J226">
        <v>13.1335</v>
      </c>
      <c r="K226">
        <f>IFERROR(VLOOKUP(F226,TICO09!$F:$K,6,FALSE),0)</f>
        <v>19.067799999999998</v>
      </c>
      <c r="L226">
        <f>IFERROR(VLOOKUP(F226,SROU03!$F:$L,7,FALSE),0)</f>
        <v>28.665299999999998</v>
      </c>
      <c r="M226">
        <v>28.412400000000002</v>
      </c>
      <c r="N226" t="str">
        <f t="shared" si="17"/>
        <v>SROU03</v>
      </c>
      <c r="O226">
        <f t="shared" si="15"/>
        <v>28.665299999999998</v>
      </c>
      <c r="P226">
        <f>VLOOKUP(N226,'Color codes'!$A:$B,2,FALSE)</f>
        <v>3</v>
      </c>
      <c r="Q226">
        <f>TRUNC(VLOOKUP(N226,'Color codes'!$A:$E,3,FALSE)*(0.25 + 0.75*O226/40))</f>
        <v>84</v>
      </c>
      <c r="R226">
        <f>TRUNC(VLOOKUP(N226,'Color codes'!$A:$E,4,FALSE)*(0.25 + 0.75*O226/40))</f>
        <v>138</v>
      </c>
      <c r="S226">
        <f>TRUNC(VLOOKUP(N226,'Color codes'!$A:$E,5,FALSE)*(0.25 + 0.75*O226/40))</f>
        <v>200</v>
      </c>
      <c r="T226" t="b">
        <f t="shared" si="16"/>
        <v>0</v>
      </c>
    </row>
    <row r="227" spans="1:20" x14ac:dyDescent="0.25">
      <c r="A227" t="s">
        <v>14</v>
      </c>
      <c r="B227" t="s">
        <v>10</v>
      </c>
      <c r="C227">
        <v>3</v>
      </c>
      <c r="D227">
        <v>1.0000000000000001E-5</v>
      </c>
      <c r="E227">
        <v>1E-3</v>
      </c>
      <c r="F227" t="str">
        <f t="shared" si="14"/>
        <v>castle256_line_3_0,00001_0,001</v>
      </c>
      <c r="G227">
        <f>IFERROR(VLOOKUP(F227,SROU03!$F:$H,2,FALSE),0)</f>
        <v>28.814388999999998</v>
      </c>
      <c r="H227">
        <f>IFERROR(VLOOKUP(F227,SROU03!$F:$H,3,FALSE),0)</f>
        <v>3.0586920000000002</v>
      </c>
      <c r="I227">
        <v>15.508900000000001</v>
      </c>
      <c r="J227">
        <v>13.1335</v>
      </c>
      <c r="K227">
        <f>IFERROR(VLOOKUP(F227,TICO09!$F:$K,6,FALSE),0)</f>
        <v>17.676100000000002</v>
      </c>
      <c r="L227">
        <f>IFERROR(VLOOKUP(F227,SROU03!$F:$L,7,FALSE),0)</f>
        <v>23.058599999999998</v>
      </c>
      <c r="M227">
        <v>20.562000000000001</v>
      </c>
      <c r="N227" t="str">
        <f t="shared" si="17"/>
        <v>SROU03</v>
      </c>
      <c r="O227">
        <f t="shared" si="15"/>
        <v>23.058599999999998</v>
      </c>
      <c r="P227">
        <f>VLOOKUP(N227,'Color codes'!$A:$B,2,FALSE)</f>
        <v>3</v>
      </c>
      <c r="Q227">
        <f>TRUNC(VLOOKUP(N227,'Color codes'!$A:$E,3,FALSE)*(0.25 + 0.75*O227/40))</f>
        <v>73</v>
      </c>
      <c r="R227">
        <f>TRUNC(VLOOKUP(N227,'Color codes'!$A:$E,4,FALSE)*(0.25 + 0.75*O227/40))</f>
        <v>120</v>
      </c>
      <c r="S227">
        <f>TRUNC(VLOOKUP(N227,'Color codes'!$A:$E,5,FALSE)*(0.25 + 0.75*O227/40))</f>
        <v>173</v>
      </c>
      <c r="T227" t="b">
        <f t="shared" si="16"/>
        <v>1</v>
      </c>
    </row>
    <row r="228" spans="1:20" x14ac:dyDescent="0.25">
      <c r="A228" t="s">
        <v>14</v>
      </c>
      <c r="B228" t="s">
        <v>10</v>
      </c>
      <c r="C228">
        <v>3</v>
      </c>
      <c r="D228">
        <v>1.0000000000000001E-5</v>
      </c>
      <c r="E228">
        <v>0.01</v>
      </c>
      <c r="F228" t="str">
        <f t="shared" si="14"/>
        <v>castle256_line_3_0,00001_0,01</v>
      </c>
      <c r="G228">
        <f>IFERROR(VLOOKUP(F228,SROU03!$F:$H,2,FALSE),0)</f>
        <v>22.766211999999999</v>
      </c>
      <c r="H228">
        <f>IFERROR(VLOOKUP(F228,SROU03!$F:$H,3,FALSE),0)</f>
        <v>3.2</v>
      </c>
      <c r="I228">
        <v>6.5435999999999996</v>
      </c>
      <c r="J228">
        <v>13.1335</v>
      </c>
      <c r="K228">
        <f>IFERROR(VLOOKUP(F228,TICO09!$F:$K,6,FALSE),0)</f>
        <v>14.610200000000001</v>
      </c>
      <c r="L228">
        <f>IFERROR(VLOOKUP(F228,SROU03!$F:$L,7,FALSE),0)</f>
        <v>21.122699999999998</v>
      </c>
      <c r="M228">
        <v>14.1165</v>
      </c>
      <c r="N228" t="str">
        <f t="shared" si="17"/>
        <v>SROU03</v>
      </c>
      <c r="O228">
        <f t="shared" si="15"/>
        <v>21.122699999999998</v>
      </c>
      <c r="P228">
        <f>VLOOKUP(N228,'Color codes'!$A:$B,2,FALSE)</f>
        <v>3</v>
      </c>
      <c r="Q228">
        <f>TRUNC(VLOOKUP(N228,'Color codes'!$A:$E,3,FALSE)*(0.25 + 0.75*O228/40))</f>
        <v>69</v>
      </c>
      <c r="R228">
        <f>TRUNC(VLOOKUP(N228,'Color codes'!$A:$E,4,FALSE)*(0.25 + 0.75*O228/40))</f>
        <v>113</v>
      </c>
      <c r="S228">
        <f>TRUNC(VLOOKUP(N228,'Color codes'!$A:$E,5,FALSE)*(0.25 + 0.75*O228/40))</f>
        <v>164</v>
      </c>
      <c r="T228" t="b">
        <f t="shared" si="16"/>
        <v>1</v>
      </c>
    </row>
    <row r="229" spans="1:20" x14ac:dyDescent="0.25">
      <c r="A229" t="s">
        <v>14</v>
      </c>
      <c r="B229" t="s">
        <v>10</v>
      </c>
      <c r="C229">
        <v>3</v>
      </c>
      <c r="D229">
        <v>1.0000000000000001E-5</v>
      </c>
      <c r="E229">
        <v>0.1</v>
      </c>
      <c r="F229" t="str">
        <f t="shared" si="14"/>
        <v>castle256_line_3_0,00001_0,1</v>
      </c>
      <c r="G229">
        <f>IFERROR(VLOOKUP(F229,SROU03!$F:$H,2,FALSE),0)</f>
        <v>20.457540000000002</v>
      </c>
      <c r="H229">
        <f>IFERROR(VLOOKUP(F229,SROU03!$F:$H,3,FALSE),0)</f>
        <v>3.2252930000000002</v>
      </c>
      <c r="I229">
        <v>1.1838</v>
      </c>
      <c r="J229">
        <v>13.1335</v>
      </c>
      <c r="K229">
        <f>IFERROR(VLOOKUP(F229,TICO09!$F:$K,6,FALSE),0)</f>
        <v>9.6145999999999994</v>
      </c>
      <c r="L229">
        <f>IFERROR(VLOOKUP(F229,SROU03!$F:$L,7,FALSE),0)</f>
        <v>16.5763</v>
      </c>
      <c r="M229">
        <v>9.3825000000000003</v>
      </c>
      <c r="N229" t="str">
        <f t="shared" si="17"/>
        <v>SROU03</v>
      </c>
      <c r="O229">
        <f t="shared" si="15"/>
        <v>16.5763</v>
      </c>
      <c r="P229">
        <f>VLOOKUP(N229,'Color codes'!$A:$B,2,FALSE)</f>
        <v>3</v>
      </c>
      <c r="Q229">
        <f>TRUNC(VLOOKUP(N229,'Color codes'!$A:$E,3,FALSE)*(0.25 + 0.75*O229/40))</f>
        <v>60</v>
      </c>
      <c r="R229">
        <f>TRUNC(VLOOKUP(N229,'Color codes'!$A:$E,4,FALSE)*(0.25 + 0.75*O229/40))</f>
        <v>98</v>
      </c>
      <c r="S229">
        <f>TRUNC(VLOOKUP(N229,'Color codes'!$A:$E,5,FALSE)*(0.25 + 0.75*O229/40))</f>
        <v>143</v>
      </c>
      <c r="T229" t="b">
        <f t="shared" si="16"/>
        <v>1</v>
      </c>
    </row>
    <row r="230" spans="1:20" x14ac:dyDescent="0.25">
      <c r="A230" t="s">
        <v>14</v>
      </c>
      <c r="B230" t="s">
        <v>10</v>
      </c>
      <c r="C230">
        <v>7</v>
      </c>
      <c r="D230">
        <v>1.0000000000000001E-5</v>
      </c>
      <c r="E230">
        <v>1E-4</v>
      </c>
      <c r="F230" t="str">
        <f t="shared" si="14"/>
        <v>castle256_line_7_0,00001_0,0001</v>
      </c>
      <c r="G230">
        <f>IFERROR(VLOOKUP(F230,SROU03!$F:$H,2,FALSE),0)</f>
        <v>31.921167000000001</v>
      </c>
      <c r="H230">
        <f>IFERROR(VLOOKUP(F230,SROU03!$F:$H,3,FALSE),0)</f>
        <v>7.7503690000000001</v>
      </c>
      <c r="I230">
        <v>25.401900000000001</v>
      </c>
      <c r="J230">
        <v>9.6592000000000002</v>
      </c>
      <c r="K230">
        <f>IFERROR(VLOOKUP(F230,TICO09!$F:$K,6,FALSE),0)</f>
        <v>19.553999999999998</v>
      </c>
      <c r="L230">
        <f>IFERROR(VLOOKUP(F230,SROU03!$F:$L,7,FALSE),0)</f>
        <v>27.1999</v>
      </c>
      <c r="M230">
        <v>28.441700000000001</v>
      </c>
      <c r="N230" t="str">
        <f t="shared" si="17"/>
        <v>BM3D</v>
      </c>
      <c r="O230">
        <f t="shared" si="15"/>
        <v>28.441700000000001</v>
      </c>
      <c r="P230">
        <f>VLOOKUP(N230,'Color codes'!$A:$B,2,FALSE)</f>
        <v>1</v>
      </c>
      <c r="Q230">
        <f>TRUNC(VLOOKUP(N230,'Color codes'!$A:$E,3,FALSE)*(0.25 + 0.75*O230/40))</f>
        <v>199</v>
      </c>
      <c r="R230">
        <f>TRUNC(VLOOKUP(N230,'Color codes'!$A:$E,4,FALSE)*(0.25 + 0.75*O230/40))</f>
        <v>83</v>
      </c>
      <c r="S230">
        <f>TRUNC(VLOOKUP(N230,'Color codes'!$A:$E,5,FALSE)*(0.25 + 0.75*O230/40))</f>
        <v>81</v>
      </c>
      <c r="T230" t="b">
        <f t="shared" si="16"/>
        <v>1</v>
      </c>
    </row>
    <row r="231" spans="1:20" x14ac:dyDescent="0.25">
      <c r="A231" t="s">
        <v>14</v>
      </c>
      <c r="B231" t="s">
        <v>10</v>
      </c>
      <c r="C231">
        <v>7</v>
      </c>
      <c r="D231">
        <v>1.0000000000000001E-5</v>
      </c>
      <c r="E231">
        <v>1E-3</v>
      </c>
      <c r="F231" t="str">
        <f t="shared" si="14"/>
        <v>castle256_line_7_0,00001_0,001</v>
      </c>
      <c r="G231">
        <f>IFERROR(VLOOKUP(F231,SROU03!$F:$H,2,FALSE),0)</f>
        <v>18.704325999999998</v>
      </c>
      <c r="H231">
        <f>IFERROR(VLOOKUP(F231,SROU03!$F:$H,3,FALSE),0)</f>
        <v>7.7958889999999998</v>
      </c>
      <c r="I231">
        <v>15.5364</v>
      </c>
      <c r="J231">
        <v>9.6592000000000002</v>
      </c>
      <c r="K231">
        <f>IFERROR(VLOOKUP(F231,TICO09!$F:$K,6,FALSE),0)</f>
        <v>17.671700000000001</v>
      </c>
      <c r="L231">
        <f>IFERROR(VLOOKUP(F231,SROU03!$F:$L,7,FALSE),0)</f>
        <v>20.8965</v>
      </c>
      <c r="M231">
        <v>20.5642</v>
      </c>
      <c r="N231" t="str">
        <f t="shared" si="17"/>
        <v>SROU03</v>
      </c>
      <c r="O231">
        <f t="shared" si="15"/>
        <v>20.8965</v>
      </c>
      <c r="P231">
        <f>VLOOKUP(N231,'Color codes'!$A:$B,2,FALSE)</f>
        <v>3</v>
      </c>
      <c r="Q231">
        <f>TRUNC(VLOOKUP(N231,'Color codes'!$A:$E,3,FALSE)*(0.25 + 0.75*O231/40))</f>
        <v>68</v>
      </c>
      <c r="R231">
        <f>TRUNC(VLOOKUP(N231,'Color codes'!$A:$E,4,FALSE)*(0.25 + 0.75*O231/40))</f>
        <v>112</v>
      </c>
      <c r="S231">
        <f>TRUNC(VLOOKUP(N231,'Color codes'!$A:$E,5,FALSE)*(0.25 + 0.75*O231/40))</f>
        <v>163</v>
      </c>
      <c r="T231" t="b">
        <f t="shared" si="16"/>
        <v>0</v>
      </c>
    </row>
    <row r="232" spans="1:20" x14ac:dyDescent="0.25">
      <c r="A232" t="s">
        <v>14</v>
      </c>
      <c r="B232" t="s">
        <v>10</v>
      </c>
      <c r="C232">
        <v>7</v>
      </c>
      <c r="D232">
        <v>1.0000000000000001E-5</v>
      </c>
      <c r="E232">
        <v>0.01</v>
      </c>
      <c r="F232" t="str">
        <f t="shared" si="14"/>
        <v>castle256_line_7_0,00001_0,01</v>
      </c>
      <c r="G232">
        <f>IFERROR(VLOOKUP(F232,SROU03!$F:$H,2,FALSE),0)</f>
        <v>11.920237</v>
      </c>
      <c r="H232">
        <f>IFERROR(VLOOKUP(F232,SROU03!$F:$H,3,FALSE),0)</f>
        <v>8.0263580000000001</v>
      </c>
      <c r="I232">
        <v>6.4549000000000003</v>
      </c>
      <c r="J232">
        <v>9.6592000000000002</v>
      </c>
      <c r="K232">
        <f>IFERROR(VLOOKUP(F232,TICO09!$F:$K,6,FALSE),0)</f>
        <v>13.5237</v>
      </c>
      <c r="L232">
        <f>IFERROR(VLOOKUP(F232,SROU03!$F:$L,7,FALSE),0)</f>
        <v>14.956099999999999</v>
      </c>
      <c r="M232">
        <v>14.1663</v>
      </c>
      <c r="N232" t="str">
        <f t="shared" si="17"/>
        <v>SROU03</v>
      </c>
      <c r="O232">
        <f t="shared" si="15"/>
        <v>14.956099999999999</v>
      </c>
      <c r="P232">
        <f>VLOOKUP(N232,'Color codes'!$A:$B,2,FALSE)</f>
        <v>3</v>
      </c>
      <c r="Q232">
        <f>TRUNC(VLOOKUP(N232,'Color codes'!$A:$E,3,FALSE)*(0.25 + 0.75*O232/40))</f>
        <v>56</v>
      </c>
      <c r="R232">
        <f>TRUNC(VLOOKUP(N232,'Color codes'!$A:$E,4,FALSE)*(0.25 + 0.75*O232/40))</f>
        <v>93</v>
      </c>
      <c r="S232">
        <f>TRUNC(VLOOKUP(N232,'Color codes'!$A:$E,5,FALSE)*(0.25 + 0.75*O232/40))</f>
        <v>135</v>
      </c>
      <c r="T232" t="b">
        <f t="shared" si="16"/>
        <v>0</v>
      </c>
    </row>
    <row r="233" spans="1:20" x14ac:dyDescent="0.25">
      <c r="A233" t="s">
        <v>14</v>
      </c>
      <c r="B233" t="s">
        <v>10</v>
      </c>
      <c r="C233">
        <v>7</v>
      </c>
      <c r="D233">
        <v>1.0000000000000001E-5</v>
      </c>
      <c r="E233">
        <v>0.1</v>
      </c>
      <c r="F233" t="str">
        <f t="shared" si="14"/>
        <v>castle256_line_7_0,00001_0,1</v>
      </c>
      <c r="G233">
        <f>IFERROR(VLOOKUP(F233,SROU03!$F:$H,2,FALSE),0)</f>
        <v>9.2020330000000001</v>
      </c>
      <c r="H233">
        <f>IFERROR(VLOOKUP(F233,SROU03!$F:$H,3,FALSE),0)</f>
        <v>8.0959620000000001</v>
      </c>
      <c r="I233">
        <v>1.2067000000000001</v>
      </c>
      <c r="J233">
        <v>9.6592000000000002</v>
      </c>
      <c r="K233">
        <f>IFERROR(VLOOKUP(F233,TICO09!$F:$K,6,FALSE),0)</f>
        <v>8.5861999999999998</v>
      </c>
      <c r="L233">
        <f>IFERROR(VLOOKUP(F233,SROU03!$F:$L,7,FALSE),0)</f>
        <v>9.2683999999999997</v>
      </c>
      <c r="M233">
        <v>9.4456000000000007</v>
      </c>
      <c r="N233" t="str">
        <f t="shared" si="17"/>
        <v>BM3D</v>
      </c>
      <c r="O233">
        <f t="shared" si="15"/>
        <v>9.4456000000000007</v>
      </c>
      <c r="P233">
        <f>VLOOKUP(N233,'Color codes'!$A:$B,2,FALSE)</f>
        <v>1</v>
      </c>
      <c r="Q233">
        <f>TRUNC(VLOOKUP(N233,'Color codes'!$A:$E,3,FALSE)*(0.25 + 0.75*O233/40))</f>
        <v>108</v>
      </c>
      <c r="R233">
        <f>TRUNC(VLOOKUP(N233,'Color codes'!$A:$E,4,FALSE)*(0.25 + 0.75*O233/40))</f>
        <v>45</v>
      </c>
      <c r="S233">
        <f>TRUNC(VLOOKUP(N233,'Color codes'!$A:$E,5,FALSE)*(0.25 + 0.75*O233/40))</f>
        <v>44</v>
      </c>
      <c r="T233" t="b">
        <f t="shared" si="16"/>
        <v>0</v>
      </c>
    </row>
    <row r="234" spans="1:20" x14ac:dyDescent="0.25">
      <c r="A234" t="s">
        <v>14</v>
      </c>
      <c r="B234" t="s">
        <v>10</v>
      </c>
      <c r="C234">
        <v>15</v>
      </c>
      <c r="D234">
        <v>1.0000000000000001E-5</v>
      </c>
      <c r="E234">
        <v>1E-4</v>
      </c>
      <c r="F234" t="str">
        <f t="shared" si="14"/>
        <v>castle256_line_15_0,00001_0,0001</v>
      </c>
      <c r="G234">
        <f>IFERROR(VLOOKUP(F234,SROU03!$F:$H,2,FALSE),0)</f>
        <v>26.971713999999999</v>
      </c>
      <c r="H234">
        <f>IFERROR(VLOOKUP(F234,SROU03!$F:$H,3,FALSE),0)</f>
        <v>17.501833000000001</v>
      </c>
      <c r="I234">
        <v>25.391300000000001</v>
      </c>
      <c r="J234">
        <v>7.5182000000000002</v>
      </c>
      <c r="K234">
        <f>IFERROR(VLOOKUP(F234,TICO09!$F:$K,6,FALSE),0)</f>
        <v>19.752099999999999</v>
      </c>
      <c r="L234">
        <f>IFERROR(VLOOKUP(F234,SROU03!$F:$L,7,FALSE),0)</f>
        <v>26.6373</v>
      </c>
      <c r="M234">
        <v>28.432200000000002</v>
      </c>
      <c r="N234" t="str">
        <f t="shared" si="17"/>
        <v>BM3D</v>
      </c>
      <c r="O234">
        <f t="shared" si="15"/>
        <v>28.432200000000002</v>
      </c>
      <c r="P234">
        <f>VLOOKUP(N234,'Color codes'!$A:$B,2,FALSE)</f>
        <v>1</v>
      </c>
      <c r="Q234">
        <f>TRUNC(VLOOKUP(N234,'Color codes'!$A:$E,3,FALSE)*(0.25 + 0.75*O234/40))</f>
        <v>199</v>
      </c>
      <c r="R234">
        <f>TRUNC(VLOOKUP(N234,'Color codes'!$A:$E,4,FALSE)*(0.25 + 0.75*O234/40))</f>
        <v>83</v>
      </c>
      <c r="S234">
        <f>TRUNC(VLOOKUP(N234,'Color codes'!$A:$E,5,FALSE)*(0.25 + 0.75*O234/40))</f>
        <v>81</v>
      </c>
      <c r="T234" t="b">
        <f t="shared" si="16"/>
        <v>1</v>
      </c>
    </row>
    <row r="235" spans="1:20" x14ac:dyDescent="0.25">
      <c r="A235" t="s">
        <v>14</v>
      </c>
      <c r="B235" t="s">
        <v>10</v>
      </c>
      <c r="C235">
        <v>15</v>
      </c>
      <c r="D235">
        <v>1.0000000000000001E-5</v>
      </c>
      <c r="E235">
        <v>1E-3</v>
      </c>
      <c r="F235" t="str">
        <f t="shared" si="14"/>
        <v>castle256_line_15_0,00001_0,001</v>
      </c>
      <c r="G235">
        <f>IFERROR(VLOOKUP(F235,SROU03!$F:$H,2,FALSE),0)</f>
        <v>13.590491</v>
      </c>
      <c r="H235">
        <f>IFERROR(VLOOKUP(F235,SROU03!$F:$H,3,FALSE),0)</f>
        <v>17.169149999999998</v>
      </c>
      <c r="I235">
        <v>15.508699999999999</v>
      </c>
      <c r="J235">
        <v>7.5182000000000002</v>
      </c>
      <c r="K235">
        <f>IFERROR(VLOOKUP(F235,TICO09!$F:$K,6,FALSE),0)</f>
        <v>17.615400000000001</v>
      </c>
      <c r="L235">
        <f>IFERROR(VLOOKUP(F235,SROU03!$F:$L,7,FALSE),0)</f>
        <v>19.458100000000002</v>
      </c>
      <c r="M235">
        <v>20.586500000000001</v>
      </c>
      <c r="N235" t="str">
        <f t="shared" si="17"/>
        <v>BM3D</v>
      </c>
      <c r="O235">
        <f t="shared" si="15"/>
        <v>20.586500000000001</v>
      </c>
      <c r="P235">
        <f>VLOOKUP(N235,'Color codes'!$A:$B,2,FALSE)</f>
        <v>1</v>
      </c>
      <c r="Q235">
        <f>TRUNC(VLOOKUP(N235,'Color codes'!$A:$E,3,FALSE)*(0.25 + 0.75*O235/40))</f>
        <v>162</v>
      </c>
      <c r="R235">
        <f>TRUNC(VLOOKUP(N235,'Color codes'!$A:$E,4,FALSE)*(0.25 + 0.75*O235/40))</f>
        <v>68</v>
      </c>
      <c r="S235">
        <f>TRUNC(VLOOKUP(N235,'Color codes'!$A:$E,5,FALSE)*(0.25 + 0.75*O235/40))</f>
        <v>66</v>
      </c>
      <c r="T235" t="b">
        <f t="shared" si="16"/>
        <v>1</v>
      </c>
    </row>
    <row r="236" spans="1:20" x14ac:dyDescent="0.25">
      <c r="A236" t="s">
        <v>14</v>
      </c>
      <c r="B236" t="s">
        <v>10</v>
      </c>
      <c r="C236">
        <v>15</v>
      </c>
      <c r="D236">
        <v>1.0000000000000001E-5</v>
      </c>
      <c r="E236">
        <v>0.01</v>
      </c>
      <c r="F236" t="str">
        <f t="shared" si="14"/>
        <v>castle256_line_15_0,00001_0,01</v>
      </c>
      <c r="G236">
        <f>IFERROR(VLOOKUP(F236,SROU03!$F:$H,2,FALSE),0)</f>
        <v>7.9597249999999997</v>
      </c>
      <c r="H236">
        <f>IFERROR(VLOOKUP(F236,SROU03!$F:$H,3,FALSE),0)</f>
        <v>17.372914000000002</v>
      </c>
      <c r="I236">
        <v>6.5157999999999996</v>
      </c>
      <c r="J236">
        <v>7.5182000000000002</v>
      </c>
      <c r="K236">
        <f>IFERROR(VLOOKUP(F236,TICO09!$F:$K,6,FALSE),0)</f>
        <v>13.296799999999999</v>
      </c>
      <c r="L236">
        <f>IFERROR(VLOOKUP(F236,SROU03!$F:$L,7,FALSE),0)</f>
        <v>12.4673</v>
      </c>
      <c r="M236">
        <v>14.1866</v>
      </c>
      <c r="N236" t="str">
        <f t="shared" si="17"/>
        <v>BM3D</v>
      </c>
      <c r="O236">
        <f t="shared" si="15"/>
        <v>14.1866</v>
      </c>
      <c r="P236">
        <f>VLOOKUP(N236,'Color codes'!$A:$B,2,FALSE)</f>
        <v>1</v>
      </c>
      <c r="Q236">
        <f>TRUNC(VLOOKUP(N236,'Color codes'!$A:$E,3,FALSE)*(0.25 + 0.75*O236/40))</f>
        <v>131</v>
      </c>
      <c r="R236">
        <f>TRUNC(VLOOKUP(N236,'Color codes'!$A:$E,4,FALSE)*(0.25 + 0.75*O236/40))</f>
        <v>55</v>
      </c>
      <c r="S236">
        <f>TRUNC(VLOOKUP(N236,'Color codes'!$A:$E,5,FALSE)*(0.25 + 0.75*O236/40))</f>
        <v>53</v>
      </c>
      <c r="T236" t="b">
        <f t="shared" si="16"/>
        <v>1</v>
      </c>
    </row>
    <row r="237" spans="1:20" x14ac:dyDescent="0.25">
      <c r="A237" t="s">
        <v>14</v>
      </c>
      <c r="B237" t="s">
        <v>10</v>
      </c>
      <c r="C237">
        <v>15</v>
      </c>
      <c r="D237">
        <v>1.0000000000000001E-5</v>
      </c>
      <c r="E237">
        <v>0.1</v>
      </c>
      <c r="F237" t="str">
        <f t="shared" si="14"/>
        <v>castle256_line_15_0,00001_0,1</v>
      </c>
      <c r="G237">
        <f>IFERROR(VLOOKUP(F237,SROU03!$F:$H,2,FALSE),0)</f>
        <v>5.2333270000000001</v>
      </c>
      <c r="H237">
        <f>IFERROR(VLOOKUP(F237,SROU03!$F:$H,3,FALSE),0)</f>
        <v>17.471326999999999</v>
      </c>
      <c r="I237">
        <v>1.2032</v>
      </c>
      <c r="J237">
        <v>7.5182000000000002</v>
      </c>
      <c r="K237">
        <f>IFERROR(VLOOKUP(F237,TICO09!$F:$K,6,FALSE),0)</f>
        <v>8.0086999999999993</v>
      </c>
      <c r="L237">
        <f>IFERROR(VLOOKUP(F237,SROU03!$F:$L,7,FALSE),0)</f>
        <v>7.9785000000000004</v>
      </c>
      <c r="M237">
        <v>9.6334</v>
      </c>
      <c r="N237" t="str">
        <f t="shared" si="17"/>
        <v>BM3D</v>
      </c>
      <c r="O237">
        <f t="shared" si="15"/>
        <v>9.6334</v>
      </c>
      <c r="P237">
        <f>VLOOKUP(N237,'Color codes'!$A:$B,2,FALSE)</f>
        <v>1</v>
      </c>
      <c r="Q237">
        <f>TRUNC(VLOOKUP(N237,'Color codes'!$A:$E,3,FALSE)*(0.25 + 0.75*O237/40))</f>
        <v>109</v>
      </c>
      <c r="R237">
        <f>TRUNC(VLOOKUP(N237,'Color codes'!$A:$E,4,FALSE)*(0.25 + 0.75*O237/40))</f>
        <v>46</v>
      </c>
      <c r="S237">
        <f>TRUNC(VLOOKUP(N237,'Color codes'!$A:$E,5,FALSE)*(0.25 + 0.75*O237/40))</f>
        <v>44</v>
      </c>
      <c r="T237" t="b">
        <f t="shared" si="16"/>
        <v>1</v>
      </c>
    </row>
    <row r="238" spans="1:20" x14ac:dyDescent="0.25">
      <c r="A238" t="s">
        <v>14</v>
      </c>
      <c r="B238" t="s">
        <v>10</v>
      </c>
      <c r="C238">
        <v>31</v>
      </c>
      <c r="D238">
        <v>1.0000000000000001E-5</v>
      </c>
      <c r="E238">
        <v>1E-4</v>
      </c>
      <c r="F238" t="str">
        <f t="shared" si="14"/>
        <v>castle256_line_31_0,00001_0,0001</v>
      </c>
      <c r="G238">
        <f>IFERROR(VLOOKUP(F238,SROU03!$F:$H,2,FALSE),0)</f>
        <v>24.487696</v>
      </c>
      <c r="H238">
        <f>IFERROR(VLOOKUP(F238,SROU03!$F:$H,3,FALSE),0)</f>
        <v>36.849814000000002</v>
      </c>
      <c r="I238">
        <v>25.407900000000001</v>
      </c>
      <c r="J238">
        <v>5.7595000000000001</v>
      </c>
      <c r="K238">
        <f>IFERROR(VLOOKUP(F238,TICO09!$F:$K,6,FALSE),0)</f>
        <v>19.8841</v>
      </c>
      <c r="L238">
        <f>IFERROR(VLOOKUP(F238,SROU03!$F:$L,7,FALSE),0)</f>
        <v>26.421299999999999</v>
      </c>
      <c r="M238">
        <v>28.380600000000001</v>
      </c>
      <c r="N238" t="str">
        <f t="shared" si="17"/>
        <v>BM3D</v>
      </c>
      <c r="O238">
        <f t="shared" si="15"/>
        <v>28.380600000000001</v>
      </c>
      <c r="P238">
        <f>VLOOKUP(N238,'Color codes'!$A:$B,2,FALSE)</f>
        <v>1</v>
      </c>
      <c r="Q238">
        <f>TRUNC(VLOOKUP(N238,'Color codes'!$A:$E,3,FALSE)*(0.25 + 0.75*O238/40))</f>
        <v>199</v>
      </c>
      <c r="R238">
        <f>TRUNC(VLOOKUP(N238,'Color codes'!$A:$E,4,FALSE)*(0.25 + 0.75*O238/40))</f>
        <v>83</v>
      </c>
      <c r="S238">
        <f>TRUNC(VLOOKUP(N238,'Color codes'!$A:$E,5,FALSE)*(0.25 + 0.75*O238/40))</f>
        <v>81</v>
      </c>
      <c r="T238" t="b">
        <f t="shared" si="16"/>
        <v>1</v>
      </c>
    </row>
    <row r="239" spans="1:20" x14ac:dyDescent="0.25">
      <c r="A239" t="s">
        <v>14</v>
      </c>
      <c r="B239" t="s">
        <v>10</v>
      </c>
      <c r="C239">
        <v>31</v>
      </c>
      <c r="D239">
        <v>1.0000000000000001E-5</v>
      </c>
      <c r="E239">
        <v>1E-3</v>
      </c>
      <c r="F239" t="str">
        <f t="shared" si="14"/>
        <v>castle256_line_31_0,00001_0,001</v>
      </c>
      <c r="G239">
        <f>IFERROR(VLOOKUP(F239,SROU03!$F:$H,2,FALSE),0)</f>
        <v>10.605297</v>
      </c>
      <c r="H239">
        <f>IFERROR(VLOOKUP(F239,SROU03!$F:$H,3,FALSE),0)</f>
        <v>35.686950000000003</v>
      </c>
      <c r="I239">
        <v>15.513299999999999</v>
      </c>
      <c r="J239">
        <v>5.7595000000000001</v>
      </c>
      <c r="K239">
        <f>IFERROR(VLOOKUP(F239,TICO09!$F:$K,6,FALSE),0)</f>
        <v>17.604399999999998</v>
      </c>
      <c r="L239">
        <f>IFERROR(VLOOKUP(F239,SROU03!$F:$L,7,FALSE),0)</f>
        <v>19.031700000000001</v>
      </c>
      <c r="M239">
        <v>20.6142</v>
      </c>
      <c r="N239" t="str">
        <f t="shared" si="17"/>
        <v>BM3D</v>
      </c>
      <c r="O239">
        <f t="shared" si="15"/>
        <v>20.6142</v>
      </c>
      <c r="P239">
        <f>VLOOKUP(N239,'Color codes'!$A:$B,2,FALSE)</f>
        <v>1</v>
      </c>
      <c r="Q239">
        <f>TRUNC(VLOOKUP(N239,'Color codes'!$A:$E,3,FALSE)*(0.25 + 0.75*O239/40))</f>
        <v>162</v>
      </c>
      <c r="R239">
        <f>TRUNC(VLOOKUP(N239,'Color codes'!$A:$E,4,FALSE)*(0.25 + 0.75*O239/40))</f>
        <v>68</v>
      </c>
      <c r="S239">
        <f>TRUNC(VLOOKUP(N239,'Color codes'!$A:$E,5,FALSE)*(0.25 + 0.75*O239/40))</f>
        <v>66</v>
      </c>
      <c r="T239" t="b">
        <f t="shared" si="16"/>
        <v>1</v>
      </c>
    </row>
    <row r="240" spans="1:20" x14ac:dyDescent="0.25">
      <c r="A240" t="s">
        <v>14</v>
      </c>
      <c r="B240" t="s">
        <v>10</v>
      </c>
      <c r="C240">
        <v>31</v>
      </c>
      <c r="D240">
        <v>1.0000000000000001E-5</v>
      </c>
      <c r="E240">
        <v>0.01</v>
      </c>
      <c r="F240" t="str">
        <f t="shared" si="14"/>
        <v>castle256_line_31_0,00001_0,01</v>
      </c>
      <c r="G240">
        <f>IFERROR(VLOOKUP(F240,SROU03!$F:$H,2,FALSE),0)</f>
        <v>5.7717219999999996</v>
      </c>
      <c r="H240">
        <f>IFERROR(VLOOKUP(F240,SROU03!$F:$H,3,FALSE),0)</f>
        <v>35.789613000000003</v>
      </c>
      <c r="I240">
        <v>6.4596</v>
      </c>
      <c r="J240">
        <v>5.7595000000000001</v>
      </c>
      <c r="K240">
        <f>IFERROR(VLOOKUP(F240,TICO09!$F:$K,6,FALSE),0)</f>
        <v>13.0852</v>
      </c>
      <c r="L240">
        <f>IFERROR(VLOOKUP(F240,SROU03!$F:$L,7,FALSE),0)</f>
        <v>12.9001</v>
      </c>
      <c r="M240">
        <v>14.110900000000001</v>
      </c>
      <c r="N240" t="str">
        <f t="shared" si="17"/>
        <v>BM3D</v>
      </c>
      <c r="O240">
        <f t="shared" si="15"/>
        <v>14.110900000000001</v>
      </c>
      <c r="P240">
        <f>VLOOKUP(N240,'Color codes'!$A:$B,2,FALSE)</f>
        <v>1</v>
      </c>
      <c r="Q240">
        <f>TRUNC(VLOOKUP(N240,'Color codes'!$A:$E,3,FALSE)*(0.25 + 0.75*O240/40))</f>
        <v>131</v>
      </c>
      <c r="R240">
        <f>TRUNC(VLOOKUP(N240,'Color codes'!$A:$E,4,FALSE)*(0.25 + 0.75*O240/40))</f>
        <v>55</v>
      </c>
      <c r="S240">
        <f>TRUNC(VLOOKUP(N240,'Color codes'!$A:$E,5,FALSE)*(0.25 + 0.75*O240/40))</f>
        <v>53</v>
      </c>
      <c r="T240" t="b">
        <f t="shared" si="16"/>
        <v>1</v>
      </c>
    </row>
    <row r="241" spans="1:20" x14ac:dyDescent="0.25">
      <c r="A241" t="s">
        <v>14</v>
      </c>
      <c r="B241" t="s">
        <v>10</v>
      </c>
      <c r="C241">
        <v>31</v>
      </c>
      <c r="D241">
        <v>1.0000000000000001E-5</v>
      </c>
      <c r="E241">
        <v>0.1</v>
      </c>
      <c r="F241" t="str">
        <f t="shared" si="14"/>
        <v>castle256_line_31_0,00001_0,1</v>
      </c>
      <c r="G241">
        <f>IFERROR(VLOOKUP(F241,SROU03!$F:$H,2,FALSE),0)</f>
        <v>3.627373</v>
      </c>
      <c r="H241">
        <f>IFERROR(VLOOKUP(F241,SROU03!$F:$H,3,FALSE),0)</f>
        <v>35.882668000000002</v>
      </c>
      <c r="I241">
        <v>1.1862999999999999</v>
      </c>
      <c r="J241">
        <v>5.7595000000000001</v>
      </c>
      <c r="K241">
        <f>IFERROR(VLOOKUP(F241,TICO09!$F:$K,6,FALSE),0)</f>
        <v>7.5869999999999997</v>
      </c>
      <c r="L241">
        <f>IFERROR(VLOOKUP(F241,SROU03!$F:$L,7,FALSE),0)</f>
        <v>6.7081</v>
      </c>
      <c r="M241">
        <v>9.2698</v>
      </c>
      <c r="N241" t="str">
        <f t="shared" si="17"/>
        <v>BM3D</v>
      </c>
      <c r="O241">
        <f t="shared" si="15"/>
        <v>9.2698</v>
      </c>
      <c r="P241">
        <f>VLOOKUP(N241,'Color codes'!$A:$B,2,FALSE)</f>
        <v>1</v>
      </c>
      <c r="Q241">
        <f>TRUNC(VLOOKUP(N241,'Color codes'!$A:$E,3,FALSE)*(0.25 + 0.75*O241/40))</f>
        <v>108</v>
      </c>
      <c r="R241">
        <f>TRUNC(VLOOKUP(N241,'Color codes'!$A:$E,4,FALSE)*(0.25 + 0.75*O241/40))</f>
        <v>45</v>
      </c>
      <c r="S241">
        <f>TRUNC(VLOOKUP(N241,'Color codes'!$A:$E,5,FALSE)*(0.25 + 0.75*O241/40))</f>
        <v>44</v>
      </c>
      <c r="T241" t="b">
        <f t="shared" si="16"/>
        <v>1</v>
      </c>
    </row>
    <row r="242" spans="1:20" x14ac:dyDescent="0.25">
      <c r="A242" t="s">
        <v>14</v>
      </c>
      <c r="B242" t="s">
        <v>11</v>
      </c>
      <c r="C242">
        <v>3</v>
      </c>
      <c r="D242">
        <v>1.0000000000000001E-5</v>
      </c>
      <c r="E242">
        <v>1E-4</v>
      </c>
      <c r="F242" t="str">
        <f t="shared" ref="F242:F257" si="18">A242&amp;"_"&amp;B242&amp;"_"&amp;C242&amp;"_"&amp;D242&amp;"_"&amp;E242</f>
        <v>castle256_blurkernel10_3_0,00001_0,0001</v>
      </c>
      <c r="G242">
        <f>IFERROR(VLOOKUP(F242,SROU03!$F:$H,2,FALSE),0)</f>
        <v>35.577784000000001</v>
      </c>
      <c r="H242">
        <f>IFERROR(VLOOKUP(F242,SROU03!$F:$H,3,FALSE),0)</f>
        <v>3.1830029999999998</v>
      </c>
      <c r="I242">
        <v>25.4039</v>
      </c>
      <c r="J242">
        <v>14.466100000000001</v>
      </c>
      <c r="K242">
        <f>IFERROR(VLOOKUP(F242,TICO09!$F:$K,6,FALSE),0)</f>
        <v>18.627099999999999</v>
      </c>
      <c r="L242">
        <f>IFERROR(VLOOKUP(F242,SROU03!$F:$L,7,FALSE),0)</f>
        <v>28.227699999999999</v>
      </c>
      <c r="M242">
        <v>28.451499999999999</v>
      </c>
      <c r="N242" t="str">
        <f t="shared" si="17"/>
        <v>BM3D</v>
      </c>
      <c r="O242">
        <f t="shared" si="15"/>
        <v>28.451499999999999</v>
      </c>
      <c r="P242">
        <f>VLOOKUP(N242,'Color codes'!$A:$B,2,FALSE)</f>
        <v>1</v>
      </c>
      <c r="Q242">
        <f>TRUNC(VLOOKUP(N242,'Color codes'!$A:$E,3,FALSE)*(0.25 + 0.75*O242/40))</f>
        <v>199</v>
      </c>
      <c r="R242">
        <f>TRUNC(VLOOKUP(N242,'Color codes'!$A:$E,4,FALSE)*(0.25 + 0.75*O242/40))</f>
        <v>83</v>
      </c>
      <c r="S242">
        <f>TRUNC(VLOOKUP(N242,'Color codes'!$A:$E,5,FALSE)*(0.25 + 0.75*O242/40))</f>
        <v>81</v>
      </c>
      <c r="T242" t="b">
        <f t="shared" si="16"/>
        <v>0</v>
      </c>
    </row>
    <row r="243" spans="1:20" x14ac:dyDescent="0.25">
      <c r="A243" t="s">
        <v>14</v>
      </c>
      <c r="B243" t="s">
        <v>11</v>
      </c>
      <c r="C243">
        <v>3</v>
      </c>
      <c r="D243">
        <v>1.0000000000000001E-5</v>
      </c>
      <c r="E243">
        <v>1E-3</v>
      </c>
      <c r="F243" t="str">
        <f t="shared" si="18"/>
        <v>castle256_blurkernel10_3_0,00001_0,001</v>
      </c>
      <c r="G243">
        <f>IFERROR(VLOOKUP(F243,SROU03!$F:$H,2,FALSE),0)</f>
        <v>26.641895999999999</v>
      </c>
      <c r="H243">
        <f>IFERROR(VLOOKUP(F243,SROU03!$F:$H,3,FALSE),0)</f>
        <v>3.1291020000000001</v>
      </c>
      <c r="I243">
        <v>15.531599999999999</v>
      </c>
      <c r="J243">
        <v>14.466100000000001</v>
      </c>
      <c r="K243">
        <f>IFERROR(VLOOKUP(F243,TICO09!$F:$K,6,FALSE),0)</f>
        <v>17.413900000000002</v>
      </c>
      <c r="L243">
        <f>IFERROR(VLOOKUP(F243,SROU03!$F:$L,7,FALSE),0)</f>
        <v>22.192799999999998</v>
      </c>
      <c r="M243">
        <v>20.578900000000001</v>
      </c>
      <c r="N243" t="str">
        <f t="shared" si="17"/>
        <v>SROU03</v>
      </c>
      <c r="O243">
        <f t="shared" si="15"/>
        <v>22.192799999999998</v>
      </c>
      <c r="P243">
        <f>VLOOKUP(N243,'Color codes'!$A:$B,2,FALSE)</f>
        <v>3</v>
      </c>
      <c r="Q243">
        <f>TRUNC(VLOOKUP(N243,'Color codes'!$A:$E,3,FALSE)*(0.25 + 0.75*O243/40))</f>
        <v>71</v>
      </c>
      <c r="R243">
        <f>TRUNC(VLOOKUP(N243,'Color codes'!$A:$E,4,FALSE)*(0.25 + 0.75*O243/40))</f>
        <v>117</v>
      </c>
      <c r="S243">
        <f>TRUNC(VLOOKUP(N243,'Color codes'!$A:$E,5,FALSE)*(0.25 + 0.75*O243/40))</f>
        <v>169</v>
      </c>
      <c r="T243" t="b">
        <f t="shared" si="16"/>
        <v>1</v>
      </c>
    </row>
    <row r="244" spans="1:20" x14ac:dyDescent="0.25">
      <c r="A244" t="s">
        <v>14</v>
      </c>
      <c r="B244" t="s">
        <v>11</v>
      </c>
      <c r="C244">
        <v>3</v>
      </c>
      <c r="D244">
        <v>1.0000000000000001E-5</v>
      </c>
      <c r="E244">
        <v>0.01</v>
      </c>
      <c r="F244" t="str">
        <f t="shared" si="18"/>
        <v>castle256_blurkernel10_3_0,00001_0,01</v>
      </c>
      <c r="G244">
        <f>IFERROR(VLOOKUP(F244,SROU03!$F:$H,2,FALSE),0)</f>
        <v>22.850823999999999</v>
      </c>
      <c r="H244">
        <f>IFERROR(VLOOKUP(F244,SROU03!$F:$H,3,FALSE),0)</f>
        <v>3.197905</v>
      </c>
      <c r="I244">
        <v>6.4325000000000001</v>
      </c>
      <c r="J244">
        <v>14.466100000000001</v>
      </c>
      <c r="K244">
        <f>IFERROR(VLOOKUP(F244,TICO09!$F:$K,6,FALSE),0)</f>
        <v>14.8521</v>
      </c>
      <c r="L244">
        <f>IFERROR(VLOOKUP(F244,SROU03!$F:$L,7,FALSE),0)</f>
        <v>20.647300000000001</v>
      </c>
      <c r="M244">
        <v>14.2567</v>
      </c>
      <c r="N244" t="str">
        <f t="shared" si="17"/>
        <v>SROU03</v>
      </c>
      <c r="O244">
        <f t="shared" si="15"/>
        <v>20.647300000000001</v>
      </c>
      <c r="P244">
        <f>VLOOKUP(N244,'Color codes'!$A:$B,2,FALSE)</f>
        <v>3</v>
      </c>
      <c r="Q244">
        <f>TRUNC(VLOOKUP(N244,'Color codes'!$A:$E,3,FALSE)*(0.25 + 0.75*O244/40))</f>
        <v>68</v>
      </c>
      <c r="R244">
        <f>TRUNC(VLOOKUP(N244,'Color codes'!$A:$E,4,FALSE)*(0.25 + 0.75*O244/40))</f>
        <v>112</v>
      </c>
      <c r="S244">
        <f>TRUNC(VLOOKUP(N244,'Color codes'!$A:$E,5,FALSE)*(0.25 + 0.75*O244/40))</f>
        <v>162</v>
      </c>
      <c r="T244" t="b">
        <f t="shared" si="16"/>
        <v>1</v>
      </c>
    </row>
    <row r="245" spans="1:20" x14ac:dyDescent="0.25">
      <c r="A245" t="s">
        <v>14</v>
      </c>
      <c r="B245" t="s">
        <v>11</v>
      </c>
      <c r="C245">
        <v>3</v>
      </c>
      <c r="D245">
        <v>1.0000000000000001E-5</v>
      </c>
      <c r="E245">
        <v>0.1</v>
      </c>
      <c r="F245" t="str">
        <f t="shared" si="18"/>
        <v>castle256_blurkernel10_3_0,00001_0,1</v>
      </c>
      <c r="G245">
        <f>IFERROR(VLOOKUP(F245,SROU03!$F:$H,2,FALSE),0)</f>
        <v>20.699269999999999</v>
      </c>
      <c r="H245">
        <f>IFERROR(VLOOKUP(F245,SROU03!$F:$H,3,FALSE),0)</f>
        <v>3.2205240000000002</v>
      </c>
      <c r="I245">
        <v>1.2129000000000001</v>
      </c>
      <c r="J245">
        <v>14.466100000000001</v>
      </c>
      <c r="K245">
        <f>IFERROR(VLOOKUP(F245,TICO09!$F:$K,6,FALSE),0)</f>
        <v>10.128</v>
      </c>
      <c r="L245">
        <f>IFERROR(VLOOKUP(F245,SROU03!$F:$L,7,FALSE),0)</f>
        <v>18.112300000000001</v>
      </c>
      <c r="M245">
        <v>9.4200999999999997</v>
      </c>
      <c r="N245" t="str">
        <f t="shared" si="17"/>
        <v>SROU03</v>
      </c>
      <c r="O245">
        <f t="shared" si="15"/>
        <v>18.112300000000001</v>
      </c>
      <c r="P245">
        <f>VLOOKUP(N245,'Color codes'!$A:$B,2,FALSE)</f>
        <v>3</v>
      </c>
      <c r="Q245">
        <f>TRUNC(VLOOKUP(N245,'Color codes'!$A:$E,3,FALSE)*(0.25 + 0.75*O245/40))</f>
        <v>63</v>
      </c>
      <c r="R245">
        <f>TRUNC(VLOOKUP(N245,'Color codes'!$A:$E,4,FALSE)*(0.25 + 0.75*O245/40))</f>
        <v>103</v>
      </c>
      <c r="S245">
        <f>TRUNC(VLOOKUP(N245,'Color codes'!$A:$E,5,FALSE)*(0.25 + 0.75*O245/40))</f>
        <v>150</v>
      </c>
      <c r="T245" t="b">
        <f t="shared" si="16"/>
        <v>1</v>
      </c>
    </row>
    <row r="246" spans="1:20" x14ac:dyDescent="0.25">
      <c r="A246" t="s">
        <v>14</v>
      </c>
      <c r="B246" t="s">
        <v>11</v>
      </c>
      <c r="C246">
        <v>7</v>
      </c>
      <c r="D246">
        <v>1.0000000000000001E-5</v>
      </c>
      <c r="E246">
        <v>1E-4</v>
      </c>
      <c r="F246" t="str">
        <f t="shared" si="18"/>
        <v>castle256_blurkernel10_7_0,00001_0,0001</v>
      </c>
      <c r="G246">
        <f>IFERROR(VLOOKUP(F246,SROU03!$F:$H,2,FALSE),0)</f>
        <v>26.285416000000001</v>
      </c>
      <c r="H246">
        <f>IFERROR(VLOOKUP(F246,SROU03!$F:$H,3,FALSE),0)</f>
        <v>8.2755379999999992</v>
      </c>
      <c r="I246">
        <v>25.355699999999999</v>
      </c>
      <c r="J246">
        <v>10.289</v>
      </c>
      <c r="K246">
        <f>IFERROR(VLOOKUP(F246,TICO09!$F:$K,6,FALSE),0)</f>
        <v>19.4009</v>
      </c>
      <c r="L246">
        <f>IFERROR(VLOOKUP(F246,SROU03!$F:$L,7,FALSE),0)</f>
        <v>27.1252</v>
      </c>
      <c r="M246">
        <v>28.401</v>
      </c>
      <c r="N246" t="str">
        <f t="shared" si="17"/>
        <v>BM3D</v>
      </c>
      <c r="O246">
        <f t="shared" si="15"/>
        <v>28.401</v>
      </c>
      <c r="P246">
        <f>VLOOKUP(N246,'Color codes'!$A:$B,2,FALSE)</f>
        <v>1</v>
      </c>
      <c r="Q246">
        <f>TRUNC(VLOOKUP(N246,'Color codes'!$A:$E,3,FALSE)*(0.25 + 0.75*O246/40))</f>
        <v>199</v>
      </c>
      <c r="R246">
        <f>TRUNC(VLOOKUP(N246,'Color codes'!$A:$E,4,FALSE)*(0.25 + 0.75*O246/40))</f>
        <v>83</v>
      </c>
      <c r="S246">
        <f>TRUNC(VLOOKUP(N246,'Color codes'!$A:$E,5,FALSE)*(0.25 + 0.75*O246/40))</f>
        <v>81</v>
      </c>
      <c r="T246" t="b">
        <f t="shared" si="16"/>
        <v>1</v>
      </c>
    </row>
    <row r="247" spans="1:20" x14ac:dyDescent="0.25">
      <c r="A247" t="s">
        <v>14</v>
      </c>
      <c r="B247" t="s">
        <v>11</v>
      </c>
      <c r="C247">
        <v>7</v>
      </c>
      <c r="D247">
        <v>1.0000000000000001E-5</v>
      </c>
      <c r="E247">
        <v>1E-3</v>
      </c>
      <c r="F247" t="str">
        <f t="shared" si="18"/>
        <v>castle256_blurkernel10_7_0,00001_0,001</v>
      </c>
      <c r="G247">
        <f>IFERROR(VLOOKUP(F247,SROU03!$F:$H,2,FALSE),0)</f>
        <v>15.427068</v>
      </c>
      <c r="H247">
        <f>IFERROR(VLOOKUP(F247,SROU03!$F:$H,3,FALSE),0)</f>
        <v>7.9800310000000003</v>
      </c>
      <c r="I247">
        <v>15.5543</v>
      </c>
      <c r="J247">
        <v>10.289</v>
      </c>
      <c r="K247">
        <f>IFERROR(VLOOKUP(F247,TICO09!$F:$K,6,FALSE),0)</f>
        <v>17.5379</v>
      </c>
      <c r="L247">
        <f>IFERROR(VLOOKUP(F247,SROU03!$F:$L,7,FALSE),0)</f>
        <v>20.556100000000001</v>
      </c>
      <c r="M247">
        <v>20.6172</v>
      </c>
      <c r="N247" t="str">
        <f t="shared" si="17"/>
        <v>BM3D</v>
      </c>
      <c r="O247">
        <f t="shared" si="15"/>
        <v>20.6172</v>
      </c>
      <c r="P247">
        <f>VLOOKUP(N247,'Color codes'!$A:$B,2,FALSE)</f>
        <v>1</v>
      </c>
      <c r="Q247">
        <f>TRUNC(VLOOKUP(N247,'Color codes'!$A:$E,3,FALSE)*(0.25 + 0.75*O247/40))</f>
        <v>162</v>
      </c>
      <c r="R247">
        <f>TRUNC(VLOOKUP(N247,'Color codes'!$A:$E,4,FALSE)*(0.25 + 0.75*O247/40))</f>
        <v>68</v>
      </c>
      <c r="S247">
        <f>TRUNC(VLOOKUP(N247,'Color codes'!$A:$E,5,FALSE)*(0.25 + 0.75*O247/40))</f>
        <v>66</v>
      </c>
      <c r="T247" t="b">
        <f t="shared" si="16"/>
        <v>0</v>
      </c>
    </row>
    <row r="248" spans="1:20" x14ac:dyDescent="0.25">
      <c r="A248" t="s">
        <v>14</v>
      </c>
      <c r="B248" t="s">
        <v>11</v>
      </c>
      <c r="C248">
        <v>7</v>
      </c>
      <c r="D248">
        <v>1.0000000000000001E-5</v>
      </c>
      <c r="E248">
        <v>0.01</v>
      </c>
      <c r="F248" t="str">
        <f t="shared" si="18"/>
        <v>castle256_blurkernel10_7_0,00001_0,01</v>
      </c>
      <c r="G248">
        <f>IFERROR(VLOOKUP(F248,SROU03!$F:$H,2,FALSE),0)</f>
        <v>11.486419</v>
      </c>
      <c r="H248">
        <f>IFERROR(VLOOKUP(F248,SROU03!$F:$H,3,FALSE),0)</f>
        <v>8.0470570000000006</v>
      </c>
      <c r="I248">
        <v>6.4790000000000001</v>
      </c>
      <c r="J248">
        <v>10.289</v>
      </c>
      <c r="K248">
        <f>IFERROR(VLOOKUP(F248,TICO09!$F:$K,6,FALSE),0)</f>
        <v>13.567</v>
      </c>
      <c r="L248">
        <f>IFERROR(VLOOKUP(F248,SROU03!$F:$L,7,FALSE),0)</f>
        <v>16.397500000000001</v>
      </c>
      <c r="M248">
        <v>14.1228</v>
      </c>
      <c r="N248" t="str">
        <f t="shared" si="17"/>
        <v>SROU03</v>
      </c>
      <c r="O248">
        <f t="shared" si="15"/>
        <v>16.397500000000001</v>
      </c>
      <c r="P248">
        <f>VLOOKUP(N248,'Color codes'!$A:$B,2,FALSE)</f>
        <v>3</v>
      </c>
      <c r="Q248">
        <f>TRUNC(VLOOKUP(N248,'Color codes'!$A:$E,3,FALSE)*(0.25 + 0.75*O248/40))</f>
        <v>59</v>
      </c>
      <c r="R248">
        <f>TRUNC(VLOOKUP(N248,'Color codes'!$A:$E,4,FALSE)*(0.25 + 0.75*O248/40))</f>
        <v>98</v>
      </c>
      <c r="S248">
        <f>TRUNC(VLOOKUP(N248,'Color codes'!$A:$E,5,FALSE)*(0.25 + 0.75*O248/40))</f>
        <v>142</v>
      </c>
      <c r="T248" t="b">
        <f t="shared" si="16"/>
        <v>1</v>
      </c>
    </row>
    <row r="249" spans="1:20" x14ac:dyDescent="0.25">
      <c r="A249" t="s">
        <v>14</v>
      </c>
      <c r="B249" t="s">
        <v>11</v>
      </c>
      <c r="C249">
        <v>7</v>
      </c>
      <c r="D249">
        <v>1.0000000000000001E-5</v>
      </c>
      <c r="E249">
        <v>0.1</v>
      </c>
      <c r="F249" t="str">
        <f t="shared" si="18"/>
        <v>castle256_blurkernel10_7_0,00001_0,1</v>
      </c>
      <c r="G249">
        <f>IFERROR(VLOOKUP(F249,SROU03!$F:$H,2,FALSE),0)</f>
        <v>9.2765900000000006</v>
      </c>
      <c r="H249">
        <f>IFERROR(VLOOKUP(F249,SROU03!$F:$H,3,FALSE),0)</f>
        <v>8.0969610000000003</v>
      </c>
      <c r="I249">
        <v>1.1914</v>
      </c>
      <c r="J249">
        <v>10.289</v>
      </c>
      <c r="K249">
        <f>IFERROR(VLOOKUP(F249,TICO09!$F:$K,6,FALSE),0)</f>
        <v>8.5716999999999999</v>
      </c>
      <c r="L249">
        <f>IFERROR(VLOOKUP(F249,SROU03!$F:$L,7,FALSE),0)</f>
        <v>9.7029999999999994</v>
      </c>
      <c r="M249">
        <v>9.3056000000000001</v>
      </c>
      <c r="N249" t="str">
        <f t="shared" si="17"/>
        <v>SROU03</v>
      </c>
      <c r="O249">
        <f t="shared" si="15"/>
        <v>9.7029999999999994</v>
      </c>
      <c r="P249">
        <f>VLOOKUP(N249,'Color codes'!$A:$B,2,FALSE)</f>
        <v>3</v>
      </c>
      <c r="Q249">
        <f>TRUNC(VLOOKUP(N249,'Color codes'!$A:$E,3,FALSE)*(0.25 + 0.75*O249/40))</f>
        <v>46</v>
      </c>
      <c r="R249">
        <f>TRUNC(VLOOKUP(N249,'Color codes'!$A:$E,4,FALSE)*(0.25 + 0.75*O249/40))</f>
        <v>76</v>
      </c>
      <c r="S249">
        <f>TRUNC(VLOOKUP(N249,'Color codes'!$A:$E,5,FALSE)*(0.25 + 0.75*O249/40))</f>
        <v>110</v>
      </c>
      <c r="T249" t="b">
        <f t="shared" si="16"/>
        <v>0</v>
      </c>
    </row>
    <row r="250" spans="1:20" x14ac:dyDescent="0.25">
      <c r="A250" t="s">
        <v>14</v>
      </c>
      <c r="B250" t="s">
        <v>11</v>
      </c>
      <c r="C250">
        <v>15</v>
      </c>
      <c r="D250">
        <v>1.0000000000000001E-5</v>
      </c>
      <c r="E250">
        <v>1E-4</v>
      </c>
      <c r="F250" t="str">
        <f t="shared" si="18"/>
        <v>castle256_blurkernel10_15_0,00001_0,0001</v>
      </c>
      <c r="G250">
        <f>IFERROR(VLOOKUP(F250,SROU03!$F:$H,2,FALSE),0)</f>
        <v>23.521927000000002</v>
      </c>
      <c r="H250">
        <f>IFERROR(VLOOKUP(F250,SROU03!$F:$H,3,FALSE),0)</f>
        <v>18.166557000000001</v>
      </c>
      <c r="I250">
        <v>25.392800000000001</v>
      </c>
      <c r="J250">
        <v>8.1912000000000003</v>
      </c>
      <c r="K250">
        <f>IFERROR(VLOOKUP(F250,TICO09!$F:$K,6,FALSE),0)</f>
        <v>19.650300000000001</v>
      </c>
      <c r="L250">
        <f>IFERROR(VLOOKUP(F250,SROU03!$F:$L,7,FALSE),0)</f>
        <v>26.670100000000001</v>
      </c>
      <c r="M250">
        <v>28.438500000000001</v>
      </c>
      <c r="N250" t="str">
        <f t="shared" si="17"/>
        <v>BM3D</v>
      </c>
      <c r="O250">
        <f t="shared" si="15"/>
        <v>28.438500000000001</v>
      </c>
      <c r="P250">
        <f>VLOOKUP(N250,'Color codes'!$A:$B,2,FALSE)</f>
        <v>1</v>
      </c>
      <c r="Q250">
        <f>TRUNC(VLOOKUP(N250,'Color codes'!$A:$E,3,FALSE)*(0.25 + 0.75*O250/40))</f>
        <v>199</v>
      </c>
      <c r="R250">
        <f>TRUNC(VLOOKUP(N250,'Color codes'!$A:$E,4,FALSE)*(0.25 + 0.75*O250/40))</f>
        <v>83</v>
      </c>
      <c r="S250">
        <f>TRUNC(VLOOKUP(N250,'Color codes'!$A:$E,5,FALSE)*(0.25 + 0.75*O250/40))</f>
        <v>81</v>
      </c>
      <c r="T250" t="b">
        <f t="shared" si="16"/>
        <v>1</v>
      </c>
    </row>
    <row r="251" spans="1:20" x14ac:dyDescent="0.25">
      <c r="A251" t="s">
        <v>14</v>
      </c>
      <c r="B251" t="s">
        <v>11</v>
      </c>
      <c r="C251">
        <v>15</v>
      </c>
      <c r="D251">
        <v>1.0000000000000001E-5</v>
      </c>
      <c r="E251">
        <v>1E-3</v>
      </c>
      <c r="F251" t="str">
        <f t="shared" si="18"/>
        <v>castle256_blurkernel10_15_0,00001_0,001</v>
      </c>
      <c r="G251">
        <f>IFERROR(VLOOKUP(F251,SROU03!$F:$H,2,FALSE),0)</f>
        <v>11.067314</v>
      </c>
      <c r="H251">
        <f>IFERROR(VLOOKUP(F251,SROU03!$F:$H,3,FALSE),0)</f>
        <v>17.422834999999999</v>
      </c>
      <c r="I251">
        <v>15.5069</v>
      </c>
      <c r="J251">
        <v>8.1912000000000003</v>
      </c>
      <c r="K251">
        <f>IFERROR(VLOOKUP(F251,TICO09!$F:$K,6,FALSE),0)</f>
        <v>17.607700000000001</v>
      </c>
      <c r="L251">
        <f>IFERROR(VLOOKUP(F251,SROU03!$F:$L,7,FALSE),0)</f>
        <v>20.6541</v>
      </c>
      <c r="M251">
        <v>20.5932</v>
      </c>
      <c r="N251" t="str">
        <f t="shared" si="17"/>
        <v>SROU03</v>
      </c>
      <c r="O251">
        <f t="shared" si="15"/>
        <v>20.6541</v>
      </c>
      <c r="P251">
        <f>VLOOKUP(N251,'Color codes'!$A:$B,2,FALSE)</f>
        <v>3</v>
      </c>
      <c r="Q251">
        <f>TRUNC(VLOOKUP(N251,'Color codes'!$A:$E,3,FALSE)*(0.25 + 0.75*O251/40))</f>
        <v>68</v>
      </c>
      <c r="R251">
        <f>TRUNC(VLOOKUP(N251,'Color codes'!$A:$E,4,FALSE)*(0.25 + 0.75*O251/40))</f>
        <v>112</v>
      </c>
      <c r="S251">
        <f>TRUNC(VLOOKUP(N251,'Color codes'!$A:$E,5,FALSE)*(0.25 + 0.75*O251/40))</f>
        <v>162</v>
      </c>
      <c r="T251" t="b">
        <f t="shared" si="16"/>
        <v>0</v>
      </c>
    </row>
    <row r="252" spans="1:20" x14ac:dyDescent="0.25">
      <c r="A252" t="s">
        <v>14</v>
      </c>
      <c r="B252" t="s">
        <v>11</v>
      </c>
      <c r="C252">
        <v>15</v>
      </c>
      <c r="D252">
        <v>1.0000000000000001E-5</v>
      </c>
      <c r="E252">
        <v>0.01</v>
      </c>
      <c r="F252" t="str">
        <f t="shared" si="18"/>
        <v>castle256_blurkernel10_15_0,00001_0,01</v>
      </c>
      <c r="G252">
        <f>IFERROR(VLOOKUP(F252,SROU03!$F:$H,2,FALSE),0)</f>
        <v>7.4396110000000002</v>
      </c>
      <c r="H252">
        <f>IFERROR(VLOOKUP(F252,SROU03!$F:$H,3,FALSE),0)</f>
        <v>17.431749</v>
      </c>
      <c r="I252">
        <v>6.4740000000000002</v>
      </c>
      <c r="J252">
        <v>8.1912000000000003</v>
      </c>
      <c r="K252">
        <f>IFERROR(VLOOKUP(F252,TICO09!$F:$K,6,FALSE),0)</f>
        <v>13.3192</v>
      </c>
      <c r="L252">
        <f>IFERROR(VLOOKUP(F252,SROU03!$F:$L,7,FALSE),0)</f>
        <v>16.733699999999999</v>
      </c>
      <c r="M252">
        <v>14.239000000000001</v>
      </c>
      <c r="N252" t="str">
        <f t="shared" si="17"/>
        <v>SROU03</v>
      </c>
      <c r="O252">
        <f t="shared" si="15"/>
        <v>16.733699999999999</v>
      </c>
      <c r="P252">
        <f>VLOOKUP(N252,'Color codes'!$A:$B,2,FALSE)</f>
        <v>3</v>
      </c>
      <c r="Q252">
        <f>TRUNC(VLOOKUP(N252,'Color codes'!$A:$E,3,FALSE)*(0.25 + 0.75*O252/40))</f>
        <v>60</v>
      </c>
      <c r="R252">
        <f>TRUNC(VLOOKUP(N252,'Color codes'!$A:$E,4,FALSE)*(0.25 + 0.75*O252/40))</f>
        <v>99</v>
      </c>
      <c r="S252">
        <f>TRUNC(VLOOKUP(N252,'Color codes'!$A:$E,5,FALSE)*(0.25 + 0.75*O252/40))</f>
        <v>143</v>
      </c>
      <c r="T252" t="b">
        <f t="shared" si="16"/>
        <v>1</v>
      </c>
    </row>
    <row r="253" spans="1:20" x14ac:dyDescent="0.25">
      <c r="A253" t="s">
        <v>14</v>
      </c>
      <c r="B253" t="s">
        <v>11</v>
      </c>
      <c r="C253">
        <v>15</v>
      </c>
      <c r="D253">
        <v>1.0000000000000001E-5</v>
      </c>
      <c r="E253">
        <v>0.1</v>
      </c>
      <c r="F253" t="str">
        <f t="shared" si="18"/>
        <v>castle256_blurkernel10_15_0,00001_0,1</v>
      </c>
      <c r="G253">
        <f>IFERROR(VLOOKUP(F253,SROU03!$F:$H,2,FALSE),0)</f>
        <v>5.5531899999999998</v>
      </c>
      <c r="H253">
        <f>IFERROR(VLOOKUP(F253,SROU03!$F:$H,3,FALSE),0)</f>
        <v>17.485913</v>
      </c>
      <c r="I253">
        <v>1.1872</v>
      </c>
      <c r="J253">
        <v>8.1912000000000003</v>
      </c>
      <c r="K253">
        <f>IFERROR(VLOOKUP(F253,TICO09!$F:$K,6,FALSE),0)</f>
        <v>8.0958000000000006</v>
      </c>
      <c r="L253">
        <f>IFERROR(VLOOKUP(F253,SROU03!$F:$L,7,FALSE),0)</f>
        <v>10.1869</v>
      </c>
      <c r="M253">
        <v>9.3554999999999993</v>
      </c>
      <c r="N253" t="str">
        <f t="shared" si="17"/>
        <v>SROU03</v>
      </c>
      <c r="O253">
        <f t="shared" si="15"/>
        <v>10.1869</v>
      </c>
      <c r="P253">
        <f>VLOOKUP(N253,'Color codes'!$A:$B,2,FALSE)</f>
        <v>3</v>
      </c>
      <c r="Q253">
        <f>TRUNC(VLOOKUP(N253,'Color codes'!$A:$E,3,FALSE)*(0.25 + 0.75*O253/40))</f>
        <v>47</v>
      </c>
      <c r="R253">
        <f>TRUNC(VLOOKUP(N253,'Color codes'!$A:$E,4,FALSE)*(0.25 + 0.75*O253/40))</f>
        <v>77</v>
      </c>
      <c r="S253">
        <f>TRUNC(VLOOKUP(N253,'Color codes'!$A:$E,5,FALSE)*(0.25 + 0.75*O253/40))</f>
        <v>112</v>
      </c>
      <c r="T253" t="b">
        <f t="shared" si="16"/>
        <v>0</v>
      </c>
    </row>
    <row r="254" spans="1:20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18"/>
        <v>castle256_blurkernel10_31_0,00001_0,0001</v>
      </c>
      <c r="G254">
        <f>IFERROR(VLOOKUP(F254,SROU03!$F:$H,2,FALSE),0)</f>
        <v>22.663907999999999</v>
      </c>
      <c r="H254">
        <f>IFERROR(VLOOKUP(F254,SROU03!$F:$H,3,FALSE),0)</f>
        <v>37.583651000000003</v>
      </c>
      <c r="I254">
        <v>25.398199999999999</v>
      </c>
      <c r="J254">
        <v>6.2142999999999997</v>
      </c>
      <c r="K254">
        <f>IFERROR(VLOOKUP(F254,TICO09!$F:$K,6,FALSE),0)</f>
        <v>19.831399999999999</v>
      </c>
      <c r="L254">
        <f>IFERROR(VLOOKUP(F254,SROU03!$F:$L,7,FALSE),0)</f>
        <v>26.246500000000001</v>
      </c>
      <c r="M254">
        <v>28.4633</v>
      </c>
      <c r="N254" t="str">
        <f t="shared" si="17"/>
        <v>BM3D</v>
      </c>
      <c r="O254">
        <f t="shared" si="15"/>
        <v>28.4633</v>
      </c>
      <c r="P254">
        <f>VLOOKUP(N254,'Color codes'!$A:$B,2,FALSE)</f>
        <v>1</v>
      </c>
      <c r="Q254">
        <f>TRUNC(VLOOKUP(N254,'Color codes'!$A:$E,3,FALSE)*(0.25 + 0.75*O254/40))</f>
        <v>199</v>
      </c>
      <c r="R254">
        <f>TRUNC(VLOOKUP(N254,'Color codes'!$A:$E,4,FALSE)*(0.25 + 0.75*O254/40))</f>
        <v>83</v>
      </c>
      <c r="S254">
        <f>TRUNC(VLOOKUP(N254,'Color codes'!$A:$E,5,FALSE)*(0.25 + 0.75*O254/40))</f>
        <v>81</v>
      </c>
      <c r="T254" t="b">
        <f t="shared" si="16"/>
        <v>1</v>
      </c>
    </row>
    <row r="255" spans="1:20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18"/>
        <v>castle256_blurkernel10_31_0,00001_0,001</v>
      </c>
      <c r="G255">
        <f>IFERROR(VLOOKUP(F255,SROU03!$F:$H,2,FALSE),0)</f>
        <v>9.1098169999999996</v>
      </c>
      <c r="H255">
        <f>IFERROR(VLOOKUP(F255,SROU03!$F:$H,3,FALSE),0)</f>
        <v>35.988005999999999</v>
      </c>
      <c r="I255">
        <v>15.4932</v>
      </c>
      <c r="J255">
        <v>6.2142999999999997</v>
      </c>
      <c r="K255">
        <f>IFERROR(VLOOKUP(F255,TICO09!$F:$K,6,FALSE),0)</f>
        <v>17.5535</v>
      </c>
      <c r="L255">
        <f>IFERROR(VLOOKUP(F255,SROU03!$F:$L,7,FALSE),0)</f>
        <v>19.8352</v>
      </c>
      <c r="M255">
        <v>20.569400000000002</v>
      </c>
      <c r="N255" t="str">
        <f t="shared" si="17"/>
        <v>BM3D</v>
      </c>
      <c r="O255">
        <f t="shared" si="15"/>
        <v>20.569400000000002</v>
      </c>
      <c r="P255">
        <f>VLOOKUP(N255,'Color codes'!$A:$B,2,FALSE)</f>
        <v>1</v>
      </c>
      <c r="Q255">
        <f>TRUNC(VLOOKUP(N255,'Color codes'!$A:$E,3,FALSE)*(0.25 + 0.75*O255/40))</f>
        <v>162</v>
      </c>
      <c r="R255">
        <f>TRUNC(VLOOKUP(N255,'Color codes'!$A:$E,4,FALSE)*(0.25 + 0.75*O255/40))</f>
        <v>68</v>
      </c>
      <c r="S255">
        <f>TRUNC(VLOOKUP(N255,'Color codes'!$A:$E,5,FALSE)*(0.25 + 0.75*O255/40))</f>
        <v>66</v>
      </c>
      <c r="T255" t="b">
        <f t="shared" si="16"/>
        <v>0</v>
      </c>
    </row>
    <row r="256" spans="1:20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18"/>
        <v>castle256_blurkernel10_31_0,00001_0,01</v>
      </c>
      <c r="G256">
        <f>IFERROR(VLOOKUP(F256,SROU03!$F:$H,2,FALSE),0)</f>
        <v>5.3080870000000004</v>
      </c>
      <c r="H256">
        <f>IFERROR(VLOOKUP(F256,SROU03!$F:$H,3,FALSE),0)</f>
        <v>35.9101</v>
      </c>
      <c r="I256">
        <v>6.4722999999999997</v>
      </c>
      <c r="J256">
        <v>6.2142999999999997</v>
      </c>
      <c r="K256">
        <f>IFERROR(VLOOKUP(F256,TICO09!$F:$K,6,FALSE),0)</f>
        <v>13.1396</v>
      </c>
      <c r="L256">
        <f>IFERROR(VLOOKUP(F256,SROU03!$F:$L,7,FALSE),0)</f>
        <v>15.5495</v>
      </c>
      <c r="M256">
        <v>14.216799999999999</v>
      </c>
      <c r="N256" t="str">
        <f t="shared" si="17"/>
        <v>SROU03</v>
      </c>
      <c r="O256">
        <f t="shared" si="15"/>
        <v>15.5495</v>
      </c>
      <c r="P256">
        <f>VLOOKUP(N256,'Color codes'!$A:$B,2,FALSE)</f>
        <v>3</v>
      </c>
      <c r="Q256">
        <f>TRUNC(VLOOKUP(N256,'Color codes'!$A:$E,3,FALSE)*(0.25 + 0.75*O256/40))</f>
        <v>57</v>
      </c>
      <c r="R256">
        <f>TRUNC(VLOOKUP(N256,'Color codes'!$A:$E,4,FALSE)*(0.25 + 0.75*O256/40))</f>
        <v>95</v>
      </c>
      <c r="S256">
        <f>TRUNC(VLOOKUP(N256,'Color codes'!$A:$E,5,FALSE)*(0.25 + 0.75*O256/40))</f>
        <v>138</v>
      </c>
      <c r="T256" t="b">
        <f t="shared" si="16"/>
        <v>1</v>
      </c>
    </row>
    <row r="257" spans="1:20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18"/>
        <v>castle256_blurkernel10_31_0,00001_0,1</v>
      </c>
      <c r="G257">
        <f>IFERROR(VLOOKUP(F257,SROU03!$F:$H,2,FALSE),0)</f>
        <v>3.684018</v>
      </c>
      <c r="H257">
        <f>IFERROR(VLOOKUP(F257,SROU03!$F:$H,3,FALSE),0)</f>
        <v>35.960791999999998</v>
      </c>
      <c r="I257">
        <v>1.1920999999999999</v>
      </c>
      <c r="J257">
        <v>6.2142999999999997</v>
      </c>
      <c r="K257">
        <f>IFERROR(VLOOKUP(F257,TICO09!$F:$K,6,FALSE),0)</f>
        <v>7.5396000000000001</v>
      </c>
      <c r="L257">
        <f>IFERROR(VLOOKUP(F257,SROU03!$F:$L,7,FALSE),0)</f>
        <v>8.2082999999999995</v>
      </c>
      <c r="M257">
        <v>9.3469999999999995</v>
      </c>
      <c r="N257" t="str">
        <f t="shared" si="17"/>
        <v>BM3D</v>
      </c>
      <c r="O257">
        <f t="shared" si="15"/>
        <v>9.3469999999999995</v>
      </c>
      <c r="P257">
        <f>VLOOKUP(N257,'Color codes'!$A:$B,2,FALSE)</f>
        <v>1</v>
      </c>
      <c r="Q257">
        <f>TRUNC(VLOOKUP(N257,'Color codes'!$A:$E,3,FALSE)*(0.25 + 0.75*O257/40))</f>
        <v>108</v>
      </c>
      <c r="R257">
        <f>TRUNC(VLOOKUP(N257,'Color codes'!$A:$E,4,FALSE)*(0.25 + 0.75*O257/40))</f>
        <v>45</v>
      </c>
      <c r="S257">
        <f>TRUNC(VLOOKUP(N257,'Color codes'!$A:$E,5,FALSE)*(0.25 + 0.75*O257/40))</f>
        <v>44</v>
      </c>
      <c r="T257" t="b">
        <f t="shared" si="16"/>
        <v>1</v>
      </c>
    </row>
  </sheetData>
  <autoFilter ref="A1:T25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21"/>
  <sheetViews>
    <sheetView workbookViewId="0">
      <pane ySplit="1" topLeftCell="A285" activePane="bottomLeft" state="frozen"/>
      <selection pane="bottomLeft" activeCell="B344" sqref="B34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20.678899999999999</v>
      </c>
      <c r="L2">
        <v>0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19.561900000000001</v>
      </c>
      <c r="L3">
        <v>0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17.215399999999999</v>
      </c>
      <c r="L4">
        <v>0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11.4527</v>
      </c>
      <c r="L5">
        <v>0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20.502500000000001</v>
      </c>
      <c r="L6">
        <v>0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18.297499999999999</v>
      </c>
      <c r="L7">
        <v>0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14.407500000000001</v>
      </c>
      <c r="L8">
        <v>0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9.5831999999999997</v>
      </c>
      <c r="L9">
        <v>0</v>
      </c>
      <c r="M9">
        <v>0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21.2897</v>
      </c>
      <c r="L10">
        <v>0</v>
      </c>
      <c r="M10">
        <v>0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18.6632</v>
      </c>
      <c r="L11">
        <v>0</v>
      </c>
      <c r="M11">
        <v>0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13.740399999999999</v>
      </c>
      <c r="L12">
        <v>0</v>
      </c>
      <c r="M12">
        <v>0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8.2053999999999991</v>
      </c>
      <c r="L13">
        <v>0</v>
      </c>
      <c r="M13">
        <v>0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21.2895</v>
      </c>
      <c r="L14">
        <v>0</v>
      </c>
      <c r="M14">
        <v>0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18.517199999999999</v>
      </c>
      <c r="L15">
        <v>0</v>
      </c>
      <c r="M15">
        <v>0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13.5914</v>
      </c>
      <c r="L16">
        <v>0</v>
      </c>
      <c r="M16">
        <v>0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7.7866</v>
      </c>
      <c r="L17">
        <v>0</v>
      </c>
      <c r="M17">
        <v>0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20.5883</v>
      </c>
      <c r="L18">
        <v>0</v>
      </c>
      <c r="M18">
        <v>0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18.069600000000001</v>
      </c>
      <c r="L19">
        <v>0</v>
      </c>
      <c r="M19">
        <v>0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13.1286</v>
      </c>
      <c r="L20">
        <v>0</v>
      </c>
      <c r="M20">
        <v>0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7.5431999999999997</v>
      </c>
      <c r="L21">
        <v>0</v>
      </c>
      <c r="M21">
        <v>0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20.760100000000001</v>
      </c>
      <c r="L22">
        <v>0</v>
      </c>
      <c r="M22">
        <v>0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19.631399999999999</v>
      </c>
      <c r="L23">
        <v>0</v>
      </c>
      <c r="M23">
        <v>0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17.038599999999999</v>
      </c>
      <c r="L24">
        <v>0</v>
      </c>
      <c r="M24">
        <v>0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11.45</v>
      </c>
      <c r="L25">
        <v>0</v>
      </c>
      <c r="M25">
        <v>0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20.541499999999999</v>
      </c>
      <c r="L26">
        <v>0</v>
      </c>
      <c r="M26">
        <v>0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18.462599999999998</v>
      </c>
      <c r="L27">
        <v>0</v>
      </c>
      <c r="M27">
        <v>0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14.476699999999999</v>
      </c>
      <c r="L28">
        <v>0</v>
      </c>
      <c r="M28">
        <v>0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9.6356000000000002</v>
      </c>
      <c r="L29">
        <v>0</v>
      </c>
      <c r="M29">
        <v>0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21.2013</v>
      </c>
      <c r="L30">
        <v>0</v>
      </c>
      <c r="M30">
        <v>0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18.516999999999999</v>
      </c>
      <c r="L31">
        <v>0</v>
      </c>
      <c r="M31">
        <v>0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13.802</v>
      </c>
      <c r="L32">
        <v>0</v>
      </c>
      <c r="M32">
        <v>0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8.2497000000000007</v>
      </c>
      <c r="L33">
        <v>0</v>
      </c>
      <c r="M33">
        <v>0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21.268899999999999</v>
      </c>
      <c r="L34">
        <v>0</v>
      </c>
      <c r="M34">
        <v>0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18.4665</v>
      </c>
      <c r="L35">
        <v>0</v>
      </c>
      <c r="M35">
        <v>0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13.563800000000001</v>
      </c>
      <c r="L36">
        <v>0</v>
      </c>
      <c r="M36">
        <v>0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7.7237999999999998</v>
      </c>
      <c r="L37">
        <v>0</v>
      </c>
      <c r="M37">
        <v>0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20.551300000000001</v>
      </c>
      <c r="L38">
        <v>0</v>
      </c>
      <c r="M38">
        <v>0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17.935400000000001</v>
      </c>
      <c r="L39">
        <v>0</v>
      </c>
      <c r="M39">
        <v>0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13.167400000000001</v>
      </c>
      <c r="L40">
        <v>0</v>
      </c>
      <c r="M40">
        <v>0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7.4071999999999996</v>
      </c>
      <c r="L41">
        <v>0</v>
      </c>
      <c r="M41">
        <v>0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20.779800000000002</v>
      </c>
      <c r="L42">
        <v>0</v>
      </c>
      <c r="M42">
        <v>0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18.9648</v>
      </c>
      <c r="L43">
        <v>0</v>
      </c>
      <c r="M43">
        <v>0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15.717599999999999</v>
      </c>
      <c r="L44">
        <v>0</v>
      </c>
      <c r="M44">
        <v>0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10.6799</v>
      </c>
      <c r="L45">
        <v>0</v>
      </c>
      <c r="M45">
        <v>0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21.337499999999999</v>
      </c>
      <c r="L46">
        <v>0</v>
      </c>
      <c r="M46">
        <v>0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18.863399999999999</v>
      </c>
      <c r="L47">
        <v>0</v>
      </c>
      <c r="M47">
        <v>0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14.3185</v>
      </c>
      <c r="L48">
        <v>0</v>
      </c>
      <c r="M48">
        <v>0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8.9170999999999996</v>
      </c>
      <c r="L49">
        <v>0</v>
      </c>
      <c r="M49">
        <v>0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21.478999999999999</v>
      </c>
      <c r="L50">
        <v>0</v>
      </c>
      <c r="M50">
        <v>0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18.748000000000001</v>
      </c>
      <c r="L51">
        <v>0</v>
      </c>
      <c r="M51">
        <v>0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13.795999999999999</v>
      </c>
      <c r="L52">
        <v>0</v>
      </c>
      <c r="M52">
        <v>0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7.9833999999999996</v>
      </c>
      <c r="L53">
        <v>0</v>
      </c>
      <c r="M53">
        <v>0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21.286200000000001</v>
      </c>
      <c r="L54">
        <v>0</v>
      </c>
      <c r="M54">
        <v>0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18.5152</v>
      </c>
      <c r="L55">
        <v>0</v>
      </c>
      <c r="M55">
        <v>0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13.750299999999999</v>
      </c>
      <c r="L56">
        <v>0</v>
      </c>
      <c r="M56">
        <v>0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7.7840999999999996</v>
      </c>
      <c r="L57">
        <v>0</v>
      </c>
      <c r="M57">
        <v>0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20.546800000000001</v>
      </c>
      <c r="L58">
        <v>0</v>
      </c>
      <c r="M58">
        <v>0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18.003499999999999</v>
      </c>
      <c r="L59">
        <v>0</v>
      </c>
      <c r="M59">
        <v>0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13.2423</v>
      </c>
      <c r="L60">
        <v>0</v>
      </c>
      <c r="M60">
        <v>0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7.3658000000000001</v>
      </c>
      <c r="L61">
        <v>0</v>
      </c>
      <c r="M61">
        <v>0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20.521999999999998</v>
      </c>
      <c r="L62">
        <v>0</v>
      </c>
      <c r="M62">
        <v>0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19.3979</v>
      </c>
      <c r="L63">
        <v>0</v>
      </c>
      <c r="M63">
        <v>0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16.971699999999998</v>
      </c>
      <c r="L64">
        <v>0</v>
      </c>
      <c r="M64">
        <v>0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11.238300000000001</v>
      </c>
      <c r="L65">
        <v>0</v>
      </c>
      <c r="M65">
        <v>0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20.811900000000001</v>
      </c>
      <c r="L66">
        <v>0</v>
      </c>
      <c r="M66">
        <v>0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18.7227</v>
      </c>
      <c r="L67">
        <v>0</v>
      </c>
      <c r="M67">
        <v>0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14.667400000000001</v>
      </c>
      <c r="L68">
        <v>0</v>
      </c>
      <c r="M68">
        <v>0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9.6396999999999995</v>
      </c>
      <c r="L69">
        <v>0</v>
      </c>
      <c r="M69">
        <v>0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21.132899999999999</v>
      </c>
      <c r="L70">
        <v>0</v>
      </c>
      <c r="M70">
        <v>0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18.624300000000002</v>
      </c>
      <c r="L71">
        <v>0</v>
      </c>
      <c r="M71">
        <v>0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13.915699999999999</v>
      </c>
      <c r="L72">
        <v>0</v>
      </c>
      <c r="M72">
        <v>0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8.5427</v>
      </c>
      <c r="L73">
        <v>0</v>
      </c>
      <c r="M73">
        <v>0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21.052600000000002</v>
      </c>
      <c r="L74">
        <v>0</v>
      </c>
      <c r="M74">
        <v>0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18.394200000000001</v>
      </c>
      <c r="L75">
        <v>0</v>
      </c>
      <c r="M75">
        <v>0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13.7232</v>
      </c>
      <c r="L76">
        <v>0</v>
      </c>
      <c r="M76">
        <v>0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7.9951999999999996</v>
      </c>
      <c r="L77">
        <v>0</v>
      </c>
      <c r="M77">
        <v>0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20.4529</v>
      </c>
      <c r="L78">
        <v>0</v>
      </c>
      <c r="M78">
        <v>0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17.844000000000001</v>
      </c>
      <c r="L79">
        <v>0</v>
      </c>
      <c r="M79">
        <v>0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13.0107</v>
      </c>
      <c r="L80">
        <v>0</v>
      </c>
      <c r="M80">
        <v>0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7.4961000000000002</v>
      </c>
      <c r="L81">
        <v>0</v>
      </c>
      <c r="M81">
        <v>0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12.639799999999999</v>
      </c>
      <c r="L82">
        <v>0</v>
      </c>
      <c r="M82">
        <v>0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12.5724</v>
      </c>
      <c r="L83">
        <v>0</v>
      </c>
      <c r="M83">
        <v>0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12.4857</v>
      </c>
      <c r="L84">
        <v>0</v>
      </c>
      <c r="M84">
        <v>0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9.9596999999999998</v>
      </c>
      <c r="L85">
        <v>0</v>
      </c>
      <c r="M85">
        <v>0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12.0754</v>
      </c>
      <c r="L86">
        <v>0</v>
      </c>
      <c r="M86">
        <v>0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11.3147</v>
      </c>
      <c r="L87">
        <v>0</v>
      </c>
      <c r="M87">
        <v>0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9.0643999999999991</v>
      </c>
      <c r="L88">
        <v>0</v>
      </c>
      <c r="M88">
        <v>0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6.5049000000000001</v>
      </c>
      <c r="L89">
        <v>0</v>
      </c>
      <c r="M89">
        <v>0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13.3748</v>
      </c>
      <c r="L90">
        <v>0</v>
      </c>
      <c r="M90">
        <v>0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12.3065</v>
      </c>
      <c r="L91">
        <v>0</v>
      </c>
      <c r="M91">
        <v>0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9.0094999999999992</v>
      </c>
      <c r="L92">
        <v>0</v>
      </c>
      <c r="M92">
        <v>0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4.8752000000000004</v>
      </c>
      <c r="L93">
        <v>0</v>
      </c>
      <c r="M93">
        <v>0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13.696899999999999</v>
      </c>
      <c r="L94">
        <v>0</v>
      </c>
      <c r="M94">
        <v>0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12.521800000000001</v>
      </c>
      <c r="L95">
        <v>0</v>
      </c>
      <c r="M95">
        <v>0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9.0954999999999995</v>
      </c>
      <c r="L96">
        <v>0</v>
      </c>
      <c r="M96">
        <v>0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4.4759000000000002</v>
      </c>
      <c r="L97">
        <v>0</v>
      </c>
      <c r="M97">
        <v>0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13.753399999999999</v>
      </c>
      <c r="L98">
        <v>0</v>
      </c>
      <c r="M98">
        <v>0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12.670199999999999</v>
      </c>
      <c r="L99">
        <v>0</v>
      </c>
      <c r="M99">
        <v>0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9.1316000000000006</v>
      </c>
      <c r="L100">
        <v>0</v>
      </c>
      <c r="M100">
        <v>0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4.4387999999999996</v>
      </c>
      <c r="L101">
        <v>0</v>
      </c>
      <c r="M101">
        <v>0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12.698</v>
      </c>
      <c r="L102">
        <v>0</v>
      </c>
      <c r="M102">
        <v>0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12.636200000000001</v>
      </c>
      <c r="L103">
        <v>0</v>
      </c>
      <c r="M103">
        <v>0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12.518000000000001</v>
      </c>
      <c r="L104">
        <v>0</v>
      </c>
      <c r="M104">
        <v>0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9.8120999999999992</v>
      </c>
      <c r="L105">
        <v>0</v>
      </c>
      <c r="M105">
        <v>0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12.019399999999999</v>
      </c>
      <c r="L106">
        <v>0</v>
      </c>
      <c r="M106">
        <v>0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11.292299999999999</v>
      </c>
      <c r="L107">
        <v>0</v>
      </c>
      <c r="M107">
        <v>0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9.1798000000000002</v>
      </c>
      <c r="L108">
        <v>0</v>
      </c>
      <c r="M108">
        <v>0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6.5795000000000003</v>
      </c>
      <c r="L109">
        <v>0</v>
      </c>
      <c r="M109">
        <v>0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13.2781</v>
      </c>
      <c r="L110">
        <v>0</v>
      </c>
      <c r="M110">
        <v>0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12.196999999999999</v>
      </c>
      <c r="L111">
        <v>0</v>
      </c>
      <c r="M111">
        <v>0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8.8828999999999994</v>
      </c>
      <c r="L112">
        <v>0</v>
      </c>
      <c r="M112">
        <v>0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4.9417</v>
      </c>
      <c r="L113">
        <v>0</v>
      </c>
      <c r="M113">
        <v>0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13.6685</v>
      </c>
      <c r="L114">
        <v>0</v>
      </c>
      <c r="M114">
        <v>0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12.6198</v>
      </c>
      <c r="L115">
        <v>0</v>
      </c>
      <c r="M115">
        <v>0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8.9992999999999999</v>
      </c>
      <c r="L116">
        <v>0</v>
      </c>
      <c r="M116">
        <v>0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4.4349999999999996</v>
      </c>
      <c r="L117">
        <v>0</v>
      </c>
      <c r="M117">
        <v>0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13.759</v>
      </c>
      <c r="L118">
        <v>0</v>
      </c>
      <c r="M118">
        <v>0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12.603300000000001</v>
      </c>
      <c r="L119">
        <v>0</v>
      </c>
      <c r="M119">
        <v>0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9.1407000000000007</v>
      </c>
      <c r="L120">
        <v>0</v>
      </c>
      <c r="M120">
        <v>0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4.5730000000000004</v>
      </c>
      <c r="L121">
        <v>0</v>
      </c>
      <c r="M121">
        <v>0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11.8714</v>
      </c>
      <c r="L122">
        <v>0</v>
      </c>
      <c r="M122">
        <v>0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11.4696</v>
      </c>
      <c r="L123">
        <v>0</v>
      </c>
      <c r="M123">
        <v>0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10.4293</v>
      </c>
      <c r="L124">
        <v>0</v>
      </c>
      <c r="M124">
        <v>0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8.1890000000000001</v>
      </c>
      <c r="L125">
        <v>0</v>
      </c>
      <c r="M125">
        <v>0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13.0983</v>
      </c>
      <c r="L126">
        <v>0</v>
      </c>
      <c r="M126">
        <v>0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12.1981</v>
      </c>
      <c r="L127">
        <v>0</v>
      </c>
      <c r="M127">
        <v>0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9.3389000000000006</v>
      </c>
      <c r="L128">
        <v>0</v>
      </c>
      <c r="M128">
        <v>0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5.7595999999999998</v>
      </c>
      <c r="L129">
        <v>0</v>
      </c>
      <c r="M129">
        <v>0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13.3728</v>
      </c>
      <c r="L130">
        <v>0</v>
      </c>
      <c r="M130">
        <v>0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12.4</v>
      </c>
      <c r="L131">
        <v>0</v>
      </c>
      <c r="M131">
        <v>0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9.1562000000000001</v>
      </c>
      <c r="L132">
        <v>0</v>
      </c>
      <c r="M132">
        <v>0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4.9248000000000003</v>
      </c>
      <c r="L133">
        <v>0</v>
      </c>
      <c r="M133">
        <v>0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13.5007</v>
      </c>
      <c r="L134">
        <v>0</v>
      </c>
      <c r="M134">
        <v>0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12.444000000000001</v>
      </c>
      <c r="L135">
        <v>0</v>
      </c>
      <c r="M135">
        <v>0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9.1544000000000008</v>
      </c>
      <c r="L136">
        <v>0</v>
      </c>
      <c r="M136">
        <v>0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4.6657999999999999</v>
      </c>
      <c r="L137">
        <v>0</v>
      </c>
      <c r="M137">
        <v>0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13.6486</v>
      </c>
      <c r="L138">
        <v>0</v>
      </c>
      <c r="M138">
        <v>0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12.5611</v>
      </c>
      <c r="L139">
        <v>0</v>
      </c>
      <c r="M139">
        <v>0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9.1041000000000007</v>
      </c>
      <c r="L140">
        <v>0</v>
      </c>
      <c r="M140">
        <v>0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4.5617999999999999</v>
      </c>
      <c r="L141">
        <v>0</v>
      </c>
      <c r="M141">
        <v>0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11.9267</v>
      </c>
      <c r="L142">
        <v>0</v>
      </c>
      <c r="M142">
        <v>0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11.6998</v>
      </c>
      <c r="L143">
        <v>0</v>
      </c>
      <c r="M143">
        <v>0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11.1874</v>
      </c>
      <c r="L144">
        <v>0</v>
      </c>
      <c r="M144">
        <v>0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8.8571000000000009</v>
      </c>
      <c r="L145">
        <v>0</v>
      </c>
      <c r="M145">
        <v>0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12.784700000000001</v>
      </c>
      <c r="L146">
        <v>0</v>
      </c>
      <c r="M146">
        <v>0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11.981</v>
      </c>
      <c r="L147">
        <v>0</v>
      </c>
      <c r="M147">
        <v>0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9.2650000000000006</v>
      </c>
      <c r="L148">
        <v>0</v>
      </c>
      <c r="M148">
        <v>0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6.0018000000000002</v>
      </c>
      <c r="L149">
        <v>0</v>
      </c>
      <c r="M149">
        <v>0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13.329000000000001</v>
      </c>
      <c r="L150">
        <v>0</v>
      </c>
      <c r="M150">
        <v>0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12.328099999999999</v>
      </c>
      <c r="L151">
        <v>0</v>
      </c>
      <c r="M151">
        <v>0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9.2149000000000001</v>
      </c>
      <c r="L152">
        <v>0</v>
      </c>
      <c r="M152">
        <v>0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5.0941999999999998</v>
      </c>
      <c r="L153">
        <v>0</v>
      </c>
      <c r="M153">
        <v>0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13.391400000000001</v>
      </c>
      <c r="L154">
        <v>0</v>
      </c>
      <c r="M154">
        <v>0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12.4003</v>
      </c>
      <c r="L155">
        <v>0</v>
      </c>
      <c r="M155">
        <v>0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9.1976999999999993</v>
      </c>
      <c r="L156">
        <v>0</v>
      </c>
      <c r="M156">
        <v>0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4.7446999999999999</v>
      </c>
      <c r="L157">
        <v>0</v>
      </c>
      <c r="M157">
        <v>0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13.6122</v>
      </c>
      <c r="L158">
        <v>0</v>
      </c>
      <c r="M158">
        <v>0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12.5458</v>
      </c>
      <c r="L159">
        <v>0</v>
      </c>
      <c r="M159">
        <v>0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9.0876000000000001</v>
      </c>
      <c r="L160">
        <v>0</v>
      </c>
      <c r="M160">
        <v>0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4.6037999999999997</v>
      </c>
      <c r="L161">
        <v>0</v>
      </c>
      <c r="M161">
        <v>0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17.302299999999999</v>
      </c>
      <c r="L162">
        <v>0</v>
      </c>
      <c r="M162">
        <v>0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16.664899999999999</v>
      </c>
      <c r="L163">
        <v>0</v>
      </c>
      <c r="M163">
        <v>0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12.879099999999999</v>
      </c>
      <c r="L164">
        <v>0</v>
      </c>
      <c r="M164">
        <v>0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8.5205000000000002</v>
      </c>
      <c r="L165">
        <v>0</v>
      </c>
      <c r="M165">
        <v>0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18.841699999999999</v>
      </c>
      <c r="L166">
        <v>0</v>
      </c>
      <c r="M166">
        <v>0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17.744900000000001</v>
      </c>
      <c r="L167">
        <v>0</v>
      </c>
      <c r="M167">
        <v>0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12.7392</v>
      </c>
      <c r="L168">
        <v>0</v>
      </c>
      <c r="M168">
        <v>0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5.6731999999999996</v>
      </c>
      <c r="L169">
        <v>0</v>
      </c>
      <c r="M169">
        <v>0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19.591100000000001</v>
      </c>
      <c r="L170">
        <v>0</v>
      </c>
      <c r="M170">
        <v>0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18.3066</v>
      </c>
      <c r="L171">
        <v>0</v>
      </c>
      <c r="M171">
        <v>0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12.9398</v>
      </c>
      <c r="L172">
        <v>0</v>
      </c>
      <c r="M172">
        <v>0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5.2827999999999999</v>
      </c>
      <c r="L173">
        <v>0</v>
      </c>
      <c r="M173">
        <v>0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19.409600000000001</v>
      </c>
      <c r="L174">
        <v>0</v>
      </c>
      <c r="M174">
        <v>0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18.241700000000002</v>
      </c>
      <c r="L175">
        <v>0</v>
      </c>
      <c r="M175">
        <v>0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13.018599999999999</v>
      </c>
      <c r="L176">
        <v>0</v>
      </c>
      <c r="M176">
        <v>0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5.2916999999999996</v>
      </c>
      <c r="L177">
        <v>0</v>
      </c>
      <c r="M177">
        <v>0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19.713999999999999</v>
      </c>
      <c r="L178">
        <v>0</v>
      </c>
      <c r="M178">
        <v>0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18.440799999999999</v>
      </c>
      <c r="L179">
        <v>0</v>
      </c>
      <c r="M179">
        <v>0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12.884399999999999</v>
      </c>
      <c r="L180">
        <v>0</v>
      </c>
      <c r="M180">
        <v>0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5.4126000000000003</v>
      </c>
      <c r="L181">
        <v>0</v>
      </c>
      <c r="M181">
        <v>0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17.149999999999999</v>
      </c>
      <c r="L182">
        <v>0</v>
      </c>
      <c r="M182">
        <v>0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16.497599999999998</v>
      </c>
      <c r="L183">
        <v>0</v>
      </c>
      <c r="M183">
        <v>0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12.8148</v>
      </c>
      <c r="L184">
        <v>0</v>
      </c>
      <c r="M184">
        <v>0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8.4269999999999996</v>
      </c>
      <c r="L185">
        <v>0</v>
      </c>
      <c r="M185">
        <v>0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18.8965</v>
      </c>
      <c r="L186">
        <v>0</v>
      </c>
      <c r="M186">
        <v>0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17.8004</v>
      </c>
      <c r="L187">
        <v>0</v>
      </c>
      <c r="M187">
        <v>0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12.833</v>
      </c>
      <c r="L188">
        <v>0</v>
      </c>
      <c r="M188">
        <v>0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5.6341000000000001</v>
      </c>
      <c r="L189">
        <v>0</v>
      </c>
      <c r="M189">
        <v>0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19.662800000000001</v>
      </c>
      <c r="L190">
        <v>0</v>
      </c>
      <c r="M190">
        <v>0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18.265000000000001</v>
      </c>
      <c r="L191">
        <v>0</v>
      </c>
      <c r="M191">
        <v>0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12.789300000000001</v>
      </c>
      <c r="L192">
        <v>0</v>
      </c>
      <c r="M192">
        <v>0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5.2685000000000004</v>
      </c>
      <c r="L193">
        <v>0</v>
      </c>
      <c r="M193">
        <v>0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19.463200000000001</v>
      </c>
      <c r="L194">
        <v>0</v>
      </c>
      <c r="M194">
        <v>0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18.256599999999999</v>
      </c>
      <c r="L195">
        <v>0</v>
      </c>
      <c r="M195">
        <v>0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12.8581</v>
      </c>
      <c r="L196">
        <v>0</v>
      </c>
      <c r="M196">
        <v>0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5.2591999999999999</v>
      </c>
      <c r="L197">
        <v>0</v>
      </c>
      <c r="M197">
        <v>0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19.709</v>
      </c>
      <c r="L198">
        <v>0</v>
      </c>
      <c r="M198">
        <v>0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18.465199999999999</v>
      </c>
      <c r="L199">
        <v>0</v>
      </c>
      <c r="M199">
        <v>0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12.911799999999999</v>
      </c>
      <c r="L200">
        <v>0</v>
      </c>
      <c r="M200">
        <v>0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5.3895</v>
      </c>
      <c r="L201">
        <v>0</v>
      </c>
      <c r="M201">
        <v>0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18.4602</v>
      </c>
      <c r="L202">
        <v>0</v>
      </c>
      <c r="M202">
        <v>0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17.530899999999999</v>
      </c>
      <c r="L203">
        <v>0</v>
      </c>
      <c r="M203">
        <v>0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12.882300000000001</v>
      </c>
      <c r="L204">
        <v>0</v>
      </c>
      <c r="M204">
        <v>0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6.8053999999999997</v>
      </c>
      <c r="L205">
        <v>0</v>
      </c>
      <c r="M205">
        <v>0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19.3385</v>
      </c>
      <c r="L206">
        <v>0</v>
      </c>
      <c r="M206">
        <v>0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18.074300000000001</v>
      </c>
      <c r="L207">
        <v>0</v>
      </c>
      <c r="M207">
        <v>0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12.909800000000001</v>
      </c>
      <c r="L208">
        <v>0</v>
      </c>
      <c r="M208">
        <v>0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5.5785</v>
      </c>
      <c r="L209">
        <v>0</v>
      </c>
      <c r="M209">
        <v>0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19.399999999999999</v>
      </c>
      <c r="L210">
        <v>0</v>
      </c>
      <c r="M210">
        <v>0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18.073599999999999</v>
      </c>
      <c r="L211">
        <v>0</v>
      </c>
      <c r="M211">
        <v>0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12.7331</v>
      </c>
      <c r="L212">
        <v>0</v>
      </c>
      <c r="M212">
        <v>0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5.3334999999999999</v>
      </c>
      <c r="L213">
        <v>0</v>
      </c>
      <c r="M213">
        <v>0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19.3002</v>
      </c>
      <c r="L214">
        <v>0</v>
      </c>
      <c r="M214">
        <v>0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17.923300000000001</v>
      </c>
      <c r="L215">
        <v>0</v>
      </c>
      <c r="M215">
        <v>0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12.7013</v>
      </c>
      <c r="L216">
        <v>0</v>
      </c>
      <c r="M216">
        <v>0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5.3947000000000003</v>
      </c>
      <c r="L217">
        <v>0</v>
      </c>
      <c r="M217">
        <v>0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19.5868</v>
      </c>
      <c r="L218">
        <v>0</v>
      </c>
      <c r="M218">
        <v>0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18.134899999999998</v>
      </c>
      <c r="L219">
        <v>0</v>
      </c>
      <c r="M219">
        <v>0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12.7142</v>
      </c>
      <c r="L220">
        <v>0</v>
      </c>
      <c r="M220">
        <v>0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5.3136999999999999</v>
      </c>
      <c r="L221">
        <v>0</v>
      </c>
      <c r="M221">
        <v>0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17.267600000000002</v>
      </c>
      <c r="L222">
        <v>0</v>
      </c>
      <c r="M222">
        <v>0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16.5871</v>
      </c>
      <c r="L223">
        <v>0</v>
      </c>
      <c r="M223">
        <v>0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12.4762</v>
      </c>
      <c r="L224">
        <v>0</v>
      </c>
      <c r="M224">
        <v>0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7.2297000000000002</v>
      </c>
      <c r="L225">
        <v>0</v>
      </c>
      <c r="M225">
        <v>0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19.356000000000002</v>
      </c>
      <c r="L226">
        <v>0</v>
      </c>
      <c r="M226">
        <v>0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18.1127</v>
      </c>
      <c r="L227">
        <v>0</v>
      </c>
      <c r="M227">
        <v>0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12.8947</v>
      </c>
      <c r="L228">
        <v>0</v>
      </c>
      <c r="M228">
        <v>0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5.4851000000000001</v>
      </c>
      <c r="L229">
        <v>0</v>
      </c>
      <c r="M229">
        <v>0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19.366800000000001</v>
      </c>
      <c r="L230">
        <v>0</v>
      </c>
      <c r="M230">
        <v>0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18.0535</v>
      </c>
      <c r="L231">
        <v>0</v>
      </c>
      <c r="M231">
        <v>0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12.9239</v>
      </c>
      <c r="L232">
        <v>0</v>
      </c>
      <c r="M232">
        <v>0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5.4363999999999999</v>
      </c>
      <c r="L233">
        <v>0</v>
      </c>
      <c r="M233">
        <v>0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19.319800000000001</v>
      </c>
      <c r="L234">
        <v>0</v>
      </c>
      <c r="M234">
        <v>0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18.070599999999999</v>
      </c>
      <c r="L235">
        <v>0</v>
      </c>
      <c r="M235">
        <v>0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12.839700000000001</v>
      </c>
      <c r="L236">
        <v>0</v>
      </c>
      <c r="M236">
        <v>0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5.4076000000000004</v>
      </c>
      <c r="L237">
        <v>0</v>
      </c>
      <c r="M237">
        <v>0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19.721499999999999</v>
      </c>
      <c r="L238">
        <v>0</v>
      </c>
      <c r="M238">
        <v>0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18.428899999999999</v>
      </c>
      <c r="L239">
        <v>0</v>
      </c>
      <c r="M239">
        <v>0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12.907</v>
      </c>
      <c r="L240">
        <v>0</v>
      </c>
      <c r="M240">
        <v>0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5.2088000000000001</v>
      </c>
      <c r="L241">
        <v>0</v>
      </c>
      <c r="M241">
        <v>0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19.024000000000001</v>
      </c>
      <c r="L242">
        <v>0</v>
      </c>
      <c r="M242">
        <v>0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18.0427</v>
      </c>
      <c r="L243">
        <v>0</v>
      </c>
      <c r="M243">
        <v>0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15.7294</v>
      </c>
      <c r="L244">
        <v>0</v>
      </c>
      <c r="M244">
        <v>0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10.454499999999999</v>
      </c>
      <c r="L245">
        <v>0</v>
      </c>
      <c r="M245">
        <v>0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18.894600000000001</v>
      </c>
      <c r="L246">
        <v>0</v>
      </c>
      <c r="M246">
        <v>0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17.105799999999999</v>
      </c>
      <c r="L247">
        <v>0</v>
      </c>
      <c r="M247">
        <v>0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13.4984</v>
      </c>
      <c r="L248">
        <v>0</v>
      </c>
      <c r="M248">
        <v>0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8.9666999999999994</v>
      </c>
      <c r="L249">
        <v>0</v>
      </c>
      <c r="M249">
        <v>0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19.6296</v>
      </c>
      <c r="L250">
        <v>0</v>
      </c>
      <c r="M250">
        <v>0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17.443899999999999</v>
      </c>
      <c r="L251">
        <v>0</v>
      </c>
      <c r="M251">
        <v>0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13.162100000000001</v>
      </c>
      <c r="L252">
        <v>0</v>
      </c>
      <c r="M252">
        <v>0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7.8974000000000002</v>
      </c>
      <c r="L253">
        <v>0</v>
      </c>
      <c r="M253">
        <v>0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19.880500000000001</v>
      </c>
      <c r="L254">
        <v>0</v>
      </c>
      <c r="M254">
        <v>0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17.6587</v>
      </c>
      <c r="L255">
        <v>0</v>
      </c>
      <c r="M255">
        <v>0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13.1228</v>
      </c>
      <c r="L256">
        <v>0</v>
      </c>
      <c r="M256">
        <v>0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7.6637000000000004</v>
      </c>
      <c r="L257">
        <v>0</v>
      </c>
      <c r="M257">
        <v>0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1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19.884899999999998</v>
      </c>
      <c r="L258">
        <v>0</v>
      </c>
      <c r="M258">
        <v>0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17.573399999999999</v>
      </c>
      <c r="L259">
        <v>0</v>
      </c>
      <c r="M259">
        <v>0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12.931699999999999</v>
      </c>
      <c r="L260">
        <v>0</v>
      </c>
      <c r="M260">
        <v>0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7.2058999999999997</v>
      </c>
      <c r="L261">
        <v>0</v>
      </c>
      <c r="M261">
        <v>0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19.183199999999999</v>
      </c>
      <c r="L262">
        <v>0</v>
      </c>
      <c r="M262">
        <v>0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18.192900000000002</v>
      </c>
      <c r="L263">
        <v>0</v>
      </c>
      <c r="M263">
        <v>0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15.611700000000001</v>
      </c>
      <c r="L264">
        <v>0</v>
      </c>
      <c r="M264">
        <v>0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10.5891</v>
      </c>
      <c r="L265">
        <v>0</v>
      </c>
      <c r="M265">
        <v>0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18.915299999999998</v>
      </c>
      <c r="L266">
        <v>0</v>
      </c>
      <c r="M266">
        <v>0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17.2226</v>
      </c>
      <c r="L267">
        <v>0</v>
      </c>
      <c r="M267">
        <v>0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13.61</v>
      </c>
      <c r="L268">
        <v>0</v>
      </c>
      <c r="M268">
        <v>0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8.8915000000000006</v>
      </c>
      <c r="L269">
        <v>0</v>
      </c>
      <c r="M269">
        <v>0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19.607600000000001</v>
      </c>
      <c r="L270">
        <v>0</v>
      </c>
      <c r="M270">
        <v>0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17.441299999999998</v>
      </c>
      <c r="L271">
        <v>0</v>
      </c>
      <c r="M271">
        <v>0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13.175000000000001</v>
      </c>
      <c r="L272">
        <v>0</v>
      </c>
      <c r="M272">
        <v>0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8.0943000000000005</v>
      </c>
      <c r="L273">
        <v>0</v>
      </c>
      <c r="M273">
        <v>0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19.958200000000001</v>
      </c>
      <c r="L274">
        <v>0</v>
      </c>
      <c r="M274">
        <v>0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17.5745</v>
      </c>
      <c r="L275">
        <v>0</v>
      </c>
      <c r="M275">
        <v>0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13.0342</v>
      </c>
      <c r="L276">
        <v>0</v>
      </c>
      <c r="M276">
        <v>0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7.6494999999999997</v>
      </c>
      <c r="L277">
        <v>0</v>
      </c>
      <c r="M277">
        <v>0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19.939699999999998</v>
      </c>
      <c r="L278">
        <v>0</v>
      </c>
      <c r="M278">
        <v>0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17.563500000000001</v>
      </c>
      <c r="L279">
        <v>0</v>
      </c>
      <c r="M279">
        <v>0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12.9261</v>
      </c>
      <c r="L280">
        <v>0</v>
      </c>
      <c r="M280">
        <v>0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7.2259000000000002</v>
      </c>
      <c r="L281">
        <v>0</v>
      </c>
      <c r="M281">
        <v>0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19.067799999999998</v>
      </c>
      <c r="L282">
        <v>0</v>
      </c>
      <c r="M282">
        <v>0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17.676100000000002</v>
      </c>
      <c r="L283">
        <v>0</v>
      </c>
      <c r="M283">
        <v>0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14.610200000000001</v>
      </c>
      <c r="L284">
        <v>0</v>
      </c>
      <c r="M284">
        <v>0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9.6145999999999994</v>
      </c>
      <c r="L285">
        <v>0</v>
      </c>
      <c r="M285">
        <v>0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19.553999999999998</v>
      </c>
      <c r="L286">
        <v>0</v>
      </c>
      <c r="M286">
        <v>0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17.671700000000001</v>
      </c>
      <c r="L287">
        <v>0</v>
      </c>
      <c r="M287">
        <v>0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13.5237</v>
      </c>
      <c r="L288">
        <v>0</v>
      </c>
      <c r="M288">
        <v>0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8.5861999999999998</v>
      </c>
      <c r="L289">
        <v>0</v>
      </c>
      <c r="M289">
        <v>0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19.752099999999999</v>
      </c>
      <c r="L290">
        <v>0</v>
      </c>
      <c r="M290">
        <v>0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17.615400000000001</v>
      </c>
      <c r="L291">
        <v>0</v>
      </c>
      <c r="M291">
        <v>0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13.296799999999999</v>
      </c>
      <c r="L292">
        <v>0</v>
      </c>
      <c r="M292">
        <v>0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8.0086999999999993</v>
      </c>
      <c r="L293">
        <v>0</v>
      </c>
      <c r="M293">
        <v>0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19.8841</v>
      </c>
      <c r="L294">
        <v>0</v>
      </c>
      <c r="M294">
        <v>0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17.604399999999998</v>
      </c>
      <c r="L295">
        <v>0</v>
      </c>
      <c r="M295">
        <v>0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13.0852</v>
      </c>
      <c r="L296">
        <v>0</v>
      </c>
      <c r="M296">
        <v>0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7.5869999999999997</v>
      </c>
      <c r="L297">
        <v>0</v>
      </c>
      <c r="M297">
        <v>0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19.826899999999998</v>
      </c>
      <c r="L298">
        <v>0</v>
      </c>
      <c r="M298">
        <v>0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17.460599999999999</v>
      </c>
      <c r="L299">
        <v>0</v>
      </c>
      <c r="M299">
        <v>0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12.8477</v>
      </c>
      <c r="L300">
        <v>0</v>
      </c>
      <c r="M300">
        <v>0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7.2755000000000001</v>
      </c>
      <c r="L301">
        <v>0</v>
      </c>
      <c r="M301">
        <v>0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18.627099999999999</v>
      </c>
      <c r="L302">
        <v>0</v>
      </c>
      <c r="M302">
        <v>0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17.413900000000002</v>
      </c>
      <c r="L303">
        <v>0</v>
      </c>
      <c r="M303">
        <v>0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14.8521</v>
      </c>
      <c r="L304">
        <v>0</v>
      </c>
      <c r="M304">
        <v>0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10.128</v>
      </c>
      <c r="L305">
        <v>0</v>
      </c>
      <c r="M305">
        <v>0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19.4009</v>
      </c>
      <c r="L306">
        <v>0</v>
      </c>
      <c r="M306">
        <v>0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17.5379</v>
      </c>
      <c r="L307">
        <v>0</v>
      </c>
      <c r="M307">
        <v>0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13.567</v>
      </c>
      <c r="L308">
        <v>0</v>
      </c>
      <c r="M308">
        <v>0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8.5716999999999999</v>
      </c>
      <c r="L309">
        <v>0</v>
      </c>
      <c r="M309">
        <v>0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19.650300000000001</v>
      </c>
      <c r="L310">
        <v>0</v>
      </c>
      <c r="M310">
        <v>0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17.607700000000001</v>
      </c>
      <c r="L311">
        <v>0</v>
      </c>
      <c r="M311">
        <v>0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13.3192</v>
      </c>
      <c r="L312">
        <v>0</v>
      </c>
      <c r="M312">
        <v>0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8.0958000000000006</v>
      </c>
      <c r="L313">
        <v>0</v>
      </c>
      <c r="M313">
        <v>0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19.831399999999999</v>
      </c>
      <c r="L314">
        <v>0</v>
      </c>
      <c r="M314">
        <v>0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17.5535</v>
      </c>
      <c r="L315">
        <v>0</v>
      </c>
      <c r="M315">
        <v>0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13.1396</v>
      </c>
      <c r="L316">
        <v>0</v>
      </c>
      <c r="M316">
        <v>0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7.5396000000000001</v>
      </c>
      <c r="L317">
        <v>0</v>
      </c>
      <c r="M317">
        <v>0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19.868500000000001</v>
      </c>
      <c r="L318">
        <v>0</v>
      </c>
      <c r="M318">
        <v>0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17.541699999999999</v>
      </c>
      <c r="L319">
        <v>0</v>
      </c>
      <c r="M319">
        <v>0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12.790699999999999</v>
      </c>
      <c r="L320">
        <v>0</v>
      </c>
      <c r="M320">
        <v>0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7.1928999999999998</v>
      </c>
      <c r="L321">
        <v>0</v>
      </c>
      <c r="M321">
        <v>0</v>
      </c>
    </row>
  </sheetData>
  <autoFilter ref="A1:M3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7"/>
  <sheetViews>
    <sheetView workbookViewId="0">
      <pane ySplit="1" topLeftCell="A92" activePane="bottomLeft" state="frozen"/>
      <selection pane="bottomLeft" activeCell="J271" sqref="J271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32.260831000000003</v>
      </c>
      <c r="H2">
        <v>3.4785339999999998</v>
      </c>
      <c r="I2">
        <v>25.397200000000002</v>
      </c>
      <c r="J2">
        <v>18.031300000000002</v>
      </c>
      <c r="K2">
        <v>0</v>
      </c>
      <c r="L2">
        <v>29.180299999999999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23.370987</v>
      </c>
      <c r="H3">
        <v>3.4364029999999999</v>
      </c>
      <c r="I3">
        <v>15.4665</v>
      </c>
      <c r="J3">
        <v>18.031300000000002</v>
      </c>
      <c r="K3">
        <v>0</v>
      </c>
      <c r="L3">
        <v>24.4711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20.963733999999999</v>
      </c>
      <c r="H4">
        <v>3.4717739999999999</v>
      </c>
      <c r="I4">
        <v>6.5141999999999998</v>
      </c>
      <c r="J4">
        <v>18.031300000000002</v>
      </c>
      <c r="K4">
        <v>0</v>
      </c>
      <c r="L4">
        <v>22.8185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19.382439000000002</v>
      </c>
      <c r="H5">
        <v>3.4874779999999999</v>
      </c>
      <c r="I5">
        <v>1.2513000000000001</v>
      </c>
      <c r="J5">
        <v>18.031300000000002</v>
      </c>
      <c r="K5">
        <v>0</v>
      </c>
      <c r="L5">
        <v>21.4526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23.905918</v>
      </c>
      <c r="H6">
        <v>9.0063759999999995</v>
      </c>
      <c r="I6">
        <v>25.450399999999998</v>
      </c>
      <c r="J6">
        <v>12.1754</v>
      </c>
      <c r="K6">
        <v>0</v>
      </c>
      <c r="L6">
        <v>27.524899999999999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13.819652</v>
      </c>
      <c r="H7">
        <v>8.6742010000000001</v>
      </c>
      <c r="I7">
        <v>15.5129</v>
      </c>
      <c r="J7">
        <v>12.1754</v>
      </c>
      <c r="K7">
        <v>0</v>
      </c>
      <c r="L7">
        <v>21.5318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10.544936</v>
      </c>
      <c r="H8">
        <v>8.7246009999999998</v>
      </c>
      <c r="I8">
        <v>6.5285000000000002</v>
      </c>
      <c r="J8">
        <v>12.1754</v>
      </c>
      <c r="K8">
        <v>0</v>
      </c>
      <c r="L8">
        <v>17.1616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8.8418050000000008</v>
      </c>
      <c r="H9">
        <v>8.7683319999999991</v>
      </c>
      <c r="I9">
        <v>1.2424999999999999</v>
      </c>
      <c r="J9">
        <v>12.1754</v>
      </c>
      <c r="K9">
        <v>0</v>
      </c>
      <c r="L9">
        <v>12.1669</v>
      </c>
      <c r="M9">
        <v>0</v>
      </c>
    </row>
    <row r="10" spans="1:13" x14ac:dyDescent="0.25">
      <c r="A10" t="s">
        <v>7</v>
      </c>
      <c r="B10" t="s">
        <v>9</v>
      </c>
      <c r="C10">
        <v>3</v>
      </c>
      <c r="D10">
        <v>1.0000000000000001E-5</v>
      </c>
      <c r="E10">
        <v>1E-4</v>
      </c>
      <c r="F10" t="str">
        <f t="shared" si="0"/>
        <v>lena256_blurkernel8_3_0,00001_0,0001</v>
      </c>
      <c r="G10">
        <v>33.624616000000003</v>
      </c>
      <c r="H10">
        <v>3.4125200000000002</v>
      </c>
      <c r="I10">
        <v>25.39</v>
      </c>
      <c r="J10">
        <v>17.588899999999999</v>
      </c>
      <c r="K10">
        <v>0</v>
      </c>
      <c r="L10">
        <v>29.79</v>
      </c>
      <c r="M10">
        <v>0</v>
      </c>
    </row>
    <row r="11" spans="1:13" x14ac:dyDescent="0.25">
      <c r="A11" t="s">
        <v>7</v>
      </c>
      <c r="B11" t="s">
        <v>9</v>
      </c>
      <c r="C11">
        <v>3</v>
      </c>
      <c r="D11">
        <v>1.0000000000000001E-5</v>
      </c>
      <c r="E11">
        <v>1E-3</v>
      </c>
      <c r="F11" t="str">
        <f t="shared" si="0"/>
        <v>lena256_blurkernel8_3_0,00001_0,001</v>
      </c>
      <c r="G11">
        <v>24.065653999999999</v>
      </c>
      <c r="H11">
        <v>3.412312</v>
      </c>
      <c r="I11">
        <v>15.5168</v>
      </c>
      <c r="J11">
        <v>17.588899999999999</v>
      </c>
      <c r="K11">
        <v>0</v>
      </c>
      <c r="L11">
        <v>26.088699999999999</v>
      </c>
      <c r="M11">
        <v>0</v>
      </c>
    </row>
    <row r="12" spans="1:13" x14ac:dyDescent="0.25">
      <c r="A12" t="s">
        <v>7</v>
      </c>
      <c r="B12" t="s">
        <v>9</v>
      </c>
      <c r="C12">
        <v>3</v>
      </c>
      <c r="D12">
        <v>1.0000000000000001E-5</v>
      </c>
      <c r="E12">
        <v>0.01</v>
      </c>
      <c r="F12" t="str">
        <f t="shared" si="0"/>
        <v>lena256_blurkernel8_3_0,00001_0,01</v>
      </c>
      <c r="G12">
        <v>21.096729</v>
      </c>
      <c r="H12">
        <v>3.4675370000000001</v>
      </c>
      <c r="I12">
        <v>6.5491999999999999</v>
      </c>
      <c r="J12">
        <v>17.588899999999999</v>
      </c>
      <c r="K12">
        <v>0</v>
      </c>
      <c r="L12">
        <v>24.357800000000001</v>
      </c>
      <c r="M12">
        <v>0</v>
      </c>
    </row>
    <row r="13" spans="1:13" x14ac:dyDescent="0.25">
      <c r="A13" t="s">
        <v>7</v>
      </c>
      <c r="B13" t="s">
        <v>9</v>
      </c>
      <c r="C13">
        <v>3</v>
      </c>
      <c r="D13">
        <v>1.0000000000000001E-5</v>
      </c>
      <c r="E13">
        <v>0.1</v>
      </c>
      <c r="F13" t="str">
        <f t="shared" si="0"/>
        <v>lena256_blurkernel8_3_0,00001_0,1</v>
      </c>
      <c r="G13">
        <v>19.465325</v>
      </c>
      <c r="H13">
        <v>3.4865680000000001</v>
      </c>
      <c r="I13">
        <v>1.2482</v>
      </c>
      <c r="J13">
        <v>17.588899999999999</v>
      </c>
      <c r="K13">
        <v>0</v>
      </c>
      <c r="L13">
        <v>20.802499999999998</v>
      </c>
      <c r="M13">
        <v>0</v>
      </c>
    </row>
    <row r="14" spans="1:13" x14ac:dyDescent="0.25">
      <c r="A14" t="s">
        <v>7</v>
      </c>
      <c r="B14" t="s">
        <v>9</v>
      </c>
      <c r="C14">
        <v>7</v>
      </c>
      <c r="D14">
        <v>1.0000000000000001E-5</v>
      </c>
      <c r="E14">
        <v>1E-4</v>
      </c>
      <c r="F14" t="str">
        <f t="shared" si="0"/>
        <v>lena256_blurkernel8_7_0,00001_0,0001</v>
      </c>
      <c r="G14">
        <v>24.855751000000001</v>
      </c>
      <c r="H14">
        <v>8.9081270000000004</v>
      </c>
      <c r="I14">
        <v>25.386600000000001</v>
      </c>
      <c r="J14">
        <v>12.0022</v>
      </c>
      <c r="K14">
        <v>0</v>
      </c>
      <c r="L14">
        <v>27.8691</v>
      </c>
      <c r="M14">
        <v>0</v>
      </c>
    </row>
    <row r="15" spans="1:13" x14ac:dyDescent="0.25">
      <c r="A15" t="s">
        <v>7</v>
      </c>
      <c r="B15" t="s">
        <v>9</v>
      </c>
      <c r="C15">
        <v>7</v>
      </c>
      <c r="D15">
        <v>1.0000000000000001E-5</v>
      </c>
      <c r="E15">
        <v>1E-3</v>
      </c>
      <c r="F15" t="str">
        <f t="shared" si="0"/>
        <v>lena256_blurkernel8_7_0,00001_0,001</v>
      </c>
      <c r="G15">
        <v>14.517318</v>
      </c>
      <c r="H15">
        <v>8.6343990000000002</v>
      </c>
      <c r="I15">
        <v>15.5265</v>
      </c>
      <c r="J15">
        <v>12.0022</v>
      </c>
      <c r="K15">
        <v>0</v>
      </c>
      <c r="L15">
        <v>22.538799999999998</v>
      </c>
      <c r="M15">
        <v>0</v>
      </c>
    </row>
    <row r="16" spans="1:13" x14ac:dyDescent="0.25">
      <c r="A16" t="s">
        <v>7</v>
      </c>
      <c r="B16" t="s">
        <v>9</v>
      </c>
      <c r="C16">
        <v>7</v>
      </c>
      <c r="D16">
        <v>1.0000000000000001E-5</v>
      </c>
      <c r="E16">
        <v>0.01</v>
      </c>
      <c r="F16" t="str">
        <f t="shared" si="0"/>
        <v>lena256_blurkernel8_7_0,00001_0,01</v>
      </c>
      <c r="G16">
        <v>10.60272</v>
      </c>
      <c r="H16">
        <v>8.7242130000000007</v>
      </c>
      <c r="I16">
        <v>6.5175999999999998</v>
      </c>
      <c r="J16">
        <v>12.0022</v>
      </c>
      <c r="K16">
        <v>0</v>
      </c>
      <c r="L16">
        <v>18.850100000000001</v>
      </c>
      <c r="M16">
        <v>0</v>
      </c>
    </row>
    <row r="17" spans="1:13" x14ac:dyDescent="0.25">
      <c r="A17" t="s">
        <v>7</v>
      </c>
      <c r="B17" t="s">
        <v>9</v>
      </c>
      <c r="C17">
        <v>7</v>
      </c>
      <c r="D17">
        <v>1.0000000000000001E-5</v>
      </c>
      <c r="E17">
        <v>0.1</v>
      </c>
      <c r="F17" t="str">
        <f t="shared" si="0"/>
        <v>lena256_blurkernel8_7_0,00001_0,1</v>
      </c>
      <c r="G17">
        <v>8.9057949999999995</v>
      </c>
      <c r="H17">
        <v>8.7683079999999993</v>
      </c>
      <c r="I17">
        <v>1.2656000000000001</v>
      </c>
      <c r="J17">
        <v>12.0022</v>
      </c>
      <c r="K17">
        <v>0</v>
      </c>
      <c r="L17">
        <v>12.938499999999999</v>
      </c>
      <c r="M17">
        <v>0</v>
      </c>
    </row>
    <row r="18" spans="1:13" x14ac:dyDescent="0.25">
      <c r="A18" t="s">
        <v>7</v>
      </c>
      <c r="B18" t="s">
        <v>10</v>
      </c>
      <c r="C18">
        <v>3</v>
      </c>
      <c r="D18">
        <v>1.0000000000000001E-5</v>
      </c>
      <c r="E18">
        <v>1E-4</v>
      </c>
      <c r="F18" t="str">
        <f t="shared" si="0"/>
        <v>lena256_line_3_0,00001_0,0001</v>
      </c>
      <c r="G18">
        <v>38.089689999999997</v>
      </c>
      <c r="H18">
        <v>3.1906650000000001</v>
      </c>
      <c r="I18">
        <v>25.381699999999999</v>
      </c>
      <c r="J18">
        <v>15.063599999999999</v>
      </c>
      <c r="K18">
        <v>0</v>
      </c>
      <c r="L18">
        <v>29.680599999999998</v>
      </c>
      <c r="M18">
        <v>0</v>
      </c>
    </row>
    <row r="19" spans="1:13" x14ac:dyDescent="0.25">
      <c r="A19" t="s">
        <v>7</v>
      </c>
      <c r="B19" t="s">
        <v>10</v>
      </c>
      <c r="C19">
        <v>3</v>
      </c>
      <c r="D19">
        <v>1.0000000000000001E-5</v>
      </c>
      <c r="E19">
        <v>1E-3</v>
      </c>
      <c r="F19" t="str">
        <f t="shared" si="0"/>
        <v>lena256_line_3_0,00001_0,001</v>
      </c>
      <c r="G19">
        <v>25.952594000000001</v>
      </c>
      <c r="H19">
        <v>3.3373780000000002</v>
      </c>
      <c r="I19">
        <v>15.5246</v>
      </c>
      <c r="J19">
        <v>15.063599999999999</v>
      </c>
      <c r="K19">
        <v>0</v>
      </c>
      <c r="L19">
        <v>24.941199999999998</v>
      </c>
      <c r="M19">
        <v>0</v>
      </c>
    </row>
    <row r="20" spans="1:13" x14ac:dyDescent="0.25">
      <c r="A20" t="s">
        <v>7</v>
      </c>
      <c r="B20" t="s">
        <v>10</v>
      </c>
      <c r="C20">
        <v>3</v>
      </c>
      <c r="D20">
        <v>1.0000000000000001E-5</v>
      </c>
      <c r="E20">
        <v>0.01</v>
      </c>
      <c r="F20" t="str">
        <f t="shared" si="0"/>
        <v>lena256_line_3_0,00001_0,01</v>
      </c>
      <c r="G20">
        <v>21.019501000000002</v>
      </c>
      <c r="H20">
        <v>3.4655079999999998</v>
      </c>
      <c r="I20">
        <v>6.4870999999999999</v>
      </c>
      <c r="J20">
        <v>15.063599999999999</v>
      </c>
      <c r="K20">
        <v>0</v>
      </c>
      <c r="L20">
        <v>16.601700000000001</v>
      </c>
      <c r="M20">
        <v>0</v>
      </c>
    </row>
    <row r="21" spans="1:13" x14ac:dyDescent="0.25">
      <c r="A21" t="s">
        <v>7</v>
      </c>
      <c r="B21" t="s">
        <v>10</v>
      </c>
      <c r="C21">
        <v>3</v>
      </c>
      <c r="D21">
        <v>1.0000000000000001E-5</v>
      </c>
      <c r="E21">
        <v>0.1</v>
      </c>
      <c r="F21" t="str">
        <f t="shared" si="0"/>
        <v>lena256_line_3_0,00001_0,1</v>
      </c>
      <c r="G21">
        <v>19.372187</v>
      </c>
      <c r="H21">
        <v>3.4843989999999998</v>
      </c>
      <c r="I21">
        <v>1.2836000000000001</v>
      </c>
      <c r="J21">
        <v>15.063599999999999</v>
      </c>
      <c r="K21">
        <v>0</v>
      </c>
      <c r="L21">
        <v>14.0822</v>
      </c>
      <c r="M21">
        <v>0</v>
      </c>
    </row>
    <row r="22" spans="1:13" x14ac:dyDescent="0.25">
      <c r="A22" t="s">
        <v>7</v>
      </c>
      <c r="B22" t="s">
        <v>10</v>
      </c>
      <c r="C22">
        <v>7</v>
      </c>
      <c r="D22">
        <v>1.0000000000000001E-5</v>
      </c>
      <c r="E22">
        <v>1E-4</v>
      </c>
      <c r="F22" t="str">
        <f t="shared" si="0"/>
        <v>lena256_line_7_0,00001_0,0001</v>
      </c>
      <c r="G22">
        <v>28.876815000000001</v>
      </c>
      <c r="H22">
        <v>8.4481819999999992</v>
      </c>
      <c r="I22">
        <v>25.432700000000001</v>
      </c>
      <c r="J22">
        <v>10.087300000000001</v>
      </c>
      <c r="K22">
        <v>0</v>
      </c>
      <c r="L22">
        <v>28.014099999999999</v>
      </c>
      <c r="M22">
        <v>0</v>
      </c>
    </row>
    <row r="23" spans="1:13" x14ac:dyDescent="0.25">
      <c r="A23" t="s">
        <v>7</v>
      </c>
      <c r="B23" t="s">
        <v>10</v>
      </c>
      <c r="C23">
        <v>7</v>
      </c>
      <c r="D23">
        <v>1.0000000000000001E-5</v>
      </c>
      <c r="E23">
        <v>1E-3</v>
      </c>
      <c r="F23" t="str">
        <f t="shared" si="0"/>
        <v>lena256_line_7_0,00001_0,001</v>
      </c>
      <c r="G23">
        <v>16.686104</v>
      </c>
      <c r="H23">
        <v>8.4666879999999995</v>
      </c>
      <c r="I23">
        <v>15.489699999999999</v>
      </c>
      <c r="J23">
        <v>10.087300000000001</v>
      </c>
      <c r="K23">
        <v>0</v>
      </c>
      <c r="L23">
        <v>21.497299999999999</v>
      </c>
      <c r="M23">
        <v>0</v>
      </c>
    </row>
    <row r="24" spans="1:13" x14ac:dyDescent="0.25">
      <c r="A24" t="s">
        <v>7</v>
      </c>
      <c r="B24" t="s">
        <v>10</v>
      </c>
      <c r="C24">
        <v>7</v>
      </c>
      <c r="D24">
        <v>1.0000000000000001E-5</v>
      </c>
      <c r="E24">
        <v>0.01</v>
      </c>
      <c r="F24" t="str">
        <f t="shared" si="0"/>
        <v>lena256_line_7_0,00001_0,01</v>
      </c>
      <c r="G24">
        <v>11.193917000000001</v>
      </c>
      <c r="H24">
        <v>8.6656189999999995</v>
      </c>
      <c r="I24">
        <v>6.5178000000000003</v>
      </c>
      <c r="J24">
        <v>10.087300000000001</v>
      </c>
      <c r="K24">
        <v>0</v>
      </c>
      <c r="L24">
        <v>14.6929</v>
      </c>
      <c r="M24">
        <v>0</v>
      </c>
    </row>
    <row r="25" spans="1:13" x14ac:dyDescent="0.25">
      <c r="A25" t="s">
        <v>7</v>
      </c>
      <c r="B25" t="s">
        <v>10</v>
      </c>
      <c r="C25">
        <v>7</v>
      </c>
      <c r="D25">
        <v>1.0000000000000001E-5</v>
      </c>
      <c r="E25">
        <v>0.1</v>
      </c>
      <c r="F25" t="str">
        <f t="shared" si="0"/>
        <v>lena256_line_7_0,00001_0,1</v>
      </c>
      <c r="G25">
        <v>8.7482760000000006</v>
      </c>
      <c r="H25">
        <v>8.7435779999999994</v>
      </c>
      <c r="I25">
        <v>1.2971999999999999</v>
      </c>
      <c r="J25">
        <v>10.087300000000001</v>
      </c>
      <c r="K25">
        <v>0</v>
      </c>
      <c r="L25">
        <v>9.6738</v>
      </c>
      <c r="M25">
        <v>0</v>
      </c>
    </row>
    <row r="26" spans="1:13" x14ac:dyDescent="0.25">
      <c r="A26" t="s">
        <v>7</v>
      </c>
      <c r="B26" t="s">
        <v>11</v>
      </c>
      <c r="C26">
        <v>3</v>
      </c>
      <c r="D26">
        <v>1.0000000000000001E-5</v>
      </c>
      <c r="E26">
        <v>1E-4</v>
      </c>
      <c r="F26" t="str">
        <f t="shared" si="0"/>
        <v>lena256_blurkernel10_3_0,00001_0,0001</v>
      </c>
      <c r="G26">
        <v>32.791966000000002</v>
      </c>
      <c r="H26">
        <v>3.4524080000000001</v>
      </c>
      <c r="I26">
        <v>25.3992</v>
      </c>
      <c r="J26">
        <v>17.636199999999999</v>
      </c>
      <c r="K26">
        <v>0</v>
      </c>
      <c r="L26">
        <v>29.459700000000002</v>
      </c>
      <c r="M26">
        <v>0</v>
      </c>
    </row>
    <row r="27" spans="1:13" x14ac:dyDescent="0.25">
      <c r="A27" t="s">
        <v>7</v>
      </c>
      <c r="B27" t="s">
        <v>11</v>
      </c>
      <c r="C27">
        <v>3</v>
      </c>
      <c r="D27">
        <v>1.0000000000000001E-5</v>
      </c>
      <c r="E27">
        <v>1E-3</v>
      </c>
      <c r="F27" t="str">
        <f t="shared" si="0"/>
        <v>lena256_blurkernel10_3_0,00001_0,001</v>
      </c>
      <c r="G27">
        <v>24.485966000000001</v>
      </c>
      <c r="H27">
        <v>3.395715</v>
      </c>
      <c r="I27">
        <v>15.536899999999999</v>
      </c>
      <c r="J27">
        <v>17.636199999999999</v>
      </c>
      <c r="K27">
        <v>0</v>
      </c>
      <c r="L27">
        <v>25.1617</v>
      </c>
      <c r="M27">
        <v>0</v>
      </c>
    </row>
    <row r="28" spans="1:13" x14ac:dyDescent="0.25">
      <c r="A28" t="s">
        <v>7</v>
      </c>
      <c r="B28" t="s">
        <v>11</v>
      </c>
      <c r="C28">
        <v>3</v>
      </c>
      <c r="D28">
        <v>1.0000000000000001E-5</v>
      </c>
      <c r="E28">
        <v>0.01</v>
      </c>
      <c r="F28" t="str">
        <f t="shared" si="0"/>
        <v>lena256_blurkernel10_3_0,00001_0,01</v>
      </c>
      <c r="G28">
        <v>21.025161000000001</v>
      </c>
      <c r="H28">
        <v>3.469014</v>
      </c>
      <c r="I28">
        <v>6.5476000000000001</v>
      </c>
      <c r="J28">
        <v>17.636199999999999</v>
      </c>
      <c r="K28">
        <v>0</v>
      </c>
      <c r="L28">
        <v>21.820399999999999</v>
      </c>
      <c r="M28">
        <v>0</v>
      </c>
    </row>
    <row r="29" spans="1:13" x14ac:dyDescent="0.25">
      <c r="A29" t="s">
        <v>7</v>
      </c>
      <c r="B29" t="s">
        <v>11</v>
      </c>
      <c r="C29">
        <v>3</v>
      </c>
      <c r="D29">
        <v>1.0000000000000001E-5</v>
      </c>
      <c r="E29">
        <v>0.1</v>
      </c>
      <c r="F29" t="str">
        <f t="shared" si="0"/>
        <v>lena256_blurkernel10_3_0,00001_0,1</v>
      </c>
      <c r="G29">
        <v>19.506181000000002</v>
      </c>
      <c r="H29">
        <v>3.4844970000000002</v>
      </c>
      <c r="I29">
        <v>1.2689999999999999</v>
      </c>
      <c r="J29">
        <v>17.636199999999999</v>
      </c>
      <c r="K29">
        <v>0</v>
      </c>
      <c r="L29">
        <v>19.7286</v>
      </c>
      <c r="M29">
        <v>0</v>
      </c>
    </row>
    <row r="30" spans="1:13" x14ac:dyDescent="0.25">
      <c r="A30" t="s">
        <v>7</v>
      </c>
      <c r="B30" t="s">
        <v>11</v>
      </c>
      <c r="C30">
        <v>7</v>
      </c>
      <c r="D30">
        <v>1.0000000000000001E-5</v>
      </c>
      <c r="E30">
        <v>1E-4</v>
      </c>
      <c r="F30" t="str">
        <f t="shared" si="0"/>
        <v>lena256_blurkernel10_7_0,00001_0,0001</v>
      </c>
      <c r="G30">
        <v>24.185366999999999</v>
      </c>
      <c r="H30">
        <v>8.9770699999999994</v>
      </c>
      <c r="I30">
        <v>25.367699999999999</v>
      </c>
      <c r="J30">
        <v>12.007099999999999</v>
      </c>
      <c r="K30">
        <v>0</v>
      </c>
      <c r="L30">
        <v>27.714099999999998</v>
      </c>
      <c r="M30">
        <v>0</v>
      </c>
    </row>
    <row r="31" spans="1:13" x14ac:dyDescent="0.25">
      <c r="A31" t="s">
        <v>7</v>
      </c>
      <c r="B31" t="s">
        <v>11</v>
      </c>
      <c r="C31">
        <v>7</v>
      </c>
      <c r="D31">
        <v>1.0000000000000001E-5</v>
      </c>
      <c r="E31">
        <v>1E-3</v>
      </c>
      <c r="F31" t="str">
        <f t="shared" si="0"/>
        <v>lena256_blurkernel10_7_0,00001_0,001</v>
      </c>
      <c r="G31">
        <v>14.272964999999999</v>
      </c>
      <c r="H31">
        <v>8.6472099999999994</v>
      </c>
      <c r="I31">
        <v>15.5152</v>
      </c>
      <c r="J31">
        <v>12.007099999999999</v>
      </c>
      <c r="K31">
        <v>0</v>
      </c>
      <c r="L31">
        <v>22.389800000000001</v>
      </c>
      <c r="M31">
        <v>0</v>
      </c>
    </row>
    <row r="32" spans="1:13" x14ac:dyDescent="0.25">
      <c r="A32" t="s">
        <v>7</v>
      </c>
      <c r="B32" t="s">
        <v>11</v>
      </c>
      <c r="C32">
        <v>7</v>
      </c>
      <c r="D32">
        <v>1.0000000000000001E-5</v>
      </c>
      <c r="E32">
        <v>0.01</v>
      </c>
      <c r="F32" t="str">
        <f t="shared" si="0"/>
        <v>lena256_blurkernel10_7_0,00001_0,01</v>
      </c>
      <c r="G32">
        <v>11.154995</v>
      </c>
      <c r="H32">
        <v>8.6959160000000004</v>
      </c>
      <c r="I32">
        <v>6.5099</v>
      </c>
      <c r="J32">
        <v>12.007099999999999</v>
      </c>
      <c r="K32">
        <v>0</v>
      </c>
      <c r="L32">
        <v>19.2559</v>
      </c>
      <c r="M32">
        <v>0</v>
      </c>
    </row>
    <row r="33" spans="1:13" x14ac:dyDescent="0.25">
      <c r="A33" t="s">
        <v>7</v>
      </c>
      <c r="B33" t="s">
        <v>11</v>
      </c>
      <c r="C33">
        <v>7</v>
      </c>
      <c r="D33">
        <v>1.0000000000000001E-5</v>
      </c>
      <c r="E33">
        <v>0.1</v>
      </c>
      <c r="F33" t="str">
        <f t="shared" si="0"/>
        <v>lena256_blurkernel10_7_0,00001_0,1</v>
      </c>
      <c r="G33">
        <v>8.9981489999999997</v>
      </c>
      <c r="H33">
        <v>8.7617890000000003</v>
      </c>
      <c r="I33">
        <v>1.2796000000000001</v>
      </c>
      <c r="J33">
        <v>12.007099999999999</v>
      </c>
      <c r="K33">
        <v>0</v>
      </c>
      <c r="L33">
        <v>13.0787</v>
      </c>
      <c r="M33">
        <v>0</v>
      </c>
    </row>
    <row r="34" spans="1:13" x14ac:dyDescent="0.25">
      <c r="A34" t="s">
        <v>12</v>
      </c>
      <c r="B34" t="s">
        <v>8</v>
      </c>
      <c r="C34">
        <v>3</v>
      </c>
      <c r="D34">
        <v>1.0000000000000001E-5</v>
      </c>
      <c r="E34">
        <v>1E-4</v>
      </c>
      <c r="F34" t="str">
        <f t="shared" si="0"/>
        <v>tree256_blurkernel7_3_0,00001_0,0001</v>
      </c>
      <c r="G34">
        <v>34.472690999999998</v>
      </c>
      <c r="H34">
        <v>3.2802639999999998</v>
      </c>
      <c r="I34">
        <v>25.620699999999999</v>
      </c>
      <c r="J34">
        <v>12.2668</v>
      </c>
      <c r="K34">
        <v>0</v>
      </c>
      <c r="L34">
        <v>25.332999999999998</v>
      </c>
      <c r="M34">
        <v>0</v>
      </c>
    </row>
    <row r="35" spans="1:13" x14ac:dyDescent="0.25">
      <c r="A35" t="s">
        <v>12</v>
      </c>
      <c r="B35" t="s">
        <v>8</v>
      </c>
      <c r="C35">
        <v>3</v>
      </c>
      <c r="D35">
        <v>1.0000000000000001E-5</v>
      </c>
      <c r="E35">
        <v>1E-3</v>
      </c>
      <c r="F35" t="str">
        <f t="shared" si="0"/>
        <v>tree256_blurkernel7_3_0,00001_0,001</v>
      </c>
      <c r="G35">
        <v>27.035435</v>
      </c>
      <c r="H35">
        <v>3.1829529999999999</v>
      </c>
      <c r="I35">
        <v>15.7248</v>
      </c>
      <c r="J35">
        <v>12.2668</v>
      </c>
      <c r="K35">
        <v>0</v>
      </c>
      <c r="L35">
        <v>17.485399999999998</v>
      </c>
      <c r="M35">
        <v>0</v>
      </c>
    </row>
    <row r="36" spans="1:13" x14ac:dyDescent="0.25">
      <c r="A36" t="s">
        <v>12</v>
      </c>
      <c r="B36" t="s">
        <v>8</v>
      </c>
      <c r="C36">
        <v>3</v>
      </c>
      <c r="D36">
        <v>1.0000000000000001E-5</v>
      </c>
      <c r="E36">
        <v>0.01</v>
      </c>
      <c r="F36" t="str">
        <f t="shared" si="0"/>
        <v>tree256_blurkernel7_3_0,00001_0,01</v>
      </c>
      <c r="G36">
        <v>22.767109999999999</v>
      </c>
      <c r="H36">
        <v>3.2772380000000001</v>
      </c>
      <c r="I36">
        <v>6.6318999999999999</v>
      </c>
      <c r="J36">
        <v>12.2668</v>
      </c>
      <c r="K36">
        <v>0</v>
      </c>
      <c r="L36">
        <v>16.2194</v>
      </c>
      <c r="M36">
        <v>0</v>
      </c>
    </row>
    <row r="37" spans="1:13" x14ac:dyDescent="0.25">
      <c r="A37" t="s">
        <v>12</v>
      </c>
      <c r="B37" t="s">
        <v>8</v>
      </c>
      <c r="C37">
        <v>3</v>
      </c>
      <c r="D37">
        <v>1.0000000000000001E-5</v>
      </c>
      <c r="E37">
        <v>0.1</v>
      </c>
      <c r="F37" t="str">
        <f t="shared" si="0"/>
        <v>tree256_blurkernel7_3_0,00001_0,1</v>
      </c>
      <c r="G37">
        <v>20.164594000000001</v>
      </c>
      <c r="H37">
        <v>3.3193199999999998</v>
      </c>
      <c r="I37">
        <v>1.2830999999999999</v>
      </c>
      <c r="J37">
        <v>12.2668</v>
      </c>
      <c r="K37">
        <v>0</v>
      </c>
      <c r="L37">
        <v>16.194700000000001</v>
      </c>
      <c r="M37">
        <v>0</v>
      </c>
    </row>
    <row r="38" spans="1:13" x14ac:dyDescent="0.25">
      <c r="A38" t="s">
        <v>12</v>
      </c>
      <c r="B38" t="s">
        <v>8</v>
      </c>
      <c r="C38">
        <v>7</v>
      </c>
      <c r="D38">
        <v>1.0000000000000001E-5</v>
      </c>
      <c r="E38">
        <v>1E-4</v>
      </c>
      <c r="F38" t="str">
        <f t="shared" si="0"/>
        <v>tree256_blurkernel7_7_0,00001_0,0001</v>
      </c>
      <c r="G38">
        <v>25.289180000000002</v>
      </c>
      <c r="H38">
        <v>8.5016029999999994</v>
      </c>
      <c r="I38">
        <v>25.601900000000001</v>
      </c>
      <c r="J38">
        <v>6.8864000000000001</v>
      </c>
      <c r="K38">
        <v>0</v>
      </c>
      <c r="L38">
        <v>24.791799999999999</v>
      </c>
      <c r="M38">
        <v>0</v>
      </c>
    </row>
    <row r="39" spans="1:13" x14ac:dyDescent="0.25">
      <c r="A39" t="s">
        <v>12</v>
      </c>
      <c r="B39" t="s">
        <v>8</v>
      </c>
      <c r="C39">
        <v>7</v>
      </c>
      <c r="D39">
        <v>1.0000000000000001E-5</v>
      </c>
      <c r="E39">
        <v>1E-3</v>
      </c>
      <c r="F39" t="str">
        <f t="shared" si="0"/>
        <v>tree256_blurkernel7_7_0,00001_0,001</v>
      </c>
      <c r="G39">
        <v>15.292589</v>
      </c>
      <c r="H39">
        <v>8.1521050000000006</v>
      </c>
      <c r="I39">
        <v>15.7172</v>
      </c>
      <c r="J39">
        <v>6.8864000000000001</v>
      </c>
      <c r="K39">
        <v>0</v>
      </c>
      <c r="L39">
        <v>15.603300000000001</v>
      </c>
      <c r="M39">
        <v>0</v>
      </c>
    </row>
    <row r="40" spans="1:13" x14ac:dyDescent="0.25">
      <c r="A40" t="s">
        <v>12</v>
      </c>
      <c r="B40" t="s">
        <v>8</v>
      </c>
      <c r="C40">
        <v>7</v>
      </c>
      <c r="D40">
        <v>1.0000000000000001E-5</v>
      </c>
      <c r="E40">
        <v>0.01</v>
      </c>
      <c r="F40" t="str">
        <f t="shared" si="0"/>
        <v>tree256_blurkernel7_7_0,00001_0,01</v>
      </c>
      <c r="G40">
        <v>12.509428</v>
      </c>
      <c r="H40">
        <v>8.1779159999999997</v>
      </c>
      <c r="I40">
        <v>6.6463999999999999</v>
      </c>
      <c r="J40">
        <v>6.8864000000000001</v>
      </c>
      <c r="K40">
        <v>0</v>
      </c>
      <c r="L40">
        <v>11.455500000000001</v>
      </c>
      <c r="M40">
        <v>0</v>
      </c>
    </row>
    <row r="41" spans="1:13" x14ac:dyDescent="0.25">
      <c r="A41" t="s">
        <v>12</v>
      </c>
      <c r="B41" t="s">
        <v>8</v>
      </c>
      <c r="C41">
        <v>7</v>
      </c>
      <c r="D41">
        <v>1.0000000000000001E-5</v>
      </c>
      <c r="E41">
        <v>0.1</v>
      </c>
      <c r="F41" t="str">
        <f t="shared" si="0"/>
        <v>tree256_blurkernel7_7_0,00001_0,1</v>
      </c>
      <c r="G41">
        <v>9.863607</v>
      </c>
      <c r="H41">
        <v>8.2567909999999998</v>
      </c>
      <c r="I41">
        <v>1.2810999999999999</v>
      </c>
      <c r="J41">
        <v>6.8864000000000001</v>
      </c>
      <c r="K41">
        <v>0</v>
      </c>
      <c r="L41">
        <v>8.7687000000000008</v>
      </c>
      <c r="M41">
        <v>0</v>
      </c>
    </row>
    <row r="42" spans="1:13" x14ac:dyDescent="0.25">
      <c r="A42" t="s">
        <v>12</v>
      </c>
      <c r="B42" t="s">
        <v>9</v>
      </c>
      <c r="C42">
        <v>3</v>
      </c>
      <c r="D42">
        <v>1.0000000000000001E-5</v>
      </c>
      <c r="E42">
        <v>1E-4</v>
      </c>
      <c r="F42" t="str">
        <f t="shared" si="0"/>
        <v>tree256_blurkernel8_3_0,00001_0,0001</v>
      </c>
      <c r="G42">
        <v>36.234701000000001</v>
      </c>
      <c r="H42">
        <v>3.203424</v>
      </c>
      <c r="I42">
        <v>25.601900000000001</v>
      </c>
      <c r="J42">
        <v>12.272600000000001</v>
      </c>
      <c r="K42">
        <v>0</v>
      </c>
      <c r="L42">
        <v>25.831</v>
      </c>
      <c r="M42">
        <v>0</v>
      </c>
    </row>
    <row r="43" spans="1:13" x14ac:dyDescent="0.25">
      <c r="A43" t="s">
        <v>12</v>
      </c>
      <c r="B43" t="s">
        <v>9</v>
      </c>
      <c r="C43">
        <v>3</v>
      </c>
      <c r="D43">
        <v>1.0000000000000001E-5</v>
      </c>
      <c r="E43">
        <v>1E-3</v>
      </c>
      <c r="F43" t="str">
        <f t="shared" si="0"/>
        <v>tree256_blurkernel8_3_0,00001_0,001</v>
      </c>
      <c r="G43">
        <v>28.701722</v>
      </c>
      <c r="H43">
        <v>3.1273049999999998</v>
      </c>
      <c r="I43">
        <v>15.719200000000001</v>
      </c>
      <c r="J43">
        <v>12.272600000000001</v>
      </c>
      <c r="K43">
        <v>0</v>
      </c>
      <c r="L43">
        <v>19.401</v>
      </c>
      <c r="M43">
        <v>0</v>
      </c>
    </row>
    <row r="44" spans="1:13" x14ac:dyDescent="0.25">
      <c r="A44" t="s">
        <v>12</v>
      </c>
      <c r="B44" t="s">
        <v>9</v>
      </c>
      <c r="C44">
        <v>3</v>
      </c>
      <c r="D44">
        <v>1.0000000000000001E-5</v>
      </c>
      <c r="E44">
        <v>0.01</v>
      </c>
      <c r="F44" t="str">
        <f t="shared" si="0"/>
        <v>tree256_blurkernel8_3_0,00001_0,01</v>
      </c>
      <c r="G44">
        <v>23.273617999999999</v>
      </c>
      <c r="H44">
        <v>3.263782</v>
      </c>
      <c r="I44">
        <v>6.6364999999999998</v>
      </c>
      <c r="J44">
        <v>12.272600000000001</v>
      </c>
      <c r="K44">
        <v>0</v>
      </c>
      <c r="L44">
        <v>18.621600000000001</v>
      </c>
      <c r="M44">
        <v>0</v>
      </c>
    </row>
    <row r="45" spans="1:13" x14ac:dyDescent="0.25">
      <c r="A45" t="s">
        <v>12</v>
      </c>
      <c r="B45" t="s">
        <v>9</v>
      </c>
      <c r="C45">
        <v>3</v>
      </c>
      <c r="D45">
        <v>1.0000000000000001E-5</v>
      </c>
      <c r="E45">
        <v>0.1</v>
      </c>
      <c r="F45" t="str">
        <f t="shared" si="0"/>
        <v>tree256_blurkernel8_3_0,00001_0,1</v>
      </c>
      <c r="G45">
        <v>20.242751999999999</v>
      </c>
      <c r="H45">
        <v>3.3199890000000001</v>
      </c>
      <c r="I45">
        <v>1.2403999999999999</v>
      </c>
      <c r="J45">
        <v>12.272600000000001</v>
      </c>
      <c r="K45">
        <v>0</v>
      </c>
      <c r="L45">
        <v>16.988800000000001</v>
      </c>
      <c r="M45">
        <v>0</v>
      </c>
    </row>
    <row r="46" spans="1:13" x14ac:dyDescent="0.25">
      <c r="A46" t="s">
        <v>12</v>
      </c>
      <c r="B46" t="s">
        <v>9</v>
      </c>
      <c r="C46">
        <v>7</v>
      </c>
      <c r="D46">
        <v>1.0000000000000001E-5</v>
      </c>
      <c r="E46">
        <v>1E-4</v>
      </c>
      <c r="F46" t="str">
        <f t="shared" si="0"/>
        <v>tree256_blurkernel8_7_0,00001_0,0001</v>
      </c>
      <c r="G46">
        <v>26.482206999999999</v>
      </c>
      <c r="H46">
        <v>8.3913639999999994</v>
      </c>
      <c r="I46">
        <v>25.566700000000001</v>
      </c>
      <c r="J46">
        <v>6.9602000000000004</v>
      </c>
      <c r="K46">
        <v>0</v>
      </c>
      <c r="L46">
        <v>25.2956</v>
      </c>
      <c r="M46">
        <v>0</v>
      </c>
    </row>
    <row r="47" spans="1:13" x14ac:dyDescent="0.25">
      <c r="A47" t="s">
        <v>12</v>
      </c>
      <c r="B47" t="s">
        <v>9</v>
      </c>
      <c r="C47">
        <v>7</v>
      </c>
      <c r="D47">
        <v>1.0000000000000001E-5</v>
      </c>
      <c r="E47">
        <v>1E-3</v>
      </c>
      <c r="F47" t="str">
        <f t="shared" si="0"/>
        <v>tree256_blurkernel8_7_0,00001_0,001</v>
      </c>
      <c r="G47">
        <v>16.717133</v>
      </c>
      <c r="H47">
        <v>8.0748829999999998</v>
      </c>
      <c r="I47">
        <v>15.7547</v>
      </c>
      <c r="J47">
        <v>6.9602000000000004</v>
      </c>
      <c r="K47">
        <v>0</v>
      </c>
      <c r="L47">
        <v>16.578299999999999</v>
      </c>
      <c r="M47">
        <v>0</v>
      </c>
    </row>
    <row r="48" spans="1:13" x14ac:dyDescent="0.25">
      <c r="A48" t="s">
        <v>12</v>
      </c>
      <c r="B48" t="s">
        <v>9</v>
      </c>
      <c r="C48">
        <v>7</v>
      </c>
      <c r="D48">
        <v>1.0000000000000001E-5</v>
      </c>
      <c r="E48">
        <v>0.01</v>
      </c>
      <c r="F48" t="str">
        <f t="shared" si="0"/>
        <v>tree256_blurkernel8_7_0,00001_0,01</v>
      </c>
      <c r="G48">
        <v>13.075782</v>
      </c>
      <c r="H48">
        <v>8.1554359999999999</v>
      </c>
      <c r="I48">
        <v>6.6302000000000003</v>
      </c>
      <c r="J48">
        <v>6.9602000000000004</v>
      </c>
      <c r="K48">
        <v>0</v>
      </c>
      <c r="L48">
        <v>14.138500000000001</v>
      </c>
      <c r="M48">
        <v>0</v>
      </c>
    </row>
    <row r="49" spans="1:13" x14ac:dyDescent="0.25">
      <c r="A49" t="s">
        <v>12</v>
      </c>
      <c r="B49" t="s">
        <v>9</v>
      </c>
      <c r="C49">
        <v>7</v>
      </c>
      <c r="D49">
        <v>1.0000000000000001E-5</v>
      </c>
      <c r="E49">
        <v>0.1</v>
      </c>
      <c r="F49" t="str">
        <f t="shared" si="0"/>
        <v>tree256_blurkernel8_7_0,00001_0,1</v>
      </c>
      <c r="G49">
        <v>9.9124859999999995</v>
      </c>
      <c r="H49">
        <v>8.25807</v>
      </c>
      <c r="I49">
        <v>1.2735000000000001</v>
      </c>
      <c r="J49">
        <v>6.9602000000000004</v>
      </c>
      <c r="K49">
        <v>0</v>
      </c>
      <c r="L49">
        <v>11.1684</v>
      </c>
      <c r="M49">
        <v>0</v>
      </c>
    </row>
    <row r="50" spans="1:13" x14ac:dyDescent="0.25">
      <c r="A50" t="s">
        <v>12</v>
      </c>
      <c r="B50" t="s">
        <v>10</v>
      </c>
      <c r="C50">
        <v>3</v>
      </c>
      <c r="D50">
        <v>1.0000000000000001E-5</v>
      </c>
      <c r="E50">
        <v>1E-4</v>
      </c>
      <c r="F50" t="str">
        <f t="shared" si="0"/>
        <v>tree256_line_3_0,00001_0,0001</v>
      </c>
      <c r="G50">
        <v>42.500205999999999</v>
      </c>
      <c r="H50">
        <v>2.9211010000000002</v>
      </c>
      <c r="I50">
        <v>25.5913</v>
      </c>
      <c r="J50">
        <v>9.3488000000000007</v>
      </c>
      <c r="K50">
        <v>0</v>
      </c>
      <c r="L50">
        <v>26.386700000000001</v>
      </c>
      <c r="M50">
        <v>0</v>
      </c>
    </row>
    <row r="51" spans="1:13" x14ac:dyDescent="0.25">
      <c r="A51" t="s">
        <v>12</v>
      </c>
      <c r="B51" t="s">
        <v>10</v>
      </c>
      <c r="C51">
        <v>3</v>
      </c>
      <c r="D51">
        <v>1.0000000000000001E-5</v>
      </c>
      <c r="E51">
        <v>1E-3</v>
      </c>
      <c r="F51" t="str">
        <f t="shared" si="0"/>
        <v>tree256_line_3_0,00001_0,001</v>
      </c>
      <c r="G51">
        <v>32.852992</v>
      </c>
      <c r="H51">
        <v>2.9713889999999998</v>
      </c>
      <c r="I51">
        <v>15.715400000000001</v>
      </c>
      <c r="J51">
        <v>9.3488000000000007</v>
      </c>
      <c r="K51">
        <v>0</v>
      </c>
      <c r="L51">
        <v>19.728000000000002</v>
      </c>
      <c r="M51">
        <v>0</v>
      </c>
    </row>
    <row r="52" spans="1:13" x14ac:dyDescent="0.25">
      <c r="A52" t="s">
        <v>12</v>
      </c>
      <c r="B52" t="s">
        <v>10</v>
      </c>
      <c r="C52">
        <v>3</v>
      </c>
      <c r="D52">
        <v>1.0000000000000001E-5</v>
      </c>
      <c r="E52">
        <v>0.01</v>
      </c>
      <c r="F52" t="str">
        <f t="shared" si="0"/>
        <v>tree256_line_3_0,00001_0,01</v>
      </c>
      <c r="G52">
        <v>24.059252999999998</v>
      </c>
      <c r="H52">
        <v>3.2318129999999998</v>
      </c>
      <c r="I52">
        <v>6.6387</v>
      </c>
      <c r="J52">
        <v>9.3488000000000007</v>
      </c>
      <c r="K52">
        <v>0</v>
      </c>
      <c r="L52">
        <v>17.173400000000001</v>
      </c>
      <c r="M52">
        <v>0</v>
      </c>
    </row>
    <row r="53" spans="1:13" x14ac:dyDescent="0.25">
      <c r="A53" t="s">
        <v>12</v>
      </c>
      <c r="B53" t="s">
        <v>10</v>
      </c>
      <c r="C53">
        <v>3</v>
      </c>
      <c r="D53">
        <v>1.0000000000000001E-5</v>
      </c>
      <c r="E53">
        <v>0.1</v>
      </c>
      <c r="F53" t="str">
        <f t="shared" si="0"/>
        <v>tree256_line_3_0,00001_0,1</v>
      </c>
      <c r="G53">
        <v>20.021588000000001</v>
      </c>
      <c r="H53">
        <v>3.318047</v>
      </c>
      <c r="I53">
        <v>1.2676000000000001</v>
      </c>
      <c r="J53">
        <v>9.3488000000000007</v>
      </c>
      <c r="K53">
        <v>0</v>
      </c>
      <c r="L53">
        <v>8.4076000000000004</v>
      </c>
      <c r="M53">
        <v>0</v>
      </c>
    </row>
    <row r="54" spans="1:13" x14ac:dyDescent="0.25">
      <c r="A54" t="s">
        <v>12</v>
      </c>
      <c r="B54" t="s">
        <v>10</v>
      </c>
      <c r="C54">
        <v>7</v>
      </c>
      <c r="D54">
        <v>1.0000000000000001E-5</v>
      </c>
      <c r="E54">
        <v>1E-4</v>
      </c>
      <c r="F54" t="str">
        <f t="shared" si="0"/>
        <v>tree256_line_7_0,00001_0,0001</v>
      </c>
      <c r="G54">
        <v>32.112152000000002</v>
      </c>
      <c r="H54">
        <v>7.8178929999999998</v>
      </c>
      <c r="I54">
        <v>25.6005</v>
      </c>
      <c r="J54">
        <v>5.2511000000000001</v>
      </c>
      <c r="K54">
        <v>0</v>
      </c>
      <c r="L54">
        <v>25.023800000000001</v>
      </c>
      <c r="M54">
        <v>0</v>
      </c>
    </row>
    <row r="55" spans="1:13" x14ac:dyDescent="0.25">
      <c r="A55" t="s">
        <v>12</v>
      </c>
      <c r="B55" t="s">
        <v>10</v>
      </c>
      <c r="C55">
        <v>7</v>
      </c>
      <c r="D55">
        <v>1.0000000000000001E-5</v>
      </c>
      <c r="E55">
        <v>1E-3</v>
      </c>
      <c r="F55" t="str">
        <f t="shared" si="0"/>
        <v>tree256_line_7_0,00001_0,001</v>
      </c>
      <c r="G55">
        <v>21.566970999999999</v>
      </c>
      <c r="H55">
        <v>7.7422089999999999</v>
      </c>
      <c r="I55">
        <v>15.7363</v>
      </c>
      <c r="J55">
        <v>5.2511000000000001</v>
      </c>
      <c r="K55">
        <v>0</v>
      </c>
      <c r="L55">
        <v>16.850100000000001</v>
      </c>
      <c r="M55">
        <v>0</v>
      </c>
    </row>
    <row r="56" spans="1:13" x14ac:dyDescent="0.25">
      <c r="A56" t="s">
        <v>12</v>
      </c>
      <c r="B56" t="s">
        <v>10</v>
      </c>
      <c r="C56">
        <v>7</v>
      </c>
      <c r="D56">
        <v>1.0000000000000001E-5</v>
      </c>
      <c r="E56">
        <v>0.01</v>
      </c>
      <c r="F56" t="str">
        <f t="shared" si="0"/>
        <v>tree256_line_7_0,00001_0,01</v>
      </c>
      <c r="G56">
        <v>14.643162</v>
      </c>
      <c r="H56">
        <v>8.0560530000000004</v>
      </c>
      <c r="I56">
        <v>6.649</v>
      </c>
      <c r="J56">
        <v>5.2511000000000001</v>
      </c>
      <c r="K56">
        <v>0</v>
      </c>
      <c r="L56">
        <v>10.6439</v>
      </c>
      <c r="M56">
        <v>0</v>
      </c>
    </row>
    <row r="57" spans="1:13" x14ac:dyDescent="0.25">
      <c r="A57" t="s">
        <v>12</v>
      </c>
      <c r="B57" t="s">
        <v>10</v>
      </c>
      <c r="C57">
        <v>7</v>
      </c>
      <c r="D57">
        <v>1.0000000000000001E-5</v>
      </c>
      <c r="E57">
        <v>0.1</v>
      </c>
      <c r="F57" t="str">
        <f t="shared" si="0"/>
        <v>tree256_line_7_0,00001_0,1</v>
      </c>
      <c r="G57">
        <v>10.106241000000001</v>
      </c>
      <c r="H57">
        <v>8.2295809999999996</v>
      </c>
      <c r="I57">
        <v>1.3125</v>
      </c>
      <c r="J57">
        <v>5.2511000000000001</v>
      </c>
      <c r="K57">
        <v>0</v>
      </c>
      <c r="L57">
        <v>6.1925999999999997</v>
      </c>
      <c r="M57">
        <v>0</v>
      </c>
    </row>
    <row r="58" spans="1:13" x14ac:dyDescent="0.25">
      <c r="A58" t="s">
        <v>12</v>
      </c>
      <c r="B58" t="s">
        <v>11</v>
      </c>
      <c r="C58">
        <v>3</v>
      </c>
      <c r="D58">
        <v>1.0000000000000001E-5</v>
      </c>
      <c r="E58">
        <v>1E-4</v>
      </c>
      <c r="F58" t="str">
        <f t="shared" si="0"/>
        <v>tree256_blurkernel10_3_0,00001_0,0001</v>
      </c>
      <c r="G58">
        <v>34.761901999999999</v>
      </c>
      <c r="H58">
        <v>3.2655460000000001</v>
      </c>
      <c r="I58">
        <v>25.627400000000002</v>
      </c>
      <c r="J58">
        <v>10.563499999999999</v>
      </c>
      <c r="K58">
        <v>0</v>
      </c>
      <c r="L58">
        <v>26.225899999999999</v>
      </c>
      <c r="M58">
        <v>0</v>
      </c>
    </row>
    <row r="59" spans="1:13" x14ac:dyDescent="0.25">
      <c r="A59" t="s">
        <v>12</v>
      </c>
      <c r="B59" t="s">
        <v>11</v>
      </c>
      <c r="C59">
        <v>3</v>
      </c>
      <c r="D59">
        <v>1.0000000000000001E-5</v>
      </c>
      <c r="E59">
        <v>1E-3</v>
      </c>
      <c r="F59" t="str">
        <f t="shared" si="0"/>
        <v>tree256_blurkernel10_3_0,00001_0,001</v>
      </c>
      <c r="G59">
        <v>27.372761000000001</v>
      </c>
      <c r="H59">
        <v>3.1692170000000002</v>
      </c>
      <c r="I59">
        <v>15.6998</v>
      </c>
      <c r="J59">
        <v>10.563499999999999</v>
      </c>
      <c r="K59">
        <v>0</v>
      </c>
      <c r="L59">
        <v>18.670300000000001</v>
      </c>
      <c r="M59">
        <v>0</v>
      </c>
    </row>
    <row r="60" spans="1:13" x14ac:dyDescent="0.25">
      <c r="A60" t="s">
        <v>12</v>
      </c>
      <c r="B60" t="s">
        <v>11</v>
      </c>
      <c r="C60">
        <v>3</v>
      </c>
      <c r="D60">
        <v>1.0000000000000001E-5</v>
      </c>
      <c r="E60">
        <v>0.01</v>
      </c>
      <c r="F60" t="str">
        <f t="shared" si="0"/>
        <v>tree256_blurkernel10_3_0,00001_0,01</v>
      </c>
      <c r="G60">
        <v>23.154679000000002</v>
      </c>
      <c r="H60">
        <v>3.2625660000000001</v>
      </c>
      <c r="I60">
        <v>6.6395999999999997</v>
      </c>
      <c r="J60">
        <v>10.563499999999999</v>
      </c>
      <c r="K60">
        <v>0</v>
      </c>
      <c r="L60">
        <v>16.601700000000001</v>
      </c>
      <c r="M60">
        <v>0</v>
      </c>
    </row>
    <row r="61" spans="1:13" x14ac:dyDescent="0.25">
      <c r="A61" t="s">
        <v>12</v>
      </c>
      <c r="B61" t="s">
        <v>11</v>
      </c>
      <c r="C61">
        <v>3</v>
      </c>
      <c r="D61">
        <v>1.0000000000000001E-5</v>
      </c>
      <c r="E61">
        <v>0.1</v>
      </c>
      <c r="F61" t="str">
        <f t="shared" si="0"/>
        <v>tree256_blurkernel10_3_0,00001_0,1</v>
      </c>
      <c r="G61">
        <v>20.047853</v>
      </c>
      <c r="H61">
        <v>3.3191310000000001</v>
      </c>
      <c r="I61">
        <v>1.2733000000000001</v>
      </c>
      <c r="J61">
        <v>10.563499999999999</v>
      </c>
      <c r="K61">
        <v>0</v>
      </c>
      <c r="L61">
        <v>13.100099999999999</v>
      </c>
      <c r="M61">
        <v>0</v>
      </c>
    </row>
    <row r="62" spans="1:13" x14ac:dyDescent="0.25">
      <c r="A62" t="s">
        <v>12</v>
      </c>
      <c r="B62" t="s">
        <v>11</v>
      </c>
      <c r="C62">
        <v>7</v>
      </c>
      <c r="D62">
        <v>1.0000000000000001E-5</v>
      </c>
      <c r="E62">
        <v>1E-4</v>
      </c>
      <c r="F62" t="str">
        <f t="shared" si="0"/>
        <v>tree256_blurkernel10_7_0,00001_0,0001</v>
      </c>
      <c r="G62">
        <v>25.620992999999999</v>
      </c>
      <c r="H62">
        <v>8.4580099999999998</v>
      </c>
      <c r="I62">
        <v>25.616199999999999</v>
      </c>
      <c r="J62">
        <v>5.9923999999999999</v>
      </c>
      <c r="K62">
        <v>0</v>
      </c>
      <c r="L62">
        <v>25.174800000000001</v>
      </c>
      <c r="M62">
        <v>0</v>
      </c>
    </row>
    <row r="63" spans="1:13" x14ac:dyDescent="0.25">
      <c r="A63" t="s">
        <v>12</v>
      </c>
      <c r="B63" t="s">
        <v>11</v>
      </c>
      <c r="C63">
        <v>7</v>
      </c>
      <c r="D63">
        <v>1.0000000000000001E-5</v>
      </c>
      <c r="E63">
        <v>1E-3</v>
      </c>
      <c r="F63" t="str">
        <f t="shared" si="0"/>
        <v>tree256_blurkernel10_7_0,00001_0,001</v>
      </c>
      <c r="G63">
        <v>15.713266000000001</v>
      </c>
      <c r="H63">
        <v>8.1143450000000001</v>
      </c>
      <c r="I63">
        <v>15.715999999999999</v>
      </c>
      <c r="J63">
        <v>5.9923999999999999</v>
      </c>
      <c r="K63">
        <v>0</v>
      </c>
      <c r="L63">
        <v>16.9009</v>
      </c>
      <c r="M63">
        <v>0</v>
      </c>
    </row>
    <row r="64" spans="1:13" x14ac:dyDescent="0.25">
      <c r="A64" t="s">
        <v>12</v>
      </c>
      <c r="B64" t="s">
        <v>11</v>
      </c>
      <c r="C64">
        <v>7</v>
      </c>
      <c r="D64">
        <v>1.0000000000000001E-5</v>
      </c>
      <c r="E64">
        <v>0.01</v>
      </c>
      <c r="F64" t="str">
        <f t="shared" si="0"/>
        <v>tree256_blurkernel10_7_0,00001_0,01</v>
      </c>
      <c r="G64">
        <v>12.643542</v>
      </c>
      <c r="H64">
        <v>8.1567030000000003</v>
      </c>
      <c r="I64">
        <v>6.5914000000000001</v>
      </c>
      <c r="J64">
        <v>5.9923999999999999</v>
      </c>
      <c r="K64">
        <v>0</v>
      </c>
      <c r="L64">
        <v>12.9291</v>
      </c>
      <c r="M64">
        <v>0</v>
      </c>
    </row>
    <row r="65" spans="1:13" x14ac:dyDescent="0.25">
      <c r="A65" t="s">
        <v>12</v>
      </c>
      <c r="B65" t="s">
        <v>11</v>
      </c>
      <c r="C65">
        <v>7</v>
      </c>
      <c r="D65">
        <v>1.0000000000000001E-5</v>
      </c>
      <c r="E65">
        <v>0.1</v>
      </c>
      <c r="F65" t="str">
        <f t="shared" si="0"/>
        <v>tree256_blurkernel10_7_0,00001_0,1</v>
      </c>
      <c r="G65">
        <v>9.9194549999999992</v>
      </c>
      <c r="H65">
        <v>8.2389150000000004</v>
      </c>
      <c r="I65">
        <v>1.2784</v>
      </c>
      <c r="J65">
        <v>5.9923999999999999</v>
      </c>
      <c r="K65">
        <v>0</v>
      </c>
      <c r="L65">
        <v>9.9074000000000009</v>
      </c>
      <c r="M65">
        <v>0</v>
      </c>
    </row>
    <row r="66" spans="1:13" x14ac:dyDescent="0.25">
      <c r="A66" t="s">
        <v>13</v>
      </c>
      <c r="B66" t="s">
        <v>8</v>
      </c>
      <c r="C66">
        <v>3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text256_blurkernel7_3_0,00001_0,0001</v>
      </c>
      <c r="G66">
        <v>18.617412999999999</v>
      </c>
      <c r="H66">
        <v>6.1026939999999996</v>
      </c>
      <c r="I66">
        <v>31.101900000000001</v>
      </c>
      <c r="J66">
        <v>9.2051999999999996</v>
      </c>
      <c r="K66">
        <v>0</v>
      </c>
      <c r="L66">
        <v>34.175800000000002</v>
      </c>
      <c r="M66">
        <v>0</v>
      </c>
    </row>
    <row r="67" spans="1:13" x14ac:dyDescent="0.25">
      <c r="A67" t="s">
        <v>13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1"/>
        <v>text256_blurkernel7_3_0,00001_0,001</v>
      </c>
      <c r="G67">
        <v>15.446187999999999</v>
      </c>
      <c r="H67">
        <v>5.8357950000000001</v>
      </c>
      <c r="I67">
        <v>21.132999999999999</v>
      </c>
      <c r="J67">
        <v>9.2051999999999996</v>
      </c>
      <c r="K67">
        <v>0</v>
      </c>
      <c r="L67">
        <v>23.7639</v>
      </c>
      <c r="M67">
        <v>0</v>
      </c>
    </row>
    <row r="68" spans="1:13" x14ac:dyDescent="0.25">
      <c r="A68" t="s">
        <v>13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1"/>
        <v>text256_blurkernel7_3_0,00001_0,01</v>
      </c>
      <c r="G68">
        <v>15.024877</v>
      </c>
      <c r="H68">
        <v>5.836849</v>
      </c>
      <c r="I68">
        <v>11.1584</v>
      </c>
      <c r="J68">
        <v>9.2051999999999996</v>
      </c>
      <c r="K68">
        <v>0</v>
      </c>
      <c r="L68">
        <v>20.237400000000001</v>
      </c>
      <c r="M68">
        <v>0</v>
      </c>
    </row>
    <row r="69" spans="1:13" x14ac:dyDescent="0.25">
      <c r="A69" t="s">
        <v>13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1"/>
        <v>text256_blurkernel7_3_0,00001_0,1</v>
      </c>
      <c r="G69">
        <v>14.590434999999999</v>
      </c>
      <c r="H69">
        <v>5.9308019999999999</v>
      </c>
      <c r="I69">
        <v>2.7765</v>
      </c>
      <c r="J69">
        <v>9.2051999999999996</v>
      </c>
      <c r="K69">
        <v>0</v>
      </c>
      <c r="L69">
        <v>20.337499999999999</v>
      </c>
      <c r="M69">
        <v>0</v>
      </c>
    </row>
    <row r="70" spans="1:13" x14ac:dyDescent="0.25">
      <c r="A70" t="s">
        <v>13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1"/>
        <v>text256_blurkernel7_7_0,00001_0,0001</v>
      </c>
      <c r="G70">
        <v>13.580299</v>
      </c>
      <c r="H70">
        <v>15.902549</v>
      </c>
      <c r="I70">
        <v>31.1297</v>
      </c>
      <c r="J70">
        <v>3.1</v>
      </c>
      <c r="K70">
        <v>0</v>
      </c>
      <c r="L70">
        <v>31.776700000000002</v>
      </c>
      <c r="M70">
        <v>0</v>
      </c>
    </row>
    <row r="71" spans="1:13" x14ac:dyDescent="0.25">
      <c r="A71" t="s">
        <v>13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1"/>
        <v>text256_blurkernel7_7_0,00001_0,001</v>
      </c>
      <c r="G71">
        <v>8.5453419999999998</v>
      </c>
      <c r="H71">
        <v>15.205392</v>
      </c>
      <c r="I71">
        <v>21.038599999999999</v>
      </c>
      <c r="J71">
        <v>3.1</v>
      </c>
      <c r="K71">
        <v>0</v>
      </c>
      <c r="L71">
        <v>23.7209</v>
      </c>
      <c r="M71">
        <v>0</v>
      </c>
    </row>
    <row r="72" spans="1:13" x14ac:dyDescent="0.25">
      <c r="A72" t="s">
        <v>13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1"/>
        <v>text256_blurkernel7_7_0,00001_0,01</v>
      </c>
      <c r="G72">
        <v>7.9163370000000004</v>
      </c>
      <c r="H72">
        <v>15.141078</v>
      </c>
      <c r="I72">
        <v>11.176500000000001</v>
      </c>
      <c r="J72">
        <v>3.1</v>
      </c>
      <c r="K72">
        <v>0</v>
      </c>
      <c r="L72">
        <v>12.145799999999999</v>
      </c>
      <c r="M72">
        <v>0</v>
      </c>
    </row>
    <row r="73" spans="1:13" x14ac:dyDescent="0.25">
      <c r="A73" t="s">
        <v>13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1"/>
        <v>text256_blurkernel7_7_0,00001_0,1</v>
      </c>
      <c r="G73">
        <v>7.8678650000000001</v>
      </c>
      <c r="H73">
        <v>15.172454</v>
      </c>
      <c r="I73">
        <v>2.7719</v>
      </c>
      <c r="J73">
        <v>3.1</v>
      </c>
      <c r="K73">
        <v>0</v>
      </c>
      <c r="L73">
        <v>11.8012</v>
      </c>
      <c r="M73">
        <v>0</v>
      </c>
    </row>
    <row r="74" spans="1:13" x14ac:dyDescent="0.25">
      <c r="A74" t="s">
        <v>13</v>
      </c>
      <c r="B74" t="s">
        <v>9</v>
      </c>
      <c r="C74">
        <v>3</v>
      </c>
      <c r="D74">
        <v>1.0000000000000001E-5</v>
      </c>
      <c r="E74">
        <v>1E-4</v>
      </c>
      <c r="F74" t="str">
        <f t="shared" si="1"/>
        <v>text256_blurkernel8_3_0,00001_0,0001</v>
      </c>
      <c r="G74">
        <v>19.601205</v>
      </c>
      <c r="H74">
        <v>5.9521189999999997</v>
      </c>
      <c r="I74">
        <v>31.138200000000001</v>
      </c>
      <c r="J74">
        <v>8.6245999999999992</v>
      </c>
      <c r="K74">
        <v>0</v>
      </c>
      <c r="L74">
        <v>34.6875</v>
      </c>
      <c r="M74">
        <v>0</v>
      </c>
    </row>
    <row r="75" spans="1:13" x14ac:dyDescent="0.25">
      <c r="A75" t="s">
        <v>13</v>
      </c>
      <c r="B75" t="s">
        <v>9</v>
      </c>
      <c r="C75">
        <v>3</v>
      </c>
      <c r="D75">
        <v>1.0000000000000001E-5</v>
      </c>
      <c r="E75">
        <v>1E-3</v>
      </c>
      <c r="F75" t="str">
        <f t="shared" si="1"/>
        <v>text256_blurkernel8_3_0,00001_0,001</v>
      </c>
      <c r="G75">
        <v>16.588915</v>
      </c>
      <c r="H75">
        <v>5.6972680000000002</v>
      </c>
      <c r="I75">
        <v>21.0899</v>
      </c>
      <c r="J75">
        <v>8.6245999999999992</v>
      </c>
      <c r="K75">
        <v>0</v>
      </c>
      <c r="L75">
        <v>25.0458</v>
      </c>
      <c r="M75">
        <v>0</v>
      </c>
    </row>
    <row r="76" spans="1:13" x14ac:dyDescent="0.25">
      <c r="A76" t="s">
        <v>13</v>
      </c>
      <c r="B76" t="s">
        <v>9</v>
      </c>
      <c r="C76">
        <v>3</v>
      </c>
      <c r="D76">
        <v>1.0000000000000001E-5</v>
      </c>
      <c r="E76">
        <v>0.01</v>
      </c>
      <c r="F76" t="str">
        <f t="shared" si="1"/>
        <v>text256_blurkernel8_3_0,00001_0,01</v>
      </c>
      <c r="G76">
        <v>15.861338999999999</v>
      </c>
      <c r="H76">
        <v>5.7406689999999996</v>
      </c>
      <c r="I76">
        <v>11.206099999999999</v>
      </c>
      <c r="J76">
        <v>8.6245999999999992</v>
      </c>
      <c r="K76">
        <v>0</v>
      </c>
      <c r="L76">
        <v>20.4252</v>
      </c>
      <c r="M76">
        <v>0</v>
      </c>
    </row>
    <row r="77" spans="1:13" x14ac:dyDescent="0.25">
      <c r="A77" t="s">
        <v>13</v>
      </c>
      <c r="B77" t="s">
        <v>9</v>
      </c>
      <c r="C77">
        <v>3</v>
      </c>
      <c r="D77">
        <v>1.0000000000000001E-5</v>
      </c>
      <c r="E77">
        <v>0.1</v>
      </c>
      <c r="F77" t="str">
        <f t="shared" si="1"/>
        <v>text256_blurkernel8_3_0,00001_0,1</v>
      </c>
      <c r="G77">
        <v>14.866759999999999</v>
      </c>
      <c r="H77">
        <v>5.9033759999999997</v>
      </c>
      <c r="I77">
        <v>2.7841999999999998</v>
      </c>
      <c r="J77">
        <v>8.6245999999999992</v>
      </c>
      <c r="K77">
        <v>0</v>
      </c>
      <c r="L77">
        <v>24.0687</v>
      </c>
      <c r="M77">
        <v>0</v>
      </c>
    </row>
    <row r="78" spans="1:13" x14ac:dyDescent="0.25">
      <c r="A78" t="s">
        <v>13</v>
      </c>
      <c r="B78" t="s">
        <v>9</v>
      </c>
      <c r="C78">
        <v>7</v>
      </c>
      <c r="D78">
        <v>1.0000000000000001E-5</v>
      </c>
      <c r="E78">
        <v>1E-4</v>
      </c>
      <c r="F78" t="str">
        <f t="shared" si="1"/>
        <v>text256_blurkernel8_7_0,00001_0,0001</v>
      </c>
      <c r="G78">
        <v>14.253970000000001</v>
      </c>
      <c r="H78">
        <v>15.68275</v>
      </c>
      <c r="I78">
        <v>31.106200000000001</v>
      </c>
      <c r="J78">
        <v>2.7490999999999999</v>
      </c>
      <c r="K78">
        <v>0</v>
      </c>
      <c r="L78">
        <v>31.4757</v>
      </c>
      <c r="M78">
        <v>0</v>
      </c>
    </row>
    <row r="79" spans="1:13" x14ac:dyDescent="0.25">
      <c r="A79" t="s">
        <v>13</v>
      </c>
      <c r="B79" t="s">
        <v>9</v>
      </c>
      <c r="C79">
        <v>7</v>
      </c>
      <c r="D79">
        <v>1.0000000000000001E-5</v>
      </c>
      <c r="E79">
        <v>1E-3</v>
      </c>
      <c r="F79" t="str">
        <f t="shared" si="1"/>
        <v>text256_blurkernel8_7_0,00001_0,001</v>
      </c>
      <c r="G79">
        <v>9.5433299999999992</v>
      </c>
      <c r="H79">
        <v>15.005687999999999</v>
      </c>
      <c r="I79">
        <v>21.055399999999999</v>
      </c>
      <c r="J79">
        <v>2.7490999999999999</v>
      </c>
      <c r="K79">
        <v>0</v>
      </c>
      <c r="L79">
        <v>23.9528</v>
      </c>
      <c r="M79">
        <v>0</v>
      </c>
    </row>
    <row r="80" spans="1:13" x14ac:dyDescent="0.25">
      <c r="A80" t="s">
        <v>13</v>
      </c>
      <c r="B80" t="s">
        <v>9</v>
      </c>
      <c r="C80">
        <v>7</v>
      </c>
      <c r="D80">
        <v>1.0000000000000001E-5</v>
      </c>
      <c r="E80">
        <v>0.01</v>
      </c>
      <c r="F80" t="str">
        <f t="shared" si="1"/>
        <v>text256_blurkernel8_7_0,00001_0,01</v>
      </c>
      <c r="G80">
        <v>8.7260880000000007</v>
      </c>
      <c r="H80">
        <v>14.997251</v>
      </c>
      <c r="I80">
        <v>11.199</v>
      </c>
      <c r="J80">
        <v>2.7490999999999999</v>
      </c>
      <c r="K80">
        <v>0</v>
      </c>
      <c r="L80">
        <v>14.971299999999999</v>
      </c>
      <c r="M80">
        <v>0</v>
      </c>
    </row>
    <row r="81" spans="1:13" x14ac:dyDescent="0.25">
      <c r="A81" t="s">
        <v>13</v>
      </c>
      <c r="B81" t="s">
        <v>9</v>
      </c>
      <c r="C81">
        <v>7</v>
      </c>
      <c r="D81">
        <v>1.0000000000000001E-5</v>
      </c>
      <c r="E81">
        <v>0.1</v>
      </c>
      <c r="F81" t="str">
        <f t="shared" si="1"/>
        <v>text256_blurkernel8_7_0,00001_0,1</v>
      </c>
      <c r="G81">
        <v>8.0959850000000007</v>
      </c>
      <c r="H81">
        <v>15.139229</v>
      </c>
      <c r="I81">
        <v>2.7879999999999998</v>
      </c>
      <c r="J81">
        <v>2.7490999999999999</v>
      </c>
      <c r="K81">
        <v>0</v>
      </c>
      <c r="L81">
        <v>16.6388</v>
      </c>
      <c r="M81">
        <v>0</v>
      </c>
    </row>
    <row r="82" spans="1:13" x14ac:dyDescent="0.25">
      <c r="A82" t="s">
        <v>13</v>
      </c>
      <c r="B82" t="s">
        <v>10</v>
      </c>
      <c r="C82">
        <v>3</v>
      </c>
      <c r="D82">
        <v>1.0000000000000001E-5</v>
      </c>
      <c r="E82">
        <v>1E-4</v>
      </c>
      <c r="F82" t="str">
        <f t="shared" si="1"/>
        <v>text256_line_3_0,00001_0,0001</v>
      </c>
      <c r="G82">
        <v>23.149763</v>
      </c>
      <c r="H82">
        <v>5.399483</v>
      </c>
      <c r="I82">
        <v>31.138300000000001</v>
      </c>
      <c r="J82">
        <v>5.9836</v>
      </c>
      <c r="K82">
        <v>0</v>
      </c>
      <c r="L82">
        <v>34.936700000000002</v>
      </c>
      <c r="M82">
        <v>0</v>
      </c>
    </row>
    <row r="83" spans="1:13" x14ac:dyDescent="0.25">
      <c r="A83" t="s">
        <v>13</v>
      </c>
      <c r="B83" t="s">
        <v>10</v>
      </c>
      <c r="C83">
        <v>3</v>
      </c>
      <c r="D83">
        <v>1.0000000000000001E-5</v>
      </c>
      <c r="E83">
        <v>1E-3</v>
      </c>
      <c r="F83" t="str">
        <f t="shared" si="1"/>
        <v>text256_line_3_0,00001_0,001</v>
      </c>
      <c r="G83">
        <v>20.163658999999999</v>
      </c>
      <c r="H83">
        <v>5.2348119999999998</v>
      </c>
      <c r="I83">
        <v>21.071899999999999</v>
      </c>
      <c r="J83">
        <v>5.9836</v>
      </c>
      <c r="K83">
        <v>0</v>
      </c>
      <c r="L83">
        <v>29.498200000000001</v>
      </c>
      <c r="M83">
        <v>0</v>
      </c>
    </row>
    <row r="84" spans="1:13" x14ac:dyDescent="0.25">
      <c r="A84" t="s">
        <v>13</v>
      </c>
      <c r="B84" t="s">
        <v>10</v>
      </c>
      <c r="C84">
        <v>3</v>
      </c>
      <c r="D84">
        <v>1.0000000000000001E-5</v>
      </c>
      <c r="E84">
        <v>0.01</v>
      </c>
      <c r="F84" t="str">
        <f t="shared" si="1"/>
        <v>text256_line_3_0,00001_0,01</v>
      </c>
      <c r="G84">
        <v>17.137445</v>
      </c>
      <c r="H84">
        <v>5.5795789999999998</v>
      </c>
      <c r="I84">
        <v>11.144</v>
      </c>
      <c r="J84">
        <v>5.9836</v>
      </c>
      <c r="K84">
        <v>0</v>
      </c>
      <c r="L84">
        <v>26.715399999999999</v>
      </c>
      <c r="M84">
        <v>0</v>
      </c>
    </row>
    <row r="85" spans="1:13" x14ac:dyDescent="0.25">
      <c r="A85" t="s">
        <v>13</v>
      </c>
      <c r="B85" t="s">
        <v>10</v>
      </c>
      <c r="C85">
        <v>3</v>
      </c>
      <c r="D85">
        <v>1.0000000000000001E-5</v>
      </c>
      <c r="E85">
        <v>0.1</v>
      </c>
      <c r="F85" t="str">
        <f t="shared" si="1"/>
        <v>text256_line_3_0,00001_0,1</v>
      </c>
      <c r="G85">
        <v>14.614938</v>
      </c>
      <c r="H85">
        <v>5.9219379999999999</v>
      </c>
      <c r="I85">
        <v>2.8068</v>
      </c>
      <c r="J85">
        <v>5.9836</v>
      </c>
      <c r="K85">
        <v>0</v>
      </c>
      <c r="L85">
        <v>19.0566</v>
      </c>
      <c r="M85">
        <v>0</v>
      </c>
    </row>
    <row r="86" spans="1:13" x14ac:dyDescent="0.25">
      <c r="A86" t="s">
        <v>13</v>
      </c>
      <c r="B86" t="s">
        <v>10</v>
      </c>
      <c r="C86">
        <v>7</v>
      </c>
      <c r="D86">
        <v>1.0000000000000001E-5</v>
      </c>
      <c r="E86">
        <v>1E-4</v>
      </c>
      <c r="F86" t="str">
        <f t="shared" si="1"/>
        <v>text256_line_7_0,00001_0,0001</v>
      </c>
      <c r="G86">
        <v>17.416855000000002</v>
      </c>
      <c r="H86">
        <v>14.578094999999999</v>
      </c>
      <c r="I86">
        <v>31.1736</v>
      </c>
      <c r="J86">
        <v>1.8166</v>
      </c>
      <c r="K86">
        <v>0</v>
      </c>
      <c r="L86">
        <v>32.675699999999999</v>
      </c>
      <c r="M86">
        <v>0</v>
      </c>
    </row>
    <row r="87" spans="1:13" x14ac:dyDescent="0.25">
      <c r="A87" t="s">
        <v>13</v>
      </c>
      <c r="B87" t="s">
        <v>10</v>
      </c>
      <c r="C87">
        <v>7</v>
      </c>
      <c r="D87">
        <v>1.0000000000000001E-5</v>
      </c>
      <c r="E87">
        <v>1E-3</v>
      </c>
      <c r="F87" t="str">
        <f t="shared" si="1"/>
        <v>text256_line_7_0,00001_0,001</v>
      </c>
      <c r="G87">
        <v>13.519119999999999</v>
      </c>
      <c r="H87">
        <v>14.037715</v>
      </c>
      <c r="I87">
        <v>21.145900000000001</v>
      </c>
      <c r="J87">
        <v>1.8166</v>
      </c>
      <c r="K87">
        <v>0</v>
      </c>
      <c r="L87">
        <v>24.375399999999999</v>
      </c>
      <c r="M87">
        <v>0</v>
      </c>
    </row>
    <row r="88" spans="1:13" x14ac:dyDescent="0.25">
      <c r="A88" t="s">
        <v>13</v>
      </c>
      <c r="B88" t="s">
        <v>10</v>
      </c>
      <c r="C88">
        <v>7</v>
      </c>
      <c r="D88">
        <v>1.0000000000000001E-5</v>
      </c>
      <c r="E88">
        <v>0.01</v>
      </c>
      <c r="F88" t="str">
        <f t="shared" si="1"/>
        <v>text256_line_7_0,00001_0,01</v>
      </c>
      <c r="G88">
        <v>10.980422000000001</v>
      </c>
      <c r="H88">
        <v>14.518281999999999</v>
      </c>
      <c r="I88">
        <v>11.1807</v>
      </c>
      <c r="J88">
        <v>1.8166</v>
      </c>
      <c r="K88">
        <v>0</v>
      </c>
      <c r="L88">
        <v>18.169899999999998</v>
      </c>
      <c r="M88">
        <v>0</v>
      </c>
    </row>
    <row r="89" spans="1:13" x14ac:dyDescent="0.25">
      <c r="A89" t="s">
        <v>13</v>
      </c>
      <c r="B89" t="s">
        <v>10</v>
      </c>
      <c r="C89">
        <v>7</v>
      </c>
      <c r="D89">
        <v>1.0000000000000001E-5</v>
      </c>
      <c r="E89">
        <v>0.1</v>
      </c>
      <c r="F89" t="str">
        <f t="shared" si="1"/>
        <v>text256_line_7_0,00001_0,1</v>
      </c>
      <c r="G89">
        <v>8.512613</v>
      </c>
      <c r="H89">
        <v>15.05986</v>
      </c>
      <c r="I89">
        <v>2.7797000000000001</v>
      </c>
      <c r="J89">
        <v>1.8166</v>
      </c>
      <c r="K89">
        <v>0</v>
      </c>
      <c r="L89">
        <v>9.9948999999999995</v>
      </c>
      <c r="M89">
        <v>0</v>
      </c>
    </row>
    <row r="90" spans="1:13" x14ac:dyDescent="0.25">
      <c r="A90" t="s">
        <v>13</v>
      </c>
      <c r="B90" t="s">
        <v>11</v>
      </c>
      <c r="C90">
        <v>3</v>
      </c>
      <c r="D90">
        <v>1.0000000000000001E-5</v>
      </c>
      <c r="E90">
        <v>1E-4</v>
      </c>
      <c r="F90" t="str">
        <f t="shared" si="1"/>
        <v>text256_blurkernel10_3_0,00001_0,0001</v>
      </c>
      <c r="G90">
        <v>18.770441000000002</v>
      </c>
      <c r="H90">
        <v>6.0733550000000003</v>
      </c>
      <c r="I90">
        <v>31.138100000000001</v>
      </c>
      <c r="J90">
        <v>7.1262999999999996</v>
      </c>
      <c r="K90">
        <v>0</v>
      </c>
      <c r="L90">
        <v>34.313099999999999</v>
      </c>
      <c r="M90">
        <v>0</v>
      </c>
    </row>
    <row r="91" spans="1:13" x14ac:dyDescent="0.25">
      <c r="A91" t="s">
        <v>13</v>
      </c>
      <c r="B91" t="s">
        <v>11</v>
      </c>
      <c r="C91">
        <v>3</v>
      </c>
      <c r="D91">
        <v>1.0000000000000001E-5</v>
      </c>
      <c r="E91">
        <v>1E-3</v>
      </c>
      <c r="F91" t="str">
        <f t="shared" si="1"/>
        <v>text256_blurkernel10_3_0,00001_0,001</v>
      </c>
      <c r="G91">
        <v>15.559269</v>
      </c>
      <c r="H91">
        <v>5.8151739999999998</v>
      </c>
      <c r="I91">
        <v>21.119299999999999</v>
      </c>
      <c r="J91">
        <v>7.1262999999999996</v>
      </c>
      <c r="K91">
        <v>0</v>
      </c>
      <c r="L91">
        <v>25.020700000000001</v>
      </c>
      <c r="M91">
        <v>0</v>
      </c>
    </row>
    <row r="92" spans="1:13" x14ac:dyDescent="0.25">
      <c r="A92" t="s">
        <v>13</v>
      </c>
      <c r="B92" t="s">
        <v>11</v>
      </c>
      <c r="C92">
        <v>3</v>
      </c>
      <c r="D92">
        <v>1.0000000000000001E-5</v>
      </c>
      <c r="E92">
        <v>0.01</v>
      </c>
      <c r="F92" t="str">
        <f t="shared" si="1"/>
        <v>text256_blurkernel10_3_0,00001_0,01</v>
      </c>
      <c r="G92">
        <v>14.885357000000001</v>
      </c>
      <c r="H92">
        <v>5.846241</v>
      </c>
      <c r="I92">
        <v>11.1676</v>
      </c>
      <c r="J92">
        <v>7.1262999999999996</v>
      </c>
      <c r="K92">
        <v>0</v>
      </c>
      <c r="L92">
        <v>18.906700000000001</v>
      </c>
      <c r="M92">
        <v>0</v>
      </c>
    </row>
    <row r="93" spans="1:13" x14ac:dyDescent="0.25">
      <c r="A93" t="s">
        <v>13</v>
      </c>
      <c r="B93" t="s">
        <v>11</v>
      </c>
      <c r="C93">
        <v>3</v>
      </c>
      <c r="D93">
        <v>1.0000000000000001E-5</v>
      </c>
      <c r="E93">
        <v>0.1</v>
      </c>
      <c r="F93" t="str">
        <f t="shared" si="1"/>
        <v>text256_blurkernel10_3_0,00001_0,1</v>
      </c>
      <c r="G93">
        <v>14.454488</v>
      </c>
      <c r="H93">
        <v>5.9387470000000002</v>
      </c>
      <c r="I93">
        <v>2.7736999999999998</v>
      </c>
      <c r="J93">
        <v>7.1262999999999996</v>
      </c>
      <c r="K93">
        <v>0</v>
      </c>
      <c r="L93">
        <v>15.467599999999999</v>
      </c>
      <c r="M93">
        <v>0</v>
      </c>
    </row>
    <row r="94" spans="1:13" x14ac:dyDescent="0.25">
      <c r="A94" t="s">
        <v>13</v>
      </c>
      <c r="B94" t="s">
        <v>11</v>
      </c>
      <c r="C94">
        <v>7</v>
      </c>
      <c r="D94">
        <v>1.0000000000000001E-5</v>
      </c>
      <c r="E94">
        <v>1E-4</v>
      </c>
      <c r="F94" t="str">
        <f t="shared" si="1"/>
        <v>text256_blurkernel10_7_0,00001_0,0001</v>
      </c>
      <c r="G94">
        <v>13.765853999999999</v>
      </c>
      <c r="H94">
        <v>15.82527</v>
      </c>
      <c r="I94">
        <v>31.092199999999998</v>
      </c>
      <c r="J94">
        <v>2.1825000000000001</v>
      </c>
      <c r="K94">
        <v>0</v>
      </c>
      <c r="L94">
        <v>31.826899999999998</v>
      </c>
      <c r="M94">
        <v>0</v>
      </c>
    </row>
    <row r="95" spans="1:13" x14ac:dyDescent="0.25">
      <c r="A95" t="s">
        <v>13</v>
      </c>
      <c r="B95" t="s">
        <v>11</v>
      </c>
      <c r="C95">
        <v>7</v>
      </c>
      <c r="D95">
        <v>1.0000000000000001E-5</v>
      </c>
      <c r="E95">
        <v>1E-3</v>
      </c>
      <c r="F95" t="str">
        <f t="shared" si="1"/>
        <v>text256_blurkernel10_7_0,00001_0,001</v>
      </c>
      <c r="G95">
        <v>8.8052030000000006</v>
      </c>
      <c r="H95">
        <v>15.134888</v>
      </c>
      <c r="I95">
        <v>21.120899999999999</v>
      </c>
      <c r="J95">
        <v>2.1825000000000001</v>
      </c>
      <c r="K95">
        <v>0</v>
      </c>
      <c r="L95">
        <v>23.988299999999999</v>
      </c>
      <c r="M95">
        <v>0</v>
      </c>
    </row>
    <row r="96" spans="1:13" x14ac:dyDescent="0.25">
      <c r="A96" t="s">
        <v>13</v>
      </c>
      <c r="B96" t="s">
        <v>11</v>
      </c>
      <c r="C96">
        <v>7</v>
      </c>
      <c r="D96">
        <v>1.0000000000000001E-5</v>
      </c>
      <c r="E96">
        <v>0.01</v>
      </c>
      <c r="F96" t="str">
        <f t="shared" si="1"/>
        <v>text256_blurkernel10_7_0,00001_0,01</v>
      </c>
      <c r="G96">
        <v>8.1290809999999993</v>
      </c>
      <c r="H96">
        <v>15.084194999999999</v>
      </c>
      <c r="I96">
        <v>11.137499999999999</v>
      </c>
      <c r="J96">
        <v>2.1825000000000001</v>
      </c>
      <c r="K96">
        <v>0</v>
      </c>
      <c r="L96">
        <v>15.577400000000001</v>
      </c>
      <c r="M96">
        <v>0</v>
      </c>
    </row>
    <row r="97" spans="1:13" x14ac:dyDescent="0.25">
      <c r="A97" t="s">
        <v>13</v>
      </c>
      <c r="B97" t="s">
        <v>11</v>
      </c>
      <c r="C97">
        <v>7</v>
      </c>
      <c r="D97">
        <v>1.0000000000000001E-5</v>
      </c>
      <c r="E97">
        <v>0.1</v>
      </c>
      <c r="F97" t="str">
        <f t="shared" si="1"/>
        <v>text256_blurkernel10_7_0,00001_0,1</v>
      </c>
      <c r="G97">
        <v>7.5770819999999999</v>
      </c>
      <c r="H97">
        <v>15.199932</v>
      </c>
      <c r="I97">
        <v>2.7905000000000002</v>
      </c>
      <c r="J97">
        <v>2.1825000000000001</v>
      </c>
      <c r="K97">
        <v>0</v>
      </c>
      <c r="L97">
        <v>11.6432</v>
      </c>
      <c r="M97">
        <v>0</v>
      </c>
    </row>
    <row r="98" spans="1:13" x14ac:dyDescent="0.25">
      <c r="A98" t="s">
        <v>14</v>
      </c>
      <c r="B98" t="s">
        <v>8</v>
      </c>
      <c r="C98">
        <v>3</v>
      </c>
      <c r="D98">
        <v>1.0000000000000001E-5</v>
      </c>
      <c r="E98">
        <v>1E-4</v>
      </c>
      <c r="F98" t="str">
        <f t="shared" si="1"/>
        <v>castle256_blurkernel7_3_0,00001_0,0001</v>
      </c>
      <c r="G98">
        <v>35.407710999999999</v>
      </c>
      <c r="H98">
        <v>3.1912039999999999</v>
      </c>
      <c r="I98">
        <v>25.3537</v>
      </c>
      <c r="J98">
        <v>15.6526</v>
      </c>
      <c r="K98">
        <v>0</v>
      </c>
      <c r="L98">
        <v>28.072099999999999</v>
      </c>
      <c r="M98">
        <v>0</v>
      </c>
    </row>
    <row r="99" spans="1:13" x14ac:dyDescent="0.25">
      <c r="A99" t="s">
        <v>14</v>
      </c>
      <c r="B99" t="s">
        <v>8</v>
      </c>
      <c r="C99">
        <v>3</v>
      </c>
      <c r="D99">
        <v>1.0000000000000001E-5</v>
      </c>
      <c r="E99">
        <v>1E-3</v>
      </c>
      <c r="F99" t="str">
        <f t="shared" si="1"/>
        <v>castle256_blurkernel7_3_0,00001_0,001</v>
      </c>
      <c r="G99">
        <v>26.578341999999999</v>
      </c>
      <c r="H99">
        <v>3.1324350000000001</v>
      </c>
      <c r="I99">
        <v>15.5083</v>
      </c>
      <c r="J99">
        <v>15.6526</v>
      </c>
      <c r="K99">
        <v>0</v>
      </c>
      <c r="L99">
        <v>21.287600000000001</v>
      </c>
      <c r="M99">
        <v>0</v>
      </c>
    </row>
    <row r="100" spans="1:13" x14ac:dyDescent="0.25">
      <c r="A100" t="s">
        <v>14</v>
      </c>
      <c r="B100" t="s">
        <v>8</v>
      </c>
      <c r="C100">
        <v>3</v>
      </c>
      <c r="D100">
        <v>1.0000000000000001E-5</v>
      </c>
      <c r="E100">
        <v>0.01</v>
      </c>
      <c r="F100" t="str">
        <f t="shared" si="1"/>
        <v>castle256_blurkernel7_3_0,00001_0,01</v>
      </c>
      <c r="G100">
        <v>22.848984999999999</v>
      </c>
      <c r="H100">
        <v>3.1997230000000001</v>
      </c>
      <c r="I100">
        <v>6.5061</v>
      </c>
      <c r="J100">
        <v>15.6526</v>
      </c>
      <c r="K100">
        <v>0</v>
      </c>
      <c r="L100">
        <v>20.3888</v>
      </c>
      <c r="M100">
        <v>0</v>
      </c>
    </row>
    <row r="101" spans="1:13" x14ac:dyDescent="0.25">
      <c r="A101" t="s">
        <v>14</v>
      </c>
      <c r="B101" t="s">
        <v>8</v>
      </c>
      <c r="C101">
        <v>3</v>
      </c>
      <c r="D101">
        <v>1.0000000000000001E-5</v>
      </c>
      <c r="E101">
        <v>0.1</v>
      </c>
      <c r="F101" t="str">
        <f t="shared" si="1"/>
        <v>castle256_blurkernel7_3_0,00001_0,1</v>
      </c>
      <c r="G101">
        <v>20.584607999999999</v>
      </c>
      <c r="H101">
        <v>3.2247460000000001</v>
      </c>
      <c r="I101">
        <v>1.1880999999999999</v>
      </c>
      <c r="J101">
        <v>15.6526</v>
      </c>
      <c r="K101">
        <v>0</v>
      </c>
      <c r="L101">
        <v>19.517199999999999</v>
      </c>
      <c r="M101">
        <v>0</v>
      </c>
    </row>
    <row r="102" spans="1:13" x14ac:dyDescent="0.25">
      <c r="A102" t="s">
        <v>14</v>
      </c>
      <c r="B102" t="s">
        <v>8</v>
      </c>
      <c r="C102">
        <v>7</v>
      </c>
      <c r="D102">
        <v>1.0000000000000001E-5</v>
      </c>
      <c r="E102">
        <v>1E-4</v>
      </c>
      <c r="F102" t="str">
        <f t="shared" si="1"/>
        <v>castle256_blurkernel7_7_0,00001_0,0001</v>
      </c>
      <c r="G102">
        <v>25.966497</v>
      </c>
      <c r="H102">
        <v>8.3118859999999994</v>
      </c>
      <c r="I102">
        <v>25.4132</v>
      </c>
      <c r="J102">
        <v>10.926</v>
      </c>
      <c r="K102">
        <v>0</v>
      </c>
      <c r="L102">
        <v>26.890999999999998</v>
      </c>
      <c r="M102">
        <v>0</v>
      </c>
    </row>
    <row r="103" spans="1:13" x14ac:dyDescent="0.25">
      <c r="A103" t="s">
        <v>14</v>
      </c>
      <c r="B103" t="s">
        <v>8</v>
      </c>
      <c r="C103">
        <v>7</v>
      </c>
      <c r="D103">
        <v>1.0000000000000001E-5</v>
      </c>
      <c r="E103">
        <v>1E-3</v>
      </c>
      <c r="F103" t="str">
        <f t="shared" si="1"/>
        <v>castle256_blurkernel7_7_0,00001_0,001</v>
      </c>
      <c r="G103">
        <v>15.133015</v>
      </c>
      <c r="H103">
        <v>8.0042270000000002</v>
      </c>
      <c r="I103">
        <v>15.5199</v>
      </c>
      <c r="J103">
        <v>10.926</v>
      </c>
      <c r="K103">
        <v>0</v>
      </c>
      <c r="L103">
        <v>19.748899999999999</v>
      </c>
      <c r="M103">
        <v>0</v>
      </c>
    </row>
    <row r="104" spans="1:13" x14ac:dyDescent="0.25">
      <c r="A104" t="s">
        <v>14</v>
      </c>
      <c r="B104" t="s">
        <v>8</v>
      </c>
      <c r="C104">
        <v>7</v>
      </c>
      <c r="D104">
        <v>1.0000000000000001E-5</v>
      </c>
      <c r="E104">
        <v>0.01</v>
      </c>
      <c r="F104" t="str">
        <f t="shared" si="1"/>
        <v>castle256_blurkernel7_7_0,00001_0,01</v>
      </c>
      <c r="G104">
        <v>11.638774</v>
      </c>
      <c r="H104">
        <v>8.0509070000000005</v>
      </c>
      <c r="I104">
        <v>6.48</v>
      </c>
      <c r="J104">
        <v>10.926</v>
      </c>
      <c r="K104">
        <v>0</v>
      </c>
      <c r="L104">
        <v>14.944699999999999</v>
      </c>
      <c r="M104">
        <v>0</v>
      </c>
    </row>
    <row r="105" spans="1:13" x14ac:dyDescent="0.25">
      <c r="A105" t="s">
        <v>14</v>
      </c>
      <c r="B105" t="s">
        <v>8</v>
      </c>
      <c r="C105">
        <v>7</v>
      </c>
      <c r="D105">
        <v>1.0000000000000001E-5</v>
      </c>
      <c r="E105">
        <v>0.1</v>
      </c>
      <c r="F105" t="str">
        <f t="shared" si="1"/>
        <v>castle256_blurkernel7_7_0,00001_0,1</v>
      </c>
      <c r="G105">
        <v>9.3599739999999994</v>
      </c>
      <c r="H105">
        <v>8.1039429999999992</v>
      </c>
      <c r="I105">
        <v>1.2005999999999999</v>
      </c>
      <c r="J105">
        <v>10.926</v>
      </c>
      <c r="K105">
        <v>0</v>
      </c>
      <c r="L105">
        <v>8.8780000000000001</v>
      </c>
      <c r="M105">
        <v>0</v>
      </c>
    </row>
    <row r="106" spans="1:13" x14ac:dyDescent="0.25">
      <c r="A106" t="s">
        <v>14</v>
      </c>
      <c r="B106" t="s">
        <v>9</v>
      </c>
      <c r="C106">
        <v>3</v>
      </c>
      <c r="D106">
        <v>1.0000000000000001E-5</v>
      </c>
      <c r="E106">
        <v>1E-4</v>
      </c>
      <c r="F106" t="str">
        <f t="shared" si="1"/>
        <v>castle256_blurkernel8_3_0,00001_0,0001</v>
      </c>
      <c r="G106">
        <v>37.067048999999997</v>
      </c>
      <c r="H106">
        <v>3.1226699999999998</v>
      </c>
      <c r="I106">
        <v>25.386700000000001</v>
      </c>
      <c r="J106">
        <v>15.3057</v>
      </c>
      <c r="K106">
        <v>0</v>
      </c>
      <c r="L106">
        <v>28.631799999999998</v>
      </c>
      <c r="M106">
        <v>0</v>
      </c>
    </row>
    <row r="107" spans="1:13" x14ac:dyDescent="0.25">
      <c r="A107" t="s">
        <v>14</v>
      </c>
      <c r="B107" t="s">
        <v>9</v>
      </c>
      <c r="C107">
        <v>3</v>
      </c>
      <c r="D107">
        <v>1.0000000000000001E-5</v>
      </c>
      <c r="E107">
        <v>1E-3</v>
      </c>
      <c r="F107" t="str">
        <f t="shared" si="1"/>
        <v>castle256_blurkernel8_3_0,00001_0,001</v>
      </c>
      <c r="G107">
        <v>27.622436</v>
      </c>
      <c r="H107">
        <v>3.0999949999999998</v>
      </c>
      <c r="I107">
        <v>15.498900000000001</v>
      </c>
      <c r="J107">
        <v>15.3057</v>
      </c>
      <c r="K107">
        <v>0</v>
      </c>
      <c r="L107">
        <v>22.992100000000001</v>
      </c>
      <c r="M107">
        <v>0</v>
      </c>
    </row>
    <row r="108" spans="1:13" x14ac:dyDescent="0.25">
      <c r="A108" t="s">
        <v>14</v>
      </c>
      <c r="B108" t="s">
        <v>9</v>
      </c>
      <c r="C108">
        <v>3</v>
      </c>
      <c r="D108">
        <v>1.0000000000000001E-5</v>
      </c>
      <c r="E108">
        <v>0.01</v>
      </c>
      <c r="F108" t="str">
        <f t="shared" si="1"/>
        <v>castle256_blurkernel8_3_0,00001_0,01</v>
      </c>
      <c r="G108">
        <v>23.100677999999998</v>
      </c>
      <c r="H108">
        <v>3.193505</v>
      </c>
      <c r="I108">
        <v>6.4897999999999998</v>
      </c>
      <c r="J108">
        <v>15.3057</v>
      </c>
      <c r="K108">
        <v>0</v>
      </c>
      <c r="L108">
        <v>22.394500000000001</v>
      </c>
      <c r="M108">
        <v>0</v>
      </c>
    </row>
    <row r="109" spans="1:13" x14ac:dyDescent="0.25">
      <c r="A109" t="s">
        <v>14</v>
      </c>
      <c r="B109" t="s">
        <v>9</v>
      </c>
      <c r="C109">
        <v>3</v>
      </c>
      <c r="D109">
        <v>1.0000000000000001E-5</v>
      </c>
      <c r="E109">
        <v>0.1</v>
      </c>
      <c r="F109" t="str">
        <f t="shared" si="1"/>
        <v>castle256_blurkernel8_3_0,00001_0,1</v>
      </c>
      <c r="G109">
        <v>20.65005</v>
      </c>
      <c r="H109">
        <v>3.224253</v>
      </c>
      <c r="I109">
        <v>1.2168000000000001</v>
      </c>
      <c r="J109">
        <v>15.3057</v>
      </c>
      <c r="K109">
        <v>0</v>
      </c>
      <c r="L109">
        <v>19.062799999999999</v>
      </c>
      <c r="M109">
        <v>0</v>
      </c>
    </row>
    <row r="110" spans="1:13" x14ac:dyDescent="0.25">
      <c r="A110" t="s">
        <v>14</v>
      </c>
      <c r="B110" t="s">
        <v>9</v>
      </c>
      <c r="C110">
        <v>7</v>
      </c>
      <c r="D110">
        <v>1.0000000000000001E-5</v>
      </c>
      <c r="E110">
        <v>1E-4</v>
      </c>
      <c r="F110" t="str">
        <f t="shared" si="1"/>
        <v>castle256_blurkernel8_7_0,00001_0,0001</v>
      </c>
      <c r="G110">
        <v>27.084837</v>
      </c>
      <c r="H110">
        <v>8.2125029999999999</v>
      </c>
      <c r="I110">
        <v>25.412600000000001</v>
      </c>
      <c r="J110">
        <v>10.7347</v>
      </c>
      <c r="K110">
        <v>0</v>
      </c>
      <c r="L110">
        <v>27.268799999999999</v>
      </c>
      <c r="M110">
        <v>0</v>
      </c>
    </row>
    <row r="111" spans="1:13" x14ac:dyDescent="0.25">
      <c r="A111" t="s">
        <v>14</v>
      </c>
      <c r="B111" t="s">
        <v>9</v>
      </c>
      <c r="C111">
        <v>7</v>
      </c>
      <c r="D111">
        <v>1.0000000000000001E-5</v>
      </c>
      <c r="E111">
        <v>1E-3</v>
      </c>
      <c r="F111" t="str">
        <f t="shared" si="1"/>
        <v>castle256_blurkernel8_7_0,00001_0,001</v>
      </c>
      <c r="G111">
        <v>16.057289000000001</v>
      </c>
      <c r="H111">
        <v>7.9580460000000004</v>
      </c>
      <c r="I111">
        <v>15.504799999999999</v>
      </c>
      <c r="J111">
        <v>10.7347</v>
      </c>
      <c r="K111">
        <v>0</v>
      </c>
      <c r="L111">
        <v>20.336400000000001</v>
      </c>
      <c r="M111">
        <v>0</v>
      </c>
    </row>
    <row r="112" spans="1:13" x14ac:dyDescent="0.25">
      <c r="A112" t="s">
        <v>14</v>
      </c>
      <c r="B112" t="s">
        <v>9</v>
      </c>
      <c r="C112">
        <v>7</v>
      </c>
      <c r="D112">
        <v>1.0000000000000001E-5</v>
      </c>
      <c r="E112">
        <v>0.01</v>
      </c>
      <c r="F112" t="str">
        <f t="shared" si="1"/>
        <v>castle256_blurkernel8_7_0,00001_0,01</v>
      </c>
      <c r="G112">
        <v>11.681061</v>
      </c>
      <c r="H112">
        <v>8.0507120000000008</v>
      </c>
      <c r="I112">
        <v>6.4551999999999996</v>
      </c>
      <c r="J112">
        <v>10.7347</v>
      </c>
      <c r="K112">
        <v>0</v>
      </c>
      <c r="L112">
        <v>17.139199999999999</v>
      </c>
      <c r="M112">
        <v>0</v>
      </c>
    </row>
    <row r="113" spans="1:13" x14ac:dyDescent="0.25">
      <c r="A113" t="s">
        <v>14</v>
      </c>
      <c r="B113" t="s">
        <v>9</v>
      </c>
      <c r="C113">
        <v>7</v>
      </c>
      <c r="D113">
        <v>1.0000000000000001E-5</v>
      </c>
      <c r="E113">
        <v>0.1</v>
      </c>
      <c r="F113" t="str">
        <f t="shared" si="1"/>
        <v>castle256_blurkernel8_7_0,00001_0,1</v>
      </c>
      <c r="G113">
        <v>9.3741500000000002</v>
      </c>
      <c r="H113">
        <v>8.1051409999999997</v>
      </c>
      <c r="I113">
        <v>1.1962999999999999</v>
      </c>
      <c r="J113">
        <v>10.7347</v>
      </c>
      <c r="K113">
        <v>0</v>
      </c>
      <c r="L113">
        <v>8.3667999999999996</v>
      </c>
      <c r="M113">
        <v>0</v>
      </c>
    </row>
    <row r="114" spans="1:13" x14ac:dyDescent="0.25">
      <c r="A114" t="s">
        <v>14</v>
      </c>
      <c r="B114" t="s">
        <v>10</v>
      </c>
      <c r="C114">
        <v>3</v>
      </c>
      <c r="D114">
        <v>1.0000000000000001E-5</v>
      </c>
      <c r="E114">
        <v>1E-4</v>
      </c>
      <c r="F114" t="str">
        <f t="shared" si="1"/>
        <v>castle256_line_3_0,00001_0,0001</v>
      </c>
      <c r="G114">
        <v>42.272851000000003</v>
      </c>
      <c r="H114">
        <v>2.9035700000000002</v>
      </c>
      <c r="I114">
        <v>25.404699999999998</v>
      </c>
      <c r="J114">
        <v>13.130800000000001</v>
      </c>
      <c r="K114">
        <v>0</v>
      </c>
      <c r="L114">
        <v>28.665299999999998</v>
      </c>
      <c r="M114">
        <v>0</v>
      </c>
    </row>
    <row r="115" spans="1:13" x14ac:dyDescent="0.25">
      <c r="A115" t="s">
        <v>14</v>
      </c>
      <c r="B115" t="s">
        <v>10</v>
      </c>
      <c r="C115">
        <v>3</v>
      </c>
      <c r="D115">
        <v>1.0000000000000001E-5</v>
      </c>
      <c r="E115">
        <v>1E-3</v>
      </c>
      <c r="F115" t="str">
        <f t="shared" si="1"/>
        <v>castle256_line_3_0,00001_0,001</v>
      </c>
      <c r="G115">
        <v>28.814388999999998</v>
      </c>
      <c r="H115">
        <v>3.0586920000000002</v>
      </c>
      <c r="I115">
        <v>15.499700000000001</v>
      </c>
      <c r="J115">
        <v>13.130800000000001</v>
      </c>
      <c r="K115">
        <v>0</v>
      </c>
      <c r="L115">
        <v>23.058599999999998</v>
      </c>
      <c r="M115">
        <v>0</v>
      </c>
    </row>
    <row r="116" spans="1:13" x14ac:dyDescent="0.25">
      <c r="A116" t="s">
        <v>14</v>
      </c>
      <c r="B116" t="s">
        <v>10</v>
      </c>
      <c r="C116">
        <v>3</v>
      </c>
      <c r="D116">
        <v>1.0000000000000001E-5</v>
      </c>
      <c r="E116">
        <v>0.01</v>
      </c>
      <c r="F116" t="str">
        <f t="shared" si="1"/>
        <v>castle256_line_3_0,00001_0,01</v>
      </c>
      <c r="G116">
        <v>22.766211999999999</v>
      </c>
      <c r="H116">
        <v>3.2</v>
      </c>
      <c r="I116">
        <v>6.4393000000000002</v>
      </c>
      <c r="J116">
        <v>13.130800000000001</v>
      </c>
      <c r="K116">
        <v>0</v>
      </c>
      <c r="L116">
        <v>21.122699999999998</v>
      </c>
      <c r="M116">
        <v>0</v>
      </c>
    </row>
    <row r="117" spans="1:13" x14ac:dyDescent="0.25">
      <c r="A117" t="s">
        <v>14</v>
      </c>
      <c r="B117" t="s">
        <v>10</v>
      </c>
      <c r="C117">
        <v>3</v>
      </c>
      <c r="D117">
        <v>1.0000000000000001E-5</v>
      </c>
      <c r="E117">
        <v>0.1</v>
      </c>
      <c r="F117" t="str">
        <f t="shared" si="1"/>
        <v>castle256_line_3_0,00001_0,1</v>
      </c>
      <c r="G117">
        <v>20.457540000000002</v>
      </c>
      <c r="H117">
        <v>3.2252930000000002</v>
      </c>
      <c r="I117">
        <v>1.1901999999999999</v>
      </c>
      <c r="J117">
        <v>13.130800000000001</v>
      </c>
      <c r="K117">
        <v>0</v>
      </c>
      <c r="L117">
        <v>16.5763</v>
      </c>
      <c r="M117">
        <v>0</v>
      </c>
    </row>
    <row r="118" spans="1:13" x14ac:dyDescent="0.25">
      <c r="A118" t="s">
        <v>14</v>
      </c>
      <c r="B118" t="s">
        <v>10</v>
      </c>
      <c r="C118">
        <v>7</v>
      </c>
      <c r="D118">
        <v>1.0000000000000001E-5</v>
      </c>
      <c r="E118">
        <v>1E-4</v>
      </c>
      <c r="F118" t="str">
        <f t="shared" si="1"/>
        <v>castle256_line_7_0,00001_0,0001</v>
      </c>
      <c r="G118">
        <v>31.921167000000001</v>
      </c>
      <c r="H118">
        <v>7.7503690000000001</v>
      </c>
      <c r="I118">
        <v>25.389600000000002</v>
      </c>
      <c r="J118">
        <v>9.6595999999999993</v>
      </c>
      <c r="K118">
        <v>0</v>
      </c>
      <c r="L118">
        <v>27.1999</v>
      </c>
      <c r="M118">
        <v>0</v>
      </c>
    </row>
    <row r="119" spans="1:13" x14ac:dyDescent="0.25">
      <c r="A119" t="s">
        <v>14</v>
      </c>
      <c r="B119" t="s">
        <v>10</v>
      </c>
      <c r="C119">
        <v>7</v>
      </c>
      <c r="D119">
        <v>1.0000000000000001E-5</v>
      </c>
      <c r="E119">
        <v>1E-3</v>
      </c>
      <c r="F119" t="str">
        <f t="shared" si="1"/>
        <v>castle256_line_7_0,00001_0,001</v>
      </c>
      <c r="G119">
        <v>18.704325999999998</v>
      </c>
      <c r="H119">
        <v>7.7958889999999998</v>
      </c>
      <c r="I119">
        <v>15.51</v>
      </c>
      <c r="J119">
        <v>9.6595999999999993</v>
      </c>
      <c r="K119">
        <v>0</v>
      </c>
      <c r="L119">
        <v>20.8965</v>
      </c>
      <c r="M119">
        <v>0</v>
      </c>
    </row>
    <row r="120" spans="1:13" x14ac:dyDescent="0.25">
      <c r="A120" t="s">
        <v>14</v>
      </c>
      <c r="B120" t="s">
        <v>10</v>
      </c>
      <c r="C120">
        <v>7</v>
      </c>
      <c r="D120">
        <v>1.0000000000000001E-5</v>
      </c>
      <c r="E120">
        <v>0.01</v>
      </c>
      <c r="F120" t="str">
        <f t="shared" si="1"/>
        <v>castle256_line_7_0,00001_0,01</v>
      </c>
      <c r="G120">
        <v>11.920237</v>
      </c>
      <c r="H120">
        <v>8.0263580000000001</v>
      </c>
      <c r="I120">
        <v>6.4706999999999999</v>
      </c>
      <c r="J120">
        <v>9.6595999999999993</v>
      </c>
      <c r="K120">
        <v>0</v>
      </c>
      <c r="L120">
        <v>14.956099999999999</v>
      </c>
      <c r="M120">
        <v>0</v>
      </c>
    </row>
    <row r="121" spans="1:13" x14ac:dyDescent="0.25">
      <c r="A121" t="s">
        <v>14</v>
      </c>
      <c r="B121" t="s">
        <v>10</v>
      </c>
      <c r="C121">
        <v>7</v>
      </c>
      <c r="D121">
        <v>1.0000000000000001E-5</v>
      </c>
      <c r="E121">
        <v>0.1</v>
      </c>
      <c r="F121" t="str">
        <f t="shared" si="1"/>
        <v>castle256_line_7_0,00001_0,1</v>
      </c>
      <c r="G121">
        <v>9.2020330000000001</v>
      </c>
      <c r="H121">
        <v>8.0959620000000001</v>
      </c>
      <c r="I121">
        <v>1.1726000000000001</v>
      </c>
      <c r="J121">
        <v>9.6595999999999993</v>
      </c>
      <c r="K121">
        <v>0</v>
      </c>
      <c r="L121">
        <v>9.2683999999999997</v>
      </c>
      <c r="M121">
        <v>0</v>
      </c>
    </row>
    <row r="122" spans="1:13" x14ac:dyDescent="0.25">
      <c r="A122" t="s">
        <v>14</v>
      </c>
      <c r="B122" t="s">
        <v>11</v>
      </c>
      <c r="C122">
        <v>3</v>
      </c>
      <c r="D122">
        <v>1.0000000000000001E-5</v>
      </c>
      <c r="E122">
        <v>1E-4</v>
      </c>
      <c r="F122" t="str">
        <f t="shared" si="1"/>
        <v>castle256_blurkernel10_3_0,00001_0,0001</v>
      </c>
      <c r="G122">
        <v>35.577784000000001</v>
      </c>
      <c r="H122">
        <v>3.1830029999999998</v>
      </c>
      <c r="I122">
        <v>25.421299999999999</v>
      </c>
      <c r="J122">
        <v>14.464700000000001</v>
      </c>
      <c r="K122">
        <v>0</v>
      </c>
      <c r="L122">
        <v>28.227699999999999</v>
      </c>
      <c r="M122">
        <v>0</v>
      </c>
    </row>
    <row r="123" spans="1:13" x14ac:dyDescent="0.25">
      <c r="A123" t="s">
        <v>14</v>
      </c>
      <c r="B123" t="s">
        <v>11</v>
      </c>
      <c r="C123">
        <v>3</v>
      </c>
      <c r="D123">
        <v>1.0000000000000001E-5</v>
      </c>
      <c r="E123">
        <v>1E-3</v>
      </c>
      <c r="F123" t="str">
        <f t="shared" si="1"/>
        <v>castle256_blurkernel10_3_0,00001_0,001</v>
      </c>
      <c r="G123">
        <v>26.641895999999999</v>
      </c>
      <c r="H123">
        <v>3.1291020000000001</v>
      </c>
      <c r="I123">
        <v>15.5031</v>
      </c>
      <c r="J123">
        <v>14.464700000000001</v>
      </c>
      <c r="K123">
        <v>0</v>
      </c>
      <c r="L123">
        <v>22.192799999999998</v>
      </c>
      <c r="M123">
        <v>0</v>
      </c>
    </row>
    <row r="124" spans="1:13" x14ac:dyDescent="0.25">
      <c r="A124" t="s">
        <v>14</v>
      </c>
      <c r="B124" t="s">
        <v>11</v>
      </c>
      <c r="C124">
        <v>3</v>
      </c>
      <c r="D124">
        <v>1.0000000000000001E-5</v>
      </c>
      <c r="E124">
        <v>0.01</v>
      </c>
      <c r="F124" t="str">
        <f t="shared" si="1"/>
        <v>castle256_blurkernel10_3_0,00001_0,01</v>
      </c>
      <c r="G124">
        <v>22.850823999999999</v>
      </c>
      <c r="H124">
        <v>3.197905</v>
      </c>
      <c r="I124">
        <v>6.4832999999999998</v>
      </c>
      <c r="J124">
        <v>14.464700000000001</v>
      </c>
      <c r="K124">
        <v>0</v>
      </c>
      <c r="L124">
        <v>20.647300000000001</v>
      </c>
      <c r="M124">
        <v>0</v>
      </c>
    </row>
    <row r="125" spans="1:13" x14ac:dyDescent="0.25">
      <c r="A125" t="s">
        <v>14</v>
      </c>
      <c r="B125" t="s">
        <v>11</v>
      </c>
      <c r="C125">
        <v>3</v>
      </c>
      <c r="D125">
        <v>1.0000000000000001E-5</v>
      </c>
      <c r="E125">
        <v>0.1</v>
      </c>
      <c r="F125" t="str">
        <f t="shared" si="1"/>
        <v>castle256_blurkernel10_3_0,00001_0,1</v>
      </c>
      <c r="G125">
        <v>20.699269999999999</v>
      </c>
      <c r="H125">
        <v>3.2205240000000002</v>
      </c>
      <c r="I125">
        <v>1.1718</v>
      </c>
      <c r="J125">
        <v>14.464700000000001</v>
      </c>
      <c r="K125">
        <v>0</v>
      </c>
      <c r="L125">
        <v>18.112300000000001</v>
      </c>
      <c r="M125">
        <v>0</v>
      </c>
    </row>
    <row r="126" spans="1:13" x14ac:dyDescent="0.25">
      <c r="A126" t="s">
        <v>14</v>
      </c>
      <c r="B126" t="s">
        <v>11</v>
      </c>
      <c r="C126">
        <v>7</v>
      </c>
      <c r="D126">
        <v>1.0000000000000001E-5</v>
      </c>
      <c r="E126">
        <v>1E-4</v>
      </c>
      <c r="F126" t="str">
        <f t="shared" si="1"/>
        <v>castle256_blurkernel10_7_0,00001_0,0001</v>
      </c>
      <c r="G126">
        <v>26.285416000000001</v>
      </c>
      <c r="H126">
        <v>8.2755379999999992</v>
      </c>
      <c r="I126">
        <v>25.3855</v>
      </c>
      <c r="J126">
        <v>10.2851</v>
      </c>
      <c r="K126">
        <v>0</v>
      </c>
      <c r="L126">
        <v>27.1252</v>
      </c>
      <c r="M126">
        <v>0</v>
      </c>
    </row>
    <row r="127" spans="1:13" x14ac:dyDescent="0.25">
      <c r="A127" t="s">
        <v>14</v>
      </c>
      <c r="B127" t="s">
        <v>11</v>
      </c>
      <c r="C127">
        <v>7</v>
      </c>
      <c r="D127">
        <v>1.0000000000000001E-5</v>
      </c>
      <c r="E127">
        <v>1E-3</v>
      </c>
      <c r="F127" t="str">
        <f t="shared" si="1"/>
        <v>castle256_blurkernel10_7_0,00001_0,001</v>
      </c>
      <c r="G127">
        <v>15.427068</v>
      </c>
      <c r="H127">
        <v>7.9800310000000003</v>
      </c>
      <c r="I127">
        <v>15.5067</v>
      </c>
      <c r="J127">
        <v>10.2851</v>
      </c>
      <c r="K127">
        <v>0</v>
      </c>
      <c r="L127">
        <v>20.556100000000001</v>
      </c>
      <c r="M127">
        <v>0</v>
      </c>
    </row>
    <row r="128" spans="1:13" x14ac:dyDescent="0.25">
      <c r="A128" t="s">
        <v>14</v>
      </c>
      <c r="B128" t="s">
        <v>11</v>
      </c>
      <c r="C128">
        <v>7</v>
      </c>
      <c r="D128">
        <v>1.0000000000000001E-5</v>
      </c>
      <c r="E128">
        <v>0.01</v>
      </c>
      <c r="F128" t="str">
        <f t="shared" si="1"/>
        <v>castle256_blurkernel10_7_0,00001_0,01</v>
      </c>
      <c r="G128">
        <v>11.486419</v>
      </c>
      <c r="H128">
        <v>8.0470570000000006</v>
      </c>
      <c r="I128">
        <v>6.4566999999999997</v>
      </c>
      <c r="J128">
        <v>10.2851</v>
      </c>
      <c r="K128">
        <v>0</v>
      </c>
      <c r="L128">
        <v>16.397500000000001</v>
      </c>
      <c r="M128">
        <v>0</v>
      </c>
    </row>
    <row r="129" spans="1:13" x14ac:dyDescent="0.25">
      <c r="A129" t="s">
        <v>14</v>
      </c>
      <c r="B129" t="s">
        <v>11</v>
      </c>
      <c r="C129">
        <v>7</v>
      </c>
      <c r="D129">
        <v>1.0000000000000001E-5</v>
      </c>
      <c r="E129">
        <v>0.1</v>
      </c>
      <c r="F129" t="str">
        <f t="shared" si="1"/>
        <v>castle256_blurkernel10_7_0,00001_0,1</v>
      </c>
      <c r="G129">
        <v>9.2765900000000006</v>
      </c>
      <c r="H129">
        <v>8.0969610000000003</v>
      </c>
      <c r="I129">
        <v>1.2077</v>
      </c>
      <c r="J129">
        <v>10.2851</v>
      </c>
      <c r="K129">
        <v>0</v>
      </c>
      <c r="L129">
        <v>9.7029999999999994</v>
      </c>
      <c r="M129">
        <v>0</v>
      </c>
    </row>
    <row r="130" spans="1:13" x14ac:dyDescent="0.25">
      <c r="A130" t="s">
        <v>7</v>
      </c>
      <c r="B130" t="s">
        <v>8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lena256_blurkernel7_15_0,00001_0,0001</v>
      </c>
      <c r="G130">
        <v>21.302917999999998</v>
      </c>
      <c r="H130">
        <v>19.724388999999999</v>
      </c>
      <c r="I130">
        <v>25.3766</v>
      </c>
      <c r="J130">
        <v>8.2113999999999994</v>
      </c>
      <c r="K130">
        <v>0</v>
      </c>
      <c r="L130">
        <v>26.959299999999999</v>
      </c>
      <c r="M130">
        <v>0</v>
      </c>
    </row>
    <row r="131" spans="1:13" x14ac:dyDescent="0.25">
      <c r="A131" t="s">
        <v>7</v>
      </c>
      <c r="B131" t="s">
        <v>8</v>
      </c>
      <c r="C131">
        <v>15</v>
      </c>
      <c r="D131">
        <v>1.0000000000000001E-5</v>
      </c>
      <c r="E131">
        <v>1E-3</v>
      </c>
      <c r="F131" t="str">
        <f t="shared" si="2"/>
        <v>lena256_blurkernel7_15_0,00001_0,001</v>
      </c>
      <c r="G131">
        <v>9.2041240000000002</v>
      </c>
      <c r="H131">
        <v>18.917470999999999</v>
      </c>
      <c r="I131">
        <v>15.540900000000001</v>
      </c>
      <c r="J131">
        <v>8.2113999999999994</v>
      </c>
      <c r="K131">
        <v>0</v>
      </c>
      <c r="L131">
        <v>20.640499999999999</v>
      </c>
      <c r="M131">
        <v>0</v>
      </c>
    </row>
    <row r="132" spans="1:13" x14ac:dyDescent="0.25">
      <c r="A132" t="s">
        <v>7</v>
      </c>
      <c r="B132" t="s">
        <v>8</v>
      </c>
      <c r="C132">
        <v>15</v>
      </c>
      <c r="D132">
        <v>1.0000000000000001E-5</v>
      </c>
      <c r="E132">
        <v>0.01</v>
      </c>
      <c r="F132" t="str">
        <f t="shared" si="2"/>
        <v>lena256_blurkernel7_15_0,00001_0,01</v>
      </c>
      <c r="G132">
        <v>6.1624420000000004</v>
      </c>
      <c r="H132">
        <v>18.878160999999999</v>
      </c>
      <c r="I132">
        <v>6.5255999999999998</v>
      </c>
      <c r="J132">
        <v>8.2113999999999994</v>
      </c>
      <c r="K132">
        <v>0</v>
      </c>
      <c r="L132">
        <v>17.5151</v>
      </c>
      <c r="M132">
        <v>0</v>
      </c>
    </row>
    <row r="133" spans="1:13" x14ac:dyDescent="0.25">
      <c r="A133" t="s">
        <v>7</v>
      </c>
      <c r="B133" t="s">
        <v>8</v>
      </c>
      <c r="C133">
        <v>15</v>
      </c>
      <c r="D133">
        <v>1.0000000000000001E-5</v>
      </c>
      <c r="E133">
        <v>0.1</v>
      </c>
      <c r="F133" t="str">
        <f t="shared" si="2"/>
        <v>lena256_blurkernel7_15_0,00001_0,1</v>
      </c>
      <c r="G133">
        <v>5.1002859999999997</v>
      </c>
      <c r="H133">
        <v>18.896519999999999</v>
      </c>
      <c r="I133">
        <v>1.2517</v>
      </c>
      <c r="J133">
        <v>8.2113999999999994</v>
      </c>
      <c r="K133">
        <v>0</v>
      </c>
      <c r="L133">
        <v>11.1317</v>
      </c>
      <c r="M133">
        <v>0</v>
      </c>
    </row>
    <row r="134" spans="1:13" x14ac:dyDescent="0.25">
      <c r="A134" t="s">
        <v>7</v>
      </c>
      <c r="B134" t="s">
        <v>9</v>
      </c>
      <c r="C134">
        <v>15</v>
      </c>
      <c r="D134">
        <v>1.0000000000000001E-5</v>
      </c>
      <c r="E134">
        <v>1E-4</v>
      </c>
      <c r="F134" t="str">
        <f t="shared" si="2"/>
        <v>lena256_blurkernel8_15_0,00001_0,0001</v>
      </c>
      <c r="G134">
        <v>21.969874999999998</v>
      </c>
      <c r="H134">
        <v>19.605080000000001</v>
      </c>
      <c r="I134">
        <v>25.406199999999998</v>
      </c>
      <c r="J134">
        <v>8.2163000000000004</v>
      </c>
      <c r="K134">
        <v>0</v>
      </c>
      <c r="L134">
        <v>27.152100000000001</v>
      </c>
      <c r="M134">
        <v>0</v>
      </c>
    </row>
    <row r="135" spans="1:13" x14ac:dyDescent="0.25">
      <c r="A135" t="s">
        <v>7</v>
      </c>
      <c r="B135" t="s">
        <v>9</v>
      </c>
      <c r="C135">
        <v>15</v>
      </c>
      <c r="D135">
        <v>1.0000000000000001E-5</v>
      </c>
      <c r="E135">
        <v>1E-3</v>
      </c>
      <c r="F135" t="str">
        <f t="shared" si="2"/>
        <v>lena256_blurkernel8_15_0,00001_0,001</v>
      </c>
      <c r="G135">
        <v>10.334087999999999</v>
      </c>
      <c r="H135">
        <v>18.838365</v>
      </c>
      <c r="I135">
        <v>15.547599999999999</v>
      </c>
      <c r="J135">
        <v>8.2163000000000004</v>
      </c>
      <c r="K135">
        <v>0</v>
      </c>
      <c r="L135">
        <v>21.352699999999999</v>
      </c>
      <c r="M135">
        <v>0</v>
      </c>
    </row>
    <row r="136" spans="1:13" x14ac:dyDescent="0.25">
      <c r="A136" t="s">
        <v>7</v>
      </c>
      <c r="B136" t="s">
        <v>9</v>
      </c>
      <c r="C136">
        <v>15</v>
      </c>
      <c r="D136">
        <v>1.0000000000000001E-5</v>
      </c>
      <c r="E136">
        <v>0.01</v>
      </c>
      <c r="F136" t="str">
        <f t="shared" si="2"/>
        <v>lena256_blurkernel8_15_0,00001_0,01</v>
      </c>
      <c r="G136">
        <v>6.8174609999999998</v>
      </c>
      <c r="H136">
        <v>18.862148999999999</v>
      </c>
      <c r="I136">
        <v>6.5229999999999997</v>
      </c>
      <c r="J136">
        <v>8.2163000000000004</v>
      </c>
      <c r="K136">
        <v>0</v>
      </c>
      <c r="L136">
        <v>17.6172</v>
      </c>
      <c r="M136">
        <v>0</v>
      </c>
    </row>
    <row r="137" spans="1:13" x14ac:dyDescent="0.25">
      <c r="A137" t="s">
        <v>7</v>
      </c>
      <c r="B137" t="s">
        <v>9</v>
      </c>
      <c r="C137">
        <v>15</v>
      </c>
      <c r="D137">
        <v>1.0000000000000001E-5</v>
      </c>
      <c r="E137">
        <v>0.1</v>
      </c>
      <c r="F137" t="str">
        <f t="shared" si="2"/>
        <v>lena256_blurkernel8_15_0,00001_0,1</v>
      </c>
      <c r="G137">
        <v>5.325177</v>
      </c>
      <c r="H137">
        <v>18.908894</v>
      </c>
      <c r="I137">
        <v>1.2558</v>
      </c>
      <c r="J137">
        <v>8.2163000000000004</v>
      </c>
      <c r="K137">
        <v>0</v>
      </c>
      <c r="L137">
        <v>10.9245</v>
      </c>
      <c r="M137">
        <v>0</v>
      </c>
    </row>
    <row r="138" spans="1:13" x14ac:dyDescent="0.25">
      <c r="A138" t="s">
        <v>7</v>
      </c>
      <c r="B138" t="s">
        <v>10</v>
      </c>
      <c r="C138">
        <v>15</v>
      </c>
      <c r="D138">
        <v>1.0000000000000001E-5</v>
      </c>
      <c r="E138">
        <v>1E-4</v>
      </c>
      <c r="F138" t="str">
        <f t="shared" si="2"/>
        <v>lena256_line_15_0,00001_0,0001</v>
      </c>
      <c r="G138">
        <v>24.617514</v>
      </c>
      <c r="H138">
        <v>18.926286999999999</v>
      </c>
      <c r="I138">
        <v>25.388500000000001</v>
      </c>
      <c r="J138">
        <v>6.5663</v>
      </c>
      <c r="K138">
        <v>0</v>
      </c>
      <c r="L138">
        <v>27.347200000000001</v>
      </c>
      <c r="M138">
        <v>0</v>
      </c>
    </row>
    <row r="139" spans="1:13" x14ac:dyDescent="0.25">
      <c r="A139" t="s">
        <v>7</v>
      </c>
      <c r="B139" t="s">
        <v>10</v>
      </c>
      <c r="C139">
        <v>15</v>
      </c>
      <c r="D139">
        <v>1.0000000000000001E-5</v>
      </c>
      <c r="E139">
        <v>1E-3</v>
      </c>
      <c r="F139" t="str">
        <f t="shared" si="2"/>
        <v>lena256_line_15_0,00001_0,001</v>
      </c>
      <c r="G139">
        <v>12.183339999999999</v>
      </c>
      <c r="H139">
        <v>18.521283</v>
      </c>
      <c r="I139">
        <v>15.544600000000001</v>
      </c>
      <c r="J139">
        <v>6.5663</v>
      </c>
      <c r="K139">
        <v>0</v>
      </c>
      <c r="L139">
        <v>20.300999999999998</v>
      </c>
      <c r="M139">
        <v>0</v>
      </c>
    </row>
    <row r="140" spans="1:13" x14ac:dyDescent="0.25">
      <c r="A140" t="s">
        <v>7</v>
      </c>
      <c r="B140" t="s">
        <v>10</v>
      </c>
      <c r="C140">
        <v>15</v>
      </c>
      <c r="D140">
        <v>1.0000000000000001E-5</v>
      </c>
      <c r="E140">
        <v>0.01</v>
      </c>
      <c r="F140" t="str">
        <f t="shared" si="2"/>
        <v>lena256_line_15_0,00001_0,01</v>
      </c>
      <c r="G140">
        <v>7.4619239999999998</v>
      </c>
      <c r="H140">
        <v>18.687505999999999</v>
      </c>
      <c r="I140">
        <v>6.5243000000000002</v>
      </c>
      <c r="J140">
        <v>6.5663</v>
      </c>
      <c r="K140">
        <v>0</v>
      </c>
      <c r="L140">
        <v>14.009</v>
      </c>
      <c r="M140">
        <v>0</v>
      </c>
    </row>
    <row r="141" spans="1:13" x14ac:dyDescent="0.25">
      <c r="A141" t="s">
        <v>7</v>
      </c>
      <c r="B141" t="s">
        <v>10</v>
      </c>
      <c r="C141">
        <v>15</v>
      </c>
      <c r="D141">
        <v>1.0000000000000001E-5</v>
      </c>
      <c r="E141">
        <v>0.1</v>
      </c>
      <c r="F141" t="str">
        <f t="shared" si="2"/>
        <v>lena256_line_15_0,00001_0,1</v>
      </c>
      <c r="G141">
        <v>5.0990960000000003</v>
      </c>
      <c r="H141">
        <v>18.789075</v>
      </c>
      <c r="I141">
        <v>1.2659</v>
      </c>
      <c r="J141">
        <v>6.5663</v>
      </c>
      <c r="K141">
        <v>0</v>
      </c>
      <c r="L141">
        <v>8.0343999999999998</v>
      </c>
      <c r="M141">
        <v>0</v>
      </c>
    </row>
    <row r="142" spans="1:13" x14ac:dyDescent="0.25">
      <c r="A142" t="s">
        <v>7</v>
      </c>
      <c r="B142" t="s">
        <v>11</v>
      </c>
      <c r="C142">
        <v>15</v>
      </c>
      <c r="D142">
        <v>1.0000000000000001E-5</v>
      </c>
      <c r="E142">
        <v>1E-4</v>
      </c>
      <c r="F142" t="str">
        <f t="shared" si="2"/>
        <v>lena256_blurkernel10_15_0,00001_0,0001</v>
      </c>
      <c r="G142">
        <v>21.780586</v>
      </c>
      <c r="H142">
        <v>19.654114</v>
      </c>
      <c r="I142">
        <v>25.380099999999999</v>
      </c>
      <c r="J142">
        <v>8.4265000000000008</v>
      </c>
      <c r="K142">
        <v>0</v>
      </c>
      <c r="L142">
        <v>27.075700000000001</v>
      </c>
      <c r="M142">
        <v>0</v>
      </c>
    </row>
    <row r="143" spans="1:13" x14ac:dyDescent="0.25">
      <c r="A143" t="s">
        <v>7</v>
      </c>
      <c r="B143" t="s">
        <v>11</v>
      </c>
      <c r="C143">
        <v>15</v>
      </c>
      <c r="D143">
        <v>1.0000000000000001E-5</v>
      </c>
      <c r="E143">
        <v>1E-3</v>
      </c>
      <c r="F143" t="str">
        <f t="shared" si="2"/>
        <v>lena256_blurkernel10_15_0,00001_0,001</v>
      </c>
      <c r="G143">
        <v>10.06354</v>
      </c>
      <c r="H143">
        <v>18.874655000000001</v>
      </c>
      <c r="I143">
        <v>15.5143</v>
      </c>
      <c r="J143">
        <v>8.4265000000000008</v>
      </c>
      <c r="K143">
        <v>0</v>
      </c>
      <c r="L143">
        <v>21.311499999999999</v>
      </c>
      <c r="M143">
        <v>0</v>
      </c>
    </row>
    <row r="144" spans="1:13" x14ac:dyDescent="0.25">
      <c r="A144" t="s">
        <v>7</v>
      </c>
      <c r="B144" t="s">
        <v>11</v>
      </c>
      <c r="C144">
        <v>15</v>
      </c>
      <c r="D144">
        <v>1.0000000000000001E-5</v>
      </c>
      <c r="E144">
        <v>0.01</v>
      </c>
      <c r="F144" t="str">
        <f t="shared" si="2"/>
        <v>lena256_blurkernel10_15_0,00001_0,01</v>
      </c>
      <c r="G144">
        <v>6.9808669999999999</v>
      </c>
      <c r="H144">
        <v>18.862404000000002</v>
      </c>
      <c r="I144">
        <v>6.5038999999999998</v>
      </c>
      <c r="J144">
        <v>8.4265000000000008</v>
      </c>
      <c r="K144">
        <v>0</v>
      </c>
      <c r="L144">
        <v>17.9529</v>
      </c>
      <c r="M144">
        <v>0</v>
      </c>
    </row>
    <row r="145" spans="1:13" x14ac:dyDescent="0.25">
      <c r="A145" t="s">
        <v>7</v>
      </c>
      <c r="B145" t="s">
        <v>11</v>
      </c>
      <c r="C145">
        <v>15</v>
      </c>
      <c r="D145">
        <v>1.0000000000000001E-5</v>
      </c>
      <c r="E145">
        <v>0.1</v>
      </c>
      <c r="F145" t="str">
        <f t="shared" si="2"/>
        <v>lena256_blurkernel10_15_0,00001_0,1</v>
      </c>
      <c r="G145">
        <v>5.699497</v>
      </c>
      <c r="H145">
        <v>18.898703000000001</v>
      </c>
      <c r="I145">
        <v>1.2674000000000001</v>
      </c>
      <c r="J145">
        <v>8.4265000000000008</v>
      </c>
      <c r="K145">
        <v>0</v>
      </c>
      <c r="L145">
        <v>13.1046</v>
      </c>
      <c r="M145">
        <v>0</v>
      </c>
    </row>
    <row r="146" spans="1:13" x14ac:dyDescent="0.25">
      <c r="A146" t="s">
        <v>12</v>
      </c>
      <c r="B146" t="s">
        <v>8</v>
      </c>
      <c r="C146">
        <v>15</v>
      </c>
      <c r="D146">
        <v>1.0000000000000001E-5</v>
      </c>
      <c r="E146">
        <v>1E-4</v>
      </c>
      <c r="F146" t="str">
        <f t="shared" si="2"/>
        <v>tree256_blurkernel7_15_0,00001_0,0001</v>
      </c>
      <c r="G146">
        <v>22.503813999999998</v>
      </c>
      <c r="H146">
        <v>18.571337</v>
      </c>
      <c r="I146">
        <v>25.639099999999999</v>
      </c>
      <c r="J146">
        <v>3.9237000000000002</v>
      </c>
      <c r="K146">
        <v>0</v>
      </c>
      <c r="L146">
        <v>24.794699999999999</v>
      </c>
      <c r="M146">
        <v>0</v>
      </c>
    </row>
    <row r="147" spans="1:13" x14ac:dyDescent="0.25">
      <c r="A147" t="s">
        <v>12</v>
      </c>
      <c r="B147" t="s">
        <v>8</v>
      </c>
      <c r="C147">
        <v>15</v>
      </c>
      <c r="D147">
        <v>1.0000000000000001E-5</v>
      </c>
      <c r="E147">
        <v>1E-3</v>
      </c>
      <c r="F147" t="str">
        <f t="shared" si="2"/>
        <v>tree256_blurkernel7_15_0,00001_0,001</v>
      </c>
      <c r="G147">
        <v>10.112631</v>
      </c>
      <c r="H147">
        <v>17.763186000000001</v>
      </c>
      <c r="I147">
        <v>15.7415</v>
      </c>
      <c r="J147">
        <v>3.9237000000000002</v>
      </c>
      <c r="K147">
        <v>0</v>
      </c>
      <c r="L147">
        <v>16.386199999999999</v>
      </c>
      <c r="M147">
        <v>0</v>
      </c>
    </row>
    <row r="148" spans="1:13" x14ac:dyDescent="0.25">
      <c r="A148" t="s">
        <v>12</v>
      </c>
      <c r="B148" t="s">
        <v>8</v>
      </c>
      <c r="C148">
        <v>15</v>
      </c>
      <c r="D148">
        <v>1.0000000000000001E-5</v>
      </c>
      <c r="E148">
        <v>0.01</v>
      </c>
      <c r="F148" t="str">
        <f t="shared" si="2"/>
        <v>tree256_blurkernel7_15_0,00001_0,01</v>
      </c>
      <c r="G148">
        <v>7.0511889999999999</v>
      </c>
      <c r="H148">
        <v>17.725826999999999</v>
      </c>
      <c r="I148">
        <v>6.63</v>
      </c>
      <c r="J148">
        <v>3.9237000000000002</v>
      </c>
      <c r="K148">
        <v>0</v>
      </c>
      <c r="L148">
        <v>11.477499999999999</v>
      </c>
      <c r="M148">
        <v>0</v>
      </c>
    </row>
    <row r="149" spans="1:13" x14ac:dyDescent="0.25">
      <c r="A149" t="s">
        <v>12</v>
      </c>
      <c r="B149" t="s">
        <v>8</v>
      </c>
      <c r="C149">
        <v>15</v>
      </c>
      <c r="D149">
        <v>1.0000000000000001E-5</v>
      </c>
      <c r="E149">
        <v>0.1</v>
      </c>
      <c r="F149" t="str">
        <f t="shared" si="2"/>
        <v>tree256_blurkernel7_15_0,00001_0,1</v>
      </c>
      <c r="G149">
        <v>5.8110860000000004</v>
      </c>
      <c r="H149">
        <v>17.749348000000001</v>
      </c>
      <c r="I149">
        <v>1.2850999999999999</v>
      </c>
      <c r="J149">
        <v>3.9237000000000002</v>
      </c>
      <c r="K149">
        <v>0</v>
      </c>
      <c r="L149">
        <v>7.3704999999999998</v>
      </c>
      <c r="M149">
        <v>0</v>
      </c>
    </row>
    <row r="150" spans="1:13" x14ac:dyDescent="0.25">
      <c r="A150" t="s">
        <v>12</v>
      </c>
      <c r="B150" t="s">
        <v>9</v>
      </c>
      <c r="C150">
        <v>15</v>
      </c>
      <c r="D150">
        <v>1.0000000000000001E-5</v>
      </c>
      <c r="E150">
        <v>1E-4</v>
      </c>
      <c r="F150" t="str">
        <f t="shared" si="2"/>
        <v>tree256_blurkernel8_15_0,00001_0,0001</v>
      </c>
      <c r="G150">
        <v>23.245142999999999</v>
      </c>
      <c r="H150">
        <v>18.44979</v>
      </c>
      <c r="I150">
        <v>25.618500000000001</v>
      </c>
      <c r="J150">
        <v>4.1379999999999999</v>
      </c>
      <c r="K150">
        <v>0</v>
      </c>
      <c r="L150">
        <v>24.718599999999999</v>
      </c>
      <c r="M150">
        <v>0</v>
      </c>
    </row>
    <row r="151" spans="1:13" x14ac:dyDescent="0.25">
      <c r="A151" t="s">
        <v>12</v>
      </c>
      <c r="B151" t="s">
        <v>9</v>
      </c>
      <c r="C151">
        <v>15</v>
      </c>
      <c r="D151">
        <v>1.0000000000000001E-5</v>
      </c>
      <c r="E151">
        <v>1E-3</v>
      </c>
      <c r="F151" t="str">
        <f t="shared" si="2"/>
        <v>tree256_blurkernel8_15_0,00001_0,001</v>
      </c>
      <c r="G151">
        <v>11.571281000000001</v>
      </c>
      <c r="H151">
        <v>17.659464</v>
      </c>
      <c r="I151">
        <v>15.7508</v>
      </c>
      <c r="J151">
        <v>4.1379999999999999</v>
      </c>
      <c r="K151">
        <v>0</v>
      </c>
      <c r="L151">
        <v>16.631599999999999</v>
      </c>
      <c r="M151">
        <v>0</v>
      </c>
    </row>
    <row r="152" spans="1:13" x14ac:dyDescent="0.25">
      <c r="A152" t="s">
        <v>12</v>
      </c>
      <c r="B152" t="s">
        <v>9</v>
      </c>
      <c r="C152">
        <v>15</v>
      </c>
      <c r="D152">
        <v>1.0000000000000001E-5</v>
      </c>
      <c r="E152">
        <v>0.01</v>
      </c>
      <c r="F152" t="str">
        <f t="shared" si="2"/>
        <v>tree256_blurkernel8_15_0,00001_0,01</v>
      </c>
      <c r="G152">
        <v>8.2928069999999998</v>
      </c>
      <c r="H152">
        <v>17.670248999999998</v>
      </c>
      <c r="I152">
        <v>6.6208</v>
      </c>
      <c r="J152">
        <v>4.1379999999999999</v>
      </c>
      <c r="K152">
        <v>0</v>
      </c>
      <c r="L152">
        <v>12.403600000000001</v>
      </c>
      <c r="M152">
        <v>0</v>
      </c>
    </row>
    <row r="153" spans="1:13" x14ac:dyDescent="0.25">
      <c r="A153" t="s">
        <v>12</v>
      </c>
      <c r="B153" t="s">
        <v>9</v>
      </c>
      <c r="C153">
        <v>15</v>
      </c>
      <c r="D153">
        <v>1.0000000000000001E-5</v>
      </c>
      <c r="E153">
        <v>0.1</v>
      </c>
      <c r="F153" t="str">
        <f t="shared" si="2"/>
        <v>tree256_blurkernel8_15_0,00001_0,1</v>
      </c>
      <c r="G153">
        <v>6.3521169999999998</v>
      </c>
      <c r="H153">
        <v>17.741949000000002</v>
      </c>
      <c r="I153">
        <v>1.2647999999999999</v>
      </c>
      <c r="J153">
        <v>4.1379999999999999</v>
      </c>
      <c r="K153">
        <v>0</v>
      </c>
      <c r="L153">
        <v>9.7248999999999999</v>
      </c>
      <c r="M153">
        <v>0</v>
      </c>
    </row>
    <row r="154" spans="1:13" x14ac:dyDescent="0.25">
      <c r="A154" t="s">
        <v>12</v>
      </c>
      <c r="B154" t="s">
        <v>10</v>
      </c>
      <c r="C154">
        <v>15</v>
      </c>
      <c r="D154">
        <v>1.0000000000000001E-5</v>
      </c>
      <c r="E154">
        <v>1E-4</v>
      </c>
      <c r="F154" t="str">
        <f t="shared" si="2"/>
        <v>tree256_line_15_0,00001_0,0001</v>
      </c>
      <c r="G154">
        <v>26.788083</v>
      </c>
      <c r="H154">
        <v>17.743539999999999</v>
      </c>
      <c r="I154">
        <v>25.633700000000001</v>
      </c>
      <c r="J154">
        <v>3.2833999999999999</v>
      </c>
      <c r="K154">
        <v>0</v>
      </c>
      <c r="L154">
        <v>24.679099999999998</v>
      </c>
      <c r="M154">
        <v>0</v>
      </c>
    </row>
    <row r="155" spans="1:13" x14ac:dyDescent="0.25">
      <c r="A155" t="s">
        <v>12</v>
      </c>
      <c r="B155" t="s">
        <v>10</v>
      </c>
      <c r="C155">
        <v>15</v>
      </c>
      <c r="D155">
        <v>1.0000000000000001E-5</v>
      </c>
      <c r="E155">
        <v>1E-3</v>
      </c>
      <c r="F155" t="str">
        <f t="shared" si="2"/>
        <v>tree256_line_15_0,00001_0,001</v>
      </c>
      <c r="G155">
        <v>15.281193999999999</v>
      </c>
      <c r="H155">
        <v>17.265825</v>
      </c>
      <c r="I155">
        <v>15.6762</v>
      </c>
      <c r="J155">
        <v>3.2833999999999999</v>
      </c>
      <c r="K155">
        <v>0</v>
      </c>
      <c r="L155">
        <v>15.7165</v>
      </c>
      <c r="M155">
        <v>0</v>
      </c>
    </row>
    <row r="156" spans="1:13" x14ac:dyDescent="0.25">
      <c r="A156" t="s">
        <v>12</v>
      </c>
      <c r="B156" t="s">
        <v>10</v>
      </c>
      <c r="C156">
        <v>15</v>
      </c>
      <c r="D156">
        <v>1.0000000000000001E-5</v>
      </c>
      <c r="E156">
        <v>0.01</v>
      </c>
      <c r="F156" t="str">
        <f t="shared" si="2"/>
        <v>tree256_line_15_0,00001_0,01</v>
      </c>
      <c r="G156">
        <v>9.8952980000000004</v>
      </c>
      <c r="H156">
        <v>17.542798999999999</v>
      </c>
      <c r="I156">
        <v>6.6184000000000003</v>
      </c>
      <c r="J156">
        <v>3.2833999999999999</v>
      </c>
      <c r="K156">
        <v>0</v>
      </c>
      <c r="L156">
        <v>8.6239000000000008</v>
      </c>
      <c r="M156">
        <v>0</v>
      </c>
    </row>
    <row r="157" spans="1:13" x14ac:dyDescent="0.25">
      <c r="A157" t="s">
        <v>12</v>
      </c>
      <c r="B157" t="s">
        <v>10</v>
      </c>
      <c r="C157">
        <v>15</v>
      </c>
      <c r="D157">
        <v>1.0000000000000001E-5</v>
      </c>
      <c r="E157">
        <v>0.1</v>
      </c>
      <c r="F157" t="str">
        <f t="shared" si="2"/>
        <v>tree256_line_15_0,00001_0,1</v>
      </c>
      <c r="G157">
        <v>6.4112130000000001</v>
      </c>
      <c r="H157">
        <v>17.726725999999999</v>
      </c>
      <c r="I157">
        <v>1.2838000000000001</v>
      </c>
      <c r="J157">
        <v>3.2833999999999999</v>
      </c>
      <c r="K157">
        <v>0</v>
      </c>
      <c r="L157">
        <v>5.7813999999999997</v>
      </c>
      <c r="M157">
        <v>0</v>
      </c>
    </row>
    <row r="158" spans="1:13" x14ac:dyDescent="0.25">
      <c r="A158" t="s">
        <v>12</v>
      </c>
      <c r="B158" t="s">
        <v>11</v>
      </c>
      <c r="C158">
        <v>15</v>
      </c>
      <c r="D158">
        <v>1.0000000000000001E-5</v>
      </c>
      <c r="E158">
        <v>1E-4</v>
      </c>
      <c r="F158" t="str">
        <f t="shared" si="2"/>
        <v>tree256_blurkernel10_15_0,00001_0,0001</v>
      </c>
      <c r="G158">
        <v>23.048929999999999</v>
      </c>
      <c r="H158">
        <v>18.458176000000002</v>
      </c>
      <c r="I158">
        <v>25.5871</v>
      </c>
      <c r="J158">
        <v>3.7442000000000002</v>
      </c>
      <c r="K158">
        <v>0</v>
      </c>
      <c r="L158">
        <v>24.5961</v>
      </c>
      <c r="M158">
        <v>0</v>
      </c>
    </row>
    <row r="159" spans="1:13" x14ac:dyDescent="0.25">
      <c r="A159" t="s">
        <v>12</v>
      </c>
      <c r="B159" t="s">
        <v>11</v>
      </c>
      <c r="C159">
        <v>15</v>
      </c>
      <c r="D159">
        <v>1.0000000000000001E-5</v>
      </c>
      <c r="E159">
        <v>1E-3</v>
      </c>
      <c r="F159" t="str">
        <f t="shared" si="2"/>
        <v>tree256_blurkernel10_15_0,00001_0,001</v>
      </c>
      <c r="G159">
        <v>11.13199</v>
      </c>
      <c r="H159">
        <v>17.664906999999999</v>
      </c>
      <c r="I159">
        <v>15.7082</v>
      </c>
      <c r="J159">
        <v>3.7442000000000002</v>
      </c>
      <c r="K159">
        <v>0</v>
      </c>
      <c r="L159">
        <v>16.401599999999998</v>
      </c>
      <c r="M159">
        <v>0</v>
      </c>
    </row>
    <row r="160" spans="1:13" x14ac:dyDescent="0.25">
      <c r="A160" t="s">
        <v>12</v>
      </c>
      <c r="B160" t="s">
        <v>11</v>
      </c>
      <c r="C160">
        <v>15</v>
      </c>
      <c r="D160">
        <v>1.0000000000000001E-5</v>
      </c>
      <c r="E160">
        <v>0.01</v>
      </c>
      <c r="F160" t="str">
        <f t="shared" si="2"/>
        <v>tree256_blurkernel10_15_0,00001_0,01</v>
      </c>
      <c r="G160">
        <v>7.925789</v>
      </c>
      <c r="H160">
        <v>17.659611000000002</v>
      </c>
      <c r="I160">
        <v>6.6406000000000001</v>
      </c>
      <c r="J160">
        <v>3.7442000000000002</v>
      </c>
      <c r="K160">
        <v>0</v>
      </c>
      <c r="L160">
        <v>11.972</v>
      </c>
      <c r="M160">
        <v>0</v>
      </c>
    </row>
    <row r="161" spans="1:13" x14ac:dyDescent="0.25">
      <c r="A161" t="s">
        <v>12</v>
      </c>
      <c r="B161" t="s">
        <v>11</v>
      </c>
      <c r="C161">
        <v>15</v>
      </c>
      <c r="D161">
        <v>1.0000000000000001E-5</v>
      </c>
      <c r="E161">
        <v>0.1</v>
      </c>
      <c r="F161" t="str">
        <f t="shared" si="2"/>
        <v>tree256_blurkernel10_15_0,00001_0,1</v>
      </c>
      <c r="G161">
        <v>6.2487199999999996</v>
      </c>
      <c r="H161">
        <v>17.712686999999999</v>
      </c>
      <c r="I161">
        <v>1.27</v>
      </c>
      <c r="J161">
        <v>3.7442000000000002</v>
      </c>
      <c r="K161">
        <v>0</v>
      </c>
      <c r="L161">
        <v>9.7885000000000009</v>
      </c>
      <c r="M161">
        <v>0</v>
      </c>
    </row>
    <row r="162" spans="1:13" x14ac:dyDescent="0.25">
      <c r="A162" t="s">
        <v>13</v>
      </c>
      <c r="B162" t="s">
        <v>8</v>
      </c>
      <c r="C162">
        <v>15</v>
      </c>
      <c r="D162">
        <v>1.0000000000000001E-5</v>
      </c>
      <c r="E162">
        <v>1E-4</v>
      </c>
      <c r="F162" t="str">
        <f t="shared" si="2"/>
        <v>text256_blurkernel7_15_0,00001_0,0001</v>
      </c>
      <c r="G162">
        <v>12.015909000000001</v>
      </c>
      <c r="H162">
        <v>35.020679000000001</v>
      </c>
      <c r="I162">
        <v>31.107700000000001</v>
      </c>
      <c r="J162">
        <v>1.5184</v>
      </c>
      <c r="K162">
        <v>0</v>
      </c>
      <c r="L162">
        <v>31.459599999999998</v>
      </c>
      <c r="M162">
        <v>0</v>
      </c>
    </row>
    <row r="163" spans="1:13" x14ac:dyDescent="0.25">
      <c r="A163" t="s">
        <v>13</v>
      </c>
      <c r="B163" t="s">
        <v>8</v>
      </c>
      <c r="C163">
        <v>15</v>
      </c>
      <c r="D163">
        <v>1.0000000000000001E-5</v>
      </c>
      <c r="E163">
        <v>1E-3</v>
      </c>
      <c r="F163" t="str">
        <f t="shared" si="2"/>
        <v>text256_blurkernel7_15_0,00001_0,001</v>
      </c>
      <c r="G163">
        <v>5.6199240000000001</v>
      </c>
      <c r="H163">
        <v>33.485757</v>
      </c>
      <c r="I163">
        <v>21.050599999999999</v>
      </c>
      <c r="J163">
        <v>1.5184</v>
      </c>
      <c r="K163">
        <v>0</v>
      </c>
      <c r="L163">
        <v>23.014399999999998</v>
      </c>
      <c r="M163">
        <v>0</v>
      </c>
    </row>
    <row r="164" spans="1:13" x14ac:dyDescent="0.25">
      <c r="A164" t="s">
        <v>13</v>
      </c>
      <c r="B164" t="s">
        <v>8</v>
      </c>
      <c r="C164">
        <v>15</v>
      </c>
      <c r="D164">
        <v>1.0000000000000001E-5</v>
      </c>
      <c r="E164">
        <v>0.01</v>
      </c>
      <c r="F164" t="str">
        <f t="shared" si="2"/>
        <v>text256_blurkernel7_15_0,00001_0,01</v>
      </c>
      <c r="G164">
        <v>4.4576510000000003</v>
      </c>
      <c r="H164">
        <v>33.351106999999999</v>
      </c>
      <c r="I164">
        <v>11.1134</v>
      </c>
      <c r="J164">
        <v>1.5184</v>
      </c>
      <c r="K164">
        <v>0</v>
      </c>
      <c r="L164">
        <v>15.261200000000001</v>
      </c>
      <c r="M164">
        <v>0</v>
      </c>
    </row>
    <row r="165" spans="1:13" x14ac:dyDescent="0.25">
      <c r="A165" t="s">
        <v>13</v>
      </c>
      <c r="B165" t="s">
        <v>8</v>
      </c>
      <c r="C165">
        <v>15</v>
      </c>
      <c r="D165">
        <v>1.0000000000000001E-5</v>
      </c>
      <c r="E165">
        <v>0.1</v>
      </c>
      <c r="F165" t="str">
        <f t="shared" si="2"/>
        <v>text256_blurkernel7_15_0,00001_0,1</v>
      </c>
      <c r="G165">
        <v>4.2674690000000002</v>
      </c>
      <c r="H165">
        <v>33.376131000000001</v>
      </c>
      <c r="I165">
        <v>2.7881999999999998</v>
      </c>
      <c r="J165">
        <v>1.5184</v>
      </c>
      <c r="K165">
        <v>0</v>
      </c>
      <c r="L165">
        <v>10.9748</v>
      </c>
      <c r="M165">
        <v>0</v>
      </c>
    </row>
    <row r="166" spans="1:13" x14ac:dyDescent="0.25">
      <c r="A166" t="s">
        <v>13</v>
      </c>
      <c r="B166" t="s">
        <v>9</v>
      </c>
      <c r="C166">
        <v>15</v>
      </c>
      <c r="D166">
        <v>1.0000000000000001E-5</v>
      </c>
      <c r="E166">
        <v>1E-4</v>
      </c>
      <c r="F166" t="str">
        <f t="shared" si="2"/>
        <v>text256_blurkernel8_15_0,00001_0,0001</v>
      </c>
      <c r="G166">
        <v>12.42435</v>
      </c>
      <c r="H166">
        <v>34.777996999999999</v>
      </c>
      <c r="I166">
        <v>31.087</v>
      </c>
      <c r="J166">
        <v>1.6828000000000001</v>
      </c>
      <c r="K166">
        <v>0</v>
      </c>
      <c r="L166">
        <v>30.904</v>
      </c>
      <c r="M166">
        <v>0</v>
      </c>
    </row>
    <row r="167" spans="1:13" x14ac:dyDescent="0.25">
      <c r="A167" t="s">
        <v>13</v>
      </c>
      <c r="B167" t="s">
        <v>9</v>
      </c>
      <c r="C167">
        <v>15</v>
      </c>
      <c r="D167">
        <v>1.0000000000000001E-5</v>
      </c>
      <c r="E167">
        <v>1E-3</v>
      </c>
      <c r="F167" t="str">
        <f t="shared" si="2"/>
        <v>text256_blurkernel8_15_0,00001_0,001</v>
      </c>
      <c r="G167">
        <v>6.4738230000000003</v>
      </c>
      <c r="H167">
        <v>33.252903000000003</v>
      </c>
      <c r="I167">
        <v>21.1282</v>
      </c>
      <c r="J167">
        <v>1.6828000000000001</v>
      </c>
      <c r="K167">
        <v>0</v>
      </c>
      <c r="L167">
        <v>23.0991</v>
      </c>
      <c r="M167">
        <v>0</v>
      </c>
    </row>
    <row r="168" spans="1:13" x14ac:dyDescent="0.25">
      <c r="A168" t="s">
        <v>13</v>
      </c>
      <c r="B168" t="s">
        <v>9</v>
      </c>
      <c r="C168">
        <v>15</v>
      </c>
      <c r="D168">
        <v>1.0000000000000001E-5</v>
      </c>
      <c r="E168">
        <v>0.01</v>
      </c>
      <c r="F168" t="str">
        <f t="shared" si="2"/>
        <v>text256_blurkernel8_15_0,00001_0,01</v>
      </c>
      <c r="G168">
        <v>5.497808</v>
      </c>
      <c r="H168">
        <v>33.125292999999999</v>
      </c>
      <c r="I168">
        <v>11.123799999999999</v>
      </c>
      <c r="J168">
        <v>1.6828000000000001</v>
      </c>
      <c r="K168">
        <v>0</v>
      </c>
      <c r="L168">
        <v>15.938499999999999</v>
      </c>
      <c r="M168">
        <v>0</v>
      </c>
    </row>
    <row r="169" spans="1:13" x14ac:dyDescent="0.25">
      <c r="A169" t="s">
        <v>13</v>
      </c>
      <c r="B169" t="s">
        <v>9</v>
      </c>
      <c r="C169">
        <v>15</v>
      </c>
      <c r="D169">
        <v>1.0000000000000001E-5</v>
      </c>
      <c r="E169">
        <v>0.1</v>
      </c>
      <c r="F169" t="str">
        <f t="shared" si="2"/>
        <v>text256_blurkernel8_15_0,00001_0,1</v>
      </c>
      <c r="G169">
        <v>5.0986760000000002</v>
      </c>
      <c r="H169">
        <v>33.226844</v>
      </c>
      <c r="I169">
        <v>2.8010999999999999</v>
      </c>
      <c r="J169">
        <v>1.6828000000000001</v>
      </c>
      <c r="K169">
        <v>0</v>
      </c>
      <c r="L169">
        <v>11.7601</v>
      </c>
      <c r="M169">
        <v>0</v>
      </c>
    </row>
    <row r="170" spans="1:13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2"/>
        <v>text256_line_15_0,00001_0,0001</v>
      </c>
      <c r="G170">
        <v>14.463706999999999</v>
      </c>
      <c r="H170">
        <v>33.304606999999997</v>
      </c>
      <c r="I170">
        <v>31.101299999999998</v>
      </c>
      <c r="J170">
        <v>1.343</v>
      </c>
      <c r="K170">
        <v>0</v>
      </c>
      <c r="L170">
        <v>31.8659</v>
      </c>
      <c r="M170">
        <v>0</v>
      </c>
    </row>
    <row r="171" spans="1:13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2"/>
        <v>text256_line_15_0,00001_0,001</v>
      </c>
      <c r="G171">
        <v>9.6491299999999995</v>
      </c>
      <c r="H171">
        <v>31.930401</v>
      </c>
      <c r="I171">
        <v>21.0913</v>
      </c>
      <c r="J171">
        <v>1.343</v>
      </c>
      <c r="K171">
        <v>0</v>
      </c>
      <c r="L171">
        <v>22.141999999999999</v>
      </c>
      <c r="M171">
        <v>0</v>
      </c>
    </row>
    <row r="172" spans="1:13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2"/>
        <v>text256_line_15_0,00001_0,01</v>
      </c>
      <c r="G172">
        <v>7.6290909999999998</v>
      </c>
      <c r="H172">
        <v>32.379291000000002</v>
      </c>
      <c r="I172">
        <v>11.1685</v>
      </c>
      <c r="J172">
        <v>1.343</v>
      </c>
      <c r="K172">
        <v>0</v>
      </c>
      <c r="L172">
        <v>8.8129000000000008</v>
      </c>
      <c r="M172">
        <v>0</v>
      </c>
    </row>
    <row r="173" spans="1:13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2"/>
        <v>text256_line_15_0,00001_0,1</v>
      </c>
      <c r="G173">
        <v>5.7465869999999999</v>
      </c>
      <c r="H173">
        <v>32.998987</v>
      </c>
      <c r="I173">
        <v>2.7835999999999999</v>
      </c>
      <c r="J173">
        <v>1.343</v>
      </c>
      <c r="K173">
        <v>0</v>
      </c>
      <c r="L173">
        <v>5.3334000000000001</v>
      </c>
      <c r="M173">
        <v>0</v>
      </c>
    </row>
    <row r="174" spans="1:13" x14ac:dyDescent="0.25">
      <c r="A174" t="s">
        <v>13</v>
      </c>
      <c r="B174" t="s">
        <v>11</v>
      </c>
      <c r="C174">
        <v>15</v>
      </c>
      <c r="D174">
        <v>1.0000000000000001E-5</v>
      </c>
      <c r="E174">
        <v>1E-4</v>
      </c>
      <c r="F174" t="str">
        <f t="shared" si="2"/>
        <v>text256_blurkernel10_15_0,00001_0,0001</v>
      </c>
      <c r="G174">
        <v>12.315303</v>
      </c>
      <c r="H174">
        <v>34.794257999999999</v>
      </c>
      <c r="I174">
        <v>31.111499999999999</v>
      </c>
      <c r="J174">
        <v>1.3001</v>
      </c>
      <c r="K174">
        <v>0</v>
      </c>
      <c r="L174">
        <v>30.032900000000001</v>
      </c>
      <c r="M174">
        <v>0</v>
      </c>
    </row>
    <row r="175" spans="1:13" x14ac:dyDescent="0.25">
      <c r="A175" t="s">
        <v>13</v>
      </c>
      <c r="B175" t="s">
        <v>11</v>
      </c>
      <c r="C175">
        <v>15</v>
      </c>
      <c r="D175">
        <v>1.0000000000000001E-5</v>
      </c>
      <c r="E175">
        <v>1E-3</v>
      </c>
      <c r="F175" t="str">
        <f t="shared" si="2"/>
        <v>text256_blurkernel10_15_0,00001_0,001</v>
      </c>
      <c r="G175">
        <v>6.2210599999999996</v>
      </c>
      <c r="H175">
        <v>33.269317999999998</v>
      </c>
      <c r="I175">
        <v>21.163799999999998</v>
      </c>
      <c r="J175">
        <v>1.3001</v>
      </c>
      <c r="K175">
        <v>0</v>
      </c>
      <c r="L175">
        <v>22.293399999999998</v>
      </c>
      <c r="M175">
        <v>0</v>
      </c>
    </row>
    <row r="176" spans="1:13" x14ac:dyDescent="0.25">
      <c r="A176" t="s">
        <v>13</v>
      </c>
      <c r="B176" t="s">
        <v>11</v>
      </c>
      <c r="C176">
        <v>15</v>
      </c>
      <c r="D176">
        <v>1.0000000000000001E-5</v>
      </c>
      <c r="E176">
        <v>0.01</v>
      </c>
      <c r="F176" t="str">
        <f t="shared" si="2"/>
        <v>text256_blurkernel10_15_0,00001_0,01</v>
      </c>
      <c r="G176">
        <v>5.1556189999999997</v>
      </c>
      <c r="H176">
        <v>33.149351000000003</v>
      </c>
      <c r="I176">
        <v>11.107799999999999</v>
      </c>
      <c r="J176">
        <v>1.3001</v>
      </c>
      <c r="K176">
        <v>0</v>
      </c>
      <c r="L176">
        <v>15.2806</v>
      </c>
      <c r="M176">
        <v>0</v>
      </c>
    </row>
    <row r="177" spans="1:13" x14ac:dyDescent="0.25">
      <c r="A177" t="s">
        <v>13</v>
      </c>
      <c r="B177" t="s">
        <v>11</v>
      </c>
      <c r="C177">
        <v>15</v>
      </c>
      <c r="D177">
        <v>1.0000000000000001E-5</v>
      </c>
      <c r="E177">
        <v>0.1</v>
      </c>
      <c r="F177" t="str">
        <f t="shared" si="2"/>
        <v>text256_blurkernel10_15_0,00001_0,1</v>
      </c>
      <c r="G177">
        <v>4.6883790000000003</v>
      </c>
      <c r="H177">
        <v>33.253756000000003</v>
      </c>
      <c r="I177">
        <v>2.8105000000000002</v>
      </c>
      <c r="J177">
        <v>1.3001</v>
      </c>
      <c r="K177">
        <v>0</v>
      </c>
      <c r="L177">
        <v>13.141400000000001</v>
      </c>
      <c r="M177">
        <v>0</v>
      </c>
    </row>
    <row r="178" spans="1:13" x14ac:dyDescent="0.25">
      <c r="A178" t="s">
        <v>14</v>
      </c>
      <c r="B178" t="s">
        <v>8</v>
      </c>
      <c r="C178">
        <v>15</v>
      </c>
      <c r="D178">
        <v>1.0000000000000001E-5</v>
      </c>
      <c r="E178">
        <v>1E-4</v>
      </c>
      <c r="F178" t="str">
        <f t="shared" si="2"/>
        <v>castle256_blurkernel7_15_0,00001_0,0001</v>
      </c>
      <c r="G178">
        <v>23.037545999999999</v>
      </c>
      <c r="H178">
        <v>18.269562000000001</v>
      </c>
      <c r="I178">
        <v>25.375699999999998</v>
      </c>
      <c r="J178">
        <v>8.5852000000000004</v>
      </c>
      <c r="K178">
        <v>0</v>
      </c>
      <c r="L178">
        <v>26.61</v>
      </c>
      <c r="M178">
        <v>0</v>
      </c>
    </row>
    <row r="179" spans="1:13" x14ac:dyDescent="0.25">
      <c r="A179" t="s">
        <v>14</v>
      </c>
      <c r="B179" t="s">
        <v>8</v>
      </c>
      <c r="C179">
        <v>15</v>
      </c>
      <c r="D179">
        <v>1.0000000000000001E-5</v>
      </c>
      <c r="E179">
        <v>1E-3</v>
      </c>
      <c r="F179" t="str">
        <f t="shared" si="2"/>
        <v>castle256_blurkernel7_15_0,00001_0,001</v>
      </c>
      <c r="G179">
        <v>10.040564</v>
      </c>
      <c r="H179">
        <v>17.521975999999999</v>
      </c>
      <c r="I179">
        <v>15.5139</v>
      </c>
      <c r="J179">
        <v>8.5852000000000004</v>
      </c>
      <c r="K179">
        <v>0</v>
      </c>
      <c r="L179">
        <v>19.871300000000002</v>
      </c>
      <c r="M179">
        <v>0</v>
      </c>
    </row>
    <row r="180" spans="1:13" x14ac:dyDescent="0.25">
      <c r="A180" t="s">
        <v>14</v>
      </c>
      <c r="B180" t="s">
        <v>8</v>
      </c>
      <c r="C180">
        <v>15</v>
      </c>
      <c r="D180">
        <v>1.0000000000000001E-5</v>
      </c>
      <c r="E180">
        <v>0.01</v>
      </c>
      <c r="F180" t="str">
        <f t="shared" si="2"/>
        <v>castle256_blurkernel7_15_0,00001_0,01</v>
      </c>
      <c r="G180">
        <v>6.7242150000000001</v>
      </c>
      <c r="H180">
        <v>17.489701</v>
      </c>
      <c r="I180">
        <v>6.4523000000000001</v>
      </c>
      <c r="J180">
        <v>8.5852000000000004</v>
      </c>
      <c r="K180">
        <v>0</v>
      </c>
      <c r="L180">
        <v>15.262</v>
      </c>
      <c r="M180">
        <v>0</v>
      </c>
    </row>
    <row r="181" spans="1:13" x14ac:dyDescent="0.25">
      <c r="A181" t="s">
        <v>14</v>
      </c>
      <c r="B181" t="s">
        <v>8</v>
      </c>
      <c r="C181">
        <v>15</v>
      </c>
      <c r="D181">
        <v>1.0000000000000001E-5</v>
      </c>
      <c r="E181">
        <v>0.1</v>
      </c>
      <c r="F181" t="str">
        <f t="shared" si="2"/>
        <v>castle256_blurkernel7_15_0,00001_0,1</v>
      </c>
      <c r="G181">
        <v>5.4324329999999996</v>
      </c>
      <c r="H181">
        <v>17.511686000000001</v>
      </c>
      <c r="I181">
        <v>1.1818</v>
      </c>
      <c r="J181">
        <v>8.5852000000000004</v>
      </c>
      <c r="K181">
        <v>0</v>
      </c>
      <c r="L181">
        <v>10.3575</v>
      </c>
      <c r="M181">
        <v>0</v>
      </c>
    </row>
    <row r="182" spans="1:13" x14ac:dyDescent="0.25">
      <c r="A182" t="s">
        <v>14</v>
      </c>
      <c r="B182" t="s">
        <v>9</v>
      </c>
      <c r="C182">
        <v>15</v>
      </c>
      <c r="D182">
        <v>1.0000000000000001E-5</v>
      </c>
      <c r="E182">
        <v>1E-4</v>
      </c>
      <c r="F182" t="str">
        <f t="shared" si="2"/>
        <v>castle256_blurkernel8_15_0,00001_0,0001</v>
      </c>
      <c r="G182">
        <v>23.805531999999999</v>
      </c>
      <c r="H182">
        <v>18.145786000000001</v>
      </c>
      <c r="I182">
        <v>25.3644</v>
      </c>
      <c r="J182">
        <v>8.5741999999999994</v>
      </c>
      <c r="K182">
        <v>0</v>
      </c>
      <c r="L182">
        <v>26.725999999999999</v>
      </c>
      <c r="M182">
        <v>0</v>
      </c>
    </row>
    <row r="183" spans="1:13" x14ac:dyDescent="0.25">
      <c r="A183" t="s">
        <v>14</v>
      </c>
      <c r="B183" t="s">
        <v>9</v>
      </c>
      <c r="C183">
        <v>15</v>
      </c>
      <c r="D183">
        <v>1.0000000000000001E-5</v>
      </c>
      <c r="E183">
        <v>1E-3</v>
      </c>
      <c r="F183" t="str">
        <f t="shared" si="2"/>
        <v>castle256_blurkernel8_15_0,00001_0,001</v>
      </c>
      <c r="G183">
        <v>11.266596</v>
      </c>
      <c r="H183">
        <v>17.441991000000002</v>
      </c>
      <c r="I183">
        <v>15.5015</v>
      </c>
      <c r="J183">
        <v>8.5741999999999994</v>
      </c>
      <c r="K183">
        <v>0</v>
      </c>
      <c r="L183">
        <v>20.326899999999998</v>
      </c>
      <c r="M183">
        <v>0</v>
      </c>
    </row>
    <row r="184" spans="1:13" x14ac:dyDescent="0.25">
      <c r="A184" t="s">
        <v>14</v>
      </c>
      <c r="B184" t="s">
        <v>9</v>
      </c>
      <c r="C184">
        <v>15</v>
      </c>
      <c r="D184">
        <v>1.0000000000000001E-5</v>
      </c>
      <c r="E184">
        <v>0.01</v>
      </c>
      <c r="F184" t="str">
        <f t="shared" si="2"/>
        <v>castle256_blurkernel8_15_0,00001_0,01</v>
      </c>
      <c r="G184">
        <v>7.4454229999999999</v>
      </c>
      <c r="H184">
        <v>17.467870000000001</v>
      </c>
      <c r="I184">
        <v>6.5076999999999998</v>
      </c>
      <c r="J184">
        <v>8.5741999999999994</v>
      </c>
      <c r="K184">
        <v>0</v>
      </c>
      <c r="L184">
        <v>16.5748</v>
      </c>
      <c r="M184">
        <v>0</v>
      </c>
    </row>
    <row r="185" spans="1:13" x14ac:dyDescent="0.25">
      <c r="A185" t="s">
        <v>14</v>
      </c>
      <c r="B185" t="s">
        <v>9</v>
      </c>
      <c r="C185">
        <v>15</v>
      </c>
      <c r="D185">
        <v>1.0000000000000001E-5</v>
      </c>
      <c r="E185">
        <v>0.1</v>
      </c>
      <c r="F185" t="str">
        <f t="shared" si="2"/>
        <v>castle256_blurkernel8_15_0,00001_0,1</v>
      </c>
      <c r="G185">
        <v>5.4744780000000004</v>
      </c>
      <c r="H185">
        <v>17.526479999999999</v>
      </c>
      <c r="I185">
        <v>1.2053</v>
      </c>
      <c r="J185">
        <v>8.5741999999999994</v>
      </c>
      <c r="K185">
        <v>0</v>
      </c>
      <c r="L185">
        <v>10.9923</v>
      </c>
      <c r="M185">
        <v>0</v>
      </c>
    </row>
    <row r="186" spans="1:13" x14ac:dyDescent="0.25">
      <c r="A186" t="s">
        <v>14</v>
      </c>
      <c r="B186" t="s">
        <v>10</v>
      </c>
      <c r="C186">
        <v>15</v>
      </c>
      <c r="D186">
        <v>1.0000000000000001E-5</v>
      </c>
      <c r="E186">
        <v>1E-4</v>
      </c>
      <c r="F186" t="str">
        <f t="shared" si="2"/>
        <v>castle256_line_15_0,00001_0,0001</v>
      </c>
      <c r="G186">
        <v>26.971713999999999</v>
      </c>
      <c r="H186">
        <v>17.501833000000001</v>
      </c>
      <c r="I186">
        <v>25.364999999999998</v>
      </c>
      <c r="J186">
        <v>7.5174000000000003</v>
      </c>
      <c r="K186">
        <v>0</v>
      </c>
      <c r="L186">
        <v>26.6373</v>
      </c>
      <c r="M186">
        <v>0</v>
      </c>
    </row>
    <row r="187" spans="1:13" x14ac:dyDescent="0.25">
      <c r="A187" t="s">
        <v>14</v>
      </c>
      <c r="B187" t="s">
        <v>10</v>
      </c>
      <c r="C187">
        <v>15</v>
      </c>
      <c r="D187">
        <v>1.0000000000000001E-5</v>
      </c>
      <c r="E187">
        <v>1E-3</v>
      </c>
      <c r="F187" t="str">
        <f t="shared" si="2"/>
        <v>castle256_line_15_0,00001_0,001</v>
      </c>
      <c r="G187">
        <v>13.590491</v>
      </c>
      <c r="H187">
        <v>17.169149999999998</v>
      </c>
      <c r="I187">
        <v>15.5002</v>
      </c>
      <c r="J187">
        <v>7.5174000000000003</v>
      </c>
      <c r="K187">
        <v>0</v>
      </c>
      <c r="L187">
        <v>19.458100000000002</v>
      </c>
      <c r="M187">
        <v>0</v>
      </c>
    </row>
    <row r="188" spans="1:13" x14ac:dyDescent="0.25">
      <c r="A188" t="s">
        <v>14</v>
      </c>
      <c r="B188" t="s">
        <v>10</v>
      </c>
      <c r="C188">
        <v>15</v>
      </c>
      <c r="D188">
        <v>1.0000000000000001E-5</v>
      </c>
      <c r="E188">
        <v>0.01</v>
      </c>
      <c r="F188" t="str">
        <f t="shared" si="2"/>
        <v>castle256_line_15_0,00001_0,01</v>
      </c>
      <c r="G188">
        <v>7.9597249999999997</v>
      </c>
      <c r="H188">
        <v>17.372914000000002</v>
      </c>
      <c r="I188">
        <v>6.4763000000000002</v>
      </c>
      <c r="J188">
        <v>7.5174000000000003</v>
      </c>
      <c r="K188">
        <v>0</v>
      </c>
      <c r="L188">
        <v>12.4673</v>
      </c>
      <c r="M188">
        <v>0</v>
      </c>
    </row>
    <row r="189" spans="1:13" x14ac:dyDescent="0.25">
      <c r="A189" t="s">
        <v>14</v>
      </c>
      <c r="B189" t="s">
        <v>10</v>
      </c>
      <c r="C189">
        <v>15</v>
      </c>
      <c r="D189">
        <v>1.0000000000000001E-5</v>
      </c>
      <c r="E189">
        <v>0.1</v>
      </c>
      <c r="F189" t="str">
        <f t="shared" si="2"/>
        <v>castle256_line_15_0,00001_0,1</v>
      </c>
      <c r="G189">
        <v>5.2333270000000001</v>
      </c>
      <c r="H189">
        <v>17.471326999999999</v>
      </c>
      <c r="I189">
        <v>1.1811</v>
      </c>
      <c r="J189">
        <v>7.5174000000000003</v>
      </c>
      <c r="K189">
        <v>0</v>
      </c>
      <c r="L189">
        <v>7.9785000000000004</v>
      </c>
      <c r="M189">
        <v>0</v>
      </c>
    </row>
    <row r="190" spans="1:13" x14ac:dyDescent="0.25">
      <c r="A190" t="s">
        <v>14</v>
      </c>
      <c r="B190" t="s">
        <v>11</v>
      </c>
      <c r="C190">
        <v>15</v>
      </c>
      <c r="D190">
        <v>1.0000000000000001E-5</v>
      </c>
      <c r="E190">
        <v>1E-4</v>
      </c>
      <c r="F190" t="str">
        <f t="shared" si="2"/>
        <v>castle256_blurkernel10_15_0,00001_0,0001</v>
      </c>
      <c r="G190">
        <v>23.521927000000002</v>
      </c>
      <c r="H190">
        <v>18.166557000000001</v>
      </c>
      <c r="I190">
        <v>25.4421</v>
      </c>
      <c r="J190">
        <v>8.1912000000000003</v>
      </c>
      <c r="K190">
        <v>0</v>
      </c>
      <c r="L190">
        <v>26.670100000000001</v>
      </c>
      <c r="M190">
        <v>0</v>
      </c>
    </row>
    <row r="191" spans="1:13" x14ac:dyDescent="0.25">
      <c r="A191" t="s">
        <v>14</v>
      </c>
      <c r="B191" t="s">
        <v>11</v>
      </c>
      <c r="C191">
        <v>15</v>
      </c>
      <c r="D191">
        <v>1.0000000000000001E-5</v>
      </c>
      <c r="E191">
        <v>1E-3</v>
      </c>
      <c r="F191" t="str">
        <f t="shared" si="2"/>
        <v>castle256_blurkernel10_15_0,00001_0,001</v>
      </c>
      <c r="G191">
        <v>11.067314</v>
      </c>
      <c r="H191">
        <v>17.422834999999999</v>
      </c>
      <c r="I191">
        <v>15.4887</v>
      </c>
      <c r="J191">
        <v>8.1912000000000003</v>
      </c>
      <c r="K191">
        <v>0</v>
      </c>
      <c r="L191">
        <v>20.6541</v>
      </c>
      <c r="M191">
        <v>0</v>
      </c>
    </row>
    <row r="192" spans="1:13" x14ac:dyDescent="0.25">
      <c r="A192" t="s">
        <v>14</v>
      </c>
      <c r="B192" t="s">
        <v>11</v>
      </c>
      <c r="C192">
        <v>15</v>
      </c>
      <c r="D192">
        <v>1.0000000000000001E-5</v>
      </c>
      <c r="E192">
        <v>0.01</v>
      </c>
      <c r="F192" t="str">
        <f t="shared" si="2"/>
        <v>castle256_blurkernel10_15_0,00001_0,01</v>
      </c>
      <c r="G192">
        <v>7.4396110000000002</v>
      </c>
      <c r="H192">
        <v>17.431749</v>
      </c>
      <c r="I192">
        <v>6.5060000000000002</v>
      </c>
      <c r="J192">
        <v>8.1912000000000003</v>
      </c>
      <c r="K192">
        <v>0</v>
      </c>
      <c r="L192">
        <v>16.733699999999999</v>
      </c>
      <c r="M192">
        <v>0</v>
      </c>
    </row>
    <row r="193" spans="1:13" x14ac:dyDescent="0.25">
      <c r="A193" t="s">
        <v>14</v>
      </c>
      <c r="B193" t="s">
        <v>11</v>
      </c>
      <c r="C193">
        <v>15</v>
      </c>
      <c r="D193">
        <v>1.0000000000000001E-5</v>
      </c>
      <c r="E193">
        <v>0.1</v>
      </c>
      <c r="F193" t="str">
        <f t="shared" si="2"/>
        <v>castle256_blurkernel10_15_0,00001_0,1</v>
      </c>
      <c r="G193">
        <v>5.5531899999999998</v>
      </c>
      <c r="H193">
        <v>17.485913</v>
      </c>
      <c r="I193">
        <v>1.1787000000000001</v>
      </c>
      <c r="J193">
        <v>8.1912000000000003</v>
      </c>
      <c r="K193">
        <v>0</v>
      </c>
      <c r="L193">
        <v>10.1869</v>
      </c>
      <c r="M193">
        <v>0</v>
      </c>
    </row>
    <row r="194" spans="1:13" x14ac:dyDescent="0.25">
      <c r="A194" t="s">
        <v>7</v>
      </c>
      <c r="B194" t="s">
        <v>8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lena256_blurkernel7_31_0,00001_0,0001</v>
      </c>
      <c r="G194">
        <v>20.477471000000001</v>
      </c>
      <c r="H194">
        <v>40.714295</v>
      </c>
      <c r="I194">
        <v>25.397200000000002</v>
      </c>
      <c r="J194">
        <v>5.3193000000000001</v>
      </c>
      <c r="K194">
        <v>0</v>
      </c>
      <c r="L194">
        <v>26.051300000000001</v>
      </c>
      <c r="M194">
        <v>0</v>
      </c>
    </row>
    <row r="195" spans="1:13" x14ac:dyDescent="0.25">
      <c r="A195" t="s">
        <v>7</v>
      </c>
      <c r="B195" t="s">
        <v>8</v>
      </c>
      <c r="C195">
        <v>31</v>
      </c>
      <c r="D195">
        <v>1.0000000000000001E-5</v>
      </c>
      <c r="E195">
        <v>1E-3</v>
      </c>
      <c r="F195" t="str">
        <f t="shared" si="3"/>
        <v>lena256_blurkernel7_31_0,00001_0,001</v>
      </c>
      <c r="G195">
        <v>7.654541</v>
      </c>
      <c r="H195">
        <v>38.887275000000002</v>
      </c>
      <c r="I195">
        <v>15.4665</v>
      </c>
      <c r="J195">
        <v>5.3193000000000001</v>
      </c>
      <c r="K195">
        <v>0</v>
      </c>
      <c r="L195">
        <v>19.459800000000001</v>
      </c>
      <c r="M195">
        <v>0</v>
      </c>
    </row>
    <row r="196" spans="1:13" x14ac:dyDescent="0.25">
      <c r="A196" t="s">
        <v>7</v>
      </c>
      <c r="B196" t="s">
        <v>8</v>
      </c>
      <c r="C196">
        <v>31</v>
      </c>
      <c r="D196">
        <v>1.0000000000000001E-5</v>
      </c>
      <c r="E196">
        <v>0.01</v>
      </c>
      <c r="F196" t="str">
        <f t="shared" si="3"/>
        <v>lena256_blurkernel7_31_0,00001_0,01</v>
      </c>
      <c r="G196">
        <v>4.0996449999999998</v>
      </c>
      <c r="H196">
        <v>38.752980000000001</v>
      </c>
      <c r="I196">
        <v>6.5141999999999998</v>
      </c>
      <c r="J196">
        <v>5.3193000000000001</v>
      </c>
      <c r="K196">
        <v>0</v>
      </c>
      <c r="L196">
        <v>15.3955</v>
      </c>
      <c r="M196">
        <v>0</v>
      </c>
    </row>
    <row r="197" spans="1:13" x14ac:dyDescent="0.25">
      <c r="A197" t="s">
        <v>7</v>
      </c>
      <c r="B197" t="s">
        <v>8</v>
      </c>
      <c r="C197">
        <v>31</v>
      </c>
      <c r="D197">
        <v>1.0000000000000001E-5</v>
      </c>
      <c r="E197">
        <v>0.1</v>
      </c>
      <c r="F197" t="str">
        <f t="shared" si="3"/>
        <v>lena256_blurkernel7_31_0,00001_0,1</v>
      </c>
      <c r="G197">
        <v>3.2188210000000002</v>
      </c>
      <c r="H197">
        <v>38.751489999999997</v>
      </c>
      <c r="I197">
        <v>1.2513000000000001</v>
      </c>
      <c r="J197">
        <v>5.3193000000000001</v>
      </c>
      <c r="K197">
        <v>0</v>
      </c>
      <c r="L197">
        <v>8.4518000000000004</v>
      </c>
      <c r="M197">
        <v>0</v>
      </c>
    </row>
    <row r="198" spans="1:13" x14ac:dyDescent="0.25">
      <c r="A198" t="s">
        <v>7</v>
      </c>
      <c r="B198" t="s">
        <v>9</v>
      </c>
      <c r="C198">
        <v>31</v>
      </c>
      <c r="D198">
        <v>1.0000000000000001E-5</v>
      </c>
      <c r="E198">
        <v>1E-4</v>
      </c>
      <c r="F198" t="str">
        <f t="shared" si="3"/>
        <v>lena256_blurkernel8_31_0,00001_0,0001</v>
      </c>
      <c r="G198">
        <v>20.860859000000001</v>
      </c>
      <c r="H198">
        <v>40.622995000000003</v>
      </c>
      <c r="I198">
        <v>25.450399999999998</v>
      </c>
      <c r="J198">
        <v>5.3057999999999996</v>
      </c>
      <c r="K198">
        <v>0</v>
      </c>
      <c r="L198">
        <v>26.177299999999999</v>
      </c>
      <c r="M198">
        <v>0</v>
      </c>
    </row>
    <row r="199" spans="1:13" x14ac:dyDescent="0.25">
      <c r="A199" t="s">
        <v>7</v>
      </c>
      <c r="B199" t="s">
        <v>9</v>
      </c>
      <c r="C199">
        <v>31</v>
      </c>
      <c r="D199">
        <v>1.0000000000000001E-5</v>
      </c>
      <c r="E199">
        <v>1E-3</v>
      </c>
      <c r="F199" t="str">
        <f t="shared" si="3"/>
        <v>lena256_blurkernel8_31_0,00001_0,001</v>
      </c>
      <c r="G199">
        <v>8.2425320000000006</v>
      </c>
      <c r="H199">
        <v>38.876001000000002</v>
      </c>
      <c r="I199">
        <v>15.5129</v>
      </c>
      <c r="J199">
        <v>5.3057999999999996</v>
      </c>
      <c r="K199">
        <v>0</v>
      </c>
      <c r="L199">
        <v>19.448399999999999</v>
      </c>
      <c r="M199">
        <v>0</v>
      </c>
    </row>
    <row r="200" spans="1:13" x14ac:dyDescent="0.25">
      <c r="A200" t="s">
        <v>7</v>
      </c>
      <c r="B200" t="s">
        <v>9</v>
      </c>
      <c r="C200">
        <v>31</v>
      </c>
      <c r="D200">
        <v>1.0000000000000001E-5</v>
      </c>
      <c r="E200">
        <v>0.01</v>
      </c>
      <c r="F200" t="str">
        <f t="shared" si="3"/>
        <v>lena256_blurkernel8_31_0,00001_0,01</v>
      </c>
      <c r="G200">
        <v>4.7473599999999996</v>
      </c>
      <c r="H200">
        <v>38.776406000000001</v>
      </c>
      <c r="I200">
        <v>6.5285000000000002</v>
      </c>
      <c r="J200">
        <v>5.3057999999999996</v>
      </c>
      <c r="K200">
        <v>0</v>
      </c>
      <c r="L200">
        <v>15.4335</v>
      </c>
      <c r="M200">
        <v>0</v>
      </c>
    </row>
    <row r="201" spans="1:13" x14ac:dyDescent="0.25">
      <c r="A201" t="s">
        <v>7</v>
      </c>
      <c r="B201" t="s">
        <v>9</v>
      </c>
      <c r="C201">
        <v>31</v>
      </c>
      <c r="D201">
        <v>1.0000000000000001E-5</v>
      </c>
      <c r="E201">
        <v>0.1</v>
      </c>
      <c r="F201" t="str">
        <f t="shared" si="3"/>
        <v>lena256_blurkernel8_31_0,00001_0,1</v>
      </c>
      <c r="G201">
        <v>3.563847</v>
      </c>
      <c r="H201">
        <v>38.80641</v>
      </c>
      <c r="I201">
        <v>1.2424999999999999</v>
      </c>
      <c r="J201">
        <v>5.3057999999999996</v>
      </c>
      <c r="K201">
        <v>0</v>
      </c>
      <c r="L201">
        <v>9.1178000000000008</v>
      </c>
      <c r="M201">
        <v>0</v>
      </c>
    </row>
    <row r="202" spans="1:13" x14ac:dyDescent="0.25">
      <c r="A202" t="s">
        <v>7</v>
      </c>
      <c r="B202" t="s">
        <v>10</v>
      </c>
      <c r="C202">
        <v>31</v>
      </c>
      <c r="D202">
        <v>1.0000000000000001E-5</v>
      </c>
      <c r="E202">
        <v>1E-4</v>
      </c>
      <c r="F202" t="str">
        <f t="shared" si="3"/>
        <v>lena256_line_31_0,00001_0,0001</v>
      </c>
      <c r="G202">
        <v>22.492854000000001</v>
      </c>
      <c r="H202">
        <v>39.615116999999998</v>
      </c>
      <c r="I202">
        <v>25.39</v>
      </c>
      <c r="J202">
        <v>3.6465000000000001</v>
      </c>
      <c r="K202">
        <v>0</v>
      </c>
      <c r="L202">
        <v>26.974799999999998</v>
      </c>
      <c r="M202">
        <v>0</v>
      </c>
    </row>
    <row r="203" spans="1:13" x14ac:dyDescent="0.25">
      <c r="A203" t="s">
        <v>7</v>
      </c>
      <c r="B203" t="s">
        <v>10</v>
      </c>
      <c r="C203">
        <v>31</v>
      </c>
      <c r="D203">
        <v>1.0000000000000001E-5</v>
      </c>
      <c r="E203">
        <v>1E-3</v>
      </c>
      <c r="F203" t="str">
        <f t="shared" si="3"/>
        <v>lena256_line_31_0,00001_0,001</v>
      </c>
      <c r="G203">
        <v>9.643084</v>
      </c>
      <c r="H203">
        <v>38.264721000000002</v>
      </c>
      <c r="I203">
        <v>15.5168</v>
      </c>
      <c r="J203">
        <v>3.6465000000000001</v>
      </c>
      <c r="K203">
        <v>0</v>
      </c>
      <c r="L203">
        <v>19.8185</v>
      </c>
      <c r="M203">
        <v>0</v>
      </c>
    </row>
    <row r="204" spans="1:13" x14ac:dyDescent="0.25">
      <c r="A204" t="s">
        <v>7</v>
      </c>
      <c r="B204" t="s">
        <v>10</v>
      </c>
      <c r="C204">
        <v>31</v>
      </c>
      <c r="D204">
        <v>1.0000000000000001E-5</v>
      </c>
      <c r="E204">
        <v>0.01</v>
      </c>
      <c r="F204" t="str">
        <f t="shared" si="3"/>
        <v>lena256_line_31_0,00001_0,01</v>
      </c>
      <c r="G204">
        <v>5.4025840000000001</v>
      </c>
      <c r="H204">
        <v>38.329014999999998</v>
      </c>
      <c r="I204">
        <v>6.5491999999999999</v>
      </c>
      <c r="J204">
        <v>3.6465000000000001</v>
      </c>
      <c r="K204">
        <v>0</v>
      </c>
      <c r="L204">
        <v>13.7613</v>
      </c>
      <c r="M204">
        <v>0</v>
      </c>
    </row>
    <row r="205" spans="1:13" x14ac:dyDescent="0.25">
      <c r="A205" t="s">
        <v>7</v>
      </c>
      <c r="B205" t="s">
        <v>10</v>
      </c>
      <c r="C205">
        <v>31</v>
      </c>
      <c r="D205">
        <v>1.0000000000000001E-5</v>
      </c>
      <c r="E205">
        <v>0.1</v>
      </c>
      <c r="F205" t="str">
        <f t="shared" si="3"/>
        <v>lena256_line_31_0,00001_0,1</v>
      </c>
      <c r="G205">
        <v>3.5717599999999998</v>
      </c>
      <c r="H205">
        <v>38.420444000000003</v>
      </c>
      <c r="I205">
        <v>1.2482</v>
      </c>
      <c r="J205">
        <v>3.6465000000000001</v>
      </c>
      <c r="K205">
        <v>0</v>
      </c>
      <c r="L205">
        <v>6.7876000000000003</v>
      </c>
      <c r="M205">
        <v>0</v>
      </c>
    </row>
    <row r="206" spans="1:13" x14ac:dyDescent="0.25">
      <c r="A206" t="s">
        <v>7</v>
      </c>
      <c r="B206" t="s">
        <v>11</v>
      </c>
      <c r="C206">
        <v>31</v>
      </c>
      <c r="D206">
        <v>1.0000000000000001E-5</v>
      </c>
      <c r="E206">
        <v>1E-4</v>
      </c>
      <c r="F206" t="str">
        <f t="shared" si="3"/>
        <v>lena256_blurkernel10_31_0,00001_0,0001</v>
      </c>
      <c r="G206">
        <v>20.939412999999998</v>
      </c>
      <c r="H206">
        <v>40.621605000000002</v>
      </c>
      <c r="I206">
        <v>25.386600000000001</v>
      </c>
      <c r="J206">
        <v>5.6349</v>
      </c>
      <c r="K206">
        <v>0</v>
      </c>
      <c r="L206">
        <v>25.561299999999999</v>
      </c>
      <c r="M206">
        <v>0</v>
      </c>
    </row>
    <row r="207" spans="1:13" x14ac:dyDescent="0.25">
      <c r="A207" t="s">
        <v>7</v>
      </c>
      <c r="B207" t="s">
        <v>11</v>
      </c>
      <c r="C207">
        <v>31</v>
      </c>
      <c r="D207">
        <v>1.0000000000000001E-5</v>
      </c>
      <c r="E207">
        <v>1E-3</v>
      </c>
      <c r="F207" t="str">
        <f t="shared" si="3"/>
        <v>lena256_blurkernel10_31_0,00001_0,001</v>
      </c>
      <c r="G207">
        <v>7.7283020000000002</v>
      </c>
      <c r="H207">
        <v>38.991622</v>
      </c>
      <c r="I207">
        <v>15.5265</v>
      </c>
      <c r="J207">
        <v>5.6349</v>
      </c>
      <c r="K207">
        <v>0</v>
      </c>
      <c r="L207">
        <v>17.3353</v>
      </c>
      <c r="M207">
        <v>0</v>
      </c>
    </row>
    <row r="208" spans="1:13" x14ac:dyDescent="0.25">
      <c r="A208" t="s">
        <v>7</v>
      </c>
      <c r="B208" t="s">
        <v>11</v>
      </c>
      <c r="C208">
        <v>31</v>
      </c>
      <c r="D208">
        <v>1.0000000000000001E-5</v>
      </c>
      <c r="E208">
        <v>0.01</v>
      </c>
      <c r="F208" t="str">
        <f t="shared" si="3"/>
        <v>lena256_blurkernel10_31_0,00001_0,01</v>
      </c>
      <c r="G208">
        <v>4.8831509999999998</v>
      </c>
      <c r="H208">
        <v>38.801219000000003</v>
      </c>
      <c r="I208">
        <v>6.5175999999999998</v>
      </c>
      <c r="J208">
        <v>5.6349</v>
      </c>
      <c r="K208">
        <v>0</v>
      </c>
      <c r="L208">
        <v>14.9146</v>
      </c>
      <c r="M208">
        <v>0</v>
      </c>
    </row>
    <row r="209" spans="1:13" x14ac:dyDescent="0.25">
      <c r="A209" t="s">
        <v>7</v>
      </c>
      <c r="B209" t="s">
        <v>11</v>
      </c>
      <c r="C209">
        <v>31</v>
      </c>
      <c r="D209">
        <v>1.0000000000000001E-5</v>
      </c>
      <c r="E209">
        <v>0.1</v>
      </c>
      <c r="F209" t="str">
        <f t="shared" si="3"/>
        <v>lena256_blurkernel10_31_0,00001_0,1</v>
      </c>
      <c r="G209">
        <v>3.7066490000000001</v>
      </c>
      <c r="H209">
        <v>38.833258999999998</v>
      </c>
      <c r="I209">
        <v>1.2656000000000001</v>
      </c>
      <c r="J209">
        <v>5.6349</v>
      </c>
      <c r="K209">
        <v>0</v>
      </c>
      <c r="L209">
        <v>9.2941000000000003</v>
      </c>
      <c r="M209">
        <v>0</v>
      </c>
    </row>
    <row r="210" spans="1:13" x14ac:dyDescent="0.25">
      <c r="A210" t="s">
        <v>12</v>
      </c>
      <c r="B210" t="s">
        <v>8</v>
      </c>
      <c r="C210">
        <v>31</v>
      </c>
      <c r="D210">
        <v>1.0000000000000001E-5</v>
      </c>
      <c r="E210">
        <v>1E-4</v>
      </c>
      <c r="F210" t="str">
        <f t="shared" si="3"/>
        <v>tree256_blurkernel7_31_0,00001_0,0001</v>
      </c>
      <c r="G210">
        <v>21.662075999999999</v>
      </c>
      <c r="H210">
        <v>38.411172999999998</v>
      </c>
      <c r="I210">
        <v>25.597200000000001</v>
      </c>
      <c r="J210">
        <v>2.4198</v>
      </c>
      <c r="K210">
        <v>0</v>
      </c>
      <c r="L210">
        <v>24.5549</v>
      </c>
      <c r="M210">
        <v>0</v>
      </c>
    </row>
    <row r="211" spans="1:13" x14ac:dyDescent="0.25">
      <c r="A211" t="s">
        <v>12</v>
      </c>
      <c r="B211" t="s">
        <v>8</v>
      </c>
      <c r="C211">
        <v>31</v>
      </c>
      <c r="D211">
        <v>1.0000000000000001E-5</v>
      </c>
      <c r="E211">
        <v>1E-3</v>
      </c>
      <c r="F211" t="str">
        <f t="shared" si="3"/>
        <v>tree256_blurkernel7_31_0,00001_0,001</v>
      </c>
      <c r="G211">
        <v>8.1901969999999995</v>
      </c>
      <c r="H211">
        <v>36.664512999999999</v>
      </c>
      <c r="I211">
        <v>15.711399999999999</v>
      </c>
      <c r="J211">
        <v>2.4198</v>
      </c>
      <c r="K211">
        <v>0</v>
      </c>
      <c r="L211">
        <v>15.746700000000001</v>
      </c>
      <c r="M211">
        <v>0</v>
      </c>
    </row>
    <row r="212" spans="1:13" x14ac:dyDescent="0.25">
      <c r="A212" t="s">
        <v>12</v>
      </c>
      <c r="B212" t="s">
        <v>8</v>
      </c>
      <c r="C212">
        <v>31</v>
      </c>
      <c r="D212">
        <v>1.0000000000000001E-5</v>
      </c>
      <c r="E212">
        <v>0.01</v>
      </c>
      <c r="F212" t="str">
        <f t="shared" si="3"/>
        <v>tree256_blurkernel7_31_0,00001_0,01</v>
      </c>
      <c r="G212">
        <v>4.688644</v>
      </c>
      <c r="H212">
        <v>36.522537999999997</v>
      </c>
      <c r="I212">
        <v>6.6127000000000002</v>
      </c>
      <c r="J212">
        <v>2.4198</v>
      </c>
      <c r="K212">
        <v>0</v>
      </c>
      <c r="L212">
        <v>10.5305</v>
      </c>
      <c r="M212">
        <v>0</v>
      </c>
    </row>
    <row r="213" spans="1:13" x14ac:dyDescent="0.25">
      <c r="A213" t="s">
        <v>12</v>
      </c>
      <c r="B213" t="s">
        <v>8</v>
      </c>
      <c r="C213">
        <v>31</v>
      </c>
      <c r="D213">
        <v>1.0000000000000001E-5</v>
      </c>
      <c r="E213">
        <v>0.1</v>
      </c>
      <c r="F213" t="str">
        <f t="shared" si="3"/>
        <v>tree256_blurkernel7_31_0,00001_0,1</v>
      </c>
      <c r="G213">
        <v>3.436906</v>
      </c>
      <c r="H213">
        <v>36.544604999999997</v>
      </c>
      <c r="I213">
        <v>1.3047</v>
      </c>
      <c r="J213">
        <v>2.4198</v>
      </c>
      <c r="K213">
        <v>0</v>
      </c>
      <c r="L213">
        <v>7.3154000000000003</v>
      </c>
      <c r="M213">
        <v>0</v>
      </c>
    </row>
    <row r="214" spans="1:13" x14ac:dyDescent="0.25">
      <c r="A214" t="s">
        <v>12</v>
      </c>
      <c r="B214" t="s">
        <v>9</v>
      </c>
      <c r="C214">
        <v>31</v>
      </c>
      <c r="D214">
        <v>1.0000000000000001E-5</v>
      </c>
      <c r="E214">
        <v>1E-4</v>
      </c>
      <c r="F214" t="str">
        <f t="shared" si="3"/>
        <v>tree256_blurkernel8_31_0,00001_0,0001</v>
      </c>
      <c r="G214">
        <v>21.954425000000001</v>
      </c>
      <c r="H214">
        <v>38.325780999999999</v>
      </c>
      <c r="I214">
        <v>25.646699999999999</v>
      </c>
      <c r="J214">
        <v>2.5013000000000001</v>
      </c>
      <c r="K214">
        <v>0</v>
      </c>
      <c r="L214">
        <v>24.2319</v>
      </c>
      <c r="M214">
        <v>0</v>
      </c>
    </row>
    <row r="215" spans="1:13" x14ac:dyDescent="0.25">
      <c r="A215" t="s">
        <v>12</v>
      </c>
      <c r="B215" t="s">
        <v>9</v>
      </c>
      <c r="C215">
        <v>31</v>
      </c>
      <c r="D215">
        <v>1.0000000000000001E-5</v>
      </c>
      <c r="E215">
        <v>1E-3</v>
      </c>
      <c r="F215" t="str">
        <f t="shared" si="3"/>
        <v>tree256_blurkernel8_31_0,00001_0,001</v>
      </c>
      <c r="G215">
        <v>8.8831900000000008</v>
      </c>
      <c r="H215">
        <v>36.595289000000001</v>
      </c>
      <c r="I215">
        <v>15.698399999999999</v>
      </c>
      <c r="J215">
        <v>2.5013000000000001</v>
      </c>
      <c r="K215">
        <v>0</v>
      </c>
      <c r="L215">
        <v>15.8531</v>
      </c>
      <c r="M215">
        <v>0</v>
      </c>
    </row>
    <row r="216" spans="1:13" x14ac:dyDescent="0.25">
      <c r="A216" t="s">
        <v>12</v>
      </c>
      <c r="B216" t="s">
        <v>9</v>
      </c>
      <c r="C216">
        <v>31</v>
      </c>
      <c r="D216">
        <v>1.0000000000000001E-5</v>
      </c>
      <c r="E216">
        <v>0.01</v>
      </c>
      <c r="F216" t="str">
        <f t="shared" si="3"/>
        <v>tree256_blurkernel8_31_0,00001_0,01</v>
      </c>
      <c r="G216">
        <v>5.5687860000000002</v>
      </c>
      <c r="H216">
        <v>36.475808000000001</v>
      </c>
      <c r="I216">
        <v>6.6559999999999997</v>
      </c>
      <c r="J216">
        <v>2.5013000000000001</v>
      </c>
      <c r="K216">
        <v>0</v>
      </c>
      <c r="L216">
        <v>10.608700000000001</v>
      </c>
      <c r="M216">
        <v>0</v>
      </c>
    </row>
    <row r="217" spans="1:13" x14ac:dyDescent="0.25">
      <c r="A217" t="s">
        <v>12</v>
      </c>
      <c r="B217" t="s">
        <v>9</v>
      </c>
      <c r="C217">
        <v>31</v>
      </c>
      <c r="D217">
        <v>1.0000000000000001E-5</v>
      </c>
      <c r="E217">
        <v>0.1</v>
      </c>
      <c r="F217" t="str">
        <f t="shared" si="3"/>
        <v>tree256_blurkernel8_31_0,00001_0,1</v>
      </c>
      <c r="G217">
        <v>4.1147960000000001</v>
      </c>
      <c r="H217">
        <v>36.525795000000002</v>
      </c>
      <c r="I217">
        <v>1.2710999999999999</v>
      </c>
      <c r="J217">
        <v>2.5013000000000001</v>
      </c>
      <c r="K217">
        <v>0</v>
      </c>
      <c r="L217">
        <v>7.5681000000000003</v>
      </c>
      <c r="M217">
        <v>0</v>
      </c>
    </row>
    <row r="218" spans="1:13" x14ac:dyDescent="0.25">
      <c r="A218" t="s">
        <v>12</v>
      </c>
      <c r="B218" t="s">
        <v>10</v>
      </c>
      <c r="C218">
        <v>31</v>
      </c>
      <c r="D218">
        <v>1.0000000000000001E-5</v>
      </c>
      <c r="E218">
        <v>1E-4</v>
      </c>
      <c r="F218" t="str">
        <f t="shared" si="3"/>
        <v>tree256_line_31_0,00001_0,0001</v>
      </c>
      <c r="G218">
        <v>24.076516999999999</v>
      </c>
      <c r="H218">
        <v>37.588718999999998</v>
      </c>
      <c r="I218">
        <v>25.620699999999999</v>
      </c>
      <c r="J218">
        <v>2.3252000000000002</v>
      </c>
      <c r="K218">
        <v>0</v>
      </c>
      <c r="L218">
        <v>24.713999999999999</v>
      </c>
      <c r="M218">
        <v>0</v>
      </c>
    </row>
    <row r="219" spans="1:13" x14ac:dyDescent="0.25">
      <c r="A219" t="s">
        <v>12</v>
      </c>
      <c r="B219" t="s">
        <v>10</v>
      </c>
      <c r="C219">
        <v>31</v>
      </c>
      <c r="D219">
        <v>1.0000000000000001E-5</v>
      </c>
      <c r="E219">
        <v>1E-3</v>
      </c>
      <c r="F219" t="str">
        <f t="shared" si="3"/>
        <v>tree256_line_31_0,00001_0,001</v>
      </c>
      <c r="G219">
        <v>11.791567000000001</v>
      </c>
      <c r="H219">
        <v>36.204016000000003</v>
      </c>
      <c r="I219">
        <v>15.7248</v>
      </c>
      <c r="J219">
        <v>2.3252000000000002</v>
      </c>
      <c r="K219">
        <v>0</v>
      </c>
      <c r="L219">
        <v>15.4445</v>
      </c>
      <c r="M219">
        <v>0</v>
      </c>
    </row>
    <row r="220" spans="1:13" x14ac:dyDescent="0.25">
      <c r="A220" t="s">
        <v>12</v>
      </c>
      <c r="B220" t="s">
        <v>10</v>
      </c>
      <c r="C220">
        <v>31</v>
      </c>
      <c r="D220">
        <v>1.0000000000000001E-5</v>
      </c>
      <c r="E220">
        <v>0.01</v>
      </c>
      <c r="F220" t="str">
        <f t="shared" si="3"/>
        <v>tree256_line_31_0,00001_0,01</v>
      </c>
      <c r="G220">
        <v>7.0743400000000003</v>
      </c>
      <c r="H220">
        <v>36.415385000000001</v>
      </c>
      <c r="I220">
        <v>6.6318999999999999</v>
      </c>
      <c r="J220">
        <v>2.3252000000000002</v>
      </c>
      <c r="K220">
        <v>0</v>
      </c>
      <c r="L220">
        <v>7.9020999999999999</v>
      </c>
      <c r="M220">
        <v>0</v>
      </c>
    </row>
    <row r="221" spans="1:13" x14ac:dyDescent="0.25">
      <c r="A221" t="s">
        <v>12</v>
      </c>
      <c r="B221" t="s">
        <v>10</v>
      </c>
      <c r="C221">
        <v>31</v>
      </c>
      <c r="D221">
        <v>1.0000000000000001E-5</v>
      </c>
      <c r="E221">
        <v>0.1</v>
      </c>
      <c r="F221" t="str">
        <f t="shared" si="3"/>
        <v>tree256_line_31_0,00001_0,1</v>
      </c>
      <c r="G221">
        <v>4.446142</v>
      </c>
      <c r="H221">
        <v>36.596992</v>
      </c>
      <c r="I221">
        <v>1.2830999999999999</v>
      </c>
      <c r="J221">
        <v>2.3252000000000002</v>
      </c>
      <c r="K221">
        <v>0</v>
      </c>
      <c r="L221">
        <v>4.5087000000000002</v>
      </c>
      <c r="M221">
        <v>0</v>
      </c>
    </row>
    <row r="222" spans="1:13" x14ac:dyDescent="0.25">
      <c r="A222" t="s">
        <v>12</v>
      </c>
      <c r="B222" t="s">
        <v>11</v>
      </c>
      <c r="C222">
        <v>31</v>
      </c>
      <c r="D222">
        <v>1.0000000000000001E-5</v>
      </c>
      <c r="E222">
        <v>1E-4</v>
      </c>
      <c r="F222" t="str">
        <f t="shared" si="3"/>
        <v>tree256_blurkernel10_31_0,00001_0,0001</v>
      </c>
      <c r="G222">
        <v>22.085160999999999</v>
      </c>
      <c r="H222">
        <v>38.204839999999997</v>
      </c>
      <c r="I222">
        <v>25.601900000000001</v>
      </c>
      <c r="J222">
        <v>2.5867</v>
      </c>
      <c r="K222">
        <v>0</v>
      </c>
      <c r="L222">
        <v>23.9483</v>
      </c>
      <c r="M222">
        <v>0</v>
      </c>
    </row>
    <row r="223" spans="1:13" x14ac:dyDescent="0.25">
      <c r="A223" t="s">
        <v>12</v>
      </c>
      <c r="B223" t="s">
        <v>11</v>
      </c>
      <c r="C223">
        <v>31</v>
      </c>
      <c r="D223">
        <v>1.0000000000000001E-5</v>
      </c>
      <c r="E223">
        <v>1E-3</v>
      </c>
      <c r="F223" t="str">
        <f t="shared" si="3"/>
        <v>tree256_blurkernel10_31_0,00001_0,001</v>
      </c>
      <c r="G223">
        <v>9.1245139999999996</v>
      </c>
      <c r="H223">
        <v>36.476284</v>
      </c>
      <c r="I223">
        <v>15.7172</v>
      </c>
      <c r="J223">
        <v>2.5867</v>
      </c>
      <c r="K223">
        <v>0</v>
      </c>
      <c r="L223">
        <v>15.8172</v>
      </c>
      <c r="M223">
        <v>0</v>
      </c>
    </row>
    <row r="224" spans="1:13" x14ac:dyDescent="0.25">
      <c r="A224" t="s">
        <v>12</v>
      </c>
      <c r="B224" t="s">
        <v>11</v>
      </c>
      <c r="C224">
        <v>31</v>
      </c>
      <c r="D224">
        <v>1.0000000000000001E-5</v>
      </c>
      <c r="E224">
        <v>0.01</v>
      </c>
      <c r="F224" t="str">
        <f t="shared" si="3"/>
        <v>tree256_blurkernel10_31_0,00001_0,01</v>
      </c>
      <c r="G224">
        <v>5.6277949999999999</v>
      </c>
      <c r="H224">
        <v>36.385145999999999</v>
      </c>
      <c r="I224">
        <v>6.6463999999999999</v>
      </c>
      <c r="J224">
        <v>2.5867</v>
      </c>
      <c r="K224">
        <v>0</v>
      </c>
      <c r="L224">
        <v>10.755100000000001</v>
      </c>
      <c r="M224">
        <v>0</v>
      </c>
    </row>
    <row r="225" spans="1:13" x14ac:dyDescent="0.25">
      <c r="A225" t="s">
        <v>12</v>
      </c>
      <c r="B225" t="s">
        <v>11</v>
      </c>
      <c r="C225">
        <v>31</v>
      </c>
      <c r="D225">
        <v>1.0000000000000001E-5</v>
      </c>
      <c r="E225">
        <v>0.1</v>
      </c>
      <c r="F225" t="str">
        <f t="shared" si="3"/>
        <v>tree256_blurkernel10_31_0,00001_0,1</v>
      </c>
      <c r="G225">
        <v>4.0006979999999999</v>
      </c>
      <c r="H225">
        <v>36.448644000000002</v>
      </c>
      <c r="I225">
        <v>1.2810999999999999</v>
      </c>
      <c r="J225">
        <v>2.5867</v>
      </c>
      <c r="K225">
        <v>0</v>
      </c>
      <c r="L225">
        <v>7.6505999999999998</v>
      </c>
      <c r="M225">
        <v>0</v>
      </c>
    </row>
    <row r="226" spans="1:13" x14ac:dyDescent="0.25">
      <c r="A226" t="s">
        <v>13</v>
      </c>
      <c r="B226" t="s">
        <v>8</v>
      </c>
      <c r="C226">
        <v>31</v>
      </c>
      <c r="D226">
        <v>1.0000000000000001E-5</v>
      </c>
      <c r="E226">
        <v>1E-4</v>
      </c>
      <c r="F226" t="str">
        <f t="shared" si="3"/>
        <v>text256_blurkernel7_31_0,00001_0,0001</v>
      </c>
      <c r="G226">
        <v>11.521022</v>
      </c>
      <c r="H226">
        <v>72.830184000000003</v>
      </c>
      <c r="I226">
        <v>31.126000000000001</v>
      </c>
      <c r="J226">
        <v>0.78439999999999999</v>
      </c>
      <c r="K226">
        <v>0</v>
      </c>
      <c r="L226">
        <v>30.9206</v>
      </c>
      <c r="M226">
        <v>0</v>
      </c>
    </row>
    <row r="227" spans="1:13" x14ac:dyDescent="0.25">
      <c r="A227" t="s">
        <v>13</v>
      </c>
      <c r="B227" t="s">
        <v>8</v>
      </c>
      <c r="C227">
        <v>31</v>
      </c>
      <c r="D227">
        <v>1.0000000000000001E-5</v>
      </c>
      <c r="E227">
        <v>1E-3</v>
      </c>
      <c r="F227" t="str">
        <f t="shared" si="3"/>
        <v>text256_blurkernel7_31_0,00001_0,001</v>
      </c>
      <c r="G227">
        <v>4.4013270000000002</v>
      </c>
      <c r="H227">
        <v>69.619961000000004</v>
      </c>
      <c r="I227">
        <v>21.083500000000001</v>
      </c>
      <c r="J227">
        <v>0.78439999999999999</v>
      </c>
      <c r="K227">
        <v>0</v>
      </c>
      <c r="L227">
        <v>21.665099999999999</v>
      </c>
      <c r="M227">
        <v>0</v>
      </c>
    </row>
    <row r="228" spans="1:13" x14ac:dyDescent="0.25">
      <c r="A228" t="s">
        <v>13</v>
      </c>
      <c r="B228" t="s">
        <v>8</v>
      </c>
      <c r="C228">
        <v>31</v>
      </c>
      <c r="D228">
        <v>1.0000000000000001E-5</v>
      </c>
      <c r="E228">
        <v>0.01</v>
      </c>
      <c r="F228" t="str">
        <f t="shared" si="3"/>
        <v>text256_blurkernel7_31_0,00001_0,01</v>
      </c>
      <c r="G228">
        <v>1.9716720000000001</v>
      </c>
      <c r="H228">
        <v>69.519779</v>
      </c>
      <c r="I228">
        <v>11.211499999999999</v>
      </c>
      <c r="J228">
        <v>0.78439999999999999</v>
      </c>
      <c r="K228">
        <v>0</v>
      </c>
      <c r="L228">
        <v>9.1242999999999999</v>
      </c>
      <c r="M228">
        <v>0</v>
      </c>
    </row>
    <row r="229" spans="1:13" x14ac:dyDescent="0.25">
      <c r="A229" t="s">
        <v>13</v>
      </c>
      <c r="B229" t="s">
        <v>8</v>
      </c>
      <c r="C229">
        <v>31</v>
      </c>
      <c r="D229">
        <v>1.0000000000000001E-5</v>
      </c>
      <c r="E229">
        <v>0.1</v>
      </c>
      <c r="F229" t="str">
        <f t="shared" si="3"/>
        <v>text256_blurkernel7_31_0,00001_0,1</v>
      </c>
      <c r="G229">
        <v>2.5616690000000002</v>
      </c>
      <c r="H229">
        <v>69.305104</v>
      </c>
      <c r="I229">
        <v>2.766</v>
      </c>
      <c r="J229">
        <v>0.78439999999999999</v>
      </c>
      <c r="K229">
        <v>0</v>
      </c>
      <c r="L229">
        <v>7.7367999999999997</v>
      </c>
      <c r="M229">
        <v>0</v>
      </c>
    </row>
    <row r="230" spans="1:13" x14ac:dyDescent="0.25">
      <c r="A230" t="s">
        <v>13</v>
      </c>
      <c r="B230" t="s">
        <v>9</v>
      </c>
      <c r="C230">
        <v>31</v>
      </c>
      <c r="D230">
        <v>1.0000000000000001E-5</v>
      </c>
      <c r="E230">
        <v>1E-4</v>
      </c>
      <c r="F230" t="str">
        <f t="shared" si="3"/>
        <v>text256_blurkernel8_31_0,00001_0,0001</v>
      </c>
      <c r="G230">
        <v>11.672393</v>
      </c>
      <c r="H230">
        <v>72.678031000000004</v>
      </c>
      <c r="I230">
        <v>31.147500000000001</v>
      </c>
      <c r="J230">
        <v>0.86650000000000005</v>
      </c>
      <c r="K230">
        <v>0</v>
      </c>
      <c r="L230">
        <v>29.962599999999998</v>
      </c>
      <c r="M230">
        <v>0</v>
      </c>
    </row>
    <row r="231" spans="1:13" x14ac:dyDescent="0.25">
      <c r="A231" t="s">
        <v>13</v>
      </c>
      <c r="B231" t="s">
        <v>9</v>
      </c>
      <c r="C231">
        <v>31</v>
      </c>
      <c r="D231">
        <v>1.0000000000000001E-5</v>
      </c>
      <c r="E231">
        <v>1E-3</v>
      </c>
      <c r="F231" t="str">
        <f t="shared" si="3"/>
        <v>text256_blurkernel8_31_0,00001_0,001</v>
      </c>
      <c r="G231">
        <v>4.8286410000000002</v>
      </c>
      <c r="H231">
        <v>69.462635000000006</v>
      </c>
      <c r="I231">
        <v>21.092199999999998</v>
      </c>
      <c r="J231">
        <v>0.86650000000000005</v>
      </c>
      <c r="K231">
        <v>0</v>
      </c>
      <c r="L231">
        <v>21.293399999999998</v>
      </c>
      <c r="M231">
        <v>0</v>
      </c>
    </row>
    <row r="232" spans="1:13" x14ac:dyDescent="0.25">
      <c r="A232" t="s">
        <v>13</v>
      </c>
      <c r="B232" t="s">
        <v>9</v>
      </c>
      <c r="C232">
        <v>31</v>
      </c>
      <c r="D232">
        <v>1.0000000000000001E-5</v>
      </c>
      <c r="E232">
        <v>0.01</v>
      </c>
      <c r="F232" t="str">
        <f t="shared" si="3"/>
        <v>text256_blurkernel8_31_0,00001_0,01</v>
      </c>
      <c r="G232">
        <v>3.4802059999999999</v>
      </c>
      <c r="H232">
        <v>69.141686000000007</v>
      </c>
      <c r="I232">
        <v>11.172599999999999</v>
      </c>
      <c r="J232">
        <v>0.86650000000000005</v>
      </c>
      <c r="K232">
        <v>0</v>
      </c>
      <c r="L232">
        <v>13.7052</v>
      </c>
      <c r="M232">
        <v>0</v>
      </c>
    </row>
    <row r="233" spans="1:13" x14ac:dyDescent="0.25">
      <c r="A233" t="s">
        <v>13</v>
      </c>
      <c r="B233" t="s">
        <v>9</v>
      </c>
      <c r="C233">
        <v>31</v>
      </c>
      <c r="D233">
        <v>1.0000000000000001E-5</v>
      </c>
      <c r="E233">
        <v>0.1</v>
      </c>
      <c r="F233" t="str">
        <f t="shared" si="3"/>
        <v>text256_blurkernel8_31_0,00001_0,1</v>
      </c>
      <c r="G233">
        <v>3.1240730000000001</v>
      </c>
      <c r="H233">
        <v>69.204763999999997</v>
      </c>
      <c r="I233">
        <v>2.7189999999999999</v>
      </c>
      <c r="J233">
        <v>0.86650000000000005</v>
      </c>
      <c r="K233">
        <v>0</v>
      </c>
      <c r="L233">
        <v>7.9705000000000004</v>
      </c>
      <c r="M233">
        <v>0</v>
      </c>
    </row>
    <row r="234" spans="1:13" x14ac:dyDescent="0.25">
      <c r="A234" t="s">
        <v>13</v>
      </c>
      <c r="B234" t="s">
        <v>10</v>
      </c>
      <c r="C234">
        <v>31</v>
      </c>
      <c r="D234">
        <v>1.0000000000000001E-5</v>
      </c>
      <c r="E234">
        <v>1E-4</v>
      </c>
      <c r="F234" t="str">
        <f t="shared" si="3"/>
        <v>text256_line_31_0,00001_0,0001</v>
      </c>
      <c r="G234">
        <v>12.893397999999999</v>
      </c>
      <c r="H234">
        <v>70.984235999999996</v>
      </c>
      <c r="I234">
        <v>31.128900000000002</v>
      </c>
      <c r="J234">
        <v>0.17710000000000001</v>
      </c>
      <c r="K234">
        <v>0</v>
      </c>
      <c r="L234">
        <v>31.149100000000001</v>
      </c>
      <c r="M234">
        <v>0</v>
      </c>
    </row>
    <row r="235" spans="1:13" x14ac:dyDescent="0.25">
      <c r="A235" t="s">
        <v>13</v>
      </c>
      <c r="B235" t="s">
        <v>10</v>
      </c>
      <c r="C235">
        <v>31</v>
      </c>
      <c r="D235">
        <v>1.0000000000000001E-5</v>
      </c>
      <c r="E235">
        <v>1E-3</v>
      </c>
      <c r="F235" t="str">
        <f t="shared" si="3"/>
        <v>text256_line_31_0,00001_0,001</v>
      </c>
      <c r="G235">
        <v>7.1925480000000004</v>
      </c>
      <c r="H235">
        <v>67.935063</v>
      </c>
      <c r="I235">
        <v>21.117000000000001</v>
      </c>
      <c r="J235">
        <v>0.17710000000000001</v>
      </c>
      <c r="K235">
        <v>0</v>
      </c>
      <c r="L235">
        <v>21.520800000000001</v>
      </c>
      <c r="M235">
        <v>0</v>
      </c>
    </row>
    <row r="236" spans="1:13" x14ac:dyDescent="0.25">
      <c r="A236" t="s">
        <v>13</v>
      </c>
      <c r="B236" t="s">
        <v>10</v>
      </c>
      <c r="C236">
        <v>31</v>
      </c>
      <c r="D236">
        <v>1.0000000000000001E-5</v>
      </c>
      <c r="E236">
        <v>0.01</v>
      </c>
      <c r="F236" t="str">
        <f t="shared" si="3"/>
        <v>text256_line_31_0,00001_0,01</v>
      </c>
      <c r="G236">
        <v>5.3732449999999998</v>
      </c>
      <c r="H236">
        <v>68.249542000000005</v>
      </c>
      <c r="I236">
        <v>11.1797</v>
      </c>
      <c r="J236">
        <v>0.17710000000000001</v>
      </c>
      <c r="K236">
        <v>0</v>
      </c>
      <c r="L236">
        <v>7.7976000000000001</v>
      </c>
      <c r="M236">
        <v>0</v>
      </c>
    </row>
    <row r="237" spans="1:13" x14ac:dyDescent="0.25">
      <c r="A237" t="s">
        <v>13</v>
      </c>
      <c r="B237" t="s">
        <v>10</v>
      </c>
      <c r="C237">
        <v>31</v>
      </c>
      <c r="D237">
        <v>1.0000000000000001E-5</v>
      </c>
      <c r="E237">
        <v>0.1</v>
      </c>
      <c r="F237" t="str">
        <f t="shared" si="3"/>
        <v>text256_line_31_0,00001_0,1</v>
      </c>
      <c r="G237">
        <v>3.977182</v>
      </c>
      <c r="H237">
        <v>68.884913999999995</v>
      </c>
      <c r="I237">
        <v>2.7561</v>
      </c>
      <c r="J237">
        <v>0.17710000000000001</v>
      </c>
      <c r="K237">
        <v>0</v>
      </c>
      <c r="L237">
        <v>2.5659000000000001</v>
      </c>
      <c r="M237">
        <v>0</v>
      </c>
    </row>
    <row r="238" spans="1:13" x14ac:dyDescent="0.25">
      <c r="A238" t="s">
        <v>13</v>
      </c>
      <c r="B238" t="s">
        <v>11</v>
      </c>
      <c r="C238">
        <v>31</v>
      </c>
      <c r="D238">
        <v>1.0000000000000001E-5</v>
      </c>
      <c r="E238">
        <v>1E-4</v>
      </c>
      <c r="F238" t="str">
        <f t="shared" si="3"/>
        <v>text256_blurkernel10_31_0,00001_0,0001</v>
      </c>
      <c r="G238">
        <v>11.750482</v>
      </c>
      <c r="H238">
        <v>72.540250999999998</v>
      </c>
      <c r="I238">
        <v>31.0928</v>
      </c>
      <c r="J238">
        <v>0.2387</v>
      </c>
      <c r="K238">
        <v>0</v>
      </c>
      <c r="L238">
        <v>28.2516</v>
      </c>
      <c r="M238">
        <v>0</v>
      </c>
    </row>
    <row r="239" spans="1:13" x14ac:dyDescent="0.25">
      <c r="A239" t="s">
        <v>13</v>
      </c>
      <c r="B239" t="s">
        <v>11</v>
      </c>
      <c r="C239">
        <v>31</v>
      </c>
      <c r="D239">
        <v>1.0000000000000001E-5</v>
      </c>
      <c r="E239">
        <v>1E-3</v>
      </c>
      <c r="F239" t="str">
        <f t="shared" si="3"/>
        <v>text256_blurkernel10_31_0,00001_0,001</v>
      </c>
      <c r="G239">
        <v>4.9964310000000003</v>
      </c>
      <c r="H239">
        <v>69.334665999999999</v>
      </c>
      <c r="I239">
        <v>21.146599999999999</v>
      </c>
      <c r="J239">
        <v>0.2387</v>
      </c>
      <c r="K239">
        <v>0</v>
      </c>
      <c r="L239">
        <v>20.0534</v>
      </c>
      <c r="M239">
        <v>0</v>
      </c>
    </row>
    <row r="240" spans="1:13" x14ac:dyDescent="0.25">
      <c r="A240" t="s">
        <v>13</v>
      </c>
      <c r="B240" t="s">
        <v>11</v>
      </c>
      <c r="C240">
        <v>31</v>
      </c>
      <c r="D240">
        <v>1.0000000000000001E-5</v>
      </c>
      <c r="E240">
        <v>0.01</v>
      </c>
      <c r="F240" t="str">
        <f t="shared" si="3"/>
        <v>text256_blurkernel10_31_0,00001_0,01</v>
      </c>
      <c r="G240">
        <v>3.671767</v>
      </c>
      <c r="H240">
        <v>69.030535</v>
      </c>
      <c r="I240">
        <v>11.203799999999999</v>
      </c>
      <c r="J240">
        <v>0.2387</v>
      </c>
      <c r="K240">
        <v>0</v>
      </c>
      <c r="L240">
        <v>13.5924</v>
      </c>
      <c r="M240">
        <v>0</v>
      </c>
    </row>
    <row r="241" spans="1:13" x14ac:dyDescent="0.25">
      <c r="A241" t="s">
        <v>13</v>
      </c>
      <c r="B241" t="s">
        <v>11</v>
      </c>
      <c r="C241">
        <v>31</v>
      </c>
      <c r="D241">
        <v>1.0000000000000001E-5</v>
      </c>
      <c r="E241">
        <v>0.1</v>
      </c>
      <c r="F241" t="str">
        <f t="shared" si="3"/>
        <v>text256_blurkernel10_31_0,00001_0,1</v>
      </c>
      <c r="G241">
        <v>3.2388150000000002</v>
      </c>
      <c r="H241">
        <v>69.129480000000001</v>
      </c>
      <c r="I241">
        <v>2.7185000000000001</v>
      </c>
      <c r="J241">
        <v>0.2387</v>
      </c>
      <c r="K241">
        <v>0</v>
      </c>
      <c r="L241">
        <v>8.0114000000000001</v>
      </c>
      <c r="M241">
        <v>0</v>
      </c>
    </row>
    <row r="242" spans="1:13" x14ac:dyDescent="0.25">
      <c r="A242" t="s">
        <v>14</v>
      </c>
      <c r="B242" t="s">
        <v>8</v>
      </c>
      <c r="C242">
        <v>31</v>
      </c>
      <c r="D242">
        <v>1.0000000000000001E-5</v>
      </c>
      <c r="E242">
        <v>1E-4</v>
      </c>
      <c r="F242" t="str">
        <f t="shared" si="3"/>
        <v>castle256_blurkernel7_31_0,00001_0,0001</v>
      </c>
      <c r="G242">
        <v>22.190076000000001</v>
      </c>
      <c r="H242">
        <v>37.837373999999997</v>
      </c>
      <c r="I242">
        <v>25.369700000000002</v>
      </c>
      <c r="J242">
        <v>6.6745000000000001</v>
      </c>
      <c r="K242">
        <v>0</v>
      </c>
      <c r="L242">
        <v>26.321200000000001</v>
      </c>
      <c r="M242">
        <v>0</v>
      </c>
    </row>
    <row r="243" spans="1:13" x14ac:dyDescent="0.25">
      <c r="A243" t="s">
        <v>14</v>
      </c>
      <c r="B243" t="s">
        <v>8</v>
      </c>
      <c r="C243">
        <v>31</v>
      </c>
      <c r="D243">
        <v>1.0000000000000001E-5</v>
      </c>
      <c r="E243">
        <v>1E-3</v>
      </c>
      <c r="F243" t="str">
        <f t="shared" si="3"/>
        <v>castle256_blurkernel7_31_0,00001_0,001</v>
      </c>
      <c r="G243">
        <v>8.1539420000000007</v>
      </c>
      <c r="H243">
        <v>36.212432999999997</v>
      </c>
      <c r="I243">
        <v>15.5267</v>
      </c>
      <c r="J243">
        <v>6.6745000000000001</v>
      </c>
      <c r="K243">
        <v>0</v>
      </c>
      <c r="L243">
        <v>19.241099999999999</v>
      </c>
      <c r="M243">
        <v>0</v>
      </c>
    </row>
    <row r="244" spans="1:13" x14ac:dyDescent="0.25">
      <c r="A244" t="s">
        <v>14</v>
      </c>
      <c r="B244" t="s">
        <v>8</v>
      </c>
      <c r="C244">
        <v>31</v>
      </c>
      <c r="D244">
        <v>1.0000000000000001E-5</v>
      </c>
      <c r="E244">
        <v>0.01</v>
      </c>
      <c r="F244" t="str">
        <f t="shared" si="3"/>
        <v>castle256_blurkernel7_31_0,00001_0,01</v>
      </c>
      <c r="G244">
        <v>4.3402430000000001</v>
      </c>
      <c r="H244">
        <v>36.082566</v>
      </c>
      <c r="I244">
        <v>6.4593999999999996</v>
      </c>
      <c r="J244">
        <v>6.6745000000000001</v>
      </c>
      <c r="K244">
        <v>0</v>
      </c>
      <c r="L244">
        <v>14.766</v>
      </c>
      <c r="M244">
        <v>0</v>
      </c>
    </row>
    <row r="245" spans="1:13" x14ac:dyDescent="0.25">
      <c r="A245" t="s">
        <v>14</v>
      </c>
      <c r="B245" t="s">
        <v>8</v>
      </c>
      <c r="C245">
        <v>31</v>
      </c>
      <c r="D245">
        <v>1.0000000000000001E-5</v>
      </c>
      <c r="E245">
        <v>0.1</v>
      </c>
      <c r="F245" t="str">
        <f t="shared" si="3"/>
        <v>castle256_blurkernel7_31_0,00001_0,1</v>
      </c>
      <c r="G245">
        <v>3.3676659999999998</v>
      </c>
      <c r="H245">
        <v>36.080246000000002</v>
      </c>
      <c r="I245">
        <v>1.2064999999999999</v>
      </c>
      <c r="J245">
        <v>6.6745000000000001</v>
      </c>
      <c r="K245">
        <v>0</v>
      </c>
      <c r="L245">
        <v>7.2641999999999998</v>
      </c>
      <c r="M245">
        <v>0</v>
      </c>
    </row>
    <row r="246" spans="1:13" x14ac:dyDescent="0.25">
      <c r="A246" t="s">
        <v>14</v>
      </c>
      <c r="B246" t="s">
        <v>9</v>
      </c>
      <c r="C246">
        <v>31</v>
      </c>
      <c r="D246">
        <v>1.0000000000000001E-5</v>
      </c>
      <c r="E246">
        <v>1E-4</v>
      </c>
      <c r="F246" t="str">
        <f t="shared" si="3"/>
        <v>castle256_blurkernel8_31_0,00001_0,0001</v>
      </c>
      <c r="G246">
        <v>22.494772000000001</v>
      </c>
      <c r="H246">
        <v>37.779212999999999</v>
      </c>
      <c r="I246">
        <v>25.421399999999998</v>
      </c>
      <c r="J246">
        <v>6.6219000000000001</v>
      </c>
      <c r="K246">
        <v>0</v>
      </c>
      <c r="L246">
        <v>26.249600000000001</v>
      </c>
      <c r="M246">
        <v>0</v>
      </c>
    </row>
    <row r="247" spans="1:13" x14ac:dyDescent="0.25">
      <c r="A247" t="s">
        <v>14</v>
      </c>
      <c r="B247" t="s">
        <v>9</v>
      </c>
      <c r="C247">
        <v>31</v>
      </c>
      <c r="D247">
        <v>1.0000000000000001E-5</v>
      </c>
      <c r="E247">
        <v>1E-3</v>
      </c>
      <c r="F247" t="str">
        <f t="shared" si="3"/>
        <v>castle256_blurkernel8_31_0,00001_0,001</v>
      </c>
      <c r="G247">
        <v>8.8751809999999995</v>
      </c>
      <c r="H247">
        <v>36.17727</v>
      </c>
      <c r="I247">
        <v>15.508699999999999</v>
      </c>
      <c r="J247">
        <v>6.6219000000000001</v>
      </c>
      <c r="K247">
        <v>0</v>
      </c>
      <c r="L247">
        <v>19.3781</v>
      </c>
      <c r="M247">
        <v>0</v>
      </c>
    </row>
    <row r="248" spans="1:13" x14ac:dyDescent="0.25">
      <c r="A248" t="s">
        <v>14</v>
      </c>
      <c r="B248" t="s">
        <v>9</v>
      </c>
      <c r="C248">
        <v>31</v>
      </c>
      <c r="D248">
        <v>1.0000000000000001E-5</v>
      </c>
      <c r="E248">
        <v>0.01</v>
      </c>
      <c r="F248" t="str">
        <f t="shared" si="3"/>
        <v>castle256_blurkernel8_31_0,00001_0,01</v>
      </c>
      <c r="G248">
        <v>5.0668170000000003</v>
      </c>
      <c r="H248">
        <v>36.089548999999998</v>
      </c>
      <c r="I248">
        <v>6.4798</v>
      </c>
      <c r="J248">
        <v>6.6219000000000001</v>
      </c>
      <c r="K248">
        <v>0</v>
      </c>
      <c r="L248">
        <v>14.895899999999999</v>
      </c>
      <c r="M248">
        <v>0</v>
      </c>
    </row>
    <row r="249" spans="1:13" x14ac:dyDescent="0.25">
      <c r="A249" t="s">
        <v>14</v>
      </c>
      <c r="B249" t="s">
        <v>9</v>
      </c>
      <c r="C249">
        <v>31</v>
      </c>
      <c r="D249">
        <v>1.0000000000000001E-5</v>
      </c>
      <c r="E249">
        <v>0.1</v>
      </c>
      <c r="F249" t="str">
        <f t="shared" si="3"/>
        <v>castle256_blurkernel8_31_0,00001_0,1</v>
      </c>
      <c r="G249">
        <v>3.7415060000000002</v>
      </c>
      <c r="H249">
        <v>36.117576</v>
      </c>
      <c r="I249">
        <v>1.2290000000000001</v>
      </c>
      <c r="J249">
        <v>6.6219000000000001</v>
      </c>
      <c r="K249">
        <v>0</v>
      </c>
      <c r="L249">
        <v>8.6898</v>
      </c>
      <c r="M249">
        <v>0</v>
      </c>
    </row>
    <row r="250" spans="1:13" x14ac:dyDescent="0.25">
      <c r="A250" t="s">
        <v>14</v>
      </c>
      <c r="B250" t="s">
        <v>10</v>
      </c>
      <c r="C250">
        <v>31</v>
      </c>
      <c r="D250">
        <v>1.0000000000000001E-5</v>
      </c>
      <c r="E250">
        <v>1E-4</v>
      </c>
      <c r="F250" t="str">
        <f t="shared" si="3"/>
        <v>castle256_line_31_0,00001_0,0001</v>
      </c>
      <c r="G250">
        <v>24.487696</v>
      </c>
      <c r="H250">
        <v>36.849814000000002</v>
      </c>
      <c r="I250">
        <v>25.3811</v>
      </c>
      <c r="J250">
        <v>5.7568999999999999</v>
      </c>
      <c r="K250">
        <v>0</v>
      </c>
      <c r="L250">
        <v>26.421299999999999</v>
      </c>
      <c r="M250">
        <v>0</v>
      </c>
    </row>
    <row r="251" spans="1:13" x14ac:dyDescent="0.25">
      <c r="A251" t="s">
        <v>14</v>
      </c>
      <c r="B251" t="s">
        <v>10</v>
      </c>
      <c r="C251">
        <v>31</v>
      </c>
      <c r="D251">
        <v>1.0000000000000001E-5</v>
      </c>
      <c r="E251">
        <v>1E-3</v>
      </c>
      <c r="F251" t="str">
        <f t="shared" si="3"/>
        <v>castle256_line_31_0,00001_0,001</v>
      </c>
      <c r="G251">
        <v>10.605297</v>
      </c>
      <c r="H251">
        <v>35.686950000000003</v>
      </c>
      <c r="I251">
        <v>15.533099999999999</v>
      </c>
      <c r="J251">
        <v>5.7568999999999999</v>
      </c>
      <c r="K251">
        <v>0</v>
      </c>
      <c r="L251">
        <v>19.031700000000001</v>
      </c>
      <c r="M251">
        <v>0</v>
      </c>
    </row>
    <row r="252" spans="1:13" x14ac:dyDescent="0.25">
      <c r="A252" t="s">
        <v>14</v>
      </c>
      <c r="B252" t="s">
        <v>10</v>
      </c>
      <c r="C252">
        <v>31</v>
      </c>
      <c r="D252">
        <v>1.0000000000000001E-5</v>
      </c>
      <c r="E252">
        <v>0.01</v>
      </c>
      <c r="F252" t="str">
        <f t="shared" si="3"/>
        <v>castle256_line_31_0,00001_0,01</v>
      </c>
      <c r="G252">
        <v>5.7717219999999996</v>
      </c>
      <c r="H252">
        <v>35.789613000000003</v>
      </c>
      <c r="I252">
        <v>6.5075000000000003</v>
      </c>
      <c r="J252">
        <v>5.7568999999999999</v>
      </c>
      <c r="K252">
        <v>0</v>
      </c>
      <c r="L252">
        <v>12.9001</v>
      </c>
      <c r="M252">
        <v>0</v>
      </c>
    </row>
    <row r="253" spans="1:13" x14ac:dyDescent="0.25">
      <c r="A253" t="s">
        <v>14</v>
      </c>
      <c r="B253" t="s">
        <v>10</v>
      </c>
      <c r="C253">
        <v>31</v>
      </c>
      <c r="D253">
        <v>1.0000000000000001E-5</v>
      </c>
      <c r="E253">
        <v>0.1</v>
      </c>
      <c r="F253" t="str">
        <f t="shared" si="3"/>
        <v>castle256_line_31_0,00001_0,1</v>
      </c>
      <c r="G253">
        <v>3.627373</v>
      </c>
      <c r="H253">
        <v>35.882668000000002</v>
      </c>
      <c r="I253">
        <v>1.1975</v>
      </c>
      <c r="J253">
        <v>5.7568999999999999</v>
      </c>
      <c r="K253">
        <v>0</v>
      </c>
      <c r="L253">
        <v>6.7081</v>
      </c>
      <c r="M253">
        <v>0</v>
      </c>
    </row>
    <row r="254" spans="1:13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3"/>
        <v>castle256_blurkernel10_31_0,00001_0,0001</v>
      </c>
      <c r="G254">
        <v>22.663907999999999</v>
      </c>
      <c r="H254">
        <v>37.583651000000003</v>
      </c>
      <c r="I254">
        <v>25.359500000000001</v>
      </c>
      <c r="J254">
        <v>6.2131999999999996</v>
      </c>
      <c r="K254">
        <v>0</v>
      </c>
      <c r="L254">
        <v>26.246500000000001</v>
      </c>
      <c r="M254">
        <v>0</v>
      </c>
    </row>
    <row r="255" spans="1:13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3"/>
        <v>castle256_blurkernel10_31_0,00001_0,001</v>
      </c>
      <c r="G255">
        <v>9.1098169999999996</v>
      </c>
      <c r="H255">
        <v>35.988005999999999</v>
      </c>
      <c r="I255">
        <v>15.519600000000001</v>
      </c>
      <c r="J255">
        <v>6.2131999999999996</v>
      </c>
      <c r="K255">
        <v>0</v>
      </c>
      <c r="L255">
        <v>19.8352</v>
      </c>
      <c r="M255">
        <v>0</v>
      </c>
    </row>
    <row r="256" spans="1:13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3"/>
        <v>castle256_blurkernel10_31_0,00001_0,01</v>
      </c>
      <c r="G256">
        <v>5.3080870000000004</v>
      </c>
      <c r="H256">
        <v>35.9101</v>
      </c>
      <c r="I256">
        <v>6.4694000000000003</v>
      </c>
      <c r="J256">
        <v>6.2131999999999996</v>
      </c>
      <c r="K256">
        <v>0</v>
      </c>
      <c r="L256">
        <v>15.5495</v>
      </c>
      <c r="M256">
        <v>0</v>
      </c>
    </row>
    <row r="257" spans="1:13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3"/>
        <v>castle256_blurkernel10_31_0,00001_0,1</v>
      </c>
      <c r="G257">
        <v>3.684018</v>
      </c>
      <c r="H257">
        <v>35.960791999999998</v>
      </c>
      <c r="I257">
        <v>1.1708000000000001</v>
      </c>
      <c r="J257">
        <v>6.2131999999999996</v>
      </c>
      <c r="K257">
        <v>0</v>
      </c>
      <c r="L257">
        <v>8.2082999999999995</v>
      </c>
      <c r="M257">
        <v>0</v>
      </c>
    </row>
  </sheetData>
  <autoFilter ref="A1:M2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85"/>
  <sheetViews>
    <sheetView workbookViewId="0">
      <pane ySplit="1" topLeftCell="A2" activePane="bottomLeft" state="frozen"/>
      <selection pane="bottomLeft" activeCell="D35" sqref="D3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0</v>
      </c>
      <c r="L2">
        <v>0</v>
      </c>
      <c r="M2">
        <v>29.330400000000001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0</v>
      </c>
      <c r="L3">
        <v>0</v>
      </c>
      <c r="M3">
        <v>22.180499999999999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0</v>
      </c>
      <c r="L4">
        <v>0</v>
      </c>
      <c r="M4">
        <v>15.7753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0</v>
      </c>
      <c r="L5">
        <v>0</v>
      </c>
      <c r="M5">
        <v>10.326599999999999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0</v>
      </c>
      <c r="L6">
        <v>0</v>
      </c>
      <c r="M6">
        <v>29.376999999999999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0</v>
      </c>
      <c r="L7">
        <v>0</v>
      </c>
      <c r="M7">
        <v>22.194700000000001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0</v>
      </c>
      <c r="L8">
        <v>0</v>
      </c>
      <c r="M8">
        <v>15.901400000000001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0</v>
      </c>
      <c r="L9">
        <v>0</v>
      </c>
      <c r="M9">
        <v>10.2119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0</v>
      </c>
      <c r="L10">
        <v>0</v>
      </c>
      <c r="M10">
        <v>29.338799999999999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0</v>
      </c>
      <c r="L11">
        <v>0</v>
      </c>
      <c r="M11">
        <v>22.134399999999999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0</v>
      </c>
      <c r="L12">
        <v>0</v>
      </c>
      <c r="M12">
        <v>15.8233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0</v>
      </c>
      <c r="L13">
        <v>0</v>
      </c>
      <c r="M13">
        <v>10.2546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0</v>
      </c>
      <c r="L14">
        <v>0</v>
      </c>
      <c r="M14">
        <v>29.312200000000001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0</v>
      </c>
      <c r="L15">
        <v>0</v>
      </c>
      <c r="M15">
        <v>22.143999999999998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0</v>
      </c>
      <c r="L16">
        <v>0</v>
      </c>
      <c r="M16">
        <v>15.7689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0</v>
      </c>
      <c r="L17">
        <v>0</v>
      </c>
      <c r="M17">
        <v>10.2241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0</v>
      </c>
      <c r="L18">
        <v>0</v>
      </c>
      <c r="M18">
        <v>29.2837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0</v>
      </c>
      <c r="L19">
        <v>0</v>
      </c>
      <c r="M19">
        <v>22.266200000000001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0</v>
      </c>
      <c r="L20">
        <v>0</v>
      </c>
      <c r="M20">
        <v>15.7864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0</v>
      </c>
      <c r="L21">
        <v>0</v>
      </c>
      <c r="M21">
        <v>10.2165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0</v>
      </c>
      <c r="L22">
        <v>0</v>
      </c>
      <c r="M22">
        <v>29.328099999999999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0</v>
      </c>
      <c r="L23">
        <v>0</v>
      </c>
      <c r="M23">
        <v>22.172599999999999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0</v>
      </c>
      <c r="L24">
        <v>0</v>
      </c>
      <c r="M24">
        <v>15.7791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0</v>
      </c>
      <c r="L25">
        <v>0</v>
      </c>
      <c r="M25">
        <v>10.3835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0</v>
      </c>
      <c r="L26">
        <v>0</v>
      </c>
      <c r="M26">
        <v>29.3401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0</v>
      </c>
      <c r="L27">
        <v>0</v>
      </c>
      <c r="M27">
        <v>22.2196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0</v>
      </c>
      <c r="L28">
        <v>0</v>
      </c>
      <c r="M28">
        <v>15.865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0</v>
      </c>
      <c r="L29">
        <v>0</v>
      </c>
      <c r="M29">
        <v>10.468999999999999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0</v>
      </c>
      <c r="L30">
        <v>0</v>
      </c>
      <c r="M30">
        <v>29.304200000000002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0</v>
      </c>
      <c r="L31">
        <v>0</v>
      </c>
      <c r="M31">
        <v>22.1128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0</v>
      </c>
      <c r="L32">
        <v>0</v>
      </c>
      <c r="M32">
        <v>15.8598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0</v>
      </c>
      <c r="L33">
        <v>0</v>
      </c>
      <c r="M33">
        <v>10.335100000000001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0</v>
      </c>
      <c r="L34">
        <v>0</v>
      </c>
      <c r="M34">
        <v>29.3353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0</v>
      </c>
      <c r="L35">
        <v>0</v>
      </c>
      <c r="M35">
        <v>22.122599999999998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0</v>
      </c>
      <c r="L36">
        <v>0</v>
      </c>
      <c r="M36">
        <v>15.8719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0</v>
      </c>
      <c r="L37">
        <v>0</v>
      </c>
      <c r="M37">
        <v>10.2873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0</v>
      </c>
      <c r="L38">
        <v>0</v>
      </c>
      <c r="M38">
        <v>29.293199999999999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0</v>
      </c>
      <c r="L39">
        <v>0</v>
      </c>
      <c r="M39">
        <v>22.2117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0</v>
      </c>
      <c r="L40">
        <v>0</v>
      </c>
      <c r="M40">
        <v>15.869899999999999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0</v>
      </c>
      <c r="L41">
        <v>0</v>
      </c>
      <c r="M41">
        <v>10.245699999999999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0</v>
      </c>
      <c r="L42">
        <v>0</v>
      </c>
      <c r="M42">
        <v>29.292899999999999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0</v>
      </c>
      <c r="L43">
        <v>0</v>
      </c>
      <c r="M43">
        <v>22.130700000000001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0</v>
      </c>
      <c r="L44">
        <v>0</v>
      </c>
      <c r="M44">
        <v>15.8378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0</v>
      </c>
      <c r="L45">
        <v>0</v>
      </c>
      <c r="M45">
        <v>10.383699999999999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0</v>
      </c>
      <c r="L46">
        <v>0</v>
      </c>
      <c r="M46">
        <v>29.294699999999999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0</v>
      </c>
      <c r="L47">
        <v>0</v>
      </c>
      <c r="M47">
        <v>22.171800000000001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0</v>
      </c>
      <c r="L48">
        <v>0</v>
      </c>
      <c r="M48">
        <v>15.866199999999999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0</v>
      </c>
      <c r="L49">
        <v>0</v>
      </c>
      <c r="M49">
        <v>10.352499999999999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0</v>
      </c>
      <c r="L50">
        <v>0</v>
      </c>
      <c r="M50">
        <v>29.281600000000001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0</v>
      </c>
      <c r="L51">
        <v>0</v>
      </c>
      <c r="M51">
        <v>22.180199999999999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0</v>
      </c>
      <c r="L52">
        <v>0</v>
      </c>
      <c r="M52">
        <v>15.8774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0</v>
      </c>
      <c r="L53">
        <v>0</v>
      </c>
      <c r="M53">
        <v>10.195499999999999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0</v>
      </c>
      <c r="L54">
        <v>0</v>
      </c>
      <c r="M54">
        <v>29.330200000000001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0</v>
      </c>
      <c r="L55">
        <v>0</v>
      </c>
      <c r="M55">
        <v>22.197500000000002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0</v>
      </c>
      <c r="L56">
        <v>0</v>
      </c>
      <c r="M56">
        <v>15.8704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0</v>
      </c>
      <c r="L57">
        <v>0</v>
      </c>
      <c r="M57">
        <v>10.3871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0</v>
      </c>
      <c r="L58">
        <v>0</v>
      </c>
      <c r="M58">
        <v>29.324400000000001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0</v>
      </c>
      <c r="L59">
        <v>0</v>
      </c>
      <c r="M59">
        <v>22.188600000000001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0</v>
      </c>
      <c r="L60">
        <v>0</v>
      </c>
      <c r="M60">
        <v>15.8621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0</v>
      </c>
      <c r="L61">
        <v>0</v>
      </c>
      <c r="M61">
        <v>10.1935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0</v>
      </c>
      <c r="L62">
        <v>0</v>
      </c>
      <c r="M62">
        <v>29.2973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0</v>
      </c>
      <c r="L63">
        <v>0</v>
      </c>
      <c r="M63">
        <v>22.174099999999999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0</v>
      </c>
      <c r="L64">
        <v>0</v>
      </c>
      <c r="M64">
        <v>15.753500000000001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0</v>
      </c>
      <c r="L65">
        <v>0</v>
      </c>
      <c r="M65">
        <v>10.382199999999999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0</v>
      </c>
      <c r="L66">
        <v>0</v>
      </c>
      <c r="M66">
        <v>29.319199999999999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0</v>
      </c>
      <c r="L67">
        <v>0</v>
      </c>
      <c r="M67">
        <v>22.156400000000001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0</v>
      </c>
      <c r="L68">
        <v>0</v>
      </c>
      <c r="M68">
        <v>15.759600000000001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0</v>
      </c>
      <c r="L69">
        <v>0</v>
      </c>
      <c r="M69">
        <v>10.268000000000001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0</v>
      </c>
      <c r="L70">
        <v>0</v>
      </c>
      <c r="M70">
        <v>29.358499999999999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0</v>
      </c>
      <c r="L71">
        <v>0</v>
      </c>
      <c r="M71">
        <v>22.171199999999999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0</v>
      </c>
      <c r="L72">
        <v>0</v>
      </c>
      <c r="M72">
        <v>15.7842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0</v>
      </c>
      <c r="L73">
        <v>0</v>
      </c>
      <c r="M73">
        <v>10.315799999999999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0</v>
      </c>
      <c r="L74">
        <v>0</v>
      </c>
      <c r="M74">
        <v>29.3583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0</v>
      </c>
      <c r="L75">
        <v>0</v>
      </c>
      <c r="M75">
        <v>22.151399999999999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0</v>
      </c>
      <c r="L76">
        <v>0</v>
      </c>
      <c r="M76">
        <v>15.8941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0</v>
      </c>
      <c r="L77">
        <v>0</v>
      </c>
      <c r="M77">
        <v>10.326499999999999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0</v>
      </c>
      <c r="L78">
        <v>0</v>
      </c>
      <c r="M78">
        <v>29.289400000000001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0</v>
      </c>
      <c r="L79">
        <v>0</v>
      </c>
      <c r="M79">
        <v>22.087900000000001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0</v>
      </c>
      <c r="L80">
        <v>0</v>
      </c>
      <c r="M80">
        <v>15.7371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0</v>
      </c>
      <c r="L81">
        <v>0</v>
      </c>
      <c r="M81">
        <v>10.318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0</v>
      </c>
      <c r="L82">
        <v>0</v>
      </c>
      <c r="M82">
        <v>25.755199999999999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0</v>
      </c>
      <c r="L83">
        <v>0</v>
      </c>
      <c r="M83">
        <v>16.6891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0</v>
      </c>
      <c r="L84">
        <v>0</v>
      </c>
      <c r="M84">
        <v>9.8323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0</v>
      </c>
      <c r="L85">
        <v>0</v>
      </c>
      <c r="M85">
        <v>5.1035000000000004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0</v>
      </c>
      <c r="L86">
        <v>0</v>
      </c>
      <c r="M86">
        <v>25.7637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0</v>
      </c>
      <c r="L87">
        <v>0</v>
      </c>
      <c r="M87">
        <v>16.736799999999999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0</v>
      </c>
      <c r="L88">
        <v>0</v>
      </c>
      <c r="M88">
        <v>9.7920999999999996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0</v>
      </c>
      <c r="L89">
        <v>0</v>
      </c>
      <c r="M89">
        <v>5.0496999999999996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0</v>
      </c>
      <c r="L90">
        <v>0</v>
      </c>
      <c r="M90">
        <v>25.7517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0</v>
      </c>
      <c r="L91">
        <v>0</v>
      </c>
      <c r="M91">
        <v>16.751799999999999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0</v>
      </c>
      <c r="L92">
        <v>0</v>
      </c>
      <c r="M92">
        <v>9.8483999999999998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0</v>
      </c>
      <c r="L93">
        <v>0</v>
      </c>
      <c r="M93">
        <v>5.0944000000000003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0</v>
      </c>
      <c r="L94">
        <v>0</v>
      </c>
      <c r="M94">
        <v>25.724599999999999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0</v>
      </c>
      <c r="L95">
        <v>0</v>
      </c>
      <c r="M95">
        <v>16.7302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0</v>
      </c>
      <c r="L96">
        <v>0</v>
      </c>
      <c r="M96">
        <v>9.8333999999999993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0</v>
      </c>
      <c r="L97">
        <v>0</v>
      </c>
      <c r="M97">
        <v>5.0289000000000001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0</v>
      </c>
      <c r="L98">
        <v>0</v>
      </c>
      <c r="M98">
        <v>25.7026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0</v>
      </c>
      <c r="L99">
        <v>0</v>
      </c>
      <c r="M99">
        <v>16.7194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0</v>
      </c>
      <c r="L100">
        <v>0</v>
      </c>
      <c r="M100">
        <v>9.8359000000000005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0</v>
      </c>
      <c r="L101">
        <v>0</v>
      </c>
      <c r="M101">
        <v>5.0190000000000001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0</v>
      </c>
      <c r="L102">
        <v>0</v>
      </c>
      <c r="M102">
        <v>25.7593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0</v>
      </c>
      <c r="L103">
        <v>0</v>
      </c>
      <c r="M103">
        <v>16.747499999999999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0</v>
      </c>
      <c r="L104">
        <v>0</v>
      </c>
      <c r="M104">
        <v>9.8343000000000007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0</v>
      </c>
      <c r="L105">
        <v>0</v>
      </c>
      <c r="M105">
        <v>4.9739000000000004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0</v>
      </c>
      <c r="L106">
        <v>0</v>
      </c>
      <c r="M106">
        <v>25.737500000000001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0</v>
      </c>
      <c r="L107">
        <v>0</v>
      </c>
      <c r="M107">
        <v>16.708600000000001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0</v>
      </c>
      <c r="L108">
        <v>0</v>
      </c>
      <c r="M108">
        <v>9.8195999999999994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0</v>
      </c>
      <c r="L109">
        <v>0</v>
      </c>
      <c r="M109">
        <v>5.1013999999999999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0</v>
      </c>
      <c r="L110">
        <v>0</v>
      </c>
      <c r="M110">
        <v>25.751999999999999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0</v>
      </c>
      <c r="L111">
        <v>0</v>
      </c>
      <c r="M111">
        <v>16.717199999999998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0</v>
      </c>
      <c r="L112">
        <v>0</v>
      </c>
      <c r="M112">
        <v>9.8370999999999995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0</v>
      </c>
      <c r="L113">
        <v>0</v>
      </c>
      <c r="M113">
        <v>5.1132999999999997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0</v>
      </c>
      <c r="L114">
        <v>0</v>
      </c>
      <c r="M114">
        <v>25.741499999999998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0</v>
      </c>
      <c r="L115">
        <v>0</v>
      </c>
      <c r="M115">
        <v>16.7193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0</v>
      </c>
      <c r="L116">
        <v>0</v>
      </c>
      <c r="M116">
        <v>9.7990999999999993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0</v>
      </c>
      <c r="L117">
        <v>0</v>
      </c>
      <c r="M117">
        <v>5.0468000000000002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0</v>
      </c>
      <c r="L118">
        <v>0</v>
      </c>
      <c r="M118">
        <v>25.742699999999999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0</v>
      </c>
      <c r="L119">
        <v>0</v>
      </c>
      <c r="M119">
        <v>16.73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0</v>
      </c>
      <c r="L120">
        <v>0</v>
      </c>
      <c r="M120">
        <v>9.8184000000000005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0</v>
      </c>
      <c r="L121">
        <v>0</v>
      </c>
      <c r="M121">
        <v>5.0926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0</v>
      </c>
      <c r="L122">
        <v>0</v>
      </c>
      <c r="M122">
        <v>25.759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0</v>
      </c>
      <c r="L123">
        <v>0</v>
      </c>
      <c r="M123">
        <v>16.742000000000001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0</v>
      </c>
      <c r="L124">
        <v>0</v>
      </c>
      <c r="M124">
        <v>9.8666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0</v>
      </c>
      <c r="L125">
        <v>0</v>
      </c>
      <c r="M125">
        <v>5.1235999999999997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0</v>
      </c>
      <c r="L126">
        <v>0</v>
      </c>
      <c r="M126">
        <v>25.731000000000002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0</v>
      </c>
      <c r="L127">
        <v>0</v>
      </c>
      <c r="M127">
        <v>16.720600000000001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0</v>
      </c>
      <c r="L128">
        <v>0</v>
      </c>
      <c r="M128">
        <v>9.7830999999999992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0</v>
      </c>
      <c r="L129">
        <v>0</v>
      </c>
      <c r="M129">
        <v>5.0258000000000003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0</v>
      </c>
      <c r="L130">
        <v>0</v>
      </c>
      <c r="M130">
        <v>25.750599999999999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0</v>
      </c>
      <c r="L131">
        <v>0</v>
      </c>
      <c r="M131">
        <v>16.7485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0</v>
      </c>
      <c r="L132">
        <v>0</v>
      </c>
      <c r="M132">
        <v>9.7967999999999993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0</v>
      </c>
      <c r="L133">
        <v>0</v>
      </c>
      <c r="M133">
        <v>5.0247000000000002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0</v>
      </c>
      <c r="L134">
        <v>0</v>
      </c>
      <c r="M134">
        <v>25.6934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0</v>
      </c>
      <c r="L135">
        <v>0</v>
      </c>
      <c r="M135">
        <v>16.689599999999999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0</v>
      </c>
      <c r="L136">
        <v>0</v>
      </c>
      <c r="M136">
        <v>9.8237000000000005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0</v>
      </c>
      <c r="L137">
        <v>0</v>
      </c>
      <c r="M137">
        <v>5.0247999999999999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0</v>
      </c>
      <c r="L138">
        <v>0</v>
      </c>
      <c r="M138">
        <v>25.7209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0</v>
      </c>
      <c r="L139">
        <v>0</v>
      </c>
      <c r="M139">
        <v>16.758299999999998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0</v>
      </c>
      <c r="L140">
        <v>0</v>
      </c>
      <c r="M140">
        <v>9.8506999999999998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0</v>
      </c>
      <c r="L141">
        <v>0</v>
      </c>
      <c r="M141">
        <v>5.0266000000000002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0</v>
      </c>
      <c r="L142">
        <v>0</v>
      </c>
      <c r="M142">
        <v>25.734500000000001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0</v>
      </c>
      <c r="L143">
        <v>0</v>
      </c>
      <c r="M143">
        <v>16.679300000000001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0</v>
      </c>
      <c r="L144">
        <v>0</v>
      </c>
      <c r="M144">
        <v>9.8213000000000008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0</v>
      </c>
      <c r="L145">
        <v>0</v>
      </c>
      <c r="M145">
        <v>5.0285000000000002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0</v>
      </c>
      <c r="L146">
        <v>0</v>
      </c>
      <c r="M146">
        <v>25.722200000000001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0</v>
      </c>
      <c r="L147">
        <v>0</v>
      </c>
      <c r="M147">
        <v>16.738700000000001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0</v>
      </c>
      <c r="L148">
        <v>0</v>
      </c>
      <c r="M148">
        <v>9.8383000000000003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0</v>
      </c>
      <c r="L149">
        <v>0</v>
      </c>
      <c r="M149">
        <v>4.9875999999999996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0</v>
      </c>
      <c r="L150">
        <v>0</v>
      </c>
      <c r="M150">
        <v>25.695499999999999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0</v>
      </c>
      <c r="L151">
        <v>0</v>
      </c>
      <c r="M151">
        <v>16.725999999999999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0</v>
      </c>
      <c r="L152">
        <v>0</v>
      </c>
      <c r="M152">
        <v>9.8338999999999999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0</v>
      </c>
      <c r="L153">
        <v>0</v>
      </c>
      <c r="M153">
        <v>5.1101999999999999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0</v>
      </c>
      <c r="L154">
        <v>0</v>
      </c>
      <c r="M154">
        <v>25.7317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0</v>
      </c>
      <c r="L155">
        <v>0</v>
      </c>
      <c r="M155">
        <v>16.744499999999999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0</v>
      </c>
      <c r="L156">
        <v>0</v>
      </c>
      <c r="M156">
        <v>9.9206000000000003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0</v>
      </c>
      <c r="L157">
        <v>0</v>
      </c>
      <c r="M157">
        <v>5.1032000000000002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0</v>
      </c>
      <c r="L158">
        <v>0</v>
      </c>
      <c r="M158">
        <v>25.697800000000001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0</v>
      </c>
      <c r="L159">
        <v>0</v>
      </c>
      <c r="M159">
        <v>16.682200000000002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0</v>
      </c>
      <c r="L160">
        <v>0</v>
      </c>
      <c r="M160">
        <v>9.8207000000000004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0</v>
      </c>
      <c r="L161">
        <v>0</v>
      </c>
      <c r="M161">
        <v>5.0041000000000002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0</v>
      </c>
      <c r="L162">
        <v>0</v>
      </c>
      <c r="M162">
        <v>34.256999999999998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0</v>
      </c>
      <c r="L163">
        <v>0</v>
      </c>
      <c r="M163">
        <v>24.7424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0</v>
      </c>
      <c r="L164">
        <v>0</v>
      </c>
      <c r="M164">
        <v>15.046799999999999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0</v>
      </c>
      <c r="L165">
        <v>0</v>
      </c>
      <c r="M165">
        <v>5.0578000000000003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0</v>
      </c>
      <c r="L166">
        <v>0</v>
      </c>
      <c r="M166">
        <v>34.258899999999997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0</v>
      </c>
      <c r="L167">
        <v>0</v>
      </c>
      <c r="M167">
        <v>24.6236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0</v>
      </c>
      <c r="L168">
        <v>0</v>
      </c>
      <c r="M168">
        <v>14.9437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0</v>
      </c>
      <c r="L169">
        <v>0</v>
      </c>
      <c r="M169">
        <v>5.0845000000000002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0</v>
      </c>
      <c r="L170">
        <v>0</v>
      </c>
      <c r="M170">
        <v>34.215400000000002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0</v>
      </c>
      <c r="L171">
        <v>0</v>
      </c>
      <c r="M171">
        <v>24.611799999999999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0</v>
      </c>
      <c r="L172">
        <v>0</v>
      </c>
      <c r="M172">
        <v>15.088699999999999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0</v>
      </c>
      <c r="L173">
        <v>0</v>
      </c>
      <c r="M173">
        <v>5.1097000000000001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0</v>
      </c>
      <c r="L174">
        <v>0</v>
      </c>
      <c r="M174">
        <v>34.210900000000002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0</v>
      </c>
      <c r="L175">
        <v>0</v>
      </c>
      <c r="M175">
        <v>24.679500000000001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0</v>
      </c>
      <c r="L176">
        <v>0</v>
      </c>
      <c r="M176">
        <v>15.0037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0</v>
      </c>
      <c r="L177">
        <v>0</v>
      </c>
      <c r="M177">
        <v>5.0152000000000001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0</v>
      </c>
      <c r="L178">
        <v>0</v>
      </c>
      <c r="M178">
        <v>34.246699999999997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0</v>
      </c>
      <c r="L179">
        <v>0</v>
      </c>
      <c r="M179">
        <v>24.639299999999999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0</v>
      </c>
      <c r="L180">
        <v>0</v>
      </c>
      <c r="M180">
        <v>14.8812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0</v>
      </c>
      <c r="L181">
        <v>0</v>
      </c>
      <c r="M181">
        <v>5.0067000000000004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0</v>
      </c>
      <c r="L182">
        <v>0</v>
      </c>
      <c r="M182">
        <v>34.262500000000003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0</v>
      </c>
      <c r="L183">
        <v>0</v>
      </c>
      <c r="M183">
        <v>24.731300000000001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0</v>
      </c>
      <c r="L184">
        <v>0</v>
      </c>
      <c r="M184">
        <v>15.085100000000001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0</v>
      </c>
      <c r="L185">
        <v>0</v>
      </c>
      <c r="M185">
        <v>5.1051000000000002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0</v>
      </c>
      <c r="L186">
        <v>0</v>
      </c>
      <c r="M186">
        <v>34.241100000000003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0</v>
      </c>
      <c r="L187">
        <v>0</v>
      </c>
      <c r="M187">
        <v>24.746400000000001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0</v>
      </c>
      <c r="L188">
        <v>0</v>
      </c>
      <c r="M188">
        <v>15.018700000000001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0</v>
      </c>
      <c r="L189">
        <v>0</v>
      </c>
      <c r="M189">
        <v>5.0671999999999997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0</v>
      </c>
      <c r="L190">
        <v>0</v>
      </c>
      <c r="M190">
        <v>34.260300000000001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0</v>
      </c>
      <c r="L191">
        <v>0</v>
      </c>
      <c r="M191">
        <v>24.6264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0</v>
      </c>
      <c r="L192">
        <v>0</v>
      </c>
      <c r="M192">
        <v>14.923500000000001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0</v>
      </c>
      <c r="L193">
        <v>0</v>
      </c>
      <c r="M193">
        <v>5.0293000000000001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0</v>
      </c>
      <c r="L194">
        <v>0</v>
      </c>
      <c r="M194">
        <v>34.279699999999998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0</v>
      </c>
      <c r="L195">
        <v>0</v>
      </c>
      <c r="M195">
        <v>24.738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0</v>
      </c>
      <c r="L196">
        <v>0</v>
      </c>
      <c r="M196">
        <v>14.9398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0</v>
      </c>
      <c r="L197">
        <v>0</v>
      </c>
      <c r="M197">
        <v>5.0437000000000003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0</v>
      </c>
      <c r="L198">
        <v>0</v>
      </c>
      <c r="M198">
        <v>34.293300000000002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0</v>
      </c>
      <c r="L199">
        <v>0</v>
      </c>
      <c r="M199">
        <v>24.736999999999998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0</v>
      </c>
      <c r="L200">
        <v>0</v>
      </c>
      <c r="M200">
        <v>14.9735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0</v>
      </c>
      <c r="L201">
        <v>0</v>
      </c>
      <c r="M201">
        <v>5.0987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0</v>
      </c>
      <c r="L202">
        <v>0</v>
      </c>
      <c r="M202">
        <v>34.296399999999998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0</v>
      </c>
      <c r="L203">
        <v>0</v>
      </c>
      <c r="M203">
        <v>24.684100000000001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0</v>
      </c>
      <c r="L204">
        <v>0</v>
      </c>
      <c r="M204">
        <v>15.026999999999999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0</v>
      </c>
      <c r="L205">
        <v>0</v>
      </c>
      <c r="M205">
        <v>4.9509999999999996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0</v>
      </c>
      <c r="L206">
        <v>0</v>
      </c>
      <c r="M206">
        <v>34.282200000000003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0</v>
      </c>
      <c r="L207">
        <v>0</v>
      </c>
      <c r="M207">
        <v>24.675899999999999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0</v>
      </c>
      <c r="L208">
        <v>0</v>
      </c>
      <c r="M208">
        <v>15.0022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0</v>
      </c>
      <c r="L209">
        <v>0</v>
      </c>
      <c r="M209">
        <v>5.0050999999999997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0</v>
      </c>
      <c r="L210">
        <v>0</v>
      </c>
      <c r="M210">
        <v>34.2821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0</v>
      </c>
      <c r="L211">
        <v>0</v>
      </c>
      <c r="M211">
        <v>24.634799999999998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0</v>
      </c>
      <c r="L212">
        <v>0</v>
      </c>
      <c r="M212">
        <v>15.1076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0</v>
      </c>
      <c r="L213">
        <v>0</v>
      </c>
      <c r="M213">
        <v>4.9889999999999999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0</v>
      </c>
      <c r="L214">
        <v>0</v>
      </c>
      <c r="M214">
        <v>34.263800000000003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0</v>
      </c>
      <c r="L215">
        <v>0</v>
      </c>
      <c r="M215">
        <v>24.570699999999999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0</v>
      </c>
      <c r="L216">
        <v>0</v>
      </c>
      <c r="M216">
        <v>15.057700000000001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0</v>
      </c>
      <c r="L217">
        <v>0</v>
      </c>
      <c r="M217">
        <v>5.0675999999999997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0</v>
      </c>
      <c r="L218">
        <v>0</v>
      </c>
      <c r="M218">
        <v>34.277299999999997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0</v>
      </c>
      <c r="L219">
        <v>0</v>
      </c>
      <c r="M219">
        <v>24.7622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0</v>
      </c>
      <c r="L220">
        <v>0</v>
      </c>
      <c r="M220">
        <v>14.971299999999999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0</v>
      </c>
      <c r="L221">
        <v>0</v>
      </c>
      <c r="M221">
        <v>5.0772000000000004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0</v>
      </c>
      <c r="L222">
        <v>0</v>
      </c>
      <c r="M222">
        <v>34.268799999999999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0</v>
      </c>
      <c r="L223">
        <v>0</v>
      </c>
      <c r="M223">
        <v>24.735600000000002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0</v>
      </c>
      <c r="L224">
        <v>0</v>
      </c>
      <c r="M224">
        <v>14.9864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0</v>
      </c>
      <c r="L225">
        <v>0</v>
      </c>
      <c r="M225">
        <v>4.9977999999999998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0</v>
      </c>
      <c r="L226">
        <v>0</v>
      </c>
      <c r="M226">
        <v>34.220599999999997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0</v>
      </c>
      <c r="L227">
        <v>0</v>
      </c>
      <c r="M227">
        <v>24.7149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0</v>
      </c>
      <c r="L228">
        <v>0</v>
      </c>
      <c r="M228">
        <v>14.9595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0</v>
      </c>
      <c r="L229">
        <v>0</v>
      </c>
      <c r="M229">
        <v>5.0309999999999997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0</v>
      </c>
      <c r="L230">
        <v>0</v>
      </c>
      <c r="M230">
        <v>34.244599999999998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0</v>
      </c>
      <c r="L231">
        <v>0</v>
      </c>
      <c r="M231">
        <v>24.611799999999999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0</v>
      </c>
      <c r="L232">
        <v>0</v>
      </c>
      <c r="M232">
        <v>15.007099999999999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0</v>
      </c>
      <c r="L233">
        <v>0</v>
      </c>
      <c r="M233">
        <v>4.9652000000000003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0</v>
      </c>
      <c r="L234">
        <v>0</v>
      </c>
      <c r="M234">
        <v>34.320399999999999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0</v>
      </c>
      <c r="L235">
        <v>0</v>
      </c>
      <c r="M235">
        <v>24.651199999999999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0</v>
      </c>
      <c r="L236">
        <v>0</v>
      </c>
      <c r="M236">
        <v>14.982200000000001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0</v>
      </c>
      <c r="L237">
        <v>0</v>
      </c>
      <c r="M237">
        <v>5.0061999999999998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0</v>
      </c>
      <c r="L238">
        <v>0</v>
      </c>
      <c r="M238">
        <v>34.292499999999997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0</v>
      </c>
      <c r="L239">
        <v>0</v>
      </c>
      <c r="M239">
        <v>24.694800000000001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0</v>
      </c>
      <c r="L240">
        <v>0</v>
      </c>
      <c r="M240">
        <v>14.976100000000001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0</v>
      </c>
      <c r="L241">
        <v>0</v>
      </c>
      <c r="M241">
        <v>4.9554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0</v>
      </c>
      <c r="L242">
        <v>0</v>
      </c>
      <c r="M242">
        <v>28.4024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0</v>
      </c>
      <c r="L243">
        <v>0</v>
      </c>
      <c r="M243">
        <v>20.6205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0</v>
      </c>
      <c r="L244">
        <v>0</v>
      </c>
      <c r="M244">
        <v>14.138299999999999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0</v>
      </c>
      <c r="L245">
        <v>0</v>
      </c>
      <c r="M245">
        <v>9.2522000000000002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0</v>
      </c>
      <c r="L246">
        <v>0</v>
      </c>
      <c r="M246">
        <v>28.392499999999998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0</v>
      </c>
      <c r="L247">
        <v>0</v>
      </c>
      <c r="M247">
        <v>20.647099999999998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0</v>
      </c>
      <c r="L248">
        <v>0</v>
      </c>
      <c r="M248">
        <v>14.1449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0</v>
      </c>
      <c r="L249">
        <v>0</v>
      </c>
      <c r="M249">
        <v>9.4306000000000001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0</v>
      </c>
      <c r="L250">
        <v>0</v>
      </c>
      <c r="M250">
        <v>28.399899999999999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0</v>
      </c>
      <c r="L251">
        <v>0</v>
      </c>
      <c r="M251">
        <v>20.5669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0</v>
      </c>
      <c r="L252">
        <v>0</v>
      </c>
      <c r="M252">
        <v>14.1775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0</v>
      </c>
      <c r="L253">
        <v>0</v>
      </c>
      <c r="M253">
        <v>9.2095000000000002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0</v>
      </c>
      <c r="L254">
        <v>0</v>
      </c>
      <c r="M254">
        <v>28.434899999999999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0</v>
      </c>
      <c r="L255">
        <v>0</v>
      </c>
      <c r="M255">
        <v>20.622499999999999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0</v>
      </c>
      <c r="L256">
        <v>0</v>
      </c>
      <c r="M256">
        <v>14.146100000000001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0</v>
      </c>
      <c r="L257">
        <v>0</v>
      </c>
      <c r="M257">
        <v>9.2545999999999999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2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0</v>
      </c>
      <c r="L258">
        <v>0</v>
      </c>
      <c r="M258">
        <v>28.386099999999999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0</v>
      </c>
      <c r="L259">
        <v>0</v>
      </c>
      <c r="M259">
        <v>20.587299999999999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0</v>
      </c>
      <c r="L260">
        <v>0</v>
      </c>
      <c r="M260">
        <v>14.199299999999999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0</v>
      </c>
      <c r="L261">
        <v>0</v>
      </c>
      <c r="M261">
        <v>9.33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0</v>
      </c>
      <c r="L262">
        <v>0</v>
      </c>
      <c r="M262">
        <v>28.4742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0</v>
      </c>
      <c r="L263">
        <v>0</v>
      </c>
      <c r="M263">
        <v>20.611899999999999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0</v>
      </c>
      <c r="L264">
        <v>0</v>
      </c>
      <c r="M264">
        <v>14.239699999999999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0</v>
      </c>
      <c r="L265">
        <v>0</v>
      </c>
      <c r="M265">
        <v>9.3513999999999999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0</v>
      </c>
      <c r="L266">
        <v>0</v>
      </c>
      <c r="M266">
        <v>28.444400000000002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0</v>
      </c>
      <c r="L267">
        <v>0</v>
      </c>
      <c r="M267">
        <v>20.601500000000001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0</v>
      </c>
      <c r="L268">
        <v>0</v>
      </c>
      <c r="M268">
        <v>14.1098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0</v>
      </c>
      <c r="L269">
        <v>0</v>
      </c>
      <c r="M269">
        <v>9.1402999999999999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0</v>
      </c>
      <c r="L270">
        <v>0</v>
      </c>
      <c r="M270">
        <v>28.438099999999999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0</v>
      </c>
      <c r="L271">
        <v>0</v>
      </c>
      <c r="M271">
        <v>20.627500000000001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0</v>
      </c>
      <c r="L272">
        <v>0</v>
      </c>
      <c r="M272">
        <v>14.167400000000001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0</v>
      </c>
      <c r="L273">
        <v>0</v>
      </c>
      <c r="M273">
        <v>9.3202999999999996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0</v>
      </c>
      <c r="L274">
        <v>0</v>
      </c>
      <c r="M274">
        <v>28.4222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0</v>
      </c>
      <c r="L275">
        <v>0</v>
      </c>
      <c r="M275">
        <v>20.600300000000001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0</v>
      </c>
      <c r="L276">
        <v>0</v>
      </c>
      <c r="M276">
        <v>14.112399999999999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0</v>
      </c>
      <c r="L277">
        <v>0</v>
      </c>
      <c r="M277">
        <v>9.2103999999999999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0</v>
      </c>
      <c r="L278">
        <v>0</v>
      </c>
      <c r="M278">
        <v>28.413699999999999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0</v>
      </c>
      <c r="L279">
        <v>0</v>
      </c>
      <c r="M279">
        <v>20.662299999999998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0</v>
      </c>
      <c r="L280">
        <v>0</v>
      </c>
      <c r="M280">
        <v>14.2111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0</v>
      </c>
      <c r="L281">
        <v>0</v>
      </c>
      <c r="M281">
        <v>9.2123000000000008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0</v>
      </c>
      <c r="L282">
        <v>0</v>
      </c>
      <c r="M282">
        <v>28.412400000000002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0</v>
      </c>
      <c r="L283">
        <v>0</v>
      </c>
      <c r="M283">
        <v>20.562000000000001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0</v>
      </c>
      <c r="L284">
        <v>0</v>
      </c>
      <c r="M284">
        <v>14.1165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0</v>
      </c>
      <c r="L285">
        <v>0</v>
      </c>
      <c r="M285">
        <v>9.3825000000000003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0</v>
      </c>
      <c r="L286">
        <v>0</v>
      </c>
      <c r="M286">
        <v>28.441700000000001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0</v>
      </c>
      <c r="L287">
        <v>0</v>
      </c>
      <c r="M287">
        <v>20.5642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0</v>
      </c>
      <c r="L288">
        <v>0</v>
      </c>
      <c r="M288">
        <v>14.1663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0</v>
      </c>
      <c r="L289">
        <v>0</v>
      </c>
      <c r="M289">
        <v>9.4456000000000007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0</v>
      </c>
      <c r="L290">
        <v>0</v>
      </c>
      <c r="M290">
        <v>28.432200000000002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0</v>
      </c>
      <c r="L291">
        <v>0</v>
      </c>
      <c r="M291">
        <v>20.586500000000001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0</v>
      </c>
      <c r="L292">
        <v>0</v>
      </c>
      <c r="M292">
        <v>14.1866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0</v>
      </c>
      <c r="L293">
        <v>0</v>
      </c>
      <c r="M293">
        <v>9.6334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0</v>
      </c>
      <c r="L294">
        <v>0</v>
      </c>
      <c r="M294">
        <v>28.380600000000001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0</v>
      </c>
      <c r="L295">
        <v>0</v>
      </c>
      <c r="M295">
        <v>20.6142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0</v>
      </c>
      <c r="L296">
        <v>0</v>
      </c>
      <c r="M296">
        <v>14.110900000000001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0</v>
      </c>
      <c r="L297">
        <v>0</v>
      </c>
      <c r="M297">
        <v>9.2698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0</v>
      </c>
      <c r="L298">
        <v>0</v>
      </c>
      <c r="M298">
        <v>28.364599999999999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0</v>
      </c>
      <c r="L299">
        <v>0</v>
      </c>
      <c r="M299">
        <v>20.556100000000001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0</v>
      </c>
      <c r="L300">
        <v>0</v>
      </c>
      <c r="M300">
        <v>14.1683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0</v>
      </c>
      <c r="L301">
        <v>0</v>
      </c>
      <c r="M301">
        <v>9.2909000000000006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0</v>
      </c>
      <c r="L302">
        <v>0</v>
      </c>
      <c r="M302">
        <v>28.451499999999999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0</v>
      </c>
      <c r="L303">
        <v>0</v>
      </c>
      <c r="M303">
        <v>20.578900000000001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0</v>
      </c>
      <c r="L304">
        <v>0</v>
      </c>
      <c r="M304">
        <v>14.2567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0</v>
      </c>
      <c r="L305">
        <v>0</v>
      </c>
      <c r="M305">
        <v>9.4200999999999997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0</v>
      </c>
      <c r="L306">
        <v>0</v>
      </c>
      <c r="M306">
        <v>28.401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0</v>
      </c>
      <c r="L307">
        <v>0</v>
      </c>
      <c r="M307">
        <v>20.6172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0</v>
      </c>
      <c r="L308">
        <v>0</v>
      </c>
      <c r="M308">
        <v>14.1228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0</v>
      </c>
      <c r="L309">
        <v>0</v>
      </c>
      <c r="M309">
        <v>9.3056000000000001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0</v>
      </c>
      <c r="L310">
        <v>0</v>
      </c>
      <c r="M310">
        <v>28.438500000000001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0</v>
      </c>
      <c r="L311">
        <v>0</v>
      </c>
      <c r="M311">
        <v>20.5932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0</v>
      </c>
      <c r="L312">
        <v>0</v>
      </c>
      <c r="M312">
        <v>14.239000000000001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0</v>
      </c>
      <c r="L313">
        <v>0</v>
      </c>
      <c r="M313">
        <v>9.3554999999999993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0</v>
      </c>
      <c r="L314">
        <v>0</v>
      </c>
      <c r="M314">
        <v>28.4633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0</v>
      </c>
      <c r="L315">
        <v>0</v>
      </c>
      <c r="M315">
        <v>20.569400000000002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0</v>
      </c>
      <c r="L316">
        <v>0</v>
      </c>
      <c r="M316">
        <v>14.216799999999999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0</v>
      </c>
      <c r="L317">
        <v>0</v>
      </c>
      <c r="M317">
        <v>9.3469999999999995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0</v>
      </c>
      <c r="L318">
        <v>0</v>
      </c>
      <c r="M318">
        <v>28.4726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0</v>
      </c>
      <c r="L319">
        <v>0</v>
      </c>
      <c r="M319">
        <v>20.602699999999999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0</v>
      </c>
      <c r="L320">
        <v>0</v>
      </c>
      <c r="M320">
        <v>14.1561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0</v>
      </c>
      <c r="L321">
        <v>0</v>
      </c>
      <c r="M321">
        <v>9.3824000000000005</v>
      </c>
    </row>
    <row r="322" spans="1:13" x14ac:dyDescent="0.25">
      <c r="A322" t="s">
        <v>7</v>
      </c>
      <c r="B322" t="s">
        <v>8</v>
      </c>
      <c r="C322">
        <v>3</v>
      </c>
      <c r="D322">
        <v>1.0000000000000001E-5</v>
      </c>
      <c r="E322">
        <v>1.0000000000000001E-5</v>
      </c>
      <c r="F322" t="str">
        <f t="shared" si="4"/>
        <v>lena256_blurkernel7_3_0,00001_0,00001</v>
      </c>
      <c r="G322">
        <v>0</v>
      </c>
      <c r="H322">
        <v>0</v>
      </c>
      <c r="I322">
        <v>35.370699999999999</v>
      </c>
      <c r="J322">
        <v>18.023800000000001</v>
      </c>
      <c r="K322">
        <v>0</v>
      </c>
      <c r="L322">
        <v>0</v>
      </c>
      <c r="M322">
        <v>37.275700000000001</v>
      </c>
    </row>
    <row r="323" spans="1:13" x14ac:dyDescent="0.25">
      <c r="A323" t="s">
        <v>7</v>
      </c>
      <c r="B323" t="s">
        <v>8</v>
      </c>
      <c r="C323">
        <v>7</v>
      </c>
      <c r="D323">
        <v>1.0000000000000001E-5</v>
      </c>
      <c r="E323">
        <v>1.0000000000000001E-5</v>
      </c>
      <c r="F323" t="str">
        <f t="shared" ref="F323:F385" si="5">A323&amp;"_"&amp;B323&amp;"_"&amp;C323&amp;"_"&amp;D323&amp;"_"&amp;E323</f>
        <v>lena256_blurkernel7_7_0,00001_0,00001</v>
      </c>
      <c r="G323">
        <v>0</v>
      </c>
      <c r="H323">
        <v>0</v>
      </c>
      <c r="I323">
        <v>35.389800000000001</v>
      </c>
      <c r="J323">
        <v>12.168900000000001</v>
      </c>
      <c r="K323">
        <v>0</v>
      </c>
      <c r="L323">
        <v>0</v>
      </c>
      <c r="M323">
        <v>37.311900000000001</v>
      </c>
    </row>
    <row r="324" spans="1:13" x14ac:dyDescent="0.25">
      <c r="A324" t="s">
        <v>7</v>
      </c>
      <c r="B324" t="s">
        <v>8</v>
      </c>
      <c r="C324">
        <v>15</v>
      </c>
      <c r="D324">
        <v>1.0000000000000001E-5</v>
      </c>
      <c r="E324">
        <v>1.0000000000000001E-5</v>
      </c>
      <c r="F324" t="str">
        <f t="shared" si="5"/>
        <v>lena256_blurkernel7_15_0,00001_0,00001</v>
      </c>
      <c r="G324">
        <v>0</v>
      </c>
      <c r="H324">
        <v>0</v>
      </c>
      <c r="I324">
        <v>35.398499999999999</v>
      </c>
      <c r="J324">
        <v>8.2110000000000003</v>
      </c>
      <c r="K324">
        <v>0</v>
      </c>
      <c r="L324">
        <v>0</v>
      </c>
      <c r="M324">
        <v>37.299199999999999</v>
      </c>
    </row>
    <row r="325" spans="1:13" x14ac:dyDescent="0.25">
      <c r="A325" t="s">
        <v>7</v>
      </c>
      <c r="B325" t="s">
        <v>8</v>
      </c>
      <c r="C325">
        <v>31</v>
      </c>
      <c r="D325">
        <v>1.0000000000000001E-5</v>
      </c>
      <c r="E325">
        <v>1.0000000000000001E-5</v>
      </c>
      <c r="F325" t="str">
        <f t="shared" si="5"/>
        <v>lena256_blurkernel7_31_0,00001_0,00001</v>
      </c>
      <c r="G325">
        <v>0</v>
      </c>
      <c r="H325">
        <v>0</v>
      </c>
      <c r="I325">
        <v>35.418300000000002</v>
      </c>
      <c r="J325">
        <v>5.3190999999999997</v>
      </c>
      <c r="K325">
        <v>0</v>
      </c>
      <c r="L325">
        <v>0</v>
      </c>
      <c r="M325">
        <v>37.325499999999998</v>
      </c>
    </row>
    <row r="326" spans="1:13" x14ac:dyDescent="0.25">
      <c r="A326" t="s">
        <v>7</v>
      </c>
      <c r="B326" t="s">
        <v>9</v>
      </c>
      <c r="C326">
        <v>3</v>
      </c>
      <c r="D326">
        <v>1.0000000000000001E-5</v>
      </c>
      <c r="E326">
        <v>1.0000000000000001E-5</v>
      </c>
      <c r="F326" t="str">
        <f t="shared" si="5"/>
        <v>lena256_blurkernel8_3_0,00001_0,00001</v>
      </c>
      <c r="G326">
        <v>0</v>
      </c>
      <c r="H326">
        <v>0</v>
      </c>
      <c r="I326">
        <v>35.378</v>
      </c>
      <c r="J326">
        <v>17.5883</v>
      </c>
      <c r="K326">
        <v>0</v>
      </c>
      <c r="L326">
        <v>0</v>
      </c>
      <c r="M326">
        <v>37.286200000000001</v>
      </c>
    </row>
    <row r="327" spans="1:13" x14ac:dyDescent="0.25">
      <c r="A327" t="s">
        <v>7</v>
      </c>
      <c r="B327" t="s">
        <v>9</v>
      </c>
      <c r="C327">
        <v>7</v>
      </c>
      <c r="D327">
        <v>1.0000000000000001E-5</v>
      </c>
      <c r="E327">
        <v>1.0000000000000001E-5</v>
      </c>
      <c r="F327" t="str">
        <f t="shared" si="5"/>
        <v>lena256_blurkernel8_7_0,00001_0,00001</v>
      </c>
      <c r="G327">
        <v>0</v>
      </c>
      <c r="H327">
        <v>0</v>
      </c>
      <c r="I327">
        <v>35.409399999999998</v>
      </c>
      <c r="J327">
        <v>12.0006</v>
      </c>
      <c r="K327">
        <v>0</v>
      </c>
      <c r="L327">
        <v>0</v>
      </c>
      <c r="M327">
        <v>37.308199999999999</v>
      </c>
    </row>
    <row r="328" spans="1:13" x14ac:dyDescent="0.25">
      <c r="A328" t="s">
        <v>7</v>
      </c>
      <c r="B328" t="s">
        <v>9</v>
      </c>
      <c r="C328">
        <v>15</v>
      </c>
      <c r="D328">
        <v>1.0000000000000001E-5</v>
      </c>
      <c r="E328">
        <v>1.0000000000000001E-5</v>
      </c>
      <c r="F328" t="str">
        <f t="shared" si="5"/>
        <v>lena256_blurkernel8_15_0,00001_0,00001</v>
      </c>
      <c r="G328">
        <v>0</v>
      </c>
      <c r="H328">
        <v>0</v>
      </c>
      <c r="I328">
        <v>35.4071</v>
      </c>
      <c r="J328">
        <v>8.2180999999999997</v>
      </c>
      <c r="K328">
        <v>0</v>
      </c>
      <c r="L328">
        <v>0</v>
      </c>
      <c r="M328">
        <v>37.301600000000001</v>
      </c>
    </row>
    <row r="329" spans="1:13" x14ac:dyDescent="0.25">
      <c r="A329" t="s">
        <v>7</v>
      </c>
      <c r="B329" t="s">
        <v>9</v>
      </c>
      <c r="C329">
        <v>31</v>
      </c>
      <c r="D329">
        <v>1.0000000000000001E-5</v>
      </c>
      <c r="E329">
        <v>1.0000000000000001E-5</v>
      </c>
      <c r="F329" t="str">
        <f t="shared" si="5"/>
        <v>lena256_blurkernel8_31_0,00001_0,00001</v>
      </c>
      <c r="G329">
        <v>0</v>
      </c>
      <c r="H329">
        <v>0</v>
      </c>
      <c r="I329">
        <v>35.341000000000001</v>
      </c>
      <c r="J329">
        <v>5.3066000000000004</v>
      </c>
      <c r="K329">
        <v>0</v>
      </c>
      <c r="L329">
        <v>0</v>
      </c>
      <c r="M329">
        <v>37.257199999999997</v>
      </c>
    </row>
    <row r="330" spans="1:13" x14ac:dyDescent="0.25">
      <c r="A330" t="s">
        <v>7</v>
      </c>
      <c r="B330" t="s">
        <v>10</v>
      </c>
      <c r="C330">
        <v>3</v>
      </c>
      <c r="D330">
        <v>1.0000000000000001E-5</v>
      </c>
      <c r="E330">
        <v>1.0000000000000001E-5</v>
      </c>
      <c r="F330" t="str">
        <f t="shared" si="5"/>
        <v>lena256_line_3_0,00001_0,00001</v>
      </c>
      <c r="G330">
        <v>0</v>
      </c>
      <c r="H330">
        <v>0</v>
      </c>
      <c r="I330">
        <v>35.414299999999997</v>
      </c>
      <c r="J330">
        <v>15.065300000000001</v>
      </c>
      <c r="K330">
        <v>0</v>
      </c>
      <c r="L330">
        <v>0</v>
      </c>
      <c r="M330">
        <v>37.309399999999997</v>
      </c>
    </row>
    <row r="331" spans="1:13" x14ac:dyDescent="0.25">
      <c r="A331" t="s">
        <v>7</v>
      </c>
      <c r="B331" t="s">
        <v>10</v>
      </c>
      <c r="C331">
        <v>7</v>
      </c>
      <c r="D331">
        <v>1.0000000000000001E-5</v>
      </c>
      <c r="E331">
        <v>1.0000000000000001E-5</v>
      </c>
      <c r="F331" t="str">
        <f t="shared" si="5"/>
        <v>lena256_line_7_0,00001_0,00001</v>
      </c>
      <c r="G331">
        <v>0</v>
      </c>
      <c r="H331">
        <v>0</v>
      </c>
      <c r="I331">
        <v>35.383600000000001</v>
      </c>
      <c r="J331">
        <v>10.083399999999999</v>
      </c>
      <c r="K331">
        <v>0</v>
      </c>
      <c r="L331">
        <v>0</v>
      </c>
      <c r="M331">
        <v>37.290799999999997</v>
      </c>
    </row>
    <row r="332" spans="1:13" x14ac:dyDescent="0.25">
      <c r="A332" t="s">
        <v>7</v>
      </c>
      <c r="B332" t="s">
        <v>10</v>
      </c>
      <c r="C332">
        <v>15</v>
      </c>
      <c r="D332">
        <v>1.0000000000000001E-5</v>
      </c>
      <c r="E332">
        <v>1.0000000000000001E-5</v>
      </c>
      <c r="F332" t="str">
        <f t="shared" si="5"/>
        <v>lena256_line_15_0,00001_0,00001</v>
      </c>
      <c r="G332">
        <v>0</v>
      </c>
      <c r="H332">
        <v>0</v>
      </c>
      <c r="I332">
        <v>35.380000000000003</v>
      </c>
      <c r="J332">
        <v>6.5670000000000002</v>
      </c>
      <c r="K332">
        <v>0</v>
      </c>
      <c r="L332">
        <v>0</v>
      </c>
      <c r="M332">
        <v>37.298999999999999</v>
      </c>
    </row>
    <row r="333" spans="1:13" x14ac:dyDescent="0.25">
      <c r="A333" t="s">
        <v>7</v>
      </c>
      <c r="B333" t="s">
        <v>10</v>
      </c>
      <c r="C333">
        <v>31</v>
      </c>
      <c r="D333">
        <v>1.0000000000000001E-5</v>
      </c>
      <c r="E333">
        <v>1.0000000000000001E-5</v>
      </c>
      <c r="F333" t="str">
        <f t="shared" si="5"/>
        <v>lena256_line_31_0,00001_0,00001</v>
      </c>
      <c r="G333">
        <v>0</v>
      </c>
      <c r="H333">
        <v>0</v>
      </c>
      <c r="I333">
        <v>35.422199999999997</v>
      </c>
      <c r="J333">
        <v>3.6448999999999998</v>
      </c>
      <c r="K333">
        <v>0</v>
      </c>
      <c r="L333">
        <v>0</v>
      </c>
      <c r="M333">
        <v>37.331200000000003</v>
      </c>
    </row>
    <row r="334" spans="1:13" x14ac:dyDescent="0.25">
      <c r="A334" t="s">
        <v>7</v>
      </c>
      <c r="B334" t="s">
        <v>11</v>
      </c>
      <c r="C334">
        <v>3</v>
      </c>
      <c r="D334">
        <v>1.0000000000000001E-5</v>
      </c>
      <c r="E334">
        <v>1.0000000000000001E-5</v>
      </c>
      <c r="F334" t="str">
        <f t="shared" si="5"/>
        <v>lena256_blurkernel10_3_0,00001_0,00001</v>
      </c>
      <c r="G334">
        <v>0</v>
      </c>
      <c r="H334">
        <v>0</v>
      </c>
      <c r="I334">
        <v>35.3703</v>
      </c>
      <c r="J334">
        <v>17.630299999999998</v>
      </c>
      <c r="K334">
        <v>0</v>
      </c>
      <c r="L334">
        <v>0</v>
      </c>
      <c r="M334">
        <v>37.302599999999998</v>
      </c>
    </row>
    <row r="335" spans="1:13" x14ac:dyDescent="0.25">
      <c r="A335" t="s">
        <v>7</v>
      </c>
      <c r="B335" t="s">
        <v>11</v>
      </c>
      <c r="C335">
        <v>7</v>
      </c>
      <c r="D335">
        <v>1.0000000000000001E-5</v>
      </c>
      <c r="E335">
        <v>1.0000000000000001E-5</v>
      </c>
      <c r="F335" t="str">
        <f t="shared" si="5"/>
        <v>lena256_blurkernel10_7_0,00001_0,00001</v>
      </c>
      <c r="G335">
        <v>0</v>
      </c>
      <c r="H335">
        <v>0</v>
      </c>
      <c r="I335">
        <v>35.3673</v>
      </c>
      <c r="J335">
        <v>12.016400000000001</v>
      </c>
      <c r="K335">
        <v>0</v>
      </c>
      <c r="L335">
        <v>0</v>
      </c>
      <c r="M335">
        <v>37.265099999999997</v>
      </c>
    </row>
    <row r="336" spans="1:13" x14ac:dyDescent="0.25">
      <c r="A336" t="s">
        <v>7</v>
      </c>
      <c r="B336" t="s">
        <v>11</v>
      </c>
      <c r="C336">
        <v>15</v>
      </c>
      <c r="D336">
        <v>1.0000000000000001E-5</v>
      </c>
      <c r="E336">
        <v>1.0000000000000001E-5</v>
      </c>
      <c r="F336" t="str">
        <f t="shared" si="5"/>
        <v>lena256_blurkernel10_15_0,00001_0,00001</v>
      </c>
      <c r="G336">
        <v>0</v>
      </c>
      <c r="H336">
        <v>0</v>
      </c>
      <c r="I336">
        <v>35.383099999999999</v>
      </c>
      <c r="J336">
        <v>8.4267000000000003</v>
      </c>
      <c r="K336">
        <v>0</v>
      </c>
      <c r="L336">
        <v>0</v>
      </c>
      <c r="M336">
        <v>37.289000000000001</v>
      </c>
    </row>
    <row r="337" spans="1:13" x14ac:dyDescent="0.25">
      <c r="A337" t="s">
        <v>7</v>
      </c>
      <c r="B337" t="s">
        <v>11</v>
      </c>
      <c r="C337">
        <v>31</v>
      </c>
      <c r="D337">
        <v>1.0000000000000001E-5</v>
      </c>
      <c r="E337">
        <v>1.0000000000000001E-5</v>
      </c>
      <c r="F337" t="str">
        <f t="shared" si="5"/>
        <v>lena256_blurkernel10_31_0,00001_0,00001</v>
      </c>
      <c r="G337">
        <v>0</v>
      </c>
      <c r="H337">
        <v>0</v>
      </c>
      <c r="I337">
        <v>35.391800000000003</v>
      </c>
      <c r="J337">
        <v>5.6357999999999997</v>
      </c>
      <c r="K337">
        <v>0</v>
      </c>
      <c r="L337">
        <v>0</v>
      </c>
      <c r="M337">
        <v>37.283000000000001</v>
      </c>
    </row>
    <row r="338" spans="1:13" x14ac:dyDescent="0.25">
      <c r="A338" t="s">
        <v>12</v>
      </c>
      <c r="B338" t="s">
        <v>8</v>
      </c>
      <c r="C338">
        <v>3</v>
      </c>
      <c r="D338">
        <v>1.0000000000000001E-5</v>
      </c>
      <c r="E338">
        <v>1.0000000000000001E-5</v>
      </c>
      <c r="F338" t="str">
        <f t="shared" si="5"/>
        <v>tree256_blurkernel7_3_0,00001_0,00001</v>
      </c>
      <c r="G338">
        <v>0</v>
      </c>
      <c r="H338">
        <v>0</v>
      </c>
      <c r="I338">
        <v>35.609400000000001</v>
      </c>
      <c r="J338">
        <v>12.266400000000001</v>
      </c>
      <c r="K338">
        <v>0</v>
      </c>
      <c r="L338">
        <v>0</v>
      </c>
      <c r="M338">
        <v>35.611600000000003</v>
      </c>
    </row>
    <row r="339" spans="1:13" x14ac:dyDescent="0.25">
      <c r="A339" t="s">
        <v>12</v>
      </c>
      <c r="B339" t="s">
        <v>8</v>
      </c>
      <c r="C339">
        <v>7</v>
      </c>
      <c r="D339">
        <v>1.0000000000000001E-5</v>
      </c>
      <c r="E339">
        <v>1.0000000000000001E-5</v>
      </c>
      <c r="F339" t="str">
        <f t="shared" si="5"/>
        <v>tree256_blurkernel7_7_0,00001_0,00001</v>
      </c>
      <c r="G339">
        <v>0</v>
      </c>
      <c r="H339">
        <v>0</v>
      </c>
      <c r="I339">
        <v>35.566899999999997</v>
      </c>
      <c r="J339">
        <v>6.8837999999999999</v>
      </c>
      <c r="K339">
        <v>0</v>
      </c>
      <c r="L339">
        <v>0</v>
      </c>
      <c r="M339">
        <v>35.570399999999999</v>
      </c>
    </row>
    <row r="340" spans="1:13" x14ac:dyDescent="0.25">
      <c r="A340" t="s">
        <v>12</v>
      </c>
      <c r="B340" t="s">
        <v>8</v>
      </c>
      <c r="C340">
        <v>15</v>
      </c>
      <c r="D340">
        <v>1.0000000000000001E-5</v>
      </c>
      <c r="E340">
        <v>1.0000000000000001E-5</v>
      </c>
      <c r="F340" t="str">
        <f t="shared" si="5"/>
        <v>tree256_blurkernel7_15_0,00001_0,00001</v>
      </c>
      <c r="G340">
        <v>0</v>
      </c>
      <c r="H340">
        <v>0</v>
      </c>
      <c r="I340">
        <v>35.579000000000001</v>
      </c>
      <c r="J340">
        <v>3.9237000000000002</v>
      </c>
      <c r="K340">
        <v>0</v>
      </c>
      <c r="L340">
        <v>0</v>
      </c>
      <c r="M340">
        <v>35.584400000000002</v>
      </c>
    </row>
    <row r="341" spans="1:13" x14ac:dyDescent="0.25">
      <c r="A341" t="s">
        <v>12</v>
      </c>
      <c r="B341" t="s">
        <v>8</v>
      </c>
      <c r="C341">
        <v>31</v>
      </c>
      <c r="D341">
        <v>1.0000000000000001E-5</v>
      </c>
      <c r="E341">
        <v>1.0000000000000001E-5</v>
      </c>
      <c r="F341" t="str">
        <f t="shared" si="5"/>
        <v>tree256_blurkernel7_31_0,00001_0,00001</v>
      </c>
      <c r="G341">
        <v>0</v>
      </c>
      <c r="H341">
        <v>0</v>
      </c>
      <c r="I341">
        <v>35.578200000000002</v>
      </c>
      <c r="J341">
        <v>2.4194</v>
      </c>
      <c r="K341">
        <v>0</v>
      </c>
      <c r="L341">
        <v>0</v>
      </c>
      <c r="M341">
        <v>35.576300000000003</v>
      </c>
    </row>
    <row r="342" spans="1:13" x14ac:dyDescent="0.25">
      <c r="A342" t="s">
        <v>12</v>
      </c>
      <c r="B342" t="s">
        <v>9</v>
      </c>
      <c r="C342">
        <v>3</v>
      </c>
      <c r="D342">
        <v>1.0000000000000001E-5</v>
      </c>
      <c r="E342">
        <v>1.0000000000000001E-5</v>
      </c>
      <c r="F342" t="str">
        <f t="shared" si="5"/>
        <v>tree256_blurkernel8_3_0,00001_0,00001</v>
      </c>
      <c r="G342">
        <v>0</v>
      </c>
      <c r="H342">
        <v>0</v>
      </c>
      <c r="I342">
        <v>35.601399999999998</v>
      </c>
      <c r="J342">
        <v>12.2707</v>
      </c>
      <c r="K342">
        <v>0</v>
      </c>
      <c r="L342">
        <v>0</v>
      </c>
      <c r="M342">
        <v>35.6053</v>
      </c>
    </row>
    <row r="343" spans="1:13" x14ac:dyDescent="0.25">
      <c r="A343" t="s">
        <v>12</v>
      </c>
      <c r="B343" t="s">
        <v>9</v>
      </c>
      <c r="C343">
        <v>7</v>
      </c>
      <c r="D343">
        <v>1.0000000000000001E-5</v>
      </c>
      <c r="E343">
        <v>1.0000000000000001E-5</v>
      </c>
      <c r="F343" t="str">
        <f t="shared" si="5"/>
        <v>tree256_blurkernel8_7_0,00001_0,00001</v>
      </c>
      <c r="G343">
        <v>0</v>
      </c>
      <c r="H343">
        <v>0</v>
      </c>
      <c r="I343">
        <v>35.582500000000003</v>
      </c>
      <c r="J343">
        <v>6.9621000000000004</v>
      </c>
      <c r="K343">
        <v>0</v>
      </c>
      <c r="L343">
        <v>0</v>
      </c>
      <c r="M343">
        <v>35.585900000000002</v>
      </c>
    </row>
    <row r="344" spans="1:13" x14ac:dyDescent="0.25">
      <c r="A344" t="s">
        <v>12</v>
      </c>
      <c r="B344" t="s">
        <v>9</v>
      </c>
      <c r="C344">
        <v>15</v>
      </c>
      <c r="D344">
        <v>1.0000000000000001E-5</v>
      </c>
      <c r="E344">
        <v>1.0000000000000001E-5</v>
      </c>
      <c r="F344" t="str">
        <f t="shared" si="5"/>
        <v>tree256_blurkernel8_15_0,00001_0,00001</v>
      </c>
      <c r="G344">
        <v>0</v>
      </c>
      <c r="H344">
        <v>0</v>
      </c>
      <c r="I344">
        <v>35.577800000000003</v>
      </c>
      <c r="J344">
        <v>4.1384999999999996</v>
      </c>
      <c r="K344">
        <v>0</v>
      </c>
      <c r="L344">
        <v>0</v>
      </c>
      <c r="M344">
        <v>35.5822</v>
      </c>
    </row>
    <row r="345" spans="1:13" x14ac:dyDescent="0.25">
      <c r="A345" t="s">
        <v>12</v>
      </c>
      <c r="B345" t="s">
        <v>9</v>
      </c>
      <c r="C345">
        <v>31</v>
      </c>
      <c r="D345">
        <v>1.0000000000000001E-5</v>
      </c>
      <c r="E345">
        <v>1.0000000000000001E-5</v>
      </c>
      <c r="F345" t="str">
        <f t="shared" si="5"/>
        <v>tree256_blurkernel8_31_0,00001_0,00001</v>
      </c>
      <c r="G345">
        <v>0</v>
      </c>
      <c r="H345">
        <v>0</v>
      </c>
      <c r="I345">
        <v>35.571800000000003</v>
      </c>
      <c r="J345">
        <v>2.5013999999999998</v>
      </c>
      <c r="K345">
        <v>0</v>
      </c>
      <c r="L345">
        <v>0</v>
      </c>
      <c r="M345">
        <v>35.576599999999999</v>
      </c>
    </row>
    <row r="346" spans="1:13" x14ac:dyDescent="0.25">
      <c r="A346" t="s">
        <v>12</v>
      </c>
      <c r="B346" t="s">
        <v>10</v>
      </c>
      <c r="C346">
        <v>3</v>
      </c>
      <c r="D346">
        <v>1.0000000000000001E-5</v>
      </c>
      <c r="E346">
        <v>1.0000000000000001E-5</v>
      </c>
      <c r="F346" t="str">
        <f t="shared" si="5"/>
        <v>tree256_line_3_0,00001_0,00001</v>
      </c>
      <c r="G346">
        <v>0</v>
      </c>
      <c r="H346">
        <v>0</v>
      </c>
      <c r="I346">
        <v>35.542099999999998</v>
      </c>
      <c r="J346">
        <v>9.3473000000000006</v>
      </c>
      <c r="K346">
        <v>0</v>
      </c>
      <c r="L346">
        <v>0</v>
      </c>
      <c r="M346">
        <v>35.549999999999997</v>
      </c>
    </row>
    <row r="347" spans="1:13" x14ac:dyDescent="0.25">
      <c r="A347" t="s">
        <v>12</v>
      </c>
      <c r="B347" t="s">
        <v>10</v>
      </c>
      <c r="C347">
        <v>7</v>
      </c>
      <c r="D347">
        <v>1.0000000000000001E-5</v>
      </c>
      <c r="E347">
        <v>1.0000000000000001E-5</v>
      </c>
      <c r="F347" t="str">
        <f t="shared" si="5"/>
        <v>tree256_line_7_0,00001_0,00001</v>
      </c>
      <c r="G347">
        <v>0</v>
      </c>
      <c r="H347">
        <v>0</v>
      </c>
      <c r="I347">
        <v>35.6175</v>
      </c>
      <c r="J347">
        <v>5.2497999999999996</v>
      </c>
      <c r="K347">
        <v>0</v>
      </c>
      <c r="L347">
        <v>0</v>
      </c>
      <c r="M347">
        <v>35.621600000000001</v>
      </c>
    </row>
    <row r="348" spans="1:13" x14ac:dyDescent="0.25">
      <c r="A348" t="s">
        <v>12</v>
      </c>
      <c r="B348" t="s">
        <v>10</v>
      </c>
      <c r="C348">
        <v>15</v>
      </c>
      <c r="D348">
        <v>1.0000000000000001E-5</v>
      </c>
      <c r="E348">
        <v>1.0000000000000001E-5</v>
      </c>
      <c r="F348" t="str">
        <f t="shared" si="5"/>
        <v>tree256_line_15_0,00001_0,00001</v>
      </c>
      <c r="G348">
        <v>0</v>
      </c>
      <c r="H348">
        <v>0</v>
      </c>
      <c r="I348">
        <v>35.587800000000001</v>
      </c>
      <c r="J348">
        <v>3.2831999999999999</v>
      </c>
      <c r="K348">
        <v>0</v>
      </c>
      <c r="L348">
        <v>0</v>
      </c>
      <c r="M348">
        <v>35.587800000000001</v>
      </c>
    </row>
    <row r="349" spans="1:13" x14ac:dyDescent="0.25">
      <c r="A349" t="s">
        <v>12</v>
      </c>
      <c r="B349" t="s">
        <v>10</v>
      </c>
      <c r="C349">
        <v>31</v>
      </c>
      <c r="D349">
        <v>1.0000000000000001E-5</v>
      </c>
      <c r="E349">
        <v>1.0000000000000001E-5</v>
      </c>
      <c r="F349" t="str">
        <f t="shared" si="5"/>
        <v>tree256_line_31_0,00001_0,00001</v>
      </c>
      <c r="G349">
        <v>0</v>
      </c>
      <c r="H349">
        <v>0</v>
      </c>
      <c r="I349">
        <v>35.575699999999998</v>
      </c>
      <c r="J349">
        <v>2.3256000000000001</v>
      </c>
      <c r="K349">
        <v>0</v>
      </c>
      <c r="L349">
        <v>0</v>
      </c>
      <c r="M349">
        <v>35.581400000000002</v>
      </c>
    </row>
    <row r="350" spans="1:13" x14ac:dyDescent="0.25">
      <c r="A350" t="s">
        <v>12</v>
      </c>
      <c r="B350" t="s">
        <v>11</v>
      </c>
      <c r="C350">
        <v>3</v>
      </c>
      <c r="D350">
        <v>1.0000000000000001E-5</v>
      </c>
      <c r="E350">
        <v>1.0000000000000001E-5</v>
      </c>
      <c r="F350" t="str">
        <f t="shared" si="5"/>
        <v>tree256_blurkernel10_3_0,00001_0,00001</v>
      </c>
      <c r="G350">
        <v>0</v>
      </c>
      <c r="H350">
        <v>0</v>
      </c>
      <c r="I350">
        <v>35.573099999999997</v>
      </c>
      <c r="J350">
        <v>10.560600000000001</v>
      </c>
      <c r="K350">
        <v>0</v>
      </c>
      <c r="L350">
        <v>0</v>
      </c>
      <c r="M350">
        <v>35.577199999999998</v>
      </c>
    </row>
    <row r="351" spans="1:13" x14ac:dyDescent="0.25">
      <c r="A351" t="s">
        <v>12</v>
      </c>
      <c r="B351" t="s">
        <v>11</v>
      </c>
      <c r="C351">
        <v>7</v>
      </c>
      <c r="D351">
        <v>1.0000000000000001E-5</v>
      </c>
      <c r="E351">
        <v>1.0000000000000001E-5</v>
      </c>
      <c r="F351" t="str">
        <f t="shared" si="5"/>
        <v>tree256_blurkernel10_7_0,00001_0,00001</v>
      </c>
      <c r="G351">
        <v>0</v>
      </c>
      <c r="H351">
        <v>0</v>
      </c>
      <c r="I351">
        <v>35.5764</v>
      </c>
      <c r="J351">
        <v>5.9924999999999997</v>
      </c>
      <c r="K351">
        <v>0</v>
      </c>
      <c r="L351">
        <v>0</v>
      </c>
      <c r="M351">
        <v>35.584099999999999</v>
      </c>
    </row>
    <row r="352" spans="1:13" x14ac:dyDescent="0.25">
      <c r="A352" t="s">
        <v>12</v>
      </c>
      <c r="B352" t="s">
        <v>11</v>
      </c>
      <c r="C352">
        <v>15</v>
      </c>
      <c r="D352">
        <v>1.0000000000000001E-5</v>
      </c>
      <c r="E352">
        <v>1.0000000000000001E-5</v>
      </c>
      <c r="F352" t="str">
        <f t="shared" si="5"/>
        <v>tree256_blurkernel10_15_0,00001_0,00001</v>
      </c>
      <c r="G352">
        <v>0</v>
      </c>
      <c r="H352">
        <v>0</v>
      </c>
      <c r="I352">
        <v>35.584299999999999</v>
      </c>
      <c r="J352">
        <v>3.7435999999999998</v>
      </c>
      <c r="K352">
        <v>0</v>
      </c>
      <c r="L352">
        <v>0</v>
      </c>
      <c r="M352">
        <v>35.585700000000003</v>
      </c>
    </row>
    <row r="353" spans="1:13" x14ac:dyDescent="0.25">
      <c r="A353" t="s">
        <v>12</v>
      </c>
      <c r="B353" t="s">
        <v>11</v>
      </c>
      <c r="C353">
        <v>31</v>
      </c>
      <c r="D353">
        <v>1.0000000000000001E-5</v>
      </c>
      <c r="E353">
        <v>1.0000000000000001E-5</v>
      </c>
      <c r="F353" t="str">
        <f t="shared" si="5"/>
        <v>tree256_blurkernel10_31_0,00001_0,00001</v>
      </c>
      <c r="G353">
        <v>0</v>
      </c>
      <c r="H353">
        <v>0</v>
      </c>
      <c r="I353">
        <v>35.594799999999999</v>
      </c>
      <c r="J353">
        <v>2.5832000000000002</v>
      </c>
      <c r="K353">
        <v>0</v>
      </c>
      <c r="L353">
        <v>0</v>
      </c>
      <c r="M353">
        <v>35.598199999999999</v>
      </c>
    </row>
    <row r="354" spans="1:13" x14ac:dyDescent="0.25">
      <c r="A354" t="s">
        <v>13</v>
      </c>
      <c r="B354" t="s">
        <v>8</v>
      </c>
      <c r="C354">
        <v>3</v>
      </c>
      <c r="D354">
        <v>1.0000000000000001E-5</v>
      </c>
      <c r="E354">
        <v>1.0000000000000001E-5</v>
      </c>
      <c r="F354" t="str">
        <f t="shared" si="5"/>
        <v>text256_blurkernel7_3_0,00001_0,00001</v>
      </c>
      <c r="G354">
        <v>0</v>
      </c>
      <c r="H354">
        <v>0</v>
      </c>
      <c r="I354">
        <v>41.123399999999997</v>
      </c>
      <c r="J354">
        <v>9.2062000000000008</v>
      </c>
      <c r="K354">
        <v>0</v>
      </c>
      <c r="L354">
        <v>0</v>
      </c>
      <c r="M354">
        <v>44.212800000000001</v>
      </c>
    </row>
    <row r="355" spans="1:13" x14ac:dyDescent="0.25">
      <c r="A355" t="s">
        <v>13</v>
      </c>
      <c r="B355" t="s">
        <v>8</v>
      </c>
      <c r="C355">
        <v>7</v>
      </c>
      <c r="D355">
        <v>1.0000000000000001E-5</v>
      </c>
      <c r="E355">
        <v>1.0000000000000001E-5</v>
      </c>
      <c r="F355" t="str">
        <f t="shared" si="5"/>
        <v>text256_blurkernel7_7_0,00001_0,00001</v>
      </c>
      <c r="G355">
        <v>0</v>
      </c>
      <c r="H355">
        <v>0</v>
      </c>
      <c r="I355">
        <v>41.151299999999999</v>
      </c>
      <c r="J355">
        <v>3.0989</v>
      </c>
      <c r="K355">
        <v>0</v>
      </c>
      <c r="L355">
        <v>0</v>
      </c>
      <c r="M355">
        <v>44.253799999999998</v>
      </c>
    </row>
    <row r="356" spans="1:13" x14ac:dyDescent="0.25">
      <c r="A356" t="s">
        <v>13</v>
      </c>
      <c r="B356" t="s">
        <v>8</v>
      </c>
      <c r="C356">
        <v>15</v>
      </c>
      <c r="D356">
        <v>1.0000000000000001E-5</v>
      </c>
      <c r="E356">
        <v>1.0000000000000001E-5</v>
      </c>
      <c r="F356" t="str">
        <f t="shared" si="5"/>
        <v>text256_blurkernel7_15_0,00001_0,00001</v>
      </c>
      <c r="G356">
        <v>0</v>
      </c>
      <c r="H356">
        <v>0</v>
      </c>
      <c r="I356">
        <v>41.064300000000003</v>
      </c>
      <c r="J356">
        <v>1.5173000000000001</v>
      </c>
      <c r="K356">
        <v>0</v>
      </c>
      <c r="L356">
        <v>0</v>
      </c>
      <c r="M356">
        <v>44.067399999999999</v>
      </c>
    </row>
    <row r="357" spans="1:13" x14ac:dyDescent="0.25">
      <c r="A357" t="s">
        <v>13</v>
      </c>
      <c r="B357" t="s">
        <v>8</v>
      </c>
      <c r="C357">
        <v>31</v>
      </c>
      <c r="D357">
        <v>1.0000000000000001E-5</v>
      </c>
      <c r="E357">
        <v>1.0000000000000001E-5</v>
      </c>
      <c r="F357" t="str">
        <f t="shared" si="5"/>
        <v>text256_blurkernel7_31_0,00001_0,00001</v>
      </c>
      <c r="G357">
        <v>0</v>
      </c>
      <c r="H357">
        <v>0</v>
      </c>
      <c r="I357">
        <v>41.148000000000003</v>
      </c>
      <c r="J357">
        <v>0.78480000000000005</v>
      </c>
      <c r="K357">
        <v>0</v>
      </c>
      <c r="L357">
        <v>0</v>
      </c>
      <c r="M357">
        <v>44.273200000000003</v>
      </c>
    </row>
    <row r="358" spans="1:13" x14ac:dyDescent="0.25">
      <c r="A358" t="s">
        <v>13</v>
      </c>
      <c r="B358" t="s">
        <v>9</v>
      </c>
      <c r="C358">
        <v>3</v>
      </c>
      <c r="D358">
        <v>1.0000000000000001E-5</v>
      </c>
      <c r="E358">
        <v>1.0000000000000001E-5</v>
      </c>
      <c r="F358" t="str">
        <f t="shared" si="5"/>
        <v>text256_blurkernel8_3_0,00001_0,00001</v>
      </c>
      <c r="G358">
        <v>0</v>
      </c>
      <c r="H358">
        <v>0</v>
      </c>
      <c r="I358">
        <v>41.155000000000001</v>
      </c>
      <c r="J358">
        <v>8.6244999999999994</v>
      </c>
      <c r="K358">
        <v>0</v>
      </c>
      <c r="L358">
        <v>0</v>
      </c>
      <c r="M358">
        <v>44.203899999999997</v>
      </c>
    </row>
    <row r="359" spans="1:13" x14ac:dyDescent="0.25">
      <c r="A359" t="s">
        <v>13</v>
      </c>
      <c r="B359" t="s">
        <v>9</v>
      </c>
      <c r="C359">
        <v>7</v>
      </c>
      <c r="D359">
        <v>1.0000000000000001E-5</v>
      </c>
      <c r="E359">
        <v>1.0000000000000001E-5</v>
      </c>
      <c r="F359" t="str">
        <f t="shared" si="5"/>
        <v>text256_blurkernel8_7_0,00001_0,00001</v>
      </c>
      <c r="G359">
        <v>0</v>
      </c>
      <c r="H359">
        <v>0</v>
      </c>
      <c r="I359">
        <v>41.1616</v>
      </c>
      <c r="J359">
        <v>2.7486999999999999</v>
      </c>
      <c r="K359">
        <v>0</v>
      </c>
      <c r="L359">
        <v>0</v>
      </c>
      <c r="M359">
        <v>44.276200000000003</v>
      </c>
    </row>
    <row r="360" spans="1:13" x14ac:dyDescent="0.25">
      <c r="A360" t="s">
        <v>13</v>
      </c>
      <c r="B360" t="s">
        <v>9</v>
      </c>
      <c r="C360">
        <v>15</v>
      </c>
      <c r="D360">
        <v>1.0000000000000001E-5</v>
      </c>
      <c r="E360">
        <v>1.0000000000000001E-5</v>
      </c>
      <c r="F360" t="str">
        <f t="shared" si="5"/>
        <v>text256_blurkernel8_15_0,00001_0,00001</v>
      </c>
      <c r="G360">
        <v>0</v>
      </c>
      <c r="H360">
        <v>0</v>
      </c>
      <c r="I360">
        <v>41.122599999999998</v>
      </c>
      <c r="J360">
        <v>1.6819999999999999</v>
      </c>
      <c r="K360">
        <v>0</v>
      </c>
      <c r="L360">
        <v>0</v>
      </c>
      <c r="M360">
        <v>44.252299999999998</v>
      </c>
    </row>
    <row r="361" spans="1:13" x14ac:dyDescent="0.25">
      <c r="A361" t="s">
        <v>13</v>
      </c>
      <c r="B361" t="s">
        <v>9</v>
      </c>
      <c r="C361">
        <v>31</v>
      </c>
      <c r="D361">
        <v>1.0000000000000001E-5</v>
      </c>
      <c r="E361">
        <v>1.0000000000000001E-5</v>
      </c>
      <c r="F361" t="str">
        <f t="shared" si="5"/>
        <v>text256_blurkernel8_31_0,00001_0,00001</v>
      </c>
      <c r="G361">
        <v>0</v>
      </c>
      <c r="H361">
        <v>0</v>
      </c>
      <c r="I361">
        <v>41.106299999999997</v>
      </c>
      <c r="J361">
        <v>0.86809999999999998</v>
      </c>
      <c r="K361">
        <v>0</v>
      </c>
      <c r="L361">
        <v>0</v>
      </c>
      <c r="M361">
        <v>44.162100000000002</v>
      </c>
    </row>
    <row r="362" spans="1:13" x14ac:dyDescent="0.25">
      <c r="A362" t="s">
        <v>13</v>
      </c>
      <c r="B362" t="s">
        <v>10</v>
      </c>
      <c r="C362">
        <v>3</v>
      </c>
      <c r="D362">
        <v>1.0000000000000001E-5</v>
      </c>
      <c r="E362">
        <v>1.0000000000000001E-5</v>
      </c>
      <c r="F362" t="str">
        <f t="shared" si="5"/>
        <v>text256_line_3_0,00001_0,00001</v>
      </c>
      <c r="G362">
        <v>0</v>
      </c>
      <c r="H362">
        <v>0</v>
      </c>
      <c r="I362">
        <v>41.148800000000001</v>
      </c>
      <c r="J362">
        <v>5.9836999999999998</v>
      </c>
      <c r="K362">
        <v>0</v>
      </c>
      <c r="L362">
        <v>0</v>
      </c>
      <c r="M362">
        <v>44.2502</v>
      </c>
    </row>
    <row r="363" spans="1:13" x14ac:dyDescent="0.25">
      <c r="A363" t="s">
        <v>13</v>
      </c>
      <c r="B363" t="s">
        <v>10</v>
      </c>
      <c r="C363">
        <v>7</v>
      </c>
      <c r="D363">
        <v>1.0000000000000001E-5</v>
      </c>
      <c r="E363">
        <v>1.0000000000000001E-5</v>
      </c>
      <c r="F363" t="str">
        <f t="shared" si="5"/>
        <v>text256_line_7_0,00001_0,00001</v>
      </c>
      <c r="G363">
        <v>0</v>
      </c>
      <c r="H363">
        <v>0</v>
      </c>
      <c r="I363">
        <v>41.114800000000002</v>
      </c>
      <c r="J363">
        <v>1.8162</v>
      </c>
      <c r="K363">
        <v>0</v>
      </c>
      <c r="L363">
        <v>0</v>
      </c>
      <c r="M363">
        <v>44.209299999999999</v>
      </c>
    </row>
    <row r="364" spans="1:13" x14ac:dyDescent="0.25">
      <c r="A364" t="s">
        <v>13</v>
      </c>
      <c r="B364" t="s">
        <v>10</v>
      </c>
      <c r="C364">
        <v>15</v>
      </c>
      <c r="D364">
        <v>1.0000000000000001E-5</v>
      </c>
      <c r="E364">
        <v>1.0000000000000001E-5</v>
      </c>
      <c r="F364" t="str">
        <f t="shared" si="5"/>
        <v>text256_line_15_0,00001_0,00001</v>
      </c>
      <c r="G364">
        <v>0</v>
      </c>
      <c r="H364">
        <v>0</v>
      </c>
      <c r="I364">
        <v>41.211399999999998</v>
      </c>
      <c r="J364">
        <v>1.3420000000000001</v>
      </c>
      <c r="K364">
        <v>0</v>
      </c>
      <c r="L364">
        <v>0</v>
      </c>
      <c r="M364">
        <v>44.296700000000001</v>
      </c>
    </row>
    <row r="365" spans="1:13" x14ac:dyDescent="0.25">
      <c r="A365" t="s">
        <v>13</v>
      </c>
      <c r="B365" t="s">
        <v>10</v>
      </c>
      <c r="C365">
        <v>31</v>
      </c>
      <c r="D365">
        <v>1.0000000000000001E-5</v>
      </c>
      <c r="E365">
        <v>1.0000000000000001E-5</v>
      </c>
      <c r="F365" t="str">
        <f t="shared" si="5"/>
        <v>text256_line_31_0,00001_0,00001</v>
      </c>
      <c r="G365">
        <v>0</v>
      </c>
      <c r="H365">
        <v>0</v>
      </c>
      <c r="I365">
        <v>41.158099999999997</v>
      </c>
      <c r="J365">
        <v>0.1772</v>
      </c>
      <c r="K365">
        <v>0</v>
      </c>
      <c r="L365">
        <v>0</v>
      </c>
      <c r="M365">
        <v>44.2286</v>
      </c>
    </row>
    <row r="366" spans="1:13" x14ac:dyDescent="0.25">
      <c r="A366" t="s">
        <v>13</v>
      </c>
      <c r="B366" t="s">
        <v>11</v>
      </c>
      <c r="C366">
        <v>3</v>
      </c>
      <c r="D366">
        <v>1.0000000000000001E-5</v>
      </c>
      <c r="E366">
        <v>1.0000000000000001E-5</v>
      </c>
      <c r="F366" t="str">
        <f t="shared" si="5"/>
        <v>text256_blurkernel10_3_0,00001_0,00001</v>
      </c>
      <c r="G366">
        <v>0</v>
      </c>
      <c r="H366">
        <v>0</v>
      </c>
      <c r="I366">
        <v>41.1693</v>
      </c>
      <c r="J366">
        <v>7.1280000000000001</v>
      </c>
      <c r="K366">
        <v>0</v>
      </c>
      <c r="L366">
        <v>0</v>
      </c>
      <c r="M366">
        <v>44.265799999999999</v>
      </c>
    </row>
    <row r="367" spans="1:13" x14ac:dyDescent="0.25">
      <c r="A367" t="s">
        <v>13</v>
      </c>
      <c r="B367" t="s">
        <v>11</v>
      </c>
      <c r="C367">
        <v>7</v>
      </c>
      <c r="D367">
        <v>1.0000000000000001E-5</v>
      </c>
      <c r="E367">
        <v>1.0000000000000001E-5</v>
      </c>
      <c r="F367" t="str">
        <f t="shared" si="5"/>
        <v>text256_blurkernel10_7_0,00001_0,00001</v>
      </c>
      <c r="G367">
        <v>0</v>
      </c>
      <c r="H367">
        <v>0</v>
      </c>
      <c r="I367">
        <v>41.1008</v>
      </c>
      <c r="J367">
        <v>2.1818</v>
      </c>
      <c r="K367">
        <v>0</v>
      </c>
      <c r="L367">
        <v>0</v>
      </c>
      <c r="M367">
        <v>44.165500000000002</v>
      </c>
    </row>
    <row r="368" spans="1:13" x14ac:dyDescent="0.25">
      <c r="A368" t="s">
        <v>13</v>
      </c>
      <c r="B368" t="s">
        <v>11</v>
      </c>
      <c r="C368">
        <v>15</v>
      </c>
      <c r="D368">
        <v>1.0000000000000001E-5</v>
      </c>
      <c r="E368">
        <v>1.0000000000000001E-5</v>
      </c>
      <c r="F368" t="str">
        <f t="shared" si="5"/>
        <v>text256_blurkernel10_15_0,00001_0,00001</v>
      </c>
      <c r="G368">
        <v>0</v>
      </c>
      <c r="H368">
        <v>0</v>
      </c>
      <c r="I368">
        <v>41.102800000000002</v>
      </c>
      <c r="J368">
        <v>1.3022</v>
      </c>
      <c r="K368">
        <v>0</v>
      </c>
      <c r="L368">
        <v>0</v>
      </c>
      <c r="M368">
        <v>44.216099999999997</v>
      </c>
    </row>
    <row r="369" spans="1:13" x14ac:dyDescent="0.25">
      <c r="A369" t="s">
        <v>13</v>
      </c>
      <c r="B369" t="s">
        <v>11</v>
      </c>
      <c r="C369">
        <v>31</v>
      </c>
      <c r="D369">
        <v>1.0000000000000001E-5</v>
      </c>
      <c r="E369">
        <v>1.0000000000000001E-5</v>
      </c>
      <c r="F369" t="str">
        <f t="shared" si="5"/>
        <v>text256_blurkernel10_31_0,00001_0,00001</v>
      </c>
      <c r="G369">
        <v>0</v>
      </c>
      <c r="H369">
        <v>0</v>
      </c>
      <c r="I369">
        <v>41.046700000000001</v>
      </c>
      <c r="J369">
        <v>0.2384</v>
      </c>
      <c r="K369">
        <v>0</v>
      </c>
      <c r="L369">
        <v>0</v>
      </c>
      <c r="M369">
        <v>44.066899999999997</v>
      </c>
    </row>
    <row r="370" spans="1:13" x14ac:dyDescent="0.25">
      <c r="A370" t="s">
        <v>14</v>
      </c>
      <c r="B370" t="s">
        <v>8</v>
      </c>
      <c r="C370">
        <v>3</v>
      </c>
      <c r="D370">
        <v>1.0000000000000001E-5</v>
      </c>
      <c r="E370">
        <v>1.0000000000000001E-5</v>
      </c>
      <c r="F370" t="str">
        <f t="shared" si="5"/>
        <v>castle256_blurkernel7_3_0,00001_0,00001</v>
      </c>
      <c r="G370">
        <v>0</v>
      </c>
      <c r="H370">
        <v>0</v>
      </c>
      <c r="I370">
        <v>35.408299999999997</v>
      </c>
      <c r="J370">
        <v>15.6502</v>
      </c>
      <c r="K370">
        <v>0</v>
      </c>
      <c r="L370">
        <v>0</v>
      </c>
      <c r="M370">
        <v>36.793599999999998</v>
      </c>
    </row>
    <row r="371" spans="1:13" x14ac:dyDescent="0.25">
      <c r="A371" t="s">
        <v>14</v>
      </c>
      <c r="B371" t="s">
        <v>8</v>
      </c>
      <c r="C371">
        <v>7</v>
      </c>
      <c r="D371">
        <v>1.0000000000000001E-5</v>
      </c>
      <c r="E371">
        <v>1.0000000000000001E-5</v>
      </c>
      <c r="F371" t="str">
        <f t="shared" si="5"/>
        <v>castle256_blurkernel7_7_0,00001_0,00001</v>
      </c>
      <c r="G371">
        <v>0</v>
      </c>
      <c r="H371">
        <v>0</v>
      </c>
      <c r="I371">
        <v>35.408499999999997</v>
      </c>
      <c r="J371">
        <v>10.9252</v>
      </c>
      <c r="K371">
        <v>0</v>
      </c>
      <c r="L371">
        <v>0</v>
      </c>
      <c r="M371">
        <v>36.822499999999998</v>
      </c>
    </row>
    <row r="372" spans="1:13" x14ac:dyDescent="0.25">
      <c r="A372" t="s">
        <v>14</v>
      </c>
      <c r="B372" t="s">
        <v>8</v>
      </c>
      <c r="C372">
        <v>15</v>
      </c>
      <c r="D372">
        <v>1.0000000000000001E-5</v>
      </c>
      <c r="E372">
        <v>1.0000000000000001E-5</v>
      </c>
      <c r="F372" t="str">
        <f t="shared" si="5"/>
        <v>castle256_blurkernel7_15_0,00001_0,00001</v>
      </c>
      <c r="G372">
        <v>0</v>
      </c>
      <c r="H372">
        <v>0</v>
      </c>
      <c r="I372">
        <v>35.389699999999998</v>
      </c>
      <c r="J372">
        <v>8.5825999999999993</v>
      </c>
      <c r="K372">
        <v>0</v>
      </c>
      <c r="L372">
        <v>0</v>
      </c>
      <c r="M372">
        <v>36.825099999999999</v>
      </c>
    </row>
    <row r="373" spans="1:13" x14ac:dyDescent="0.25">
      <c r="A373" t="s">
        <v>14</v>
      </c>
      <c r="B373" t="s">
        <v>8</v>
      </c>
      <c r="C373">
        <v>31</v>
      </c>
      <c r="D373">
        <v>1.0000000000000001E-5</v>
      </c>
      <c r="E373">
        <v>1.0000000000000001E-5</v>
      </c>
      <c r="F373" t="str">
        <f t="shared" si="5"/>
        <v>castle256_blurkernel7_31_0,00001_0,00001</v>
      </c>
      <c r="G373">
        <v>0</v>
      </c>
      <c r="H373">
        <v>0</v>
      </c>
      <c r="I373">
        <v>35.369700000000002</v>
      </c>
      <c r="J373">
        <v>6.6738999999999997</v>
      </c>
      <c r="K373">
        <v>0</v>
      </c>
      <c r="L373">
        <v>0</v>
      </c>
      <c r="M373">
        <v>36.787399999999998</v>
      </c>
    </row>
    <row r="374" spans="1:13" x14ac:dyDescent="0.25">
      <c r="A374" t="s">
        <v>14</v>
      </c>
      <c r="B374" t="s">
        <v>9</v>
      </c>
      <c r="C374">
        <v>3</v>
      </c>
      <c r="D374">
        <v>1.0000000000000001E-5</v>
      </c>
      <c r="E374">
        <v>1.0000000000000001E-5</v>
      </c>
      <c r="F374" t="str">
        <f t="shared" si="5"/>
        <v>castle256_blurkernel8_3_0,00001_0,00001</v>
      </c>
      <c r="G374">
        <v>0</v>
      </c>
      <c r="H374">
        <v>0</v>
      </c>
      <c r="I374">
        <v>35.425600000000003</v>
      </c>
      <c r="J374">
        <v>15.308199999999999</v>
      </c>
      <c r="K374">
        <v>0</v>
      </c>
      <c r="L374">
        <v>0</v>
      </c>
      <c r="M374">
        <v>36.826099999999997</v>
      </c>
    </row>
    <row r="375" spans="1:13" x14ac:dyDescent="0.25">
      <c r="A375" t="s">
        <v>14</v>
      </c>
      <c r="B375" t="s">
        <v>9</v>
      </c>
      <c r="C375">
        <v>7</v>
      </c>
      <c r="D375">
        <v>1.0000000000000001E-5</v>
      </c>
      <c r="E375">
        <v>1.0000000000000001E-5</v>
      </c>
      <c r="F375" t="str">
        <f t="shared" si="5"/>
        <v>castle256_blurkernel8_7_0,00001_0,00001</v>
      </c>
      <c r="G375">
        <v>0</v>
      </c>
      <c r="H375">
        <v>0</v>
      </c>
      <c r="I375">
        <v>35.360399999999998</v>
      </c>
      <c r="J375">
        <v>10.732799999999999</v>
      </c>
      <c r="K375">
        <v>0</v>
      </c>
      <c r="L375">
        <v>0</v>
      </c>
      <c r="M375">
        <v>36.808199999999999</v>
      </c>
    </row>
    <row r="376" spans="1:13" x14ac:dyDescent="0.25">
      <c r="A376" t="s">
        <v>14</v>
      </c>
      <c r="B376" t="s">
        <v>9</v>
      </c>
      <c r="C376">
        <v>15</v>
      </c>
      <c r="D376">
        <v>1.0000000000000001E-5</v>
      </c>
      <c r="E376">
        <v>1.0000000000000001E-5</v>
      </c>
      <c r="F376" t="str">
        <f t="shared" si="5"/>
        <v>castle256_blurkernel8_15_0,00001_0,00001</v>
      </c>
      <c r="G376">
        <v>0</v>
      </c>
      <c r="H376">
        <v>0</v>
      </c>
      <c r="I376">
        <v>35.361199999999997</v>
      </c>
      <c r="J376">
        <v>8.5755999999999997</v>
      </c>
      <c r="K376">
        <v>0</v>
      </c>
      <c r="L376">
        <v>0</v>
      </c>
      <c r="M376">
        <v>36.757899999999999</v>
      </c>
    </row>
    <row r="377" spans="1:13" x14ac:dyDescent="0.25">
      <c r="A377" t="s">
        <v>14</v>
      </c>
      <c r="B377" t="s">
        <v>9</v>
      </c>
      <c r="C377">
        <v>31</v>
      </c>
      <c r="D377">
        <v>1.0000000000000001E-5</v>
      </c>
      <c r="E377">
        <v>1.0000000000000001E-5</v>
      </c>
      <c r="F377" t="str">
        <f t="shared" si="5"/>
        <v>castle256_blurkernel8_31_0,00001_0,00001</v>
      </c>
      <c r="G377">
        <v>0</v>
      </c>
      <c r="H377">
        <v>0</v>
      </c>
      <c r="I377">
        <v>35.3553</v>
      </c>
      <c r="J377">
        <v>6.6222000000000003</v>
      </c>
      <c r="K377">
        <v>0</v>
      </c>
      <c r="L377">
        <v>0</v>
      </c>
      <c r="M377">
        <v>36.765300000000003</v>
      </c>
    </row>
    <row r="378" spans="1:13" x14ac:dyDescent="0.25">
      <c r="A378" t="s">
        <v>14</v>
      </c>
      <c r="B378" t="s">
        <v>10</v>
      </c>
      <c r="C378">
        <v>3</v>
      </c>
      <c r="D378">
        <v>1.0000000000000001E-5</v>
      </c>
      <c r="E378">
        <v>1.0000000000000001E-5</v>
      </c>
      <c r="F378" t="str">
        <f t="shared" si="5"/>
        <v>castle256_line_3_0,00001_0,00001</v>
      </c>
      <c r="G378">
        <v>0</v>
      </c>
      <c r="H378">
        <v>0</v>
      </c>
      <c r="I378">
        <v>35.403100000000002</v>
      </c>
      <c r="J378">
        <v>13.1297</v>
      </c>
      <c r="K378">
        <v>0</v>
      </c>
      <c r="L378">
        <v>0</v>
      </c>
      <c r="M378">
        <v>36.822499999999998</v>
      </c>
    </row>
    <row r="379" spans="1:13" x14ac:dyDescent="0.25">
      <c r="A379" t="s">
        <v>14</v>
      </c>
      <c r="B379" t="s">
        <v>10</v>
      </c>
      <c r="C379">
        <v>7</v>
      </c>
      <c r="D379">
        <v>1.0000000000000001E-5</v>
      </c>
      <c r="E379">
        <v>1.0000000000000001E-5</v>
      </c>
      <c r="F379" t="str">
        <f t="shared" si="5"/>
        <v>castle256_line_7_0,00001_0,00001</v>
      </c>
      <c r="G379">
        <v>0</v>
      </c>
      <c r="H379">
        <v>0</v>
      </c>
      <c r="I379">
        <v>35.374699999999997</v>
      </c>
      <c r="J379">
        <v>9.6607000000000003</v>
      </c>
      <c r="K379">
        <v>0</v>
      </c>
      <c r="L379">
        <v>0</v>
      </c>
      <c r="M379">
        <v>36.750599999999999</v>
      </c>
    </row>
    <row r="380" spans="1:13" x14ac:dyDescent="0.25">
      <c r="A380" t="s">
        <v>14</v>
      </c>
      <c r="B380" t="s">
        <v>10</v>
      </c>
      <c r="C380">
        <v>15</v>
      </c>
      <c r="D380">
        <v>1.0000000000000001E-5</v>
      </c>
      <c r="E380">
        <v>1.0000000000000001E-5</v>
      </c>
      <c r="F380" t="str">
        <f t="shared" si="5"/>
        <v>castle256_line_15_0,00001_0,00001</v>
      </c>
      <c r="G380">
        <v>0</v>
      </c>
      <c r="H380">
        <v>0</v>
      </c>
      <c r="I380">
        <v>35.393300000000004</v>
      </c>
      <c r="J380">
        <v>7.5178000000000003</v>
      </c>
      <c r="K380">
        <v>0</v>
      </c>
      <c r="L380">
        <v>0</v>
      </c>
      <c r="M380">
        <v>36.8292</v>
      </c>
    </row>
    <row r="381" spans="1:13" x14ac:dyDescent="0.25">
      <c r="A381" t="s">
        <v>14</v>
      </c>
      <c r="B381" t="s">
        <v>10</v>
      </c>
      <c r="C381">
        <v>31</v>
      </c>
      <c r="D381">
        <v>1.0000000000000001E-5</v>
      </c>
      <c r="E381">
        <v>1.0000000000000001E-5</v>
      </c>
      <c r="F381" t="str">
        <f t="shared" si="5"/>
        <v>castle256_line_31_0,00001_0,00001</v>
      </c>
      <c r="G381">
        <v>0</v>
      </c>
      <c r="H381">
        <v>0</v>
      </c>
      <c r="I381">
        <v>35.4056</v>
      </c>
      <c r="J381">
        <v>5.7596999999999996</v>
      </c>
      <c r="K381">
        <v>0</v>
      </c>
      <c r="L381">
        <v>0</v>
      </c>
      <c r="M381">
        <v>36.822200000000002</v>
      </c>
    </row>
    <row r="382" spans="1:13" x14ac:dyDescent="0.25">
      <c r="A382" t="s">
        <v>14</v>
      </c>
      <c r="B382" t="s">
        <v>11</v>
      </c>
      <c r="C382">
        <v>3</v>
      </c>
      <c r="D382">
        <v>1.0000000000000001E-5</v>
      </c>
      <c r="E382">
        <v>1.0000000000000001E-5</v>
      </c>
      <c r="F382" t="str">
        <f t="shared" si="5"/>
        <v>castle256_blurkernel10_3_0,00001_0,00001</v>
      </c>
      <c r="G382">
        <v>0</v>
      </c>
      <c r="H382">
        <v>0</v>
      </c>
      <c r="I382">
        <v>35.371600000000001</v>
      </c>
      <c r="J382">
        <v>14.469200000000001</v>
      </c>
      <c r="K382">
        <v>0</v>
      </c>
      <c r="L382">
        <v>0</v>
      </c>
      <c r="M382">
        <v>36.814</v>
      </c>
    </row>
    <row r="383" spans="1:13" x14ac:dyDescent="0.25">
      <c r="A383" t="s">
        <v>14</v>
      </c>
      <c r="B383" t="s">
        <v>11</v>
      </c>
      <c r="C383">
        <v>7</v>
      </c>
      <c r="D383">
        <v>1.0000000000000001E-5</v>
      </c>
      <c r="E383">
        <v>1.0000000000000001E-5</v>
      </c>
      <c r="F383" t="str">
        <f t="shared" si="5"/>
        <v>castle256_blurkernel10_7_0,00001_0,00001</v>
      </c>
      <c r="G383">
        <v>0</v>
      </c>
      <c r="H383">
        <v>0</v>
      </c>
      <c r="I383">
        <v>35.342399999999998</v>
      </c>
      <c r="J383">
        <v>10.285</v>
      </c>
      <c r="K383">
        <v>0</v>
      </c>
      <c r="L383">
        <v>0</v>
      </c>
      <c r="M383">
        <v>36.727600000000002</v>
      </c>
    </row>
    <row r="384" spans="1:13" x14ac:dyDescent="0.25">
      <c r="A384" t="s">
        <v>14</v>
      </c>
      <c r="B384" t="s">
        <v>11</v>
      </c>
      <c r="C384">
        <v>15</v>
      </c>
      <c r="D384">
        <v>1.0000000000000001E-5</v>
      </c>
      <c r="E384">
        <v>1.0000000000000001E-5</v>
      </c>
      <c r="F384" t="str">
        <f t="shared" si="5"/>
        <v>castle256_blurkernel10_15_0,00001_0,00001</v>
      </c>
      <c r="G384">
        <v>0</v>
      </c>
      <c r="H384">
        <v>0</v>
      </c>
      <c r="I384">
        <v>35.380600000000001</v>
      </c>
      <c r="J384">
        <v>8.1919000000000004</v>
      </c>
      <c r="K384">
        <v>0</v>
      </c>
      <c r="L384">
        <v>0</v>
      </c>
      <c r="M384">
        <v>36.801000000000002</v>
      </c>
    </row>
    <row r="385" spans="1:13" x14ac:dyDescent="0.25">
      <c r="A385" t="s">
        <v>14</v>
      </c>
      <c r="B385" t="s">
        <v>11</v>
      </c>
      <c r="C385">
        <v>31</v>
      </c>
      <c r="D385">
        <v>1.0000000000000001E-5</v>
      </c>
      <c r="E385">
        <v>1.0000000000000001E-5</v>
      </c>
      <c r="F385" t="str">
        <f t="shared" si="5"/>
        <v>castle256_blurkernel10_31_0,00001_0,00001</v>
      </c>
      <c r="G385">
        <v>0</v>
      </c>
      <c r="H385">
        <v>0</v>
      </c>
      <c r="I385">
        <v>35.368000000000002</v>
      </c>
      <c r="J385">
        <v>6.2134999999999998</v>
      </c>
      <c r="K385">
        <v>0</v>
      </c>
      <c r="L385">
        <v>0</v>
      </c>
      <c r="M385">
        <v>36.7774</v>
      </c>
    </row>
  </sheetData>
  <autoFilter ref="A1:M32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11"/>
  <sheetViews>
    <sheetView workbookViewId="0">
      <selection activeCell="J29" sqref="J29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 x14ac:dyDescent="0.25">
      <c r="B3" s="2" t="s">
        <v>25</v>
      </c>
    </row>
    <row r="4" spans="1:7" x14ac:dyDescent="0.25">
      <c r="A4" s="2" t="s">
        <v>23</v>
      </c>
      <c r="B4" t="s">
        <v>26</v>
      </c>
      <c r="C4" t="s">
        <v>27</v>
      </c>
      <c r="D4" t="s">
        <v>28</v>
      </c>
      <c r="E4" t="s">
        <v>46</v>
      </c>
    </row>
    <row r="5" spans="1:7" x14ac:dyDescent="0.25">
      <c r="A5" s="3">
        <v>1E-4</v>
      </c>
      <c r="B5" s="4">
        <v>18.056987499999991</v>
      </c>
      <c r="C5" s="4">
        <v>27.925159375000007</v>
      </c>
      <c r="D5" s="4">
        <v>29.437448437499999</v>
      </c>
      <c r="E5" t="str">
        <f>Range2MatlabVector(B5:B8)</f>
        <v>[18,0569875 16,5671265625 12,756959375 7,516478125]</v>
      </c>
      <c r="F5" t="str">
        <f t="shared" ref="F5:G5" si="0">Range2MatlabVector(C5:C8)</f>
        <v>[27,925159375 20,6377484375 15,59400625 11,3684359375]</v>
      </c>
      <c r="G5" t="str">
        <f t="shared" si="0"/>
        <v>[29,4374484375 21,0401 13,7093734375 7,4359046875]</v>
      </c>
    </row>
    <row r="6" spans="1:7" x14ac:dyDescent="0.25">
      <c r="A6" s="3">
        <v>1E-3</v>
      </c>
      <c r="B6" s="4">
        <v>16.5671265625</v>
      </c>
      <c r="C6" s="4">
        <v>20.637748437500001</v>
      </c>
      <c r="D6" s="4">
        <v>21.040099999999999</v>
      </c>
    </row>
    <row r="7" spans="1:7" x14ac:dyDescent="0.25">
      <c r="A7" s="3">
        <v>0.01</v>
      </c>
      <c r="B7" s="4">
        <v>12.756959374999997</v>
      </c>
      <c r="C7" s="4">
        <v>15.594006249999998</v>
      </c>
      <c r="D7" s="4">
        <v>13.709373437500002</v>
      </c>
    </row>
    <row r="8" spans="1:7" x14ac:dyDescent="0.25">
      <c r="A8" s="3">
        <v>0.1</v>
      </c>
      <c r="B8" s="4">
        <v>7.5164781249999999</v>
      </c>
      <c r="C8" s="4">
        <v>11.368435937499999</v>
      </c>
      <c r="D8" s="4">
        <v>7.4359046874999999</v>
      </c>
    </row>
    <row r="9" spans="1:7" x14ac:dyDescent="0.25">
      <c r="A9" s="3" t="s">
        <v>24</v>
      </c>
      <c r="B9" s="4">
        <v>13.724387890624998</v>
      </c>
      <c r="C9" s="4">
        <v>18.88133749999999</v>
      </c>
      <c r="D9" s="4">
        <v>17.905706640624995</v>
      </c>
    </row>
    <row r="11" spans="1:7" x14ac:dyDescent="0.25">
      <c r="A11" t="str">
        <f>"SABO12_VarTriplePlot("&amp;E5&amp;", "&amp;F5&amp;", "&amp;G5&amp;", '"&amp;E4&amp;"');"</f>
        <v>SABO12_VarTriplePlot([18,0569875 16,5671265625 12,756959375 7,516478125], [27,925159375 20,6377484375 15,59400625 11,3684359375], [29,4374484375 21,0401 13,7093734375 7,4359046875], 'avg_methods_vs_var.eps');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G12"/>
  <sheetViews>
    <sheetView workbookViewId="0">
      <selection activeCell="K27" sqref="K27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4" spans="1:7" x14ac:dyDescent="0.25">
      <c r="B4" s="2" t="s">
        <v>25</v>
      </c>
    </row>
    <row r="5" spans="1:7" x14ac:dyDescent="0.25">
      <c r="A5" s="2" t="s">
        <v>23</v>
      </c>
      <c r="B5" t="s">
        <v>26</v>
      </c>
      <c r="C5" t="s">
        <v>27</v>
      </c>
      <c r="D5" t="s">
        <v>28</v>
      </c>
      <c r="E5" t="s">
        <v>47</v>
      </c>
    </row>
    <row r="6" spans="1:7" x14ac:dyDescent="0.25">
      <c r="A6" s="3">
        <v>3</v>
      </c>
      <c r="B6" s="4">
        <v>14.3957203125</v>
      </c>
      <c r="C6" s="4">
        <v>22.662701562500001</v>
      </c>
      <c r="D6" s="4">
        <v>17.913820312499997</v>
      </c>
      <c r="E6" t="str">
        <f>Range2MatlabVector(B6:B9)</f>
        <v>[14,3957203125 13,5792765625 13,4968796875 13,425675]</v>
      </c>
      <c r="F6" t="str">
        <f t="shared" ref="F6:G6" si="0">Range2MatlabVector(C6:C9)</f>
        <v>[22,6627015625 18,63644375 17,8487046875 16,3775]</v>
      </c>
      <c r="G6" t="str">
        <f t="shared" si="0"/>
        <v>[17,9138203125 17,90429375 17,90560625 17,89910625]</v>
      </c>
    </row>
    <row r="7" spans="1:7" x14ac:dyDescent="0.25">
      <c r="A7" s="3">
        <v>7</v>
      </c>
      <c r="B7" s="4">
        <v>13.579276562499995</v>
      </c>
      <c r="C7" s="4">
        <v>18.636443750000005</v>
      </c>
      <c r="D7" s="4">
        <v>17.904293750000001</v>
      </c>
    </row>
    <row r="8" spans="1:7" x14ac:dyDescent="0.25">
      <c r="A8" s="3">
        <v>15</v>
      </c>
      <c r="B8" s="4">
        <v>13.4968796875</v>
      </c>
      <c r="C8" s="4">
        <v>17.848704687500003</v>
      </c>
      <c r="D8" s="4">
        <v>17.905606250000005</v>
      </c>
    </row>
    <row r="9" spans="1:7" x14ac:dyDescent="0.25">
      <c r="A9" s="3">
        <v>31</v>
      </c>
      <c r="B9" s="4">
        <v>13.425674999999996</v>
      </c>
      <c r="C9" s="4">
        <v>16.377499999999998</v>
      </c>
      <c r="D9" s="4">
        <v>17.899106249999996</v>
      </c>
    </row>
    <row r="10" spans="1:7" x14ac:dyDescent="0.25">
      <c r="A10" s="3" t="s">
        <v>24</v>
      </c>
      <c r="B10" s="4">
        <v>13.724387890625007</v>
      </c>
      <c r="C10" s="4">
        <v>18.881337500000008</v>
      </c>
      <c r="D10" s="4">
        <v>17.905706640624999</v>
      </c>
    </row>
    <row r="12" spans="1:7" x14ac:dyDescent="0.25">
      <c r="A12" t="str">
        <f>"SABO12_PSFTriplePlot("&amp;E6&amp;", "&amp;F6&amp;", "&amp;G6&amp;", '"&amp;E5&amp;"');"</f>
        <v>SABO12_PSFTriplePlot([14,3957203125 13,5792765625 13,4968796875 13,425675], [22,6627015625 18,63644375 17,8487046875 16,3775], [17,9138203125 17,90429375 17,90560625 17,89910625], 'avg_methods_vs_var_PSF_size.eps');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9"/>
  <sheetViews>
    <sheetView workbookViewId="0">
      <selection activeCell="B5" sqref="B5"/>
    </sheetView>
  </sheetViews>
  <sheetFormatPr defaultRowHeight="15" x14ac:dyDescent="0.25"/>
  <cols>
    <col min="1" max="1" width="17.42578125" bestFit="1" customWidth="1"/>
    <col min="2" max="2" width="16.140625" customWidth="1"/>
    <col min="3" max="3" width="10" customWidth="1"/>
    <col min="4" max="4" width="8" customWidth="1"/>
    <col min="5" max="5" width="7" customWidth="1"/>
    <col min="6" max="6" width="12" customWidth="1"/>
    <col min="7" max="7" width="12" bestFit="1" customWidth="1"/>
    <col min="8" max="8" width="169.85546875" bestFit="1" customWidth="1"/>
  </cols>
  <sheetData>
    <row r="1" spans="1:8" x14ac:dyDescent="0.25">
      <c r="A1" s="2" t="s">
        <v>0</v>
      </c>
      <c r="B1" t="s">
        <v>12</v>
      </c>
    </row>
    <row r="2" spans="1:8" x14ac:dyDescent="0.25">
      <c r="A2" s="2" t="s">
        <v>1</v>
      </c>
      <c r="B2" t="s">
        <v>10</v>
      </c>
    </row>
    <row r="3" spans="1:8" x14ac:dyDescent="0.25">
      <c r="H3" t="str">
        <f>B1 &amp; "_" &amp; B2</f>
        <v>tree256_line</v>
      </c>
    </row>
    <row r="4" spans="1:8" x14ac:dyDescent="0.25">
      <c r="A4" s="2" t="s">
        <v>26</v>
      </c>
      <c r="B4" s="2" t="s">
        <v>29</v>
      </c>
    </row>
    <row r="5" spans="1:8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8" x14ac:dyDescent="0.25">
      <c r="A6" s="3">
        <v>3</v>
      </c>
      <c r="B6" s="4">
        <v>11.8714</v>
      </c>
      <c r="C6" s="4">
        <v>11.4696</v>
      </c>
      <c r="D6" s="4">
        <v>10.4293</v>
      </c>
      <c r="E6" s="4">
        <v>8.1890000000000001</v>
      </c>
      <c r="F6" s="4">
        <v>10.489825</v>
      </c>
    </row>
    <row r="7" spans="1:8" x14ac:dyDescent="0.25">
      <c r="A7" s="3">
        <v>7</v>
      </c>
      <c r="B7" s="4">
        <v>13.0983</v>
      </c>
      <c r="C7" s="4">
        <v>12.1981</v>
      </c>
      <c r="D7" s="4">
        <v>9.3389000000000006</v>
      </c>
      <c r="E7" s="4">
        <v>5.7595999999999998</v>
      </c>
      <c r="F7" s="4">
        <v>10.098725</v>
      </c>
    </row>
    <row r="8" spans="1:8" x14ac:dyDescent="0.25">
      <c r="A8" s="3">
        <v>15</v>
      </c>
      <c r="B8" s="4">
        <v>13.3728</v>
      </c>
      <c r="C8" s="4">
        <v>12.4</v>
      </c>
      <c r="D8" s="4">
        <v>9.1562000000000001</v>
      </c>
      <c r="E8" s="4">
        <v>4.9248000000000003</v>
      </c>
      <c r="F8" s="4">
        <v>9.9634499999999999</v>
      </c>
    </row>
    <row r="9" spans="1:8" x14ac:dyDescent="0.25">
      <c r="A9" s="3">
        <v>31</v>
      </c>
      <c r="B9" s="4">
        <v>13.5007</v>
      </c>
      <c r="C9" s="4">
        <v>12.444000000000001</v>
      </c>
      <c r="D9" s="4">
        <v>9.1544000000000008</v>
      </c>
      <c r="E9" s="4">
        <v>4.6657999999999999</v>
      </c>
      <c r="F9" s="4">
        <v>9.9412249999999993</v>
      </c>
    </row>
    <row r="10" spans="1:8" x14ac:dyDescent="0.25">
      <c r="A10" s="3" t="s">
        <v>24</v>
      </c>
      <c r="B10" s="4">
        <v>12.960800000000001</v>
      </c>
      <c r="C10" s="4">
        <v>12.127925000000001</v>
      </c>
      <c r="D10" s="4">
        <v>9.5197000000000003</v>
      </c>
      <c r="E10" s="4">
        <v>5.8848000000000003</v>
      </c>
      <c r="F10" s="4">
        <v>10.123306249999999</v>
      </c>
    </row>
    <row r="27" spans="1:2" x14ac:dyDescent="0.25">
      <c r="A27" s="5" t="s">
        <v>30</v>
      </c>
      <c r="B27" t="str">
        <f>"var_tico09_"&amp;B1&amp;"_"&amp;B2</f>
        <v>var_tico09_tree256_line</v>
      </c>
    </row>
    <row r="28" spans="1:2" x14ac:dyDescent="0.25">
      <c r="A28" s="5" t="s">
        <v>31</v>
      </c>
      <c r="B28" t="str">
        <f>Range2MatlabMatrix(B6:E9)</f>
        <v>[11,8714 11,4696 10,4293 8,189; 13,0983 12,1981 9,3389 5,7596; 13,3728 12,4 9,1562 4,9248; 13,5007 12,444 9,1544 4,6658]</v>
      </c>
    </row>
    <row r="29" spans="1:2" x14ac:dyDescent="0.25">
      <c r="A29" s="5" t="s">
        <v>32</v>
      </c>
      <c r="B29" t="str">
        <f>B27&amp;" = "&amp;B28&amp;";"</f>
        <v>var_tico09_tree256_line = [11,8714 11,4696 10,4293 8,189; 13,0983 12,1981 9,3389 5,7596; 13,3728 12,4 9,1562 4,9248; 13,5007 12,444 9,1544 4,6658];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9"/>
  <sheetViews>
    <sheetView workbookViewId="0">
      <selection activeCell="B29" sqref="B29"/>
    </sheetView>
  </sheetViews>
  <sheetFormatPr defaultRowHeight="15" x14ac:dyDescent="0.25"/>
  <cols>
    <col min="1" max="1" width="18.28515625" bestFit="1" customWidth="1"/>
    <col min="2" max="2" width="16.140625" bestFit="1" customWidth="1"/>
    <col min="3" max="4" width="10" customWidth="1"/>
    <col min="5" max="5" width="9" customWidth="1"/>
    <col min="6" max="6" width="12" customWidth="1"/>
    <col min="7" max="7" width="11.28515625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27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26.386700000000001</v>
      </c>
      <c r="C6" s="4">
        <v>19.728000000000002</v>
      </c>
      <c r="D6" s="4">
        <v>17.173400000000001</v>
      </c>
      <c r="E6" s="4">
        <v>8.4076000000000004</v>
      </c>
      <c r="F6" s="4">
        <v>17.923925000000001</v>
      </c>
    </row>
    <row r="7" spans="1:6" x14ac:dyDescent="0.25">
      <c r="A7" s="3">
        <v>7</v>
      </c>
      <c r="B7" s="4">
        <v>25.023800000000001</v>
      </c>
      <c r="C7" s="4">
        <v>16.850100000000001</v>
      </c>
      <c r="D7" s="4">
        <v>10.6439</v>
      </c>
      <c r="E7" s="4">
        <v>6.1925999999999997</v>
      </c>
      <c r="F7" s="4">
        <v>14.677600000000002</v>
      </c>
    </row>
    <row r="8" spans="1:6" x14ac:dyDescent="0.25">
      <c r="A8" s="3">
        <v>15</v>
      </c>
      <c r="B8" s="4">
        <v>24.679099999999998</v>
      </c>
      <c r="C8" s="4">
        <v>15.7165</v>
      </c>
      <c r="D8" s="4">
        <v>8.6239000000000008</v>
      </c>
      <c r="E8" s="4">
        <v>5.7813999999999997</v>
      </c>
      <c r="F8" s="4">
        <v>13.700225</v>
      </c>
    </row>
    <row r="9" spans="1:6" x14ac:dyDescent="0.25">
      <c r="A9" s="3">
        <v>31</v>
      </c>
      <c r="B9" s="4">
        <v>24.713999999999999</v>
      </c>
      <c r="C9" s="4">
        <v>15.4445</v>
      </c>
      <c r="D9" s="4">
        <v>7.9020999999999999</v>
      </c>
      <c r="E9" s="4">
        <v>4.5087000000000002</v>
      </c>
      <c r="F9" s="4">
        <v>13.142324999999998</v>
      </c>
    </row>
    <row r="10" spans="1:6" x14ac:dyDescent="0.25">
      <c r="A10" s="3" t="s">
        <v>24</v>
      </c>
      <c r="B10" s="4">
        <v>25.200899999999997</v>
      </c>
      <c r="C10" s="4">
        <v>16.934775000000002</v>
      </c>
      <c r="D10" s="4">
        <v>11.085825</v>
      </c>
      <c r="E10" s="4">
        <v>6.222575</v>
      </c>
      <c r="F10" s="4">
        <v>14.861018749999999</v>
      </c>
    </row>
    <row r="27" spans="1:2" x14ac:dyDescent="0.25">
      <c r="A27" s="5" t="s">
        <v>30</v>
      </c>
      <c r="B27" t="str">
        <f>"var_srou03_"&amp;B1&amp;"_"&amp;B2</f>
        <v>var_srou03_tree256_line</v>
      </c>
    </row>
    <row r="28" spans="1:2" x14ac:dyDescent="0.25">
      <c r="A28" s="5" t="s">
        <v>31</v>
      </c>
      <c r="B28" t="str">
        <f>Range2MatlabMatrix(B6:E9)</f>
        <v>[26,3867 19,728 17,1734 8,4076; 25,0238 16,8501 10,6439 6,1926; 24,6791 15,7165 8,6239 5,7814; 24,714 15,4445 7,9021 4,5087]</v>
      </c>
    </row>
    <row r="29" spans="1:2" x14ac:dyDescent="0.25">
      <c r="A29" s="5" t="s">
        <v>32</v>
      </c>
      <c r="B29" t="str">
        <f>B27&amp;" = "&amp;B28&amp;";"</f>
        <v>var_srou03_tree256_line = [26,3867 19,728 17,1734 8,4076; 25,0238 16,8501 10,6439 6,1926; 24,6791 15,7165 8,6239 5,7814; 24,714 15,4445 7,9021 4,5087];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9"/>
  <sheetViews>
    <sheetView workbookViewId="0">
      <selection activeCell="A27" sqref="A27:B29"/>
    </sheetView>
  </sheetViews>
  <sheetFormatPr defaultRowHeight="15" x14ac:dyDescent="0.25"/>
  <cols>
    <col min="1" max="1" width="16.42578125" bestFit="1" customWidth="1"/>
    <col min="2" max="2" width="16.140625" customWidth="1"/>
    <col min="3" max="3" width="10" customWidth="1"/>
    <col min="4" max="4" width="8" customWidth="1"/>
    <col min="5" max="5" width="9" customWidth="1"/>
    <col min="6" max="6" width="11.28515625" customWidth="1"/>
    <col min="7" max="7" width="12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28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25.759</v>
      </c>
      <c r="C6" s="4">
        <v>16.742000000000001</v>
      </c>
      <c r="D6" s="4">
        <v>9.8666</v>
      </c>
      <c r="E6" s="4">
        <v>5.1235999999999997</v>
      </c>
      <c r="F6" s="4">
        <v>14.372800000000002</v>
      </c>
    </row>
    <row r="7" spans="1:6" x14ac:dyDescent="0.25">
      <c r="A7" s="3">
        <v>7</v>
      </c>
      <c r="B7" s="4">
        <v>25.731000000000002</v>
      </c>
      <c r="C7" s="4">
        <v>16.720600000000001</v>
      </c>
      <c r="D7" s="4">
        <v>9.7830999999999992</v>
      </c>
      <c r="E7" s="4">
        <v>5.0258000000000003</v>
      </c>
      <c r="F7" s="4">
        <v>14.315124999999998</v>
      </c>
    </row>
    <row r="8" spans="1:6" x14ac:dyDescent="0.25">
      <c r="A8" s="3">
        <v>15</v>
      </c>
      <c r="B8" s="4">
        <v>25.750599999999999</v>
      </c>
      <c r="C8" s="4">
        <v>16.7485</v>
      </c>
      <c r="D8" s="4">
        <v>9.7967999999999993</v>
      </c>
      <c r="E8" s="4">
        <v>5.0247000000000002</v>
      </c>
      <c r="F8" s="4">
        <v>14.33015</v>
      </c>
    </row>
    <row r="9" spans="1:6" x14ac:dyDescent="0.25">
      <c r="A9" s="3">
        <v>31</v>
      </c>
      <c r="B9" s="4">
        <v>25.6934</v>
      </c>
      <c r="C9" s="4">
        <v>16.689599999999999</v>
      </c>
      <c r="D9" s="4">
        <v>9.8237000000000005</v>
      </c>
      <c r="E9" s="4">
        <v>5.0247999999999999</v>
      </c>
      <c r="F9" s="4">
        <v>14.307874999999999</v>
      </c>
    </row>
    <row r="10" spans="1:6" x14ac:dyDescent="0.25">
      <c r="A10" s="3" t="s">
        <v>24</v>
      </c>
      <c r="B10" s="4">
        <v>25.733499999999999</v>
      </c>
      <c r="C10" s="4">
        <v>16.725175</v>
      </c>
      <c r="D10" s="4">
        <v>9.8175500000000007</v>
      </c>
      <c r="E10" s="4">
        <v>5.0497249999999996</v>
      </c>
      <c r="F10" s="4">
        <v>14.331487499999998</v>
      </c>
    </row>
    <row r="27" spans="1:2" x14ac:dyDescent="0.25">
      <c r="A27" s="5" t="s">
        <v>30</v>
      </c>
      <c r="B27" t="str">
        <f>"var_bm3d_"&amp;B1&amp;"_"&amp;B2</f>
        <v>var_bm3d_tree256_line</v>
      </c>
    </row>
    <row r="28" spans="1:2" x14ac:dyDescent="0.25">
      <c r="A28" s="5" t="s">
        <v>31</v>
      </c>
      <c r="B28" t="str">
        <f>Range2MatlabMatrix(B6:E9)</f>
        <v>[25,759 16,742 9,8666 5,1236; 25,731 16,7206 9,7831 5,0258; 25,7506 16,7485 9,7968 5,0247; 25,6934 16,6896 9,8237 5,0248]</v>
      </c>
    </row>
    <row r="29" spans="1:2" x14ac:dyDescent="0.25">
      <c r="A29" s="5" t="s">
        <v>32</v>
      </c>
      <c r="B29" t="str">
        <f>B27&amp;" = "&amp;B28&amp;";"</f>
        <v>var_bm3d_tree256_line = [25,759 16,742 9,8666 5,1236; 25,731 16,7206 9,7831 5,0258; 25,7506 16,7485 9,7968 5,0247; 25,6934 16,6896 9,8237 5,0248];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4"/>
  <sheetViews>
    <sheetView workbookViewId="0">
      <selection activeCell="I41" sqref="I41"/>
    </sheetView>
  </sheetViews>
  <sheetFormatPr defaultRowHeight="15" x14ac:dyDescent="0.25"/>
  <cols>
    <col min="1" max="1" width="13.140625" customWidth="1"/>
    <col min="2" max="2" width="20.5703125" customWidth="1"/>
    <col min="3" max="3" width="6" customWidth="1"/>
    <col min="4" max="4" width="5" customWidth="1"/>
    <col min="5" max="5" width="4" customWidth="1"/>
    <col min="6" max="6" width="11.28515625" customWidth="1"/>
    <col min="7" max="7" width="10.42578125" customWidth="1"/>
    <col min="8" max="8" width="9" customWidth="1"/>
    <col min="9" max="9" width="18.28515625" customWidth="1"/>
    <col min="10" max="10" width="19.7109375" customWidth="1"/>
    <col min="11" max="11" width="6" customWidth="1"/>
    <col min="12" max="12" width="5" customWidth="1"/>
    <col min="13" max="13" width="4" customWidth="1"/>
    <col min="14" max="14" width="11.28515625" bestFit="1" customWidth="1"/>
  </cols>
  <sheetData>
    <row r="1" spans="1:14" x14ac:dyDescent="0.25">
      <c r="A1" s="2" t="s">
        <v>0</v>
      </c>
      <c r="B1" t="s">
        <v>12</v>
      </c>
      <c r="I1" s="2" t="s">
        <v>0</v>
      </c>
      <c r="J1" t="s">
        <v>12</v>
      </c>
    </row>
    <row r="2" spans="1:14" x14ac:dyDescent="0.25">
      <c r="A2" s="2" t="s">
        <v>1</v>
      </c>
      <c r="B2" t="s">
        <v>10</v>
      </c>
      <c r="I2" s="2" t="s">
        <v>1</v>
      </c>
      <c r="J2" t="s">
        <v>10</v>
      </c>
    </row>
    <row r="4" spans="1:14" x14ac:dyDescent="0.25">
      <c r="A4" s="2" t="s">
        <v>41</v>
      </c>
      <c r="B4" s="2" t="s">
        <v>29</v>
      </c>
      <c r="I4" s="2" t="s">
        <v>43</v>
      </c>
      <c r="J4" s="2" t="s">
        <v>29</v>
      </c>
    </row>
    <row r="5" spans="1:14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  <c r="I5" s="2" t="s">
        <v>23</v>
      </c>
      <c r="J5">
        <v>1E-4</v>
      </c>
      <c r="K5">
        <v>1E-3</v>
      </c>
      <c r="L5">
        <v>0.01</v>
      </c>
      <c r="M5">
        <v>0.1</v>
      </c>
      <c r="N5" t="s">
        <v>24</v>
      </c>
    </row>
    <row r="6" spans="1:14" x14ac:dyDescent="0.25">
      <c r="A6" s="3">
        <v>3</v>
      </c>
      <c r="B6" s="4">
        <v>79</v>
      </c>
      <c r="C6" s="4">
        <v>66</v>
      </c>
      <c r="D6" s="4">
        <v>61</v>
      </c>
      <c r="E6" s="4">
        <v>43</v>
      </c>
      <c r="F6" s="4">
        <v>79</v>
      </c>
      <c r="I6" s="3">
        <v>3</v>
      </c>
      <c r="J6" s="4">
        <v>131</v>
      </c>
      <c r="K6" s="4">
        <v>109</v>
      </c>
      <c r="L6" s="4">
        <v>100</v>
      </c>
      <c r="M6" s="4">
        <v>71</v>
      </c>
      <c r="N6" s="4">
        <v>131</v>
      </c>
    </row>
    <row r="7" spans="1:14" x14ac:dyDescent="0.25">
      <c r="A7" s="3">
        <v>7</v>
      </c>
      <c r="B7" s="4">
        <v>186</v>
      </c>
      <c r="C7" s="4">
        <v>60</v>
      </c>
      <c r="D7" s="4">
        <v>48</v>
      </c>
      <c r="E7" s="4">
        <v>39</v>
      </c>
      <c r="F7" s="4">
        <v>186</v>
      </c>
      <c r="I7" s="3">
        <v>7</v>
      </c>
      <c r="J7" s="4">
        <v>78</v>
      </c>
      <c r="K7" s="4">
        <v>99</v>
      </c>
      <c r="L7" s="4">
        <v>79</v>
      </c>
      <c r="M7" s="4">
        <v>64</v>
      </c>
      <c r="N7" s="4">
        <v>99</v>
      </c>
    </row>
    <row r="8" spans="1:14" x14ac:dyDescent="0.25">
      <c r="A8" s="3">
        <v>15</v>
      </c>
      <c r="B8" s="4">
        <v>186</v>
      </c>
      <c r="C8" s="4">
        <v>143</v>
      </c>
      <c r="D8" s="4">
        <v>110</v>
      </c>
      <c r="E8" s="4">
        <v>38</v>
      </c>
      <c r="F8" s="4">
        <v>186</v>
      </c>
      <c r="I8" s="3">
        <v>15</v>
      </c>
      <c r="J8" s="4">
        <v>78</v>
      </c>
      <c r="K8" s="4">
        <v>60</v>
      </c>
      <c r="L8" s="4">
        <v>46</v>
      </c>
      <c r="M8" s="4">
        <v>63</v>
      </c>
      <c r="N8" s="4">
        <v>78</v>
      </c>
    </row>
    <row r="9" spans="1:14" x14ac:dyDescent="0.25">
      <c r="A9" s="3">
        <v>31</v>
      </c>
      <c r="B9" s="4">
        <v>186</v>
      </c>
      <c r="C9" s="4">
        <v>143</v>
      </c>
      <c r="D9" s="4">
        <v>110</v>
      </c>
      <c r="E9" s="4">
        <v>87</v>
      </c>
      <c r="F9" s="4">
        <v>186</v>
      </c>
      <c r="I9" s="3">
        <v>31</v>
      </c>
      <c r="J9" s="4">
        <v>78</v>
      </c>
      <c r="K9" s="4">
        <v>60</v>
      </c>
      <c r="L9" s="4">
        <v>46</v>
      </c>
      <c r="M9" s="4">
        <v>36</v>
      </c>
      <c r="N9" s="4">
        <v>78</v>
      </c>
    </row>
    <row r="10" spans="1:14" x14ac:dyDescent="0.25">
      <c r="A10" s="3" t="s">
        <v>24</v>
      </c>
      <c r="B10" s="4">
        <v>186</v>
      </c>
      <c r="C10" s="4">
        <v>143</v>
      </c>
      <c r="D10" s="4">
        <v>110</v>
      </c>
      <c r="E10" s="4">
        <v>87</v>
      </c>
      <c r="F10" s="4">
        <v>186</v>
      </c>
      <c r="I10" s="3" t="s">
        <v>24</v>
      </c>
      <c r="J10" s="4">
        <v>131</v>
      </c>
      <c r="K10" s="4">
        <v>109</v>
      </c>
      <c r="L10" s="4">
        <v>100</v>
      </c>
      <c r="M10" s="4">
        <v>71</v>
      </c>
      <c r="N10" s="4">
        <v>131</v>
      </c>
    </row>
    <row r="12" spans="1:14" x14ac:dyDescent="0.25">
      <c r="A12" s="5" t="s">
        <v>30</v>
      </c>
      <c r="B12" t="str">
        <f>"var_"&amp;B1&amp;"_"&amp;B2&amp;"_r"</f>
        <v>var_tree256_line_r</v>
      </c>
      <c r="I12" s="5" t="s">
        <v>30</v>
      </c>
      <c r="J12" t="str">
        <f>"var_"&amp;J1&amp;"_"&amp;J2&amp;"_g"</f>
        <v>var_tree256_line_g</v>
      </c>
    </row>
    <row r="13" spans="1:14" x14ac:dyDescent="0.25">
      <c r="A13" s="5" t="s">
        <v>31</v>
      </c>
      <c r="B13" t="str">
        <f>Range2MatlabMatrix(B6:E9)</f>
        <v>[79 66 61 43; 186 60 48 39; 186 143 110 38; 186 143 110 87]</v>
      </c>
      <c r="I13" s="5" t="s">
        <v>31</v>
      </c>
      <c r="J13" t="str">
        <f>Range2MatlabMatrix(J6:M9)</f>
        <v>[131 109 100 71; 78 99 79 64; 78 60 46 63; 78 60 46 36]</v>
      </c>
    </row>
    <row r="14" spans="1:14" x14ac:dyDescent="0.25">
      <c r="A14" s="5" t="s">
        <v>32</v>
      </c>
      <c r="B14" t="str">
        <f>B12&amp;" = "&amp;B13&amp;";"</f>
        <v>var_tree256_line_r = [79 66 61 43; 186 60 48 39; 186 143 110 38; 186 143 110 87];</v>
      </c>
      <c r="C14" t="s">
        <v>42</v>
      </c>
      <c r="I14" s="5" t="s">
        <v>32</v>
      </c>
      <c r="J14" t="str">
        <f>J12&amp;" = "&amp;J13&amp;";"</f>
        <v>var_tree256_line_g = [131 109 100 71; 78 99 79 64; 78 60 46 63; 78 60 46 36];</v>
      </c>
      <c r="K14" t="s">
        <v>42</v>
      </c>
    </row>
    <row r="15" spans="1:14" x14ac:dyDescent="0.25">
      <c r="C15" t="s">
        <v>42</v>
      </c>
      <c r="K15" t="s">
        <v>42</v>
      </c>
    </row>
    <row r="17" spans="1:14" x14ac:dyDescent="0.25">
      <c r="A17" s="2" t="s">
        <v>0</v>
      </c>
      <c r="B17" t="s">
        <v>12</v>
      </c>
      <c r="I17" s="2" t="s">
        <v>0</v>
      </c>
      <c r="J17" t="s">
        <v>12</v>
      </c>
    </row>
    <row r="18" spans="1:14" x14ac:dyDescent="0.25">
      <c r="A18" s="2" t="s">
        <v>1</v>
      </c>
      <c r="B18" t="s">
        <v>10</v>
      </c>
      <c r="I18" s="2" t="s">
        <v>1</v>
      </c>
      <c r="J18" t="s">
        <v>10</v>
      </c>
    </row>
    <row r="20" spans="1:14" x14ac:dyDescent="0.25">
      <c r="A20" s="2" t="s">
        <v>44</v>
      </c>
      <c r="B20" s="2" t="s">
        <v>29</v>
      </c>
      <c r="I20" s="2" t="s">
        <v>34</v>
      </c>
      <c r="J20" s="2" t="s">
        <v>29</v>
      </c>
    </row>
    <row r="21" spans="1:14" x14ac:dyDescent="0.25">
      <c r="A21" s="2" t="s">
        <v>23</v>
      </c>
      <c r="B21">
        <v>1E-4</v>
      </c>
      <c r="C21">
        <v>1E-3</v>
      </c>
      <c r="D21">
        <v>0.01</v>
      </c>
      <c r="E21">
        <v>0.1</v>
      </c>
      <c r="F21" t="s">
        <v>24</v>
      </c>
      <c r="I21" s="2" t="s">
        <v>23</v>
      </c>
      <c r="J21">
        <v>1E-4</v>
      </c>
      <c r="K21">
        <v>1E-3</v>
      </c>
      <c r="L21">
        <v>0.01</v>
      </c>
      <c r="M21">
        <v>0.1</v>
      </c>
      <c r="N21" t="s">
        <v>24</v>
      </c>
    </row>
    <row r="22" spans="1:14" x14ac:dyDescent="0.25">
      <c r="A22" s="3">
        <v>3</v>
      </c>
      <c r="B22" s="4">
        <v>189</v>
      </c>
      <c r="C22" s="4">
        <v>158</v>
      </c>
      <c r="D22" s="4">
        <v>145</v>
      </c>
      <c r="E22" s="4">
        <v>103</v>
      </c>
      <c r="F22" s="4">
        <v>189</v>
      </c>
      <c r="I22" s="3">
        <v>3</v>
      </c>
      <c r="J22" s="4">
        <v>3</v>
      </c>
      <c r="K22" s="4">
        <v>3</v>
      </c>
      <c r="L22" s="4">
        <v>3</v>
      </c>
      <c r="M22" s="4">
        <v>3</v>
      </c>
      <c r="N22" s="4">
        <v>3</v>
      </c>
    </row>
    <row r="23" spans="1:14" x14ac:dyDescent="0.25">
      <c r="A23" s="3">
        <v>7</v>
      </c>
      <c r="B23" s="4">
        <v>76</v>
      </c>
      <c r="C23" s="4">
        <v>144</v>
      </c>
      <c r="D23" s="4">
        <v>114</v>
      </c>
      <c r="E23" s="4">
        <v>93</v>
      </c>
      <c r="F23" s="4">
        <v>144</v>
      </c>
      <c r="I23" s="3">
        <v>7</v>
      </c>
      <c r="J23" s="4">
        <v>1</v>
      </c>
      <c r="K23" s="4">
        <v>3</v>
      </c>
      <c r="L23" s="4">
        <v>3</v>
      </c>
      <c r="M23" s="4">
        <v>3</v>
      </c>
      <c r="N23" s="4">
        <v>3</v>
      </c>
    </row>
    <row r="24" spans="1:14" x14ac:dyDescent="0.25">
      <c r="A24" s="3">
        <v>15</v>
      </c>
      <c r="B24" s="4">
        <v>76</v>
      </c>
      <c r="C24" s="4">
        <v>58</v>
      </c>
      <c r="D24" s="4">
        <v>45</v>
      </c>
      <c r="E24" s="4">
        <v>91</v>
      </c>
      <c r="F24" s="4">
        <v>91</v>
      </c>
      <c r="I24" s="3">
        <v>15</v>
      </c>
      <c r="J24" s="4">
        <v>1</v>
      </c>
      <c r="K24" s="4">
        <v>1</v>
      </c>
      <c r="L24" s="4">
        <v>1</v>
      </c>
      <c r="M24" s="4">
        <v>3</v>
      </c>
      <c r="N24" s="4">
        <v>3</v>
      </c>
    </row>
    <row r="25" spans="1:14" x14ac:dyDescent="0.25">
      <c r="A25" s="3">
        <v>31</v>
      </c>
      <c r="B25" s="4">
        <v>76</v>
      </c>
      <c r="C25" s="4">
        <v>58</v>
      </c>
      <c r="D25" s="4">
        <v>45</v>
      </c>
      <c r="E25" s="4">
        <v>35</v>
      </c>
      <c r="F25" s="4">
        <v>76</v>
      </c>
      <c r="I25" s="3">
        <v>31</v>
      </c>
      <c r="J25" s="4">
        <v>1</v>
      </c>
      <c r="K25" s="4">
        <v>1</v>
      </c>
      <c r="L25" s="4">
        <v>1</v>
      </c>
      <c r="M25" s="4">
        <v>1</v>
      </c>
      <c r="N25" s="4">
        <v>1</v>
      </c>
    </row>
    <row r="26" spans="1:14" x14ac:dyDescent="0.25">
      <c r="A26" s="3" t="s">
        <v>24</v>
      </c>
      <c r="B26" s="4">
        <v>189</v>
      </c>
      <c r="C26" s="4">
        <v>158</v>
      </c>
      <c r="D26" s="4">
        <v>145</v>
      </c>
      <c r="E26" s="4">
        <v>103</v>
      </c>
      <c r="F26" s="4">
        <v>189</v>
      </c>
      <c r="I26" s="3" t="s">
        <v>24</v>
      </c>
      <c r="J26" s="4">
        <v>3</v>
      </c>
      <c r="K26" s="4">
        <v>3</v>
      </c>
      <c r="L26" s="4">
        <v>3</v>
      </c>
      <c r="M26" s="4">
        <v>3</v>
      </c>
      <c r="N26" s="4">
        <v>3</v>
      </c>
    </row>
    <row r="28" spans="1:14" x14ac:dyDescent="0.25">
      <c r="A28" s="5" t="s">
        <v>30</v>
      </c>
      <c r="B28" t="str">
        <f>"var_"&amp;B17&amp;"_"&amp;B18&amp;"_b"</f>
        <v>var_tree256_line_b</v>
      </c>
      <c r="I28" s="5" t="s">
        <v>30</v>
      </c>
      <c r="J28" t="str">
        <f>"var_"&amp;J17&amp;"_"&amp;J18</f>
        <v>var_tree256_line</v>
      </c>
    </row>
    <row r="29" spans="1:14" x14ac:dyDescent="0.25">
      <c r="A29" s="5" t="s">
        <v>31</v>
      </c>
      <c r="B29" t="str">
        <f>Range2MatlabMatrix(B22:E25)</f>
        <v>[189 158 145 103; 76 144 114 93; 76 58 45 91; 76 58 45 35]</v>
      </c>
      <c r="I29" s="5" t="s">
        <v>31</v>
      </c>
      <c r="J29" t="str">
        <f>Range2MatlabMatrix(J22:M25)</f>
        <v>[3 3 3 3; 1 3 3 3; 1 1 1 3; 1 1 1 1]</v>
      </c>
    </row>
    <row r="30" spans="1:14" x14ac:dyDescent="0.25">
      <c r="A30" s="5" t="s">
        <v>32</v>
      </c>
      <c r="B30" t="str">
        <f>B28&amp;" = "&amp;B29&amp;";"</f>
        <v>var_tree256_line_b = [189 158 145 103; 76 144 114 93; 76 58 45 91; 76 58 45 35];</v>
      </c>
      <c r="C30" t="s">
        <v>42</v>
      </c>
      <c r="I30" s="6" t="s">
        <v>32</v>
      </c>
      <c r="J30" t="str">
        <f>J28&amp;" = "&amp;J29&amp;";"</f>
        <v>var_tree256_line = [3 3 3 3; 1 3 3 3; 1 1 1 3; 1 1 1 1];</v>
      </c>
    </row>
    <row r="32" spans="1:14" x14ac:dyDescent="0.25">
      <c r="C32" t="s">
        <v>42</v>
      </c>
      <c r="K32" t="s">
        <v>42</v>
      </c>
    </row>
    <row r="34" spans="1:2" x14ac:dyDescent="0.25">
      <c r="A34" s="1" t="s">
        <v>45</v>
      </c>
      <c r="B34" t="str">
        <f>B14&amp;" "&amp;J14&amp;" "&amp;B30</f>
        <v>var_tree256_line_r = [79 66 61 43; 186 60 48 39; 186 143 110 38; 186 143 110 87]; var_tree256_line_g = [131 109 100 71; 78 99 79 64; 78 60 46 63; 78 60 46 36]; var_tree256_line_b = [189 158 145 103; 76 144 114 93; 76 58 45 91; 76 58 45 35];</v>
      </c>
    </row>
  </sheetData>
  <pageMargins left="0.7" right="0.7" top="0.75" bottom="0.75" header="0.3" footer="0.3"/>
  <pageSetup orientation="portrait" horizontalDpi="180" verticalDpi="180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E26" sqref="E26"/>
    </sheetView>
  </sheetViews>
  <sheetFormatPr defaultRowHeight="15" x14ac:dyDescent="0.25"/>
  <sheetData>
    <row r="1" spans="1:5" x14ac:dyDescent="0.25">
      <c r="B1" s="7">
        <v>3</v>
      </c>
      <c r="C1" s="7">
        <v>7</v>
      </c>
      <c r="D1" s="7">
        <v>15</v>
      </c>
      <c r="E1" s="7">
        <v>31</v>
      </c>
    </row>
    <row r="2" spans="1:5" x14ac:dyDescent="0.25">
      <c r="A2" s="7">
        <v>1E-4</v>
      </c>
      <c r="B2" t="str">
        <f>COUNTIFS('report COMPLETE VAR DATA'!$E:$E,$A2,'report COMPLETE VAR DATA'!$C:$C,B$1,'report COMPLETE VAR DATA'!$N:$N,"TICO09") &amp; " - " &amp; COUNTIFS('report COMPLETE VAR DATA'!$E:$E,$A2,'report COMPLETE VAR DATA'!$C:$C,B$1,'report COMPLETE VAR DATA'!$N:$N,"SROU03") &amp; " - " &amp; COUNTIFS('report COMPLETE VAR DATA'!$E:$E,$A2,'report COMPLETE VAR DATA'!$C:$C,B$1,'report COMPLETE VAR DATA'!$N:$N,"BM3D")</f>
        <v>0 - 11 - 5</v>
      </c>
      <c r="C2" t="str">
        <f>COUNTIFS('report COMPLETE VAR DATA'!$E:$E,$A2,'report COMPLETE VAR DATA'!$C:$C,C$1,'report COMPLETE VAR DATA'!$N:$N,"TICO09") &amp; " - " &amp; COUNTIFS('report COMPLETE VAR DATA'!$E:$E,$A2,'report COMPLETE VAR DATA'!$C:$C,C$1,'report COMPLETE VAR DATA'!$N:$N,"SROU03") &amp; " - " &amp; COUNTIFS('report COMPLETE VAR DATA'!$E:$E,$A2,'report COMPLETE VAR DATA'!$C:$C,C$1,'report COMPLETE VAR DATA'!$N:$N,"BM3D")</f>
        <v>0 - 0 - 16</v>
      </c>
      <c r="D2" t="str">
        <f>COUNTIFS('report COMPLETE VAR DATA'!$E:$E,$A2,'report COMPLETE VAR DATA'!$C:$C,D$1,'report COMPLETE VAR DATA'!$N:$N,"TICO09") &amp; " - " &amp; COUNTIFS('report COMPLETE VAR DATA'!$E:$E,$A2,'report COMPLETE VAR DATA'!$C:$C,D$1,'report COMPLETE VAR DATA'!$N:$N,"SROU03") &amp; " - " &amp; COUNTIFS('report COMPLETE VAR DATA'!$E:$E,$A2,'report COMPLETE VAR DATA'!$C:$C,D$1,'report COMPLETE VAR DATA'!$N:$N,"BM3D")</f>
        <v>0 - 0 - 16</v>
      </c>
      <c r="E2" t="str">
        <f>COUNTIFS('report COMPLETE VAR DATA'!$E:$E,$A2,'report COMPLETE VAR DATA'!$C:$C,E$1,'report COMPLETE VAR DATA'!$N:$N,"TICO09") &amp; " - " &amp; COUNTIFS('report COMPLETE VAR DATA'!$E:$E,$A2,'report COMPLETE VAR DATA'!$C:$C,E$1,'report COMPLETE VAR DATA'!$N:$N,"SROU03") &amp; " - " &amp; COUNTIFS('report COMPLETE VAR DATA'!$E:$E,$A2,'report COMPLETE VAR DATA'!$C:$C,E$1,'report COMPLETE VAR DATA'!$N:$N,"BM3D")</f>
        <v>0 - 0 - 16</v>
      </c>
    </row>
    <row r="3" spans="1:5" x14ac:dyDescent="0.25">
      <c r="A3" s="7">
        <v>1E-3</v>
      </c>
      <c r="B3" t="str">
        <f>COUNTIFS('report COMPLETE VAR DATA'!$E:$E,$A3,'report COMPLETE VAR DATA'!$C:$C,B$1,'report COMPLETE VAR DATA'!$N:$N,"TICO09") &amp; " - " &amp; COUNTIFS('report COMPLETE VAR DATA'!$E:$E,$A3,'report COMPLETE VAR DATA'!$C:$C,B$1,'report COMPLETE VAR DATA'!$N:$N,"SROU03") &amp; " - " &amp; COUNTIFS('report COMPLETE VAR DATA'!$E:$E,$A3,'report COMPLETE VAR DATA'!$C:$C,B$1,'report COMPLETE VAR DATA'!$N:$N,"BM3D")</f>
        <v>0 - 15 - 1</v>
      </c>
      <c r="C3" t="str">
        <f>COUNTIFS('report COMPLETE VAR DATA'!$E:$E,$A3,'report COMPLETE VAR DATA'!$C:$C,C$1,'report COMPLETE VAR DATA'!$N:$N,"TICO09") &amp; " - " &amp; COUNTIFS('report COMPLETE VAR DATA'!$E:$E,$A3,'report COMPLETE VAR DATA'!$C:$C,C$1,'report COMPLETE VAR DATA'!$N:$N,"SROU03") &amp; " - " &amp; COUNTIFS('report COMPLETE VAR DATA'!$E:$E,$A3,'report COMPLETE VAR DATA'!$C:$C,C$1,'report COMPLETE VAR DATA'!$N:$N,"BM3D")</f>
        <v>0 - 5 - 11</v>
      </c>
      <c r="D3" t="str">
        <f>COUNTIFS('report COMPLETE VAR DATA'!$E:$E,$A3,'report COMPLETE VAR DATA'!$C:$C,D$1,'report COMPLETE VAR DATA'!$N:$N,"TICO09") &amp; " - " &amp; COUNTIFS('report COMPLETE VAR DATA'!$E:$E,$A3,'report COMPLETE VAR DATA'!$C:$C,D$1,'report COMPLETE VAR DATA'!$N:$N,"SROU03") &amp; " - " &amp; COUNTIFS('report COMPLETE VAR DATA'!$E:$E,$A3,'report COMPLETE VAR DATA'!$C:$C,D$1,'report COMPLETE VAR DATA'!$N:$N,"BM3D")</f>
        <v>0 - 1 - 15</v>
      </c>
      <c r="E3" t="str">
        <f>COUNTIFS('report COMPLETE VAR DATA'!$E:$E,$A3,'report COMPLETE VAR DATA'!$C:$C,E$1,'report COMPLETE VAR DATA'!$N:$N,"TICO09") &amp; " - " &amp; COUNTIFS('report COMPLETE VAR DATA'!$E:$E,$A3,'report COMPLETE VAR DATA'!$C:$C,E$1,'report COMPLETE VAR DATA'!$N:$N,"SROU03") &amp; " - " &amp; COUNTIFS('report COMPLETE VAR DATA'!$E:$E,$A3,'report COMPLETE VAR DATA'!$C:$C,E$1,'report COMPLETE VAR DATA'!$N:$N,"BM3D")</f>
        <v>0 - 0 - 16</v>
      </c>
    </row>
    <row r="4" spans="1:5" x14ac:dyDescent="0.25">
      <c r="A4" s="7">
        <v>0.01</v>
      </c>
      <c r="B4" t="str">
        <f>COUNTIFS('report COMPLETE VAR DATA'!$E:$E,$A4,'report COMPLETE VAR DATA'!$C:$C,B$1,'report COMPLETE VAR DATA'!$N:$N,"TICO09") &amp; " - " &amp; COUNTIFS('report COMPLETE VAR DATA'!$E:$E,$A4,'report COMPLETE VAR DATA'!$C:$C,B$1,'report COMPLETE VAR DATA'!$N:$N,"SROU03") &amp; " - " &amp; COUNTIFS('report COMPLETE VAR DATA'!$E:$E,$A4,'report COMPLETE VAR DATA'!$C:$C,B$1,'report COMPLETE VAR DATA'!$N:$N,"BM3D")</f>
        <v>0 - 16 - 0</v>
      </c>
      <c r="C4" t="str">
        <f>COUNTIFS('report COMPLETE VAR DATA'!$E:$E,$A4,'report COMPLETE VAR DATA'!$C:$C,C$1,'report COMPLETE VAR DATA'!$N:$N,"TICO09") &amp; " - " &amp; COUNTIFS('report COMPLETE VAR DATA'!$E:$E,$A4,'report COMPLETE VAR DATA'!$C:$C,C$1,'report COMPLETE VAR DATA'!$N:$N,"SROU03") &amp; " - " &amp; COUNTIFS('report COMPLETE VAR DATA'!$E:$E,$A4,'report COMPLETE VAR DATA'!$C:$C,C$1,'report COMPLETE VAR DATA'!$N:$N,"BM3D")</f>
        <v>0 - 13 - 3</v>
      </c>
      <c r="D4" t="str">
        <f>COUNTIFS('report COMPLETE VAR DATA'!$E:$E,$A4,'report COMPLETE VAR DATA'!$C:$C,D$1,'report COMPLETE VAR DATA'!$N:$N,"TICO09") &amp; " - " &amp; COUNTIFS('report COMPLETE VAR DATA'!$E:$E,$A4,'report COMPLETE VAR DATA'!$C:$C,D$1,'report COMPLETE VAR DATA'!$N:$N,"SROU03") &amp; " - " &amp; COUNTIFS('report COMPLETE VAR DATA'!$E:$E,$A4,'report COMPLETE VAR DATA'!$C:$C,D$1,'report COMPLETE VAR DATA'!$N:$N,"BM3D")</f>
        <v>0 - 12 - 4</v>
      </c>
      <c r="E4" t="str">
        <f>COUNTIFS('report COMPLETE VAR DATA'!$E:$E,$A4,'report COMPLETE VAR DATA'!$C:$C,E$1,'report COMPLETE VAR DATA'!$N:$N,"TICO09") &amp; " - " &amp; COUNTIFS('report COMPLETE VAR DATA'!$E:$E,$A4,'report COMPLETE VAR DATA'!$C:$C,E$1,'report COMPLETE VAR DATA'!$N:$N,"SROU03") &amp; " - " &amp; COUNTIFS('report COMPLETE VAR DATA'!$E:$E,$A4,'report COMPLETE VAR DATA'!$C:$C,E$1,'report COMPLETE VAR DATA'!$N:$N,"BM3D")</f>
        <v>0 - 6 - 10</v>
      </c>
    </row>
    <row r="5" spans="1:5" x14ac:dyDescent="0.25">
      <c r="A5" s="7">
        <v>0.1</v>
      </c>
      <c r="B5" t="str">
        <f>COUNTIFS('report COMPLETE VAR DATA'!$E:$E,$A5,'report COMPLETE VAR DATA'!$C:$C,B$1,'report COMPLETE VAR DATA'!$N:$N,"TICO09") &amp; " - " &amp; COUNTIFS('report COMPLETE VAR DATA'!$E:$E,$A5,'report COMPLETE VAR DATA'!$C:$C,B$1,'report COMPLETE VAR DATA'!$N:$N,"SROU03") &amp; " - " &amp; COUNTIFS('report COMPLETE VAR DATA'!$E:$E,$A5,'report COMPLETE VAR DATA'!$C:$C,B$1,'report COMPLETE VAR DATA'!$N:$N,"BM3D")</f>
        <v>0 - 16 - 0</v>
      </c>
      <c r="C5" t="str">
        <f>COUNTIFS('report COMPLETE VAR DATA'!$E:$E,$A5,'report COMPLETE VAR DATA'!$C:$C,C$1,'report COMPLETE VAR DATA'!$N:$N,"TICO09") &amp; " - " &amp; COUNTIFS('report COMPLETE VAR DATA'!$E:$E,$A5,'report COMPLETE VAR DATA'!$C:$C,C$1,'report COMPLETE VAR DATA'!$N:$N,"SROU03") &amp; " - " &amp; COUNTIFS('report COMPLETE VAR DATA'!$E:$E,$A5,'report COMPLETE VAR DATA'!$C:$C,C$1,'report COMPLETE VAR DATA'!$N:$N,"BM3D")</f>
        <v>0 - 12 - 4</v>
      </c>
      <c r="D5" t="str">
        <f>COUNTIFS('report COMPLETE VAR DATA'!$E:$E,$A5,'report COMPLETE VAR DATA'!$C:$C,D$1,'report COMPLETE VAR DATA'!$N:$N,"TICO09") &amp; " - " &amp; COUNTIFS('report COMPLETE VAR DATA'!$E:$E,$A5,'report COMPLETE VAR DATA'!$C:$C,D$1,'report COMPLETE VAR DATA'!$N:$N,"SROU03") &amp; " - " &amp; COUNTIFS('report COMPLETE VAR DATA'!$E:$E,$A5,'report COMPLETE VAR DATA'!$C:$C,D$1,'report COMPLETE VAR DATA'!$N:$N,"BM3D")</f>
        <v>1 - 13 - 2</v>
      </c>
      <c r="E5" t="str">
        <f>COUNTIFS('report COMPLETE VAR DATA'!$E:$E,$A5,'report COMPLETE VAR DATA'!$C:$C,E$1,'report COMPLETE VAR DATA'!$N:$N,"TICO09") &amp; " - " &amp; COUNTIFS('report COMPLETE VAR DATA'!$E:$E,$A5,'report COMPLETE VAR DATA'!$C:$C,E$1,'report COMPLETE VAR DATA'!$N:$N,"SROU03") &amp; " - " &amp; COUNTIFS('report COMPLETE VAR DATA'!$E:$E,$A5,'report COMPLETE VAR DATA'!$C:$C,E$1,'report COMPLETE VAR DATA'!$N:$N,"BM3D")</f>
        <v>1 - 6 - 9</v>
      </c>
    </row>
    <row r="6" spans="1:5" x14ac:dyDescent="0.25">
      <c r="B6" s="8"/>
      <c r="C6" s="8"/>
      <c r="D6" s="8"/>
      <c r="E6" s="8"/>
    </row>
    <row r="7" spans="1:5" x14ac:dyDescent="0.25">
      <c r="A7" t="s">
        <v>48</v>
      </c>
      <c r="B7" t="str">
        <f>Range2TeXTabular(A1:E5)</f>
        <v xml:space="preserve"> &amp; 3 &amp; 7 &amp; 15 &amp; 31 \\ \hline_x000D_
0,0001 &amp; 0 - 11 - 5 &amp; 0 - 0 - 16 &amp; 0 - 0 - 16 &amp; 0 - 0 - 16 \\ \hline_x000D_
0,001 &amp; 0 - 15 - 1 &amp; 0 - 5 - 11 &amp; 0 - 1 - 15 &amp; 0 - 0 - 16 \\ \hline_x000D_
0,01 &amp; 0 - 16 - 0 &amp; 0 - 13 - 3 &amp; 0 - 12 - 4 &amp; 0 - 6 - 10 \\ \hline_x000D_
0,1 &amp; 0 - 16 - 0 &amp; 0 - 12 - 4 &amp; 1 - 13 - 2 &amp; 1 - 6 - 9 \\ \hline_x000D_
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"/>
  <sheetViews>
    <sheetView workbookViewId="0">
      <pane ySplit="1" topLeftCell="A2" activePane="bottomLeft" state="frozen"/>
      <selection pane="bottomLeft" activeCell="H15" sqref="H15"/>
    </sheetView>
  </sheetViews>
  <sheetFormatPr defaultRowHeight="15" x14ac:dyDescent="0.25"/>
  <sheetData>
    <row r="1" spans="1:5" x14ac:dyDescent="0.25">
      <c r="A1" s="6" t="s">
        <v>35</v>
      </c>
      <c r="B1" s="6" t="s">
        <v>36</v>
      </c>
      <c r="C1" s="6" t="s">
        <v>37</v>
      </c>
      <c r="D1" s="6" t="s">
        <v>38</v>
      </c>
      <c r="E1" s="6" t="s">
        <v>39</v>
      </c>
    </row>
    <row r="2" spans="1:5" x14ac:dyDescent="0.25">
      <c r="A2" t="s">
        <v>17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19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18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report COMPLETE VAR DATA</vt:lpstr>
      <vt:lpstr>TICO09</vt:lpstr>
      <vt:lpstr>SROU03</vt:lpstr>
      <vt:lpstr>BM3D</vt:lpstr>
      <vt:lpstr>AVG methods vs VAR</vt:lpstr>
      <vt:lpstr>AVG methods vs PSF size</vt:lpstr>
      <vt:lpstr>Surface TICO09</vt:lpstr>
      <vt:lpstr>Surface SROU03</vt:lpstr>
      <vt:lpstr>Surface BM3D</vt:lpstr>
      <vt:lpstr>Winners</vt:lpstr>
      <vt:lpstr>Winning counts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2011-12-09T09:07:13Z</dcterms:created>
  <dcterms:modified xsi:type="dcterms:W3CDTF">2012-04-07T20:19:01Z</dcterms:modified>
</cp:coreProperties>
</file>